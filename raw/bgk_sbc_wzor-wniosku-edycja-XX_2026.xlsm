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en_skoroszyt" defaultThemeVersion="124226"/>
  <mc:AlternateContent xmlns:mc="http://schemas.openxmlformats.org/markup-compatibility/2006">
    <mc:Choice Requires="x15">
      <x15ac:absPath xmlns:x15ac="http://schemas.microsoft.com/office/spreadsheetml/2010/11/ac" url="\\bank\Public\DKPM\WSPÓLNY\ZMIANY W PRAWIE\ZGŁOSZENIA\MZWP-2440 (2025) ZM ROZPORZ\WWW\"/>
    </mc:Choice>
  </mc:AlternateContent>
  <xr:revisionPtr revIDLastSave="0" documentId="13_ncr:1_{D615C353-166D-484B-8AF8-346BF5DA7FE4}" xr6:coauthVersionLast="47" xr6:coauthVersionMax="47" xr10:uidLastSave="{00000000-0000-0000-0000-000000000000}"/>
  <workbookProtection workbookAlgorithmName="SHA-512" workbookHashValue="1wCVCALmKKXJo53EztmkWBJcpORW1MLfyOrgnxPGdGsXNdEv4zP/L4SQRdrgXT3HDf9R0AiasX3Ko82l0KcWIw==" workbookSaltValue="wjUc3IdegkObuCjndI4lnA==" workbookSpinCount="100000" lockStructure="1"/>
  <bookViews>
    <workbookView xWindow="-3240" yWindow="-14510" windowWidth="25820" windowHeight="13900" xr2:uid="{00000000-000D-0000-FFFF-FFFF00000000}"/>
  </bookViews>
  <sheets>
    <sheet name="WNIOSEK" sheetId="6" r:id="rId1"/>
    <sheet name="województwa" sheetId="5" state="hidden" r:id="rId2"/>
    <sheet name="powiaty w województwach" sheetId="3" state="hidden" r:id="rId3"/>
    <sheet name="gminy w powiatach" sheetId="1" state="hidden" r:id="rId4"/>
    <sheet name="listy" sheetId="7" state="hidden" r:id="rId5"/>
    <sheet name="pomocnicze" sheetId="8" state="hidden" r:id="rId6"/>
    <sheet name="Lista kodów TERYT" sheetId="10" r:id="rId7"/>
    <sheet name="ocena wiarygodności_TBS" sheetId="11" state="hidden" r:id="rId8"/>
    <sheet name="ocena wiarygodności_SM" sheetId="13" state="hidden" r:id="rId9"/>
    <sheet name="ocena wiarygodności_spółka gmin" sheetId="14" state="hidden" r:id="rId10"/>
  </sheets>
  <definedNames>
    <definedName name="_xlnm._FilterDatabase" localSheetId="3" hidden="1">'gminy w powiatach'!$A$1:$F$2478</definedName>
    <definedName name="_xlnm._FilterDatabase" localSheetId="6" hidden="1">'Lista kodów TERYT'!$A$1:$F$2480</definedName>
    <definedName name="_xlnm._FilterDatabase" localSheetId="2" hidden="1">'powiaty w województwach'!$A$1:$B$1</definedName>
    <definedName name="_xleta.DATE" hidden="1" xlm="1">#NAME?</definedName>
    <definedName name="_xleta.IF" hidden="1" xlm="1">#NAME?</definedName>
    <definedName name="_xleta.OR" hidden="1" xlm="1">#NAME?</definedName>
    <definedName name="Klient" localSheetId="8">'ocena wiarygodności_SM'!$C$3</definedName>
    <definedName name="Klient" localSheetId="9">'ocena wiarygodności_spółka gmin'!$C$3</definedName>
    <definedName name="Klient">'ocena wiarygodności_TBS'!$C$3</definedName>
    <definedName name="Klient1" localSheetId="8">'ocena wiarygodności_SM'!$C$3</definedName>
    <definedName name="Klient1" localSheetId="9">'ocena wiarygodności_spółka gmin'!$C$3</definedName>
    <definedName name="Klient1">'ocena wiarygodności_TBS'!$C$3</definedName>
    <definedName name="Miesiace">listy!$E$1:$E$12</definedName>
    <definedName name="_xlnm.Print_Area" localSheetId="8">'ocena wiarygodności_SM'!$A$1:$P$45</definedName>
    <definedName name="_xlnm.Print_Area" localSheetId="9">'ocena wiarygodności_spółka gmin'!$A$1:$P$61</definedName>
    <definedName name="_xlnm.Print_Area" localSheetId="7">'ocena wiarygodności_TBS'!$A$1:$P$53</definedName>
    <definedName name="_xlnm.Print_Area" localSheetId="0">WNIOSEK!$A$3:$BC$399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6" i="6" l="1"/>
  <c r="B376" i="6" s="1"/>
  <c r="D379" i="6" l="1"/>
  <c r="B379" i="6" s="1"/>
  <c r="D378" i="6"/>
  <c r="D377" i="6"/>
  <c r="B377" i="6" s="1"/>
  <c r="B297" i="6" l="1"/>
  <c r="B295" i="6"/>
  <c r="B378" i="6" l="1"/>
  <c r="BD371" i="6"/>
  <c r="BD370" i="6"/>
  <c r="BD368" i="6"/>
  <c r="BD334" i="6"/>
  <c r="BD307" i="6"/>
  <c r="B144" i="6"/>
  <c r="B212" i="6" l="1"/>
  <c r="C221" i="6"/>
  <c r="BD211" i="6" l="1"/>
  <c r="BD323" i="6" l="1"/>
  <c r="B301" i="6" l="1"/>
  <c r="D374" i="6" l="1"/>
  <c r="BD328" i="6"/>
  <c r="B324" i="6" l="1"/>
  <c r="B310" i="6"/>
  <c r="B203" i="6"/>
  <c r="P138" i="6" l="1"/>
  <c r="BD151" i="6"/>
  <c r="B147" i="6"/>
  <c r="BD144" i="6"/>
  <c r="E481" i="1"/>
  <c r="E818" i="1"/>
  <c r="E999" i="1"/>
  <c r="E1063" i="1"/>
  <c r="E1111" i="1"/>
  <c r="E1159" i="1"/>
  <c r="E1207" i="1"/>
  <c r="E1255" i="1"/>
  <c r="E1303" i="1"/>
  <c r="E1351" i="1"/>
  <c r="E1399" i="1"/>
  <c r="E1447" i="1"/>
  <c r="E1495" i="1"/>
  <c r="E1543" i="1"/>
  <c r="E1591" i="1"/>
  <c r="E1639" i="1"/>
  <c r="E1687" i="1"/>
  <c r="E1735" i="1"/>
  <c r="E1783" i="1"/>
  <c r="E1824" i="1"/>
  <c r="E1839" i="1"/>
  <c r="E1852" i="1"/>
  <c r="E1864" i="1"/>
  <c r="E1876" i="1"/>
  <c r="E1888" i="1"/>
  <c r="E1900" i="1"/>
  <c r="E1912" i="1"/>
  <c r="E1924" i="1"/>
  <c r="E1936" i="1"/>
  <c r="E1948" i="1"/>
  <c r="E1960" i="1"/>
  <c r="E1972" i="1"/>
  <c r="E1984" i="1"/>
  <c r="E1996" i="1"/>
  <c r="E2008" i="1"/>
  <c r="E2020" i="1"/>
  <c r="E2032" i="1"/>
  <c r="E2044" i="1"/>
  <c r="E2056" i="1"/>
  <c r="E2068" i="1"/>
  <c r="E2080" i="1"/>
  <c r="E2092" i="1"/>
  <c r="E2104" i="1"/>
  <c r="E2116" i="1"/>
  <c r="E2128" i="1"/>
  <c r="E2140" i="1"/>
  <c r="E2152" i="1"/>
  <c r="E2164" i="1"/>
  <c r="E2176" i="1"/>
  <c r="E2188" i="1"/>
  <c r="E2200" i="1"/>
  <c r="E2212" i="1"/>
  <c r="E2224" i="1"/>
  <c r="E2236" i="1"/>
  <c r="E2248" i="1"/>
  <c r="E2260" i="1"/>
  <c r="E2272" i="1"/>
  <c r="E2284" i="1"/>
  <c r="E2296" i="1"/>
  <c r="E2308" i="1"/>
  <c r="E2320" i="1"/>
  <c r="E2332" i="1"/>
  <c r="E2344" i="1"/>
  <c r="E2356" i="1"/>
  <c r="E2368" i="1"/>
  <c r="E2380" i="1"/>
  <c r="E2392" i="1"/>
  <c r="E2404" i="1"/>
  <c r="E2416" i="1"/>
  <c r="E2428" i="1"/>
  <c r="E2440" i="1"/>
  <c r="E2452" i="1"/>
  <c r="E2464" i="1"/>
  <c r="E2476" i="1"/>
  <c r="C2479" i="1"/>
  <c r="E2479" i="1" s="1"/>
  <c r="C2480" i="1"/>
  <c r="E2480" i="1" s="1"/>
  <c r="C3" i="1"/>
  <c r="E3" i="1" s="1"/>
  <c r="C4" i="1"/>
  <c r="E4" i="1" s="1"/>
  <c r="C5" i="1"/>
  <c r="E5" i="1" s="1"/>
  <c r="C6" i="1"/>
  <c r="E6" i="1" s="1"/>
  <c r="C7" i="1"/>
  <c r="E7" i="1" s="1"/>
  <c r="C8" i="1"/>
  <c r="E8" i="1" s="1"/>
  <c r="C9" i="1"/>
  <c r="E9" i="1" s="1"/>
  <c r="C10" i="1"/>
  <c r="E10" i="1" s="1"/>
  <c r="C11" i="1"/>
  <c r="E11" i="1" s="1"/>
  <c r="C12" i="1"/>
  <c r="E12" i="1" s="1"/>
  <c r="C13" i="1"/>
  <c r="E13" i="1" s="1"/>
  <c r="C14" i="1"/>
  <c r="E14" i="1" s="1"/>
  <c r="C15" i="1"/>
  <c r="E15" i="1" s="1"/>
  <c r="C16" i="1"/>
  <c r="E16" i="1" s="1"/>
  <c r="C17" i="1"/>
  <c r="E17" i="1" s="1"/>
  <c r="C18" i="1"/>
  <c r="E18" i="1" s="1"/>
  <c r="C19" i="1"/>
  <c r="E19" i="1" s="1"/>
  <c r="C20" i="1"/>
  <c r="E20" i="1" s="1"/>
  <c r="C21" i="1"/>
  <c r="E21" i="1" s="1"/>
  <c r="C22" i="1"/>
  <c r="E22" i="1" s="1"/>
  <c r="C23" i="1"/>
  <c r="E23" i="1" s="1"/>
  <c r="C24" i="1"/>
  <c r="E24" i="1" s="1"/>
  <c r="C25" i="1"/>
  <c r="E25" i="1" s="1"/>
  <c r="C26" i="1"/>
  <c r="E26" i="1" s="1"/>
  <c r="C27" i="1"/>
  <c r="E27" i="1" s="1"/>
  <c r="C28" i="1"/>
  <c r="E28" i="1" s="1"/>
  <c r="C29" i="1"/>
  <c r="E29" i="1" s="1"/>
  <c r="C30" i="1"/>
  <c r="E30" i="1" s="1"/>
  <c r="C31" i="1"/>
  <c r="E31" i="1" s="1"/>
  <c r="C32" i="1"/>
  <c r="E32" i="1" s="1"/>
  <c r="C33" i="1"/>
  <c r="E33" i="1" s="1"/>
  <c r="C34" i="1"/>
  <c r="E34" i="1" s="1"/>
  <c r="C35" i="1"/>
  <c r="E35" i="1" s="1"/>
  <c r="C36" i="1"/>
  <c r="E36" i="1" s="1"/>
  <c r="C37" i="1"/>
  <c r="E37" i="1" s="1"/>
  <c r="C38" i="1"/>
  <c r="E38" i="1" s="1"/>
  <c r="C39" i="1"/>
  <c r="E39" i="1" s="1"/>
  <c r="C40" i="1"/>
  <c r="E40" i="1" s="1"/>
  <c r="C41" i="1"/>
  <c r="E41" i="1" s="1"/>
  <c r="C42" i="1"/>
  <c r="E42" i="1" s="1"/>
  <c r="C43" i="1"/>
  <c r="E43" i="1" s="1"/>
  <c r="C44" i="1"/>
  <c r="E44" i="1" s="1"/>
  <c r="C45" i="1"/>
  <c r="E45" i="1" s="1"/>
  <c r="C46" i="1"/>
  <c r="E46" i="1" s="1"/>
  <c r="C47" i="1"/>
  <c r="E47" i="1" s="1"/>
  <c r="C48" i="1"/>
  <c r="E48" i="1" s="1"/>
  <c r="C49" i="1"/>
  <c r="E49" i="1" s="1"/>
  <c r="C50" i="1"/>
  <c r="E50" i="1" s="1"/>
  <c r="C51" i="1"/>
  <c r="E51" i="1" s="1"/>
  <c r="C52" i="1"/>
  <c r="E52" i="1" s="1"/>
  <c r="C53" i="1"/>
  <c r="E53" i="1" s="1"/>
  <c r="C54" i="1"/>
  <c r="E54" i="1" s="1"/>
  <c r="C55" i="1"/>
  <c r="E55" i="1" s="1"/>
  <c r="C56" i="1"/>
  <c r="E56" i="1" s="1"/>
  <c r="C57" i="1"/>
  <c r="E57" i="1" s="1"/>
  <c r="C58" i="1"/>
  <c r="E58" i="1" s="1"/>
  <c r="C59" i="1"/>
  <c r="E59" i="1" s="1"/>
  <c r="C60" i="1"/>
  <c r="E60" i="1" s="1"/>
  <c r="C61" i="1"/>
  <c r="E61" i="1" s="1"/>
  <c r="C62" i="1"/>
  <c r="E62" i="1" s="1"/>
  <c r="C63" i="1"/>
  <c r="E63" i="1" s="1"/>
  <c r="C64" i="1"/>
  <c r="E64" i="1" s="1"/>
  <c r="C65" i="1"/>
  <c r="E65" i="1" s="1"/>
  <c r="C66" i="1"/>
  <c r="E66" i="1" s="1"/>
  <c r="C67" i="1"/>
  <c r="E67" i="1" s="1"/>
  <c r="C68" i="1"/>
  <c r="E68" i="1" s="1"/>
  <c r="C69" i="1"/>
  <c r="E69" i="1" s="1"/>
  <c r="C70" i="1"/>
  <c r="E70" i="1" s="1"/>
  <c r="C71" i="1"/>
  <c r="E71" i="1" s="1"/>
  <c r="C72" i="1"/>
  <c r="E72" i="1" s="1"/>
  <c r="C73" i="1"/>
  <c r="E73" i="1" s="1"/>
  <c r="C74" i="1"/>
  <c r="E74" i="1" s="1"/>
  <c r="C75" i="1"/>
  <c r="E75" i="1" s="1"/>
  <c r="C76" i="1"/>
  <c r="E76" i="1" s="1"/>
  <c r="C77" i="1"/>
  <c r="E77" i="1" s="1"/>
  <c r="C78" i="1"/>
  <c r="E78" i="1" s="1"/>
  <c r="C79" i="1"/>
  <c r="E79" i="1" s="1"/>
  <c r="C80" i="1"/>
  <c r="E80" i="1" s="1"/>
  <c r="C81" i="1"/>
  <c r="E81" i="1" s="1"/>
  <c r="C82" i="1"/>
  <c r="E82" i="1" s="1"/>
  <c r="C83" i="1"/>
  <c r="E83" i="1" s="1"/>
  <c r="C84" i="1"/>
  <c r="E84" i="1" s="1"/>
  <c r="C85" i="1"/>
  <c r="E85" i="1" s="1"/>
  <c r="C86" i="1"/>
  <c r="E86" i="1" s="1"/>
  <c r="C87" i="1"/>
  <c r="E87" i="1" s="1"/>
  <c r="C88" i="1"/>
  <c r="E88" i="1" s="1"/>
  <c r="C89" i="1"/>
  <c r="E89" i="1" s="1"/>
  <c r="C90" i="1"/>
  <c r="E90" i="1" s="1"/>
  <c r="C91" i="1"/>
  <c r="E91" i="1" s="1"/>
  <c r="C92" i="1"/>
  <c r="E92" i="1" s="1"/>
  <c r="C93" i="1"/>
  <c r="E93" i="1" s="1"/>
  <c r="C94" i="1"/>
  <c r="E94" i="1" s="1"/>
  <c r="C95" i="1"/>
  <c r="E95" i="1" s="1"/>
  <c r="C96" i="1"/>
  <c r="E96" i="1" s="1"/>
  <c r="C97" i="1"/>
  <c r="E97" i="1" s="1"/>
  <c r="C98" i="1"/>
  <c r="E98" i="1" s="1"/>
  <c r="C99" i="1"/>
  <c r="E99" i="1" s="1"/>
  <c r="C100" i="1"/>
  <c r="E100" i="1" s="1"/>
  <c r="C101" i="1"/>
  <c r="E101" i="1" s="1"/>
  <c r="C102" i="1"/>
  <c r="E102" i="1" s="1"/>
  <c r="C103" i="1"/>
  <c r="E103" i="1" s="1"/>
  <c r="C104" i="1"/>
  <c r="E104" i="1" s="1"/>
  <c r="C105" i="1"/>
  <c r="E105" i="1" s="1"/>
  <c r="C106" i="1"/>
  <c r="E106" i="1" s="1"/>
  <c r="C107" i="1"/>
  <c r="E107" i="1" s="1"/>
  <c r="C108" i="1"/>
  <c r="E108" i="1" s="1"/>
  <c r="C109" i="1"/>
  <c r="E109" i="1" s="1"/>
  <c r="C110" i="1"/>
  <c r="E110" i="1" s="1"/>
  <c r="C111" i="1"/>
  <c r="E111" i="1" s="1"/>
  <c r="C112" i="1"/>
  <c r="E112" i="1" s="1"/>
  <c r="C113" i="1"/>
  <c r="E113" i="1" s="1"/>
  <c r="C114" i="1"/>
  <c r="E114" i="1" s="1"/>
  <c r="C115" i="1"/>
  <c r="E115" i="1" s="1"/>
  <c r="C116" i="1"/>
  <c r="E116" i="1" s="1"/>
  <c r="C117" i="1"/>
  <c r="E117" i="1" s="1"/>
  <c r="C118" i="1"/>
  <c r="E118" i="1" s="1"/>
  <c r="C119" i="1"/>
  <c r="E119" i="1" s="1"/>
  <c r="C120" i="1"/>
  <c r="E120" i="1" s="1"/>
  <c r="C121" i="1"/>
  <c r="E121" i="1" s="1"/>
  <c r="C122" i="1"/>
  <c r="E122" i="1" s="1"/>
  <c r="C123" i="1"/>
  <c r="E123" i="1" s="1"/>
  <c r="C124" i="1"/>
  <c r="E124" i="1" s="1"/>
  <c r="C125" i="1"/>
  <c r="E125" i="1" s="1"/>
  <c r="C126" i="1"/>
  <c r="E126" i="1" s="1"/>
  <c r="C127" i="1"/>
  <c r="E127" i="1" s="1"/>
  <c r="C128" i="1"/>
  <c r="E128" i="1" s="1"/>
  <c r="C129" i="1"/>
  <c r="E129" i="1" s="1"/>
  <c r="C130" i="1"/>
  <c r="E130" i="1" s="1"/>
  <c r="C131" i="1"/>
  <c r="E131" i="1" s="1"/>
  <c r="C132" i="1"/>
  <c r="E132" i="1" s="1"/>
  <c r="C133" i="1"/>
  <c r="E133" i="1" s="1"/>
  <c r="C134" i="1"/>
  <c r="E134" i="1" s="1"/>
  <c r="C135" i="1"/>
  <c r="E135" i="1" s="1"/>
  <c r="C136" i="1"/>
  <c r="E136" i="1" s="1"/>
  <c r="C137" i="1"/>
  <c r="E137" i="1" s="1"/>
  <c r="C138" i="1"/>
  <c r="E138" i="1" s="1"/>
  <c r="C139" i="1"/>
  <c r="E139" i="1" s="1"/>
  <c r="C140" i="1"/>
  <c r="E140" i="1" s="1"/>
  <c r="C141" i="1"/>
  <c r="E141" i="1" s="1"/>
  <c r="C142" i="1"/>
  <c r="E142" i="1" s="1"/>
  <c r="C143" i="1"/>
  <c r="E143" i="1" s="1"/>
  <c r="C144" i="1"/>
  <c r="E144" i="1" s="1"/>
  <c r="C145" i="1"/>
  <c r="E145" i="1" s="1"/>
  <c r="C146" i="1"/>
  <c r="E146" i="1" s="1"/>
  <c r="C147" i="1"/>
  <c r="E147" i="1" s="1"/>
  <c r="C148" i="1"/>
  <c r="E148" i="1" s="1"/>
  <c r="C149" i="1"/>
  <c r="E149" i="1" s="1"/>
  <c r="C150" i="1"/>
  <c r="E150" i="1" s="1"/>
  <c r="C151" i="1"/>
  <c r="E151" i="1" s="1"/>
  <c r="C152" i="1"/>
  <c r="E152" i="1" s="1"/>
  <c r="C153" i="1"/>
  <c r="E153" i="1" s="1"/>
  <c r="C154" i="1"/>
  <c r="E154" i="1" s="1"/>
  <c r="C155" i="1"/>
  <c r="E155" i="1" s="1"/>
  <c r="C156" i="1"/>
  <c r="E156" i="1" s="1"/>
  <c r="C157" i="1"/>
  <c r="E157" i="1" s="1"/>
  <c r="C158" i="1"/>
  <c r="E158" i="1" s="1"/>
  <c r="C159" i="1"/>
  <c r="E159" i="1" s="1"/>
  <c r="C160" i="1"/>
  <c r="E160" i="1" s="1"/>
  <c r="C161" i="1"/>
  <c r="E161" i="1" s="1"/>
  <c r="C162" i="1"/>
  <c r="E162" i="1" s="1"/>
  <c r="C163" i="1"/>
  <c r="E163" i="1" s="1"/>
  <c r="C164" i="1"/>
  <c r="E164" i="1" s="1"/>
  <c r="C165" i="1"/>
  <c r="E165" i="1" s="1"/>
  <c r="C166" i="1"/>
  <c r="E166" i="1" s="1"/>
  <c r="C167" i="1"/>
  <c r="E167" i="1" s="1"/>
  <c r="C168" i="1"/>
  <c r="E168" i="1" s="1"/>
  <c r="C169" i="1"/>
  <c r="E169" i="1" s="1"/>
  <c r="C170" i="1"/>
  <c r="E170" i="1" s="1"/>
  <c r="C171" i="1"/>
  <c r="E171" i="1" s="1"/>
  <c r="C172" i="1"/>
  <c r="E172" i="1" s="1"/>
  <c r="C173" i="1"/>
  <c r="E173" i="1" s="1"/>
  <c r="C174" i="1"/>
  <c r="E174" i="1" s="1"/>
  <c r="C175" i="1"/>
  <c r="E175" i="1" s="1"/>
  <c r="C176" i="1"/>
  <c r="E176" i="1" s="1"/>
  <c r="C177" i="1"/>
  <c r="E177" i="1" s="1"/>
  <c r="C178" i="1"/>
  <c r="E178" i="1" s="1"/>
  <c r="C179" i="1"/>
  <c r="E179" i="1" s="1"/>
  <c r="C180" i="1"/>
  <c r="E180" i="1" s="1"/>
  <c r="C181" i="1"/>
  <c r="E181" i="1" s="1"/>
  <c r="C182" i="1"/>
  <c r="E182" i="1" s="1"/>
  <c r="C183" i="1"/>
  <c r="E183" i="1" s="1"/>
  <c r="C184" i="1"/>
  <c r="E184" i="1" s="1"/>
  <c r="C185" i="1"/>
  <c r="E185" i="1" s="1"/>
  <c r="C186" i="1"/>
  <c r="E186" i="1" s="1"/>
  <c r="C187" i="1"/>
  <c r="E187" i="1" s="1"/>
  <c r="C188" i="1"/>
  <c r="E188" i="1" s="1"/>
  <c r="C189" i="1"/>
  <c r="E189" i="1" s="1"/>
  <c r="C190" i="1"/>
  <c r="E190" i="1" s="1"/>
  <c r="C191" i="1"/>
  <c r="E191" i="1" s="1"/>
  <c r="C192" i="1"/>
  <c r="E192" i="1" s="1"/>
  <c r="C193" i="1"/>
  <c r="E193" i="1" s="1"/>
  <c r="C194" i="1"/>
  <c r="E194" i="1" s="1"/>
  <c r="C195" i="1"/>
  <c r="E195" i="1" s="1"/>
  <c r="C196" i="1"/>
  <c r="E196" i="1" s="1"/>
  <c r="C197" i="1"/>
  <c r="E197" i="1" s="1"/>
  <c r="C198" i="1"/>
  <c r="E198" i="1" s="1"/>
  <c r="C199" i="1"/>
  <c r="E199" i="1" s="1"/>
  <c r="C200" i="1"/>
  <c r="E200" i="1" s="1"/>
  <c r="C201" i="1"/>
  <c r="E201" i="1" s="1"/>
  <c r="C202" i="1"/>
  <c r="E202" i="1" s="1"/>
  <c r="C203" i="1"/>
  <c r="E203" i="1" s="1"/>
  <c r="C204" i="1"/>
  <c r="E204" i="1" s="1"/>
  <c r="C205" i="1"/>
  <c r="E205" i="1" s="1"/>
  <c r="C206" i="1"/>
  <c r="E206" i="1" s="1"/>
  <c r="C207" i="1"/>
  <c r="E207" i="1" s="1"/>
  <c r="C208" i="1"/>
  <c r="E208" i="1" s="1"/>
  <c r="C209" i="1"/>
  <c r="E209" i="1" s="1"/>
  <c r="C210" i="1"/>
  <c r="E210" i="1" s="1"/>
  <c r="C211" i="1"/>
  <c r="E211" i="1" s="1"/>
  <c r="C212" i="1"/>
  <c r="E212" i="1" s="1"/>
  <c r="C213" i="1"/>
  <c r="E213" i="1" s="1"/>
  <c r="C214" i="1"/>
  <c r="E214" i="1" s="1"/>
  <c r="C215" i="1"/>
  <c r="E215" i="1" s="1"/>
  <c r="C216" i="1"/>
  <c r="E216" i="1" s="1"/>
  <c r="C217" i="1"/>
  <c r="E217" i="1" s="1"/>
  <c r="C218" i="1"/>
  <c r="E218" i="1" s="1"/>
  <c r="C219" i="1"/>
  <c r="E219" i="1" s="1"/>
  <c r="C220" i="1"/>
  <c r="E220" i="1" s="1"/>
  <c r="C221" i="1"/>
  <c r="E221" i="1" s="1"/>
  <c r="C222" i="1"/>
  <c r="E222" i="1" s="1"/>
  <c r="C223" i="1"/>
  <c r="E223" i="1" s="1"/>
  <c r="C224" i="1"/>
  <c r="E224" i="1" s="1"/>
  <c r="C225" i="1"/>
  <c r="E225" i="1" s="1"/>
  <c r="C226" i="1"/>
  <c r="E226" i="1" s="1"/>
  <c r="C227" i="1"/>
  <c r="E227" i="1" s="1"/>
  <c r="C228" i="1"/>
  <c r="E228" i="1" s="1"/>
  <c r="C229" i="1"/>
  <c r="E229" i="1" s="1"/>
  <c r="C230" i="1"/>
  <c r="E230" i="1" s="1"/>
  <c r="C231" i="1"/>
  <c r="E231" i="1" s="1"/>
  <c r="C232" i="1"/>
  <c r="E232" i="1" s="1"/>
  <c r="C233" i="1"/>
  <c r="E233" i="1" s="1"/>
  <c r="C234" i="1"/>
  <c r="E234" i="1" s="1"/>
  <c r="C235" i="1"/>
  <c r="E235" i="1" s="1"/>
  <c r="C236" i="1"/>
  <c r="E236" i="1" s="1"/>
  <c r="C237" i="1"/>
  <c r="E237" i="1" s="1"/>
  <c r="C238" i="1"/>
  <c r="E238" i="1" s="1"/>
  <c r="C239" i="1"/>
  <c r="E239" i="1" s="1"/>
  <c r="C240" i="1"/>
  <c r="E240" i="1" s="1"/>
  <c r="C241" i="1"/>
  <c r="E241" i="1" s="1"/>
  <c r="C242" i="1"/>
  <c r="E242" i="1" s="1"/>
  <c r="C243" i="1"/>
  <c r="E243" i="1" s="1"/>
  <c r="C244" i="1"/>
  <c r="E244" i="1" s="1"/>
  <c r="C245" i="1"/>
  <c r="E245" i="1" s="1"/>
  <c r="C246" i="1"/>
  <c r="E246" i="1" s="1"/>
  <c r="C247" i="1"/>
  <c r="E247" i="1" s="1"/>
  <c r="C248" i="1"/>
  <c r="E248" i="1" s="1"/>
  <c r="C249" i="1"/>
  <c r="E249" i="1" s="1"/>
  <c r="C250" i="1"/>
  <c r="E250" i="1" s="1"/>
  <c r="C251" i="1"/>
  <c r="E251" i="1" s="1"/>
  <c r="C252" i="1"/>
  <c r="E252" i="1" s="1"/>
  <c r="C253" i="1"/>
  <c r="E253" i="1" s="1"/>
  <c r="C254" i="1"/>
  <c r="E254" i="1" s="1"/>
  <c r="C255" i="1"/>
  <c r="E255" i="1" s="1"/>
  <c r="C256" i="1"/>
  <c r="E256" i="1" s="1"/>
  <c r="C257" i="1"/>
  <c r="E257" i="1" s="1"/>
  <c r="C258" i="1"/>
  <c r="E258" i="1" s="1"/>
  <c r="C259" i="1"/>
  <c r="E259" i="1" s="1"/>
  <c r="C260" i="1"/>
  <c r="E260" i="1" s="1"/>
  <c r="C261" i="1"/>
  <c r="E261" i="1" s="1"/>
  <c r="C262" i="1"/>
  <c r="E262" i="1" s="1"/>
  <c r="C263" i="1"/>
  <c r="E263" i="1" s="1"/>
  <c r="C264" i="1"/>
  <c r="E264" i="1" s="1"/>
  <c r="C265" i="1"/>
  <c r="E265" i="1" s="1"/>
  <c r="C266" i="1"/>
  <c r="E266" i="1" s="1"/>
  <c r="C267" i="1"/>
  <c r="E267" i="1" s="1"/>
  <c r="C268" i="1"/>
  <c r="E268" i="1" s="1"/>
  <c r="C269" i="1"/>
  <c r="E269" i="1" s="1"/>
  <c r="C270" i="1"/>
  <c r="E270" i="1" s="1"/>
  <c r="C271" i="1"/>
  <c r="E271" i="1" s="1"/>
  <c r="C272" i="1"/>
  <c r="E272" i="1" s="1"/>
  <c r="C273" i="1"/>
  <c r="E273" i="1" s="1"/>
  <c r="C274" i="1"/>
  <c r="E274" i="1" s="1"/>
  <c r="C275" i="1"/>
  <c r="E275" i="1" s="1"/>
  <c r="C276" i="1"/>
  <c r="E276" i="1" s="1"/>
  <c r="C277" i="1"/>
  <c r="E277" i="1" s="1"/>
  <c r="C278" i="1"/>
  <c r="E278" i="1" s="1"/>
  <c r="C279" i="1"/>
  <c r="E279" i="1" s="1"/>
  <c r="C280" i="1"/>
  <c r="E280" i="1" s="1"/>
  <c r="C281" i="1"/>
  <c r="E281" i="1" s="1"/>
  <c r="C282" i="1"/>
  <c r="E282" i="1" s="1"/>
  <c r="C283" i="1"/>
  <c r="E283" i="1" s="1"/>
  <c r="C284" i="1"/>
  <c r="E284" i="1" s="1"/>
  <c r="C285" i="1"/>
  <c r="E285" i="1" s="1"/>
  <c r="C286" i="1"/>
  <c r="E286" i="1" s="1"/>
  <c r="C287" i="1"/>
  <c r="E287" i="1" s="1"/>
  <c r="C288" i="1"/>
  <c r="E288" i="1" s="1"/>
  <c r="C289" i="1"/>
  <c r="E289" i="1" s="1"/>
  <c r="C290" i="1"/>
  <c r="E290" i="1" s="1"/>
  <c r="C291" i="1"/>
  <c r="E291" i="1" s="1"/>
  <c r="C292" i="1"/>
  <c r="E292" i="1" s="1"/>
  <c r="C293" i="1"/>
  <c r="E293" i="1" s="1"/>
  <c r="C294" i="1"/>
  <c r="E294" i="1" s="1"/>
  <c r="C295" i="1"/>
  <c r="E295" i="1" s="1"/>
  <c r="C296" i="1"/>
  <c r="E296" i="1" s="1"/>
  <c r="C297" i="1"/>
  <c r="E297" i="1" s="1"/>
  <c r="C298" i="1"/>
  <c r="E298" i="1" s="1"/>
  <c r="C299" i="1"/>
  <c r="E299" i="1" s="1"/>
  <c r="C300" i="1"/>
  <c r="E300" i="1" s="1"/>
  <c r="C301" i="1"/>
  <c r="E301" i="1" s="1"/>
  <c r="C302" i="1"/>
  <c r="E302" i="1" s="1"/>
  <c r="C303" i="1"/>
  <c r="E303" i="1" s="1"/>
  <c r="C304" i="1"/>
  <c r="E304" i="1" s="1"/>
  <c r="C305" i="1"/>
  <c r="E305" i="1" s="1"/>
  <c r="C306" i="1"/>
  <c r="E306" i="1" s="1"/>
  <c r="C307" i="1"/>
  <c r="E307" i="1" s="1"/>
  <c r="C308" i="1"/>
  <c r="E308" i="1" s="1"/>
  <c r="C309" i="1"/>
  <c r="E309" i="1" s="1"/>
  <c r="C310" i="1"/>
  <c r="E310" i="1" s="1"/>
  <c r="C311" i="1"/>
  <c r="E311" i="1" s="1"/>
  <c r="C312" i="1"/>
  <c r="E312" i="1" s="1"/>
  <c r="C313" i="1"/>
  <c r="E313" i="1" s="1"/>
  <c r="C314" i="1"/>
  <c r="E314" i="1" s="1"/>
  <c r="C315" i="1"/>
  <c r="E315" i="1" s="1"/>
  <c r="C316" i="1"/>
  <c r="E316" i="1" s="1"/>
  <c r="C317" i="1"/>
  <c r="E317" i="1" s="1"/>
  <c r="C318" i="1"/>
  <c r="E318" i="1" s="1"/>
  <c r="C319" i="1"/>
  <c r="E319" i="1" s="1"/>
  <c r="C320" i="1"/>
  <c r="E320" i="1" s="1"/>
  <c r="C321" i="1"/>
  <c r="E321" i="1" s="1"/>
  <c r="C322" i="1"/>
  <c r="E322" i="1" s="1"/>
  <c r="C323" i="1"/>
  <c r="E323" i="1" s="1"/>
  <c r="C324" i="1"/>
  <c r="E324" i="1" s="1"/>
  <c r="C325" i="1"/>
  <c r="E325" i="1" s="1"/>
  <c r="C326" i="1"/>
  <c r="E326" i="1" s="1"/>
  <c r="C327" i="1"/>
  <c r="E327" i="1" s="1"/>
  <c r="C328" i="1"/>
  <c r="E328" i="1" s="1"/>
  <c r="C329" i="1"/>
  <c r="E329" i="1" s="1"/>
  <c r="C330" i="1"/>
  <c r="E330" i="1" s="1"/>
  <c r="C331" i="1"/>
  <c r="E331" i="1" s="1"/>
  <c r="C332" i="1"/>
  <c r="E332" i="1" s="1"/>
  <c r="C333" i="1"/>
  <c r="E333" i="1" s="1"/>
  <c r="C334" i="1"/>
  <c r="E334" i="1" s="1"/>
  <c r="C335" i="1"/>
  <c r="E335" i="1" s="1"/>
  <c r="C336" i="1"/>
  <c r="E336" i="1" s="1"/>
  <c r="C337" i="1"/>
  <c r="E337" i="1" s="1"/>
  <c r="C338" i="1"/>
  <c r="E338" i="1" s="1"/>
  <c r="C339" i="1"/>
  <c r="E339" i="1" s="1"/>
  <c r="C340" i="1"/>
  <c r="E340" i="1" s="1"/>
  <c r="C341" i="1"/>
  <c r="E341" i="1" s="1"/>
  <c r="C342" i="1"/>
  <c r="E342" i="1" s="1"/>
  <c r="C343" i="1"/>
  <c r="E343" i="1" s="1"/>
  <c r="C344" i="1"/>
  <c r="E344" i="1" s="1"/>
  <c r="C345" i="1"/>
  <c r="E345" i="1" s="1"/>
  <c r="C346" i="1"/>
  <c r="E346" i="1" s="1"/>
  <c r="C347" i="1"/>
  <c r="E347" i="1" s="1"/>
  <c r="C348" i="1"/>
  <c r="E348" i="1" s="1"/>
  <c r="C349" i="1"/>
  <c r="E349" i="1" s="1"/>
  <c r="C350" i="1"/>
  <c r="E350" i="1" s="1"/>
  <c r="C351" i="1"/>
  <c r="E351" i="1" s="1"/>
  <c r="C352" i="1"/>
  <c r="E352" i="1" s="1"/>
  <c r="C353" i="1"/>
  <c r="E353" i="1" s="1"/>
  <c r="C354" i="1"/>
  <c r="E354" i="1" s="1"/>
  <c r="C355" i="1"/>
  <c r="E355" i="1" s="1"/>
  <c r="C356" i="1"/>
  <c r="E356" i="1" s="1"/>
  <c r="C357" i="1"/>
  <c r="E357" i="1" s="1"/>
  <c r="C358" i="1"/>
  <c r="E358" i="1" s="1"/>
  <c r="C359" i="1"/>
  <c r="E359" i="1" s="1"/>
  <c r="C360" i="1"/>
  <c r="E360" i="1" s="1"/>
  <c r="C361" i="1"/>
  <c r="E361" i="1" s="1"/>
  <c r="C362" i="1"/>
  <c r="E362" i="1" s="1"/>
  <c r="C363" i="1"/>
  <c r="E363" i="1" s="1"/>
  <c r="C364" i="1"/>
  <c r="E364" i="1" s="1"/>
  <c r="C365" i="1"/>
  <c r="E365" i="1" s="1"/>
  <c r="C366" i="1"/>
  <c r="E366" i="1" s="1"/>
  <c r="C367" i="1"/>
  <c r="E367" i="1" s="1"/>
  <c r="C368" i="1"/>
  <c r="E368" i="1" s="1"/>
  <c r="C369" i="1"/>
  <c r="E369" i="1" s="1"/>
  <c r="C370" i="1"/>
  <c r="E370" i="1" s="1"/>
  <c r="C371" i="1"/>
  <c r="E371" i="1" s="1"/>
  <c r="C372" i="1"/>
  <c r="E372" i="1" s="1"/>
  <c r="C373" i="1"/>
  <c r="E373" i="1" s="1"/>
  <c r="C374" i="1"/>
  <c r="E374" i="1" s="1"/>
  <c r="C375" i="1"/>
  <c r="E375" i="1" s="1"/>
  <c r="C376" i="1"/>
  <c r="E376" i="1" s="1"/>
  <c r="C377" i="1"/>
  <c r="E377" i="1" s="1"/>
  <c r="C378" i="1"/>
  <c r="E378" i="1" s="1"/>
  <c r="C379" i="1"/>
  <c r="E379" i="1" s="1"/>
  <c r="C380" i="1"/>
  <c r="E380" i="1" s="1"/>
  <c r="C381" i="1"/>
  <c r="E381" i="1" s="1"/>
  <c r="C382" i="1"/>
  <c r="E382" i="1" s="1"/>
  <c r="C383" i="1"/>
  <c r="E383" i="1" s="1"/>
  <c r="C384" i="1"/>
  <c r="E384" i="1" s="1"/>
  <c r="C385" i="1"/>
  <c r="E385" i="1" s="1"/>
  <c r="C386" i="1"/>
  <c r="E386" i="1" s="1"/>
  <c r="C387" i="1"/>
  <c r="E387" i="1" s="1"/>
  <c r="C388" i="1"/>
  <c r="E388" i="1" s="1"/>
  <c r="C389" i="1"/>
  <c r="E389" i="1" s="1"/>
  <c r="C390" i="1"/>
  <c r="E390" i="1" s="1"/>
  <c r="C391" i="1"/>
  <c r="E391" i="1" s="1"/>
  <c r="C392" i="1"/>
  <c r="E392" i="1" s="1"/>
  <c r="C393" i="1"/>
  <c r="E393" i="1" s="1"/>
  <c r="C394" i="1"/>
  <c r="E394" i="1" s="1"/>
  <c r="C395" i="1"/>
  <c r="E395" i="1" s="1"/>
  <c r="C396" i="1"/>
  <c r="E396" i="1" s="1"/>
  <c r="C397" i="1"/>
  <c r="E397" i="1" s="1"/>
  <c r="C398" i="1"/>
  <c r="E398" i="1" s="1"/>
  <c r="C399" i="1"/>
  <c r="E399" i="1" s="1"/>
  <c r="C400" i="1"/>
  <c r="E400" i="1" s="1"/>
  <c r="C401" i="1"/>
  <c r="E401" i="1" s="1"/>
  <c r="C402" i="1"/>
  <c r="E402" i="1" s="1"/>
  <c r="C403" i="1"/>
  <c r="E403" i="1" s="1"/>
  <c r="C404" i="1"/>
  <c r="E404" i="1" s="1"/>
  <c r="C405" i="1"/>
  <c r="E405" i="1" s="1"/>
  <c r="C406" i="1"/>
  <c r="E406" i="1" s="1"/>
  <c r="C407" i="1"/>
  <c r="E407" i="1" s="1"/>
  <c r="C408" i="1"/>
  <c r="E408" i="1" s="1"/>
  <c r="C409" i="1"/>
  <c r="E409" i="1" s="1"/>
  <c r="C410" i="1"/>
  <c r="E410" i="1" s="1"/>
  <c r="C411" i="1"/>
  <c r="E411" i="1" s="1"/>
  <c r="C412" i="1"/>
  <c r="E412" i="1" s="1"/>
  <c r="C413" i="1"/>
  <c r="E413" i="1" s="1"/>
  <c r="C414" i="1"/>
  <c r="E414" i="1" s="1"/>
  <c r="C415" i="1"/>
  <c r="E415" i="1" s="1"/>
  <c r="C416" i="1"/>
  <c r="E416" i="1" s="1"/>
  <c r="C417" i="1"/>
  <c r="E417" i="1" s="1"/>
  <c r="C418" i="1"/>
  <c r="E418" i="1" s="1"/>
  <c r="C419" i="1"/>
  <c r="E419" i="1" s="1"/>
  <c r="C420" i="1"/>
  <c r="E420" i="1" s="1"/>
  <c r="C421" i="1"/>
  <c r="E421" i="1" s="1"/>
  <c r="C422" i="1"/>
  <c r="E422" i="1" s="1"/>
  <c r="C423" i="1"/>
  <c r="E423" i="1" s="1"/>
  <c r="C424" i="1"/>
  <c r="E424" i="1" s="1"/>
  <c r="C425" i="1"/>
  <c r="E425" i="1" s="1"/>
  <c r="C426" i="1"/>
  <c r="E426" i="1" s="1"/>
  <c r="C427" i="1"/>
  <c r="E427" i="1" s="1"/>
  <c r="C428" i="1"/>
  <c r="E428" i="1" s="1"/>
  <c r="C429" i="1"/>
  <c r="E429" i="1" s="1"/>
  <c r="C430" i="1"/>
  <c r="E430" i="1" s="1"/>
  <c r="C431" i="1"/>
  <c r="E431" i="1" s="1"/>
  <c r="C432" i="1"/>
  <c r="E432" i="1" s="1"/>
  <c r="C433" i="1"/>
  <c r="E433" i="1" s="1"/>
  <c r="C434" i="1"/>
  <c r="E434" i="1" s="1"/>
  <c r="C435" i="1"/>
  <c r="E435" i="1" s="1"/>
  <c r="C436" i="1"/>
  <c r="E436" i="1" s="1"/>
  <c r="C437" i="1"/>
  <c r="E437" i="1" s="1"/>
  <c r="C438" i="1"/>
  <c r="E438" i="1" s="1"/>
  <c r="C439" i="1"/>
  <c r="E439" i="1" s="1"/>
  <c r="C440" i="1"/>
  <c r="E440" i="1" s="1"/>
  <c r="C441" i="1"/>
  <c r="E441" i="1" s="1"/>
  <c r="C442" i="1"/>
  <c r="E442" i="1" s="1"/>
  <c r="C443" i="1"/>
  <c r="E443" i="1" s="1"/>
  <c r="C444" i="1"/>
  <c r="E444" i="1" s="1"/>
  <c r="C445" i="1"/>
  <c r="E445" i="1" s="1"/>
  <c r="C446" i="1"/>
  <c r="E446" i="1" s="1"/>
  <c r="C447" i="1"/>
  <c r="E447" i="1" s="1"/>
  <c r="C448" i="1"/>
  <c r="E448" i="1" s="1"/>
  <c r="C449" i="1"/>
  <c r="E449" i="1" s="1"/>
  <c r="C450" i="1"/>
  <c r="E450" i="1" s="1"/>
  <c r="C451" i="1"/>
  <c r="E451" i="1" s="1"/>
  <c r="C452" i="1"/>
  <c r="E452" i="1" s="1"/>
  <c r="C453" i="1"/>
  <c r="E453" i="1" s="1"/>
  <c r="C454" i="1"/>
  <c r="E454" i="1" s="1"/>
  <c r="C455" i="1"/>
  <c r="E455" i="1" s="1"/>
  <c r="C456" i="1"/>
  <c r="E456" i="1" s="1"/>
  <c r="C457" i="1"/>
  <c r="E457" i="1" s="1"/>
  <c r="C458" i="1"/>
  <c r="E458" i="1" s="1"/>
  <c r="C459" i="1"/>
  <c r="E459" i="1" s="1"/>
  <c r="C460" i="1"/>
  <c r="E460" i="1" s="1"/>
  <c r="C461" i="1"/>
  <c r="E461" i="1" s="1"/>
  <c r="C462" i="1"/>
  <c r="E462" i="1" s="1"/>
  <c r="C463" i="1"/>
  <c r="E463" i="1" s="1"/>
  <c r="C464" i="1"/>
  <c r="E464" i="1" s="1"/>
  <c r="C465" i="1"/>
  <c r="E465" i="1" s="1"/>
  <c r="C466" i="1"/>
  <c r="E466" i="1" s="1"/>
  <c r="C467" i="1"/>
  <c r="E467" i="1" s="1"/>
  <c r="C468" i="1"/>
  <c r="E468" i="1" s="1"/>
  <c r="C469" i="1"/>
  <c r="E469" i="1" s="1"/>
  <c r="C470" i="1"/>
  <c r="E470" i="1" s="1"/>
  <c r="C471" i="1"/>
  <c r="E471" i="1" s="1"/>
  <c r="C472" i="1"/>
  <c r="E472" i="1" s="1"/>
  <c r="C473" i="1"/>
  <c r="E473" i="1" s="1"/>
  <c r="C474" i="1"/>
  <c r="E474" i="1" s="1"/>
  <c r="C475" i="1"/>
  <c r="E475" i="1" s="1"/>
  <c r="C476" i="1"/>
  <c r="E476" i="1" s="1"/>
  <c r="C477" i="1"/>
  <c r="E477" i="1" s="1"/>
  <c r="C478" i="1"/>
  <c r="E478" i="1" s="1"/>
  <c r="C479" i="1"/>
  <c r="E479" i="1" s="1"/>
  <c r="C480" i="1"/>
  <c r="E480" i="1" s="1"/>
  <c r="C481" i="1"/>
  <c r="C482" i="1"/>
  <c r="E482" i="1" s="1"/>
  <c r="C483" i="1"/>
  <c r="E483" i="1" s="1"/>
  <c r="C484" i="1"/>
  <c r="E484" i="1" s="1"/>
  <c r="C485" i="1"/>
  <c r="E485" i="1" s="1"/>
  <c r="C486" i="1"/>
  <c r="E486" i="1" s="1"/>
  <c r="C487" i="1"/>
  <c r="E487" i="1" s="1"/>
  <c r="C488" i="1"/>
  <c r="E488" i="1" s="1"/>
  <c r="C489" i="1"/>
  <c r="E489" i="1" s="1"/>
  <c r="C490" i="1"/>
  <c r="E490" i="1" s="1"/>
  <c r="C491" i="1"/>
  <c r="E491" i="1" s="1"/>
  <c r="C492" i="1"/>
  <c r="E492" i="1" s="1"/>
  <c r="C493" i="1"/>
  <c r="E493" i="1" s="1"/>
  <c r="C494" i="1"/>
  <c r="E494" i="1" s="1"/>
  <c r="C495" i="1"/>
  <c r="E495" i="1" s="1"/>
  <c r="C496" i="1"/>
  <c r="E496" i="1" s="1"/>
  <c r="C497" i="1"/>
  <c r="E497" i="1" s="1"/>
  <c r="C498" i="1"/>
  <c r="E498" i="1" s="1"/>
  <c r="C499" i="1"/>
  <c r="E499" i="1" s="1"/>
  <c r="C500" i="1"/>
  <c r="E500" i="1" s="1"/>
  <c r="C501" i="1"/>
  <c r="E501" i="1" s="1"/>
  <c r="C502" i="1"/>
  <c r="E502" i="1" s="1"/>
  <c r="C503" i="1"/>
  <c r="E503" i="1" s="1"/>
  <c r="C504" i="1"/>
  <c r="E504" i="1" s="1"/>
  <c r="C505" i="1"/>
  <c r="E505" i="1" s="1"/>
  <c r="C506" i="1"/>
  <c r="E506" i="1" s="1"/>
  <c r="C507" i="1"/>
  <c r="E507" i="1" s="1"/>
  <c r="C508" i="1"/>
  <c r="E508" i="1" s="1"/>
  <c r="C509" i="1"/>
  <c r="E509" i="1" s="1"/>
  <c r="C510" i="1"/>
  <c r="E510" i="1" s="1"/>
  <c r="C511" i="1"/>
  <c r="E511" i="1" s="1"/>
  <c r="C512" i="1"/>
  <c r="E512" i="1" s="1"/>
  <c r="C513" i="1"/>
  <c r="E513" i="1" s="1"/>
  <c r="C514" i="1"/>
  <c r="E514" i="1" s="1"/>
  <c r="C515" i="1"/>
  <c r="E515" i="1" s="1"/>
  <c r="C516" i="1"/>
  <c r="E516" i="1" s="1"/>
  <c r="C517" i="1"/>
  <c r="E517" i="1" s="1"/>
  <c r="C518" i="1"/>
  <c r="E518" i="1" s="1"/>
  <c r="C519" i="1"/>
  <c r="E519" i="1" s="1"/>
  <c r="C520" i="1"/>
  <c r="E520" i="1" s="1"/>
  <c r="C521" i="1"/>
  <c r="E521" i="1" s="1"/>
  <c r="C522" i="1"/>
  <c r="E522" i="1" s="1"/>
  <c r="C523" i="1"/>
  <c r="E523" i="1" s="1"/>
  <c r="C524" i="1"/>
  <c r="E524" i="1" s="1"/>
  <c r="C525" i="1"/>
  <c r="E525" i="1" s="1"/>
  <c r="C526" i="1"/>
  <c r="E526" i="1" s="1"/>
  <c r="C527" i="1"/>
  <c r="E527" i="1" s="1"/>
  <c r="C528" i="1"/>
  <c r="E528" i="1" s="1"/>
  <c r="C529" i="1"/>
  <c r="E529" i="1" s="1"/>
  <c r="C530" i="1"/>
  <c r="E530" i="1" s="1"/>
  <c r="C531" i="1"/>
  <c r="E531" i="1" s="1"/>
  <c r="C532" i="1"/>
  <c r="E532" i="1" s="1"/>
  <c r="C533" i="1"/>
  <c r="E533" i="1" s="1"/>
  <c r="C534" i="1"/>
  <c r="E534" i="1" s="1"/>
  <c r="C535" i="1"/>
  <c r="E535" i="1" s="1"/>
  <c r="C536" i="1"/>
  <c r="E536" i="1" s="1"/>
  <c r="C537" i="1"/>
  <c r="E537" i="1" s="1"/>
  <c r="C538" i="1"/>
  <c r="E538" i="1" s="1"/>
  <c r="C539" i="1"/>
  <c r="E539" i="1" s="1"/>
  <c r="C540" i="1"/>
  <c r="E540" i="1" s="1"/>
  <c r="C541" i="1"/>
  <c r="E541" i="1" s="1"/>
  <c r="C542" i="1"/>
  <c r="E542" i="1" s="1"/>
  <c r="C543" i="1"/>
  <c r="E543" i="1" s="1"/>
  <c r="C544" i="1"/>
  <c r="E544" i="1" s="1"/>
  <c r="C545" i="1"/>
  <c r="E545" i="1" s="1"/>
  <c r="C546" i="1"/>
  <c r="E546" i="1" s="1"/>
  <c r="C547" i="1"/>
  <c r="E547" i="1" s="1"/>
  <c r="C548" i="1"/>
  <c r="E548" i="1" s="1"/>
  <c r="C549" i="1"/>
  <c r="E549" i="1" s="1"/>
  <c r="C550" i="1"/>
  <c r="E550" i="1" s="1"/>
  <c r="C551" i="1"/>
  <c r="E551" i="1" s="1"/>
  <c r="C552" i="1"/>
  <c r="E552" i="1" s="1"/>
  <c r="C553" i="1"/>
  <c r="E553" i="1" s="1"/>
  <c r="C554" i="1"/>
  <c r="E554" i="1" s="1"/>
  <c r="C555" i="1"/>
  <c r="E555" i="1" s="1"/>
  <c r="C556" i="1"/>
  <c r="E556" i="1" s="1"/>
  <c r="C557" i="1"/>
  <c r="E557" i="1" s="1"/>
  <c r="C558" i="1"/>
  <c r="E558" i="1" s="1"/>
  <c r="C559" i="1"/>
  <c r="E559" i="1" s="1"/>
  <c r="C560" i="1"/>
  <c r="E560" i="1" s="1"/>
  <c r="C561" i="1"/>
  <c r="E561" i="1" s="1"/>
  <c r="C562" i="1"/>
  <c r="E562" i="1" s="1"/>
  <c r="C563" i="1"/>
  <c r="E563" i="1" s="1"/>
  <c r="C564" i="1"/>
  <c r="E564" i="1" s="1"/>
  <c r="C565" i="1"/>
  <c r="E565" i="1" s="1"/>
  <c r="C566" i="1"/>
  <c r="E566" i="1" s="1"/>
  <c r="C567" i="1"/>
  <c r="E567" i="1" s="1"/>
  <c r="C568" i="1"/>
  <c r="E568" i="1" s="1"/>
  <c r="C569" i="1"/>
  <c r="E569" i="1" s="1"/>
  <c r="C570" i="1"/>
  <c r="E570" i="1" s="1"/>
  <c r="C571" i="1"/>
  <c r="E571" i="1" s="1"/>
  <c r="C572" i="1"/>
  <c r="E572" i="1" s="1"/>
  <c r="C573" i="1"/>
  <c r="E573" i="1" s="1"/>
  <c r="C574" i="1"/>
  <c r="E574" i="1" s="1"/>
  <c r="C575" i="1"/>
  <c r="E575" i="1" s="1"/>
  <c r="C576" i="1"/>
  <c r="E576" i="1" s="1"/>
  <c r="C577" i="1"/>
  <c r="E577" i="1" s="1"/>
  <c r="C578" i="1"/>
  <c r="E578" i="1" s="1"/>
  <c r="C579" i="1"/>
  <c r="E579" i="1" s="1"/>
  <c r="C580" i="1"/>
  <c r="E580" i="1" s="1"/>
  <c r="C581" i="1"/>
  <c r="E581" i="1" s="1"/>
  <c r="C582" i="1"/>
  <c r="E582" i="1" s="1"/>
  <c r="C583" i="1"/>
  <c r="E583" i="1" s="1"/>
  <c r="C584" i="1"/>
  <c r="E584" i="1" s="1"/>
  <c r="C585" i="1"/>
  <c r="E585" i="1" s="1"/>
  <c r="C586" i="1"/>
  <c r="E586" i="1" s="1"/>
  <c r="C587" i="1"/>
  <c r="E587" i="1" s="1"/>
  <c r="C588" i="1"/>
  <c r="E588" i="1" s="1"/>
  <c r="C589" i="1"/>
  <c r="E589" i="1" s="1"/>
  <c r="C590" i="1"/>
  <c r="E590" i="1" s="1"/>
  <c r="C591" i="1"/>
  <c r="E591" i="1" s="1"/>
  <c r="C592" i="1"/>
  <c r="E592" i="1" s="1"/>
  <c r="C593" i="1"/>
  <c r="E593" i="1" s="1"/>
  <c r="C594" i="1"/>
  <c r="E594" i="1" s="1"/>
  <c r="C595" i="1"/>
  <c r="E595" i="1" s="1"/>
  <c r="C596" i="1"/>
  <c r="E596" i="1" s="1"/>
  <c r="C597" i="1"/>
  <c r="E597" i="1" s="1"/>
  <c r="C598" i="1"/>
  <c r="E598" i="1" s="1"/>
  <c r="C599" i="1"/>
  <c r="E599" i="1" s="1"/>
  <c r="C600" i="1"/>
  <c r="E600" i="1" s="1"/>
  <c r="C601" i="1"/>
  <c r="E601" i="1" s="1"/>
  <c r="C602" i="1"/>
  <c r="E602" i="1" s="1"/>
  <c r="C603" i="1"/>
  <c r="E603" i="1" s="1"/>
  <c r="C604" i="1"/>
  <c r="E604" i="1" s="1"/>
  <c r="C605" i="1"/>
  <c r="E605" i="1" s="1"/>
  <c r="C606" i="1"/>
  <c r="E606" i="1" s="1"/>
  <c r="C607" i="1"/>
  <c r="E607" i="1" s="1"/>
  <c r="C608" i="1"/>
  <c r="E608" i="1" s="1"/>
  <c r="C609" i="1"/>
  <c r="E609" i="1" s="1"/>
  <c r="C610" i="1"/>
  <c r="E610" i="1" s="1"/>
  <c r="C611" i="1"/>
  <c r="E611" i="1" s="1"/>
  <c r="C612" i="1"/>
  <c r="E612" i="1" s="1"/>
  <c r="C613" i="1"/>
  <c r="E613" i="1" s="1"/>
  <c r="C614" i="1"/>
  <c r="E614" i="1" s="1"/>
  <c r="C615" i="1"/>
  <c r="E615" i="1" s="1"/>
  <c r="C616" i="1"/>
  <c r="E616" i="1" s="1"/>
  <c r="C617" i="1"/>
  <c r="E617" i="1" s="1"/>
  <c r="C618" i="1"/>
  <c r="E618" i="1" s="1"/>
  <c r="C619" i="1"/>
  <c r="E619" i="1" s="1"/>
  <c r="C620" i="1"/>
  <c r="E620" i="1" s="1"/>
  <c r="C621" i="1"/>
  <c r="E621" i="1" s="1"/>
  <c r="C622" i="1"/>
  <c r="E622" i="1" s="1"/>
  <c r="C623" i="1"/>
  <c r="E623" i="1" s="1"/>
  <c r="C624" i="1"/>
  <c r="E624" i="1" s="1"/>
  <c r="C625" i="1"/>
  <c r="E625" i="1" s="1"/>
  <c r="C626" i="1"/>
  <c r="E626" i="1" s="1"/>
  <c r="C627" i="1"/>
  <c r="E627" i="1" s="1"/>
  <c r="C628" i="1"/>
  <c r="E628" i="1" s="1"/>
  <c r="C629" i="1"/>
  <c r="E629" i="1" s="1"/>
  <c r="C630" i="1"/>
  <c r="E630" i="1" s="1"/>
  <c r="C631" i="1"/>
  <c r="E631" i="1" s="1"/>
  <c r="C632" i="1"/>
  <c r="E632" i="1" s="1"/>
  <c r="C633" i="1"/>
  <c r="E633" i="1" s="1"/>
  <c r="C634" i="1"/>
  <c r="E634" i="1" s="1"/>
  <c r="C635" i="1"/>
  <c r="E635" i="1" s="1"/>
  <c r="C636" i="1"/>
  <c r="E636" i="1" s="1"/>
  <c r="C637" i="1"/>
  <c r="E637" i="1" s="1"/>
  <c r="C638" i="1"/>
  <c r="E638" i="1" s="1"/>
  <c r="C639" i="1"/>
  <c r="E639" i="1" s="1"/>
  <c r="C640" i="1"/>
  <c r="E640" i="1" s="1"/>
  <c r="C641" i="1"/>
  <c r="E641" i="1" s="1"/>
  <c r="C642" i="1"/>
  <c r="E642" i="1" s="1"/>
  <c r="C643" i="1"/>
  <c r="E643" i="1" s="1"/>
  <c r="C644" i="1"/>
  <c r="E644" i="1" s="1"/>
  <c r="C645" i="1"/>
  <c r="E645" i="1" s="1"/>
  <c r="C646" i="1"/>
  <c r="E646" i="1" s="1"/>
  <c r="C647" i="1"/>
  <c r="E647" i="1" s="1"/>
  <c r="C648" i="1"/>
  <c r="E648" i="1" s="1"/>
  <c r="C649" i="1"/>
  <c r="E649" i="1" s="1"/>
  <c r="C650" i="1"/>
  <c r="E650" i="1" s="1"/>
  <c r="C651" i="1"/>
  <c r="E651" i="1" s="1"/>
  <c r="C652" i="1"/>
  <c r="E652" i="1" s="1"/>
  <c r="C653" i="1"/>
  <c r="E653" i="1" s="1"/>
  <c r="C654" i="1"/>
  <c r="E654" i="1" s="1"/>
  <c r="C655" i="1"/>
  <c r="E655" i="1" s="1"/>
  <c r="C656" i="1"/>
  <c r="E656" i="1" s="1"/>
  <c r="C657" i="1"/>
  <c r="E657" i="1" s="1"/>
  <c r="C658" i="1"/>
  <c r="E658" i="1" s="1"/>
  <c r="C659" i="1"/>
  <c r="E659" i="1" s="1"/>
  <c r="C660" i="1"/>
  <c r="E660" i="1" s="1"/>
  <c r="C661" i="1"/>
  <c r="E661" i="1" s="1"/>
  <c r="C662" i="1"/>
  <c r="E662" i="1" s="1"/>
  <c r="C663" i="1"/>
  <c r="E663" i="1" s="1"/>
  <c r="C664" i="1"/>
  <c r="E664" i="1" s="1"/>
  <c r="C665" i="1"/>
  <c r="E665" i="1" s="1"/>
  <c r="C666" i="1"/>
  <c r="E666" i="1" s="1"/>
  <c r="C667" i="1"/>
  <c r="E667" i="1" s="1"/>
  <c r="C668" i="1"/>
  <c r="E668" i="1" s="1"/>
  <c r="C669" i="1"/>
  <c r="E669" i="1" s="1"/>
  <c r="C670" i="1"/>
  <c r="E670" i="1" s="1"/>
  <c r="C671" i="1"/>
  <c r="E671" i="1" s="1"/>
  <c r="C672" i="1"/>
  <c r="E672" i="1" s="1"/>
  <c r="C673" i="1"/>
  <c r="E673" i="1" s="1"/>
  <c r="C674" i="1"/>
  <c r="E674" i="1" s="1"/>
  <c r="C675" i="1"/>
  <c r="E675" i="1" s="1"/>
  <c r="C676" i="1"/>
  <c r="E676" i="1" s="1"/>
  <c r="C677" i="1"/>
  <c r="E677" i="1" s="1"/>
  <c r="C678" i="1"/>
  <c r="E678" i="1" s="1"/>
  <c r="C679" i="1"/>
  <c r="E679" i="1" s="1"/>
  <c r="C680" i="1"/>
  <c r="E680" i="1" s="1"/>
  <c r="C681" i="1"/>
  <c r="E681" i="1" s="1"/>
  <c r="C682" i="1"/>
  <c r="E682" i="1" s="1"/>
  <c r="C683" i="1"/>
  <c r="E683" i="1" s="1"/>
  <c r="C684" i="1"/>
  <c r="E684" i="1" s="1"/>
  <c r="C685" i="1"/>
  <c r="E685" i="1" s="1"/>
  <c r="C686" i="1"/>
  <c r="E686" i="1" s="1"/>
  <c r="C687" i="1"/>
  <c r="E687" i="1" s="1"/>
  <c r="C688" i="1"/>
  <c r="E688" i="1" s="1"/>
  <c r="C689" i="1"/>
  <c r="E689" i="1" s="1"/>
  <c r="C690" i="1"/>
  <c r="E690" i="1" s="1"/>
  <c r="C691" i="1"/>
  <c r="E691" i="1" s="1"/>
  <c r="C692" i="1"/>
  <c r="E692" i="1" s="1"/>
  <c r="C693" i="1"/>
  <c r="E693" i="1" s="1"/>
  <c r="C694" i="1"/>
  <c r="E694" i="1" s="1"/>
  <c r="C695" i="1"/>
  <c r="E695" i="1" s="1"/>
  <c r="C696" i="1"/>
  <c r="E696" i="1" s="1"/>
  <c r="C697" i="1"/>
  <c r="E697" i="1" s="1"/>
  <c r="C698" i="1"/>
  <c r="E698" i="1" s="1"/>
  <c r="C699" i="1"/>
  <c r="E699" i="1" s="1"/>
  <c r="C700" i="1"/>
  <c r="E700" i="1" s="1"/>
  <c r="C701" i="1"/>
  <c r="E701" i="1" s="1"/>
  <c r="C702" i="1"/>
  <c r="E702" i="1" s="1"/>
  <c r="C703" i="1"/>
  <c r="E703" i="1" s="1"/>
  <c r="C704" i="1"/>
  <c r="E704" i="1" s="1"/>
  <c r="C705" i="1"/>
  <c r="E705" i="1" s="1"/>
  <c r="C706" i="1"/>
  <c r="E706" i="1" s="1"/>
  <c r="C707" i="1"/>
  <c r="E707" i="1" s="1"/>
  <c r="C708" i="1"/>
  <c r="E708" i="1" s="1"/>
  <c r="C709" i="1"/>
  <c r="E709" i="1" s="1"/>
  <c r="C710" i="1"/>
  <c r="E710" i="1" s="1"/>
  <c r="C711" i="1"/>
  <c r="E711" i="1" s="1"/>
  <c r="C712" i="1"/>
  <c r="E712" i="1" s="1"/>
  <c r="C713" i="1"/>
  <c r="E713" i="1" s="1"/>
  <c r="C714" i="1"/>
  <c r="E714" i="1" s="1"/>
  <c r="C715" i="1"/>
  <c r="E715" i="1" s="1"/>
  <c r="C716" i="1"/>
  <c r="E716" i="1" s="1"/>
  <c r="C717" i="1"/>
  <c r="E717" i="1" s="1"/>
  <c r="C718" i="1"/>
  <c r="E718" i="1" s="1"/>
  <c r="C719" i="1"/>
  <c r="E719" i="1" s="1"/>
  <c r="C720" i="1"/>
  <c r="E720" i="1" s="1"/>
  <c r="C721" i="1"/>
  <c r="E721" i="1" s="1"/>
  <c r="C722" i="1"/>
  <c r="E722" i="1" s="1"/>
  <c r="C723" i="1"/>
  <c r="E723" i="1" s="1"/>
  <c r="C724" i="1"/>
  <c r="E724" i="1" s="1"/>
  <c r="C725" i="1"/>
  <c r="E725" i="1" s="1"/>
  <c r="C726" i="1"/>
  <c r="E726" i="1" s="1"/>
  <c r="C727" i="1"/>
  <c r="E727" i="1" s="1"/>
  <c r="C728" i="1"/>
  <c r="E728" i="1" s="1"/>
  <c r="C729" i="1"/>
  <c r="E729" i="1" s="1"/>
  <c r="C730" i="1"/>
  <c r="E730" i="1" s="1"/>
  <c r="C731" i="1"/>
  <c r="E731" i="1" s="1"/>
  <c r="C732" i="1"/>
  <c r="E732" i="1" s="1"/>
  <c r="C733" i="1"/>
  <c r="E733" i="1" s="1"/>
  <c r="C734" i="1"/>
  <c r="E734" i="1" s="1"/>
  <c r="C735" i="1"/>
  <c r="E735" i="1" s="1"/>
  <c r="C736" i="1"/>
  <c r="E736" i="1" s="1"/>
  <c r="C737" i="1"/>
  <c r="E737" i="1" s="1"/>
  <c r="C738" i="1"/>
  <c r="E738" i="1" s="1"/>
  <c r="C739" i="1"/>
  <c r="E739" i="1" s="1"/>
  <c r="C740" i="1"/>
  <c r="E740" i="1" s="1"/>
  <c r="C741" i="1"/>
  <c r="E741" i="1" s="1"/>
  <c r="C742" i="1"/>
  <c r="E742" i="1" s="1"/>
  <c r="C743" i="1"/>
  <c r="E743" i="1" s="1"/>
  <c r="C744" i="1"/>
  <c r="E744" i="1" s="1"/>
  <c r="C745" i="1"/>
  <c r="E745" i="1" s="1"/>
  <c r="C746" i="1"/>
  <c r="E746" i="1" s="1"/>
  <c r="C747" i="1"/>
  <c r="E747" i="1" s="1"/>
  <c r="C748" i="1"/>
  <c r="E748" i="1" s="1"/>
  <c r="C749" i="1"/>
  <c r="E749" i="1" s="1"/>
  <c r="C750" i="1"/>
  <c r="E750" i="1" s="1"/>
  <c r="C751" i="1"/>
  <c r="E751" i="1" s="1"/>
  <c r="C752" i="1"/>
  <c r="E752" i="1" s="1"/>
  <c r="C753" i="1"/>
  <c r="E753" i="1" s="1"/>
  <c r="C754" i="1"/>
  <c r="E754" i="1" s="1"/>
  <c r="C755" i="1"/>
  <c r="E755" i="1" s="1"/>
  <c r="C756" i="1"/>
  <c r="E756" i="1" s="1"/>
  <c r="C757" i="1"/>
  <c r="E757" i="1" s="1"/>
  <c r="C758" i="1"/>
  <c r="E758" i="1" s="1"/>
  <c r="C759" i="1"/>
  <c r="E759" i="1" s="1"/>
  <c r="C760" i="1"/>
  <c r="E760" i="1" s="1"/>
  <c r="C761" i="1"/>
  <c r="E761" i="1" s="1"/>
  <c r="C762" i="1"/>
  <c r="E762" i="1" s="1"/>
  <c r="C763" i="1"/>
  <c r="E763" i="1" s="1"/>
  <c r="C764" i="1"/>
  <c r="E764" i="1" s="1"/>
  <c r="C765" i="1"/>
  <c r="E765" i="1" s="1"/>
  <c r="C766" i="1"/>
  <c r="E766" i="1" s="1"/>
  <c r="C767" i="1"/>
  <c r="E767" i="1" s="1"/>
  <c r="C768" i="1"/>
  <c r="E768" i="1" s="1"/>
  <c r="C769" i="1"/>
  <c r="E769" i="1" s="1"/>
  <c r="C770" i="1"/>
  <c r="E770" i="1" s="1"/>
  <c r="C771" i="1"/>
  <c r="E771" i="1" s="1"/>
  <c r="C772" i="1"/>
  <c r="E772" i="1" s="1"/>
  <c r="C773" i="1"/>
  <c r="E773" i="1" s="1"/>
  <c r="C774" i="1"/>
  <c r="E774" i="1" s="1"/>
  <c r="C775" i="1"/>
  <c r="E775" i="1" s="1"/>
  <c r="C776" i="1"/>
  <c r="E776" i="1" s="1"/>
  <c r="C777" i="1"/>
  <c r="E777" i="1" s="1"/>
  <c r="C778" i="1"/>
  <c r="E778" i="1" s="1"/>
  <c r="C779" i="1"/>
  <c r="E779" i="1" s="1"/>
  <c r="C780" i="1"/>
  <c r="E780" i="1" s="1"/>
  <c r="C781" i="1"/>
  <c r="E781" i="1" s="1"/>
  <c r="C782" i="1"/>
  <c r="E782" i="1" s="1"/>
  <c r="C783" i="1"/>
  <c r="E783" i="1" s="1"/>
  <c r="C784" i="1"/>
  <c r="E784" i="1" s="1"/>
  <c r="C785" i="1"/>
  <c r="E785" i="1" s="1"/>
  <c r="C786" i="1"/>
  <c r="E786" i="1" s="1"/>
  <c r="C787" i="1"/>
  <c r="E787" i="1" s="1"/>
  <c r="C788" i="1"/>
  <c r="E788" i="1" s="1"/>
  <c r="C789" i="1"/>
  <c r="E789" i="1" s="1"/>
  <c r="C790" i="1"/>
  <c r="E790" i="1" s="1"/>
  <c r="C791" i="1"/>
  <c r="E791" i="1" s="1"/>
  <c r="C792" i="1"/>
  <c r="E792" i="1" s="1"/>
  <c r="C793" i="1"/>
  <c r="E793" i="1" s="1"/>
  <c r="C794" i="1"/>
  <c r="E794" i="1" s="1"/>
  <c r="C795" i="1"/>
  <c r="E795" i="1" s="1"/>
  <c r="C796" i="1"/>
  <c r="E796" i="1" s="1"/>
  <c r="C797" i="1"/>
  <c r="E797" i="1" s="1"/>
  <c r="C798" i="1"/>
  <c r="E798" i="1" s="1"/>
  <c r="C799" i="1"/>
  <c r="E799" i="1" s="1"/>
  <c r="C800" i="1"/>
  <c r="E800" i="1" s="1"/>
  <c r="C801" i="1"/>
  <c r="E801" i="1" s="1"/>
  <c r="C802" i="1"/>
  <c r="E802" i="1" s="1"/>
  <c r="C803" i="1"/>
  <c r="E803" i="1" s="1"/>
  <c r="C804" i="1"/>
  <c r="E804" i="1" s="1"/>
  <c r="C805" i="1"/>
  <c r="E805" i="1" s="1"/>
  <c r="C806" i="1"/>
  <c r="E806" i="1" s="1"/>
  <c r="C807" i="1"/>
  <c r="E807" i="1" s="1"/>
  <c r="C808" i="1"/>
  <c r="E808" i="1" s="1"/>
  <c r="C809" i="1"/>
  <c r="E809" i="1" s="1"/>
  <c r="C810" i="1"/>
  <c r="E810" i="1" s="1"/>
  <c r="C811" i="1"/>
  <c r="E811" i="1" s="1"/>
  <c r="C812" i="1"/>
  <c r="E812" i="1" s="1"/>
  <c r="C813" i="1"/>
  <c r="E813" i="1" s="1"/>
  <c r="C814" i="1"/>
  <c r="E814" i="1" s="1"/>
  <c r="C815" i="1"/>
  <c r="E815" i="1" s="1"/>
  <c r="C816" i="1"/>
  <c r="E816" i="1" s="1"/>
  <c r="C817" i="1"/>
  <c r="E817" i="1" s="1"/>
  <c r="C818" i="1"/>
  <c r="C819" i="1"/>
  <c r="E819" i="1" s="1"/>
  <c r="C820" i="1"/>
  <c r="E820" i="1" s="1"/>
  <c r="C821" i="1"/>
  <c r="E821" i="1" s="1"/>
  <c r="C822" i="1"/>
  <c r="E822" i="1" s="1"/>
  <c r="C823" i="1"/>
  <c r="E823" i="1" s="1"/>
  <c r="C824" i="1"/>
  <c r="E824" i="1" s="1"/>
  <c r="C825" i="1"/>
  <c r="E825" i="1" s="1"/>
  <c r="C826" i="1"/>
  <c r="E826" i="1" s="1"/>
  <c r="C827" i="1"/>
  <c r="E827" i="1" s="1"/>
  <c r="C828" i="1"/>
  <c r="E828" i="1" s="1"/>
  <c r="C829" i="1"/>
  <c r="E829" i="1" s="1"/>
  <c r="C830" i="1"/>
  <c r="E830" i="1" s="1"/>
  <c r="C831" i="1"/>
  <c r="E831" i="1" s="1"/>
  <c r="C832" i="1"/>
  <c r="E832" i="1" s="1"/>
  <c r="C833" i="1"/>
  <c r="E833" i="1" s="1"/>
  <c r="C834" i="1"/>
  <c r="E834" i="1" s="1"/>
  <c r="C835" i="1"/>
  <c r="E835" i="1" s="1"/>
  <c r="C836" i="1"/>
  <c r="E836" i="1" s="1"/>
  <c r="C837" i="1"/>
  <c r="E837" i="1" s="1"/>
  <c r="C838" i="1"/>
  <c r="E838" i="1" s="1"/>
  <c r="C839" i="1"/>
  <c r="E839" i="1" s="1"/>
  <c r="C840" i="1"/>
  <c r="E840" i="1" s="1"/>
  <c r="C841" i="1"/>
  <c r="E841" i="1" s="1"/>
  <c r="C842" i="1"/>
  <c r="E842" i="1" s="1"/>
  <c r="C843" i="1"/>
  <c r="E843" i="1" s="1"/>
  <c r="C844" i="1"/>
  <c r="E844" i="1" s="1"/>
  <c r="C845" i="1"/>
  <c r="E845" i="1" s="1"/>
  <c r="C846" i="1"/>
  <c r="E846" i="1" s="1"/>
  <c r="C847" i="1"/>
  <c r="E847" i="1" s="1"/>
  <c r="C848" i="1"/>
  <c r="E848" i="1" s="1"/>
  <c r="C849" i="1"/>
  <c r="E849" i="1" s="1"/>
  <c r="C850" i="1"/>
  <c r="E850" i="1" s="1"/>
  <c r="C851" i="1"/>
  <c r="E851" i="1" s="1"/>
  <c r="C852" i="1"/>
  <c r="E852" i="1" s="1"/>
  <c r="C853" i="1"/>
  <c r="E853" i="1" s="1"/>
  <c r="C854" i="1"/>
  <c r="E854" i="1" s="1"/>
  <c r="C855" i="1"/>
  <c r="E855" i="1" s="1"/>
  <c r="C856" i="1"/>
  <c r="E856" i="1" s="1"/>
  <c r="C857" i="1"/>
  <c r="E857" i="1" s="1"/>
  <c r="C858" i="1"/>
  <c r="E858" i="1" s="1"/>
  <c r="C859" i="1"/>
  <c r="E859" i="1" s="1"/>
  <c r="C860" i="1"/>
  <c r="E860" i="1" s="1"/>
  <c r="C861" i="1"/>
  <c r="E861" i="1" s="1"/>
  <c r="C862" i="1"/>
  <c r="E862" i="1" s="1"/>
  <c r="C863" i="1"/>
  <c r="E863" i="1" s="1"/>
  <c r="C864" i="1"/>
  <c r="E864" i="1" s="1"/>
  <c r="C865" i="1"/>
  <c r="E865" i="1" s="1"/>
  <c r="C866" i="1"/>
  <c r="E866" i="1" s="1"/>
  <c r="C867" i="1"/>
  <c r="E867" i="1" s="1"/>
  <c r="C868" i="1"/>
  <c r="E868" i="1" s="1"/>
  <c r="C869" i="1"/>
  <c r="E869" i="1" s="1"/>
  <c r="C870" i="1"/>
  <c r="E870" i="1" s="1"/>
  <c r="C871" i="1"/>
  <c r="E871" i="1" s="1"/>
  <c r="C872" i="1"/>
  <c r="E872" i="1" s="1"/>
  <c r="C873" i="1"/>
  <c r="E873" i="1" s="1"/>
  <c r="C874" i="1"/>
  <c r="E874" i="1" s="1"/>
  <c r="C875" i="1"/>
  <c r="E875" i="1" s="1"/>
  <c r="C876" i="1"/>
  <c r="E876" i="1" s="1"/>
  <c r="C877" i="1"/>
  <c r="E877" i="1" s="1"/>
  <c r="C878" i="1"/>
  <c r="E878" i="1" s="1"/>
  <c r="C879" i="1"/>
  <c r="E879" i="1" s="1"/>
  <c r="C880" i="1"/>
  <c r="E880" i="1" s="1"/>
  <c r="C881" i="1"/>
  <c r="E881" i="1" s="1"/>
  <c r="C882" i="1"/>
  <c r="E882" i="1" s="1"/>
  <c r="C883" i="1"/>
  <c r="E883" i="1" s="1"/>
  <c r="C884" i="1"/>
  <c r="E884" i="1" s="1"/>
  <c r="C885" i="1"/>
  <c r="E885" i="1" s="1"/>
  <c r="C886" i="1"/>
  <c r="E886" i="1" s="1"/>
  <c r="C887" i="1"/>
  <c r="E887" i="1" s="1"/>
  <c r="C888" i="1"/>
  <c r="E888" i="1" s="1"/>
  <c r="C889" i="1"/>
  <c r="E889" i="1" s="1"/>
  <c r="C890" i="1"/>
  <c r="E890" i="1" s="1"/>
  <c r="C891" i="1"/>
  <c r="E891" i="1" s="1"/>
  <c r="C892" i="1"/>
  <c r="E892" i="1" s="1"/>
  <c r="C893" i="1"/>
  <c r="E893" i="1" s="1"/>
  <c r="C894" i="1"/>
  <c r="E894" i="1" s="1"/>
  <c r="C895" i="1"/>
  <c r="E895" i="1" s="1"/>
  <c r="C896" i="1"/>
  <c r="E896" i="1" s="1"/>
  <c r="C897" i="1"/>
  <c r="E897" i="1" s="1"/>
  <c r="C898" i="1"/>
  <c r="E898" i="1" s="1"/>
  <c r="C899" i="1"/>
  <c r="E899" i="1" s="1"/>
  <c r="C900" i="1"/>
  <c r="E900" i="1" s="1"/>
  <c r="C901" i="1"/>
  <c r="E901" i="1" s="1"/>
  <c r="C902" i="1"/>
  <c r="E902" i="1" s="1"/>
  <c r="C903" i="1"/>
  <c r="E903" i="1" s="1"/>
  <c r="C904" i="1"/>
  <c r="E904" i="1" s="1"/>
  <c r="C905" i="1"/>
  <c r="E905" i="1" s="1"/>
  <c r="C906" i="1"/>
  <c r="E906" i="1" s="1"/>
  <c r="C907" i="1"/>
  <c r="E907" i="1" s="1"/>
  <c r="C908" i="1"/>
  <c r="E908" i="1" s="1"/>
  <c r="C909" i="1"/>
  <c r="E909" i="1" s="1"/>
  <c r="C910" i="1"/>
  <c r="E910" i="1" s="1"/>
  <c r="C911" i="1"/>
  <c r="E911" i="1" s="1"/>
  <c r="C912" i="1"/>
  <c r="E912" i="1" s="1"/>
  <c r="C913" i="1"/>
  <c r="E913" i="1" s="1"/>
  <c r="C914" i="1"/>
  <c r="E914" i="1" s="1"/>
  <c r="C915" i="1"/>
  <c r="E915" i="1" s="1"/>
  <c r="C916" i="1"/>
  <c r="E916" i="1" s="1"/>
  <c r="C917" i="1"/>
  <c r="E917" i="1" s="1"/>
  <c r="C918" i="1"/>
  <c r="E918" i="1" s="1"/>
  <c r="C919" i="1"/>
  <c r="E919" i="1" s="1"/>
  <c r="C920" i="1"/>
  <c r="E920" i="1" s="1"/>
  <c r="C921" i="1"/>
  <c r="E921" i="1" s="1"/>
  <c r="C922" i="1"/>
  <c r="E922" i="1" s="1"/>
  <c r="C923" i="1"/>
  <c r="E923" i="1" s="1"/>
  <c r="C924" i="1"/>
  <c r="E924" i="1" s="1"/>
  <c r="C925" i="1"/>
  <c r="E925" i="1" s="1"/>
  <c r="C926" i="1"/>
  <c r="E926" i="1" s="1"/>
  <c r="C927" i="1"/>
  <c r="E927" i="1" s="1"/>
  <c r="C928" i="1"/>
  <c r="E928" i="1" s="1"/>
  <c r="C929" i="1"/>
  <c r="E929" i="1" s="1"/>
  <c r="C930" i="1"/>
  <c r="E930" i="1" s="1"/>
  <c r="C931" i="1"/>
  <c r="E931" i="1" s="1"/>
  <c r="C932" i="1"/>
  <c r="E932" i="1" s="1"/>
  <c r="C933" i="1"/>
  <c r="E933" i="1" s="1"/>
  <c r="C934" i="1"/>
  <c r="E934" i="1" s="1"/>
  <c r="C935" i="1"/>
  <c r="E935" i="1" s="1"/>
  <c r="C936" i="1"/>
  <c r="E936" i="1" s="1"/>
  <c r="C937" i="1"/>
  <c r="E937" i="1" s="1"/>
  <c r="C938" i="1"/>
  <c r="E938" i="1" s="1"/>
  <c r="C939" i="1"/>
  <c r="E939" i="1" s="1"/>
  <c r="C940" i="1"/>
  <c r="E940" i="1" s="1"/>
  <c r="C941" i="1"/>
  <c r="E941" i="1" s="1"/>
  <c r="C942" i="1"/>
  <c r="E942" i="1" s="1"/>
  <c r="C943" i="1"/>
  <c r="E943" i="1" s="1"/>
  <c r="C944" i="1"/>
  <c r="E944" i="1" s="1"/>
  <c r="C945" i="1"/>
  <c r="E945" i="1" s="1"/>
  <c r="C946" i="1"/>
  <c r="E946" i="1" s="1"/>
  <c r="C947" i="1"/>
  <c r="E947" i="1" s="1"/>
  <c r="C948" i="1"/>
  <c r="E948" i="1" s="1"/>
  <c r="C949" i="1"/>
  <c r="E949" i="1" s="1"/>
  <c r="C950" i="1"/>
  <c r="E950" i="1" s="1"/>
  <c r="C951" i="1"/>
  <c r="E951" i="1" s="1"/>
  <c r="C952" i="1"/>
  <c r="E952" i="1" s="1"/>
  <c r="C953" i="1"/>
  <c r="E953" i="1" s="1"/>
  <c r="C954" i="1"/>
  <c r="E954" i="1" s="1"/>
  <c r="C955" i="1"/>
  <c r="E955" i="1" s="1"/>
  <c r="C956" i="1"/>
  <c r="E956" i="1" s="1"/>
  <c r="C957" i="1"/>
  <c r="E957" i="1" s="1"/>
  <c r="C958" i="1"/>
  <c r="E958" i="1" s="1"/>
  <c r="C959" i="1"/>
  <c r="E959" i="1" s="1"/>
  <c r="C960" i="1"/>
  <c r="E960" i="1" s="1"/>
  <c r="C961" i="1"/>
  <c r="E961" i="1" s="1"/>
  <c r="C962" i="1"/>
  <c r="E962" i="1" s="1"/>
  <c r="C963" i="1"/>
  <c r="E963" i="1" s="1"/>
  <c r="C964" i="1"/>
  <c r="E964" i="1" s="1"/>
  <c r="C965" i="1"/>
  <c r="E965" i="1" s="1"/>
  <c r="C966" i="1"/>
  <c r="E966" i="1" s="1"/>
  <c r="C967" i="1"/>
  <c r="E967" i="1" s="1"/>
  <c r="C968" i="1"/>
  <c r="E968" i="1" s="1"/>
  <c r="C969" i="1"/>
  <c r="E969" i="1" s="1"/>
  <c r="C970" i="1"/>
  <c r="E970" i="1" s="1"/>
  <c r="C971" i="1"/>
  <c r="E971" i="1" s="1"/>
  <c r="C972" i="1"/>
  <c r="E972" i="1" s="1"/>
  <c r="C973" i="1"/>
  <c r="E973" i="1" s="1"/>
  <c r="C974" i="1"/>
  <c r="E974" i="1" s="1"/>
  <c r="C975" i="1"/>
  <c r="E975" i="1" s="1"/>
  <c r="C976" i="1"/>
  <c r="E976" i="1" s="1"/>
  <c r="C977" i="1"/>
  <c r="E977" i="1" s="1"/>
  <c r="C978" i="1"/>
  <c r="E978" i="1" s="1"/>
  <c r="C979" i="1"/>
  <c r="E979" i="1" s="1"/>
  <c r="C980" i="1"/>
  <c r="E980" i="1" s="1"/>
  <c r="C981" i="1"/>
  <c r="E981" i="1" s="1"/>
  <c r="C982" i="1"/>
  <c r="E982" i="1" s="1"/>
  <c r="C983" i="1"/>
  <c r="E983" i="1" s="1"/>
  <c r="C984" i="1"/>
  <c r="E984" i="1" s="1"/>
  <c r="C985" i="1"/>
  <c r="E985" i="1" s="1"/>
  <c r="C986" i="1"/>
  <c r="E986" i="1" s="1"/>
  <c r="C987" i="1"/>
  <c r="E987" i="1" s="1"/>
  <c r="C988" i="1"/>
  <c r="E988" i="1" s="1"/>
  <c r="C989" i="1"/>
  <c r="E989" i="1" s="1"/>
  <c r="C990" i="1"/>
  <c r="E990" i="1" s="1"/>
  <c r="C991" i="1"/>
  <c r="E991" i="1" s="1"/>
  <c r="C992" i="1"/>
  <c r="E992" i="1" s="1"/>
  <c r="C993" i="1"/>
  <c r="E993" i="1" s="1"/>
  <c r="C994" i="1"/>
  <c r="E994" i="1" s="1"/>
  <c r="C995" i="1"/>
  <c r="E995" i="1" s="1"/>
  <c r="C996" i="1"/>
  <c r="E996" i="1" s="1"/>
  <c r="C997" i="1"/>
  <c r="E997" i="1" s="1"/>
  <c r="C998" i="1"/>
  <c r="E998" i="1" s="1"/>
  <c r="C999" i="1"/>
  <c r="C1000" i="1"/>
  <c r="E1000" i="1" s="1"/>
  <c r="C1001" i="1"/>
  <c r="E1001" i="1" s="1"/>
  <c r="C1002" i="1"/>
  <c r="E1002" i="1" s="1"/>
  <c r="C1003" i="1"/>
  <c r="E1003" i="1" s="1"/>
  <c r="C1004" i="1"/>
  <c r="E1004" i="1" s="1"/>
  <c r="C1005" i="1"/>
  <c r="E1005" i="1" s="1"/>
  <c r="C1006" i="1"/>
  <c r="E1006" i="1" s="1"/>
  <c r="C1007" i="1"/>
  <c r="E1007" i="1" s="1"/>
  <c r="C1008" i="1"/>
  <c r="E1008" i="1" s="1"/>
  <c r="C1009" i="1"/>
  <c r="E1009" i="1" s="1"/>
  <c r="C1010" i="1"/>
  <c r="E1010" i="1" s="1"/>
  <c r="C1011" i="1"/>
  <c r="E1011" i="1" s="1"/>
  <c r="C1012" i="1"/>
  <c r="E1012" i="1" s="1"/>
  <c r="C1013" i="1"/>
  <c r="E1013" i="1" s="1"/>
  <c r="C1014" i="1"/>
  <c r="E1014" i="1" s="1"/>
  <c r="C1015" i="1"/>
  <c r="E1015" i="1" s="1"/>
  <c r="C1016" i="1"/>
  <c r="E1016" i="1" s="1"/>
  <c r="C1017" i="1"/>
  <c r="E1017" i="1" s="1"/>
  <c r="C1018" i="1"/>
  <c r="E1018" i="1" s="1"/>
  <c r="C1019" i="1"/>
  <c r="E1019" i="1" s="1"/>
  <c r="C1020" i="1"/>
  <c r="E1020" i="1" s="1"/>
  <c r="C1021" i="1"/>
  <c r="E1021" i="1" s="1"/>
  <c r="C1022" i="1"/>
  <c r="E1022" i="1" s="1"/>
  <c r="C1023" i="1"/>
  <c r="E1023" i="1" s="1"/>
  <c r="C1024" i="1"/>
  <c r="E1024" i="1" s="1"/>
  <c r="C1025" i="1"/>
  <c r="E1025" i="1" s="1"/>
  <c r="C1026" i="1"/>
  <c r="E1026" i="1" s="1"/>
  <c r="C1027" i="1"/>
  <c r="E1027" i="1" s="1"/>
  <c r="C1028" i="1"/>
  <c r="E1028" i="1" s="1"/>
  <c r="C1029" i="1"/>
  <c r="E1029" i="1" s="1"/>
  <c r="C1030" i="1"/>
  <c r="E1030" i="1" s="1"/>
  <c r="C1031" i="1"/>
  <c r="E1031" i="1" s="1"/>
  <c r="C1032" i="1"/>
  <c r="E1032" i="1" s="1"/>
  <c r="C1033" i="1"/>
  <c r="E1033" i="1" s="1"/>
  <c r="C1034" i="1"/>
  <c r="E1034" i="1" s="1"/>
  <c r="C1035" i="1"/>
  <c r="E1035" i="1" s="1"/>
  <c r="C1036" i="1"/>
  <c r="E1036" i="1" s="1"/>
  <c r="C1037" i="1"/>
  <c r="E1037" i="1" s="1"/>
  <c r="C1038" i="1"/>
  <c r="E1038" i="1" s="1"/>
  <c r="C1039" i="1"/>
  <c r="E1039" i="1" s="1"/>
  <c r="C1040" i="1"/>
  <c r="E1040" i="1" s="1"/>
  <c r="C1041" i="1"/>
  <c r="E1041" i="1" s="1"/>
  <c r="C1042" i="1"/>
  <c r="E1042" i="1" s="1"/>
  <c r="C1043" i="1"/>
  <c r="E1043" i="1" s="1"/>
  <c r="C1044" i="1"/>
  <c r="E1044" i="1" s="1"/>
  <c r="C1045" i="1"/>
  <c r="E1045" i="1" s="1"/>
  <c r="C1046" i="1"/>
  <c r="E1046" i="1" s="1"/>
  <c r="C1047" i="1"/>
  <c r="E1047" i="1" s="1"/>
  <c r="C1048" i="1"/>
  <c r="E1048" i="1" s="1"/>
  <c r="C1049" i="1"/>
  <c r="E1049" i="1" s="1"/>
  <c r="C1050" i="1"/>
  <c r="E1050" i="1" s="1"/>
  <c r="C1051" i="1"/>
  <c r="E1051" i="1" s="1"/>
  <c r="C1052" i="1"/>
  <c r="E1052" i="1" s="1"/>
  <c r="C1053" i="1"/>
  <c r="E1053" i="1" s="1"/>
  <c r="C1054" i="1"/>
  <c r="E1054" i="1" s="1"/>
  <c r="C1055" i="1"/>
  <c r="E1055" i="1" s="1"/>
  <c r="C1056" i="1"/>
  <c r="E1056" i="1" s="1"/>
  <c r="C1057" i="1"/>
  <c r="E1057" i="1" s="1"/>
  <c r="C1058" i="1"/>
  <c r="E1058" i="1" s="1"/>
  <c r="C1059" i="1"/>
  <c r="E1059" i="1" s="1"/>
  <c r="C1060" i="1"/>
  <c r="E1060" i="1" s="1"/>
  <c r="C1061" i="1"/>
  <c r="E1061" i="1" s="1"/>
  <c r="C1062" i="1"/>
  <c r="E1062" i="1" s="1"/>
  <c r="C1063" i="1"/>
  <c r="C1064" i="1"/>
  <c r="E1064" i="1" s="1"/>
  <c r="C1065" i="1"/>
  <c r="E1065" i="1" s="1"/>
  <c r="C1066" i="1"/>
  <c r="E1066" i="1" s="1"/>
  <c r="C1067" i="1"/>
  <c r="E1067" i="1" s="1"/>
  <c r="C1068" i="1"/>
  <c r="E1068" i="1" s="1"/>
  <c r="C1069" i="1"/>
  <c r="E1069" i="1" s="1"/>
  <c r="C1070" i="1"/>
  <c r="E1070" i="1" s="1"/>
  <c r="C1071" i="1"/>
  <c r="E1071" i="1" s="1"/>
  <c r="C1072" i="1"/>
  <c r="E1072" i="1" s="1"/>
  <c r="C1073" i="1"/>
  <c r="E1073" i="1" s="1"/>
  <c r="C1074" i="1"/>
  <c r="E1074" i="1" s="1"/>
  <c r="C1075" i="1"/>
  <c r="E1075" i="1" s="1"/>
  <c r="C1076" i="1"/>
  <c r="E1076" i="1" s="1"/>
  <c r="C1077" i="1"/>
  <c r="E1077" i="1" s="1"/>
  <c r="C1078" i="1"/>
  <c r="E1078" i="1" s="1"/>
  <c r="C1079" i="1"/>
  <c r="E1079" i="1" s="1"/>
  <c r="C1080" i="1"/>
  <c r="E1080" i="1" s="1"/>
  <c r="C1081" i="1"/>
  <c r="E1081" i="1" s="1"/>
  <c r="C1082" i="1"/>
  <c r="E1082" i="1" s="1"/>
  <c r="C1083" i="1"/>
  <c r="E1083" i="1" s="1"/>
  <c r="C1084" i="1"/>
  <c r="E1084" i="1" s="1"/>
  <c r="C1085" i="1"/>
  <c r="E1085" i="1" s="1"/>
  <c r="C1086" i="1"/>
  <c r="E1086" i="1" s="1"/>
  <c r="C1087" i="1"/>
  <c r="E1087" i="1" s="1"/>
  <c r="C1088" i="1"/>
  <c r="E1088" i="1" s="1"/>
  <c r="C1089" i="1"/>
  <c r="E1089" i="1" s="1"/>
  <c r="C1090" i="1"/>
  <c r="E1090" i="1" s="1"/>
  <c r="C1091" i="1"/>
  <c r="E1091" i="1" s="1"/>
  <c r="C1092" i="1"/>
  <c r="E1092" i="1" s="1"/>
  <c r="C1093" i="1"/>
  <c r="E1093" i="1" s="1"/>
  <c r="C1094" i="1"/>
  <c r="E1094" i="1" s="1"/>
  <c r="C1095" i="1"/>
  <c r="E1095" i="1" s="1"/>
  <c r="C1096" i="1"/>
  <c r="E1096" i="1" s="1"/>
  <c r="C1097" i="1"/>
  <c r="E1097" i="1" s="1"/>
  <c r="C1098" i="1"/>
  <c r="E1098" i="1" s="1"/>
  <c r="C1099" i="1"/>
  <c r="E1099" i="1" s="1"/>
  <c r="C1100" i="1"/>
  <c r="E1100" i="1" s="1"/>
  <c r="C1101" i="1"/>
  <c r="E1101" i="1" s="1"/>
  <c r="C1102" i="1"/>
  <c r="E1102" i="1" s="1"/>
  <c r="C1103" i="1"/>
  <c r="E1103" i="1" s="1"/>
  <c r="C1104" i="1"/>
  <c r="E1104" i="1" s="1"/>
  <c r="C1105" i="1"/>
  <c r="E1105" i="1" s="1"/>
  <c r="C1106" i="1"/>
  <c r="E1106" i="1" s="1"/>
  <c r="C1107" i="1"/>
  <c r="E1107" i="1" s="1"/>
  <c r="C1108" i="1"/>
  <c r="E1108" i="1" s="1"/>
  <c r="C1109" i="1"/>
  <c r="E1109" i="1" s="1"/>
  <c r="C1110" i="1"/>
  <c r="E1110" i="1" s="1"/>
  <c r="C1111" i="1"/>
  <c r="C1112" i="1"/>
  <c r="E1112" i="1" s="1"/>
  <c r="C1113" i="1"/>
  <c r="E1113" i="1" s="1"/>
  <c r="C1114" i="1"/>
  <c r="E1114" i="1" s="1"/>
  <c r="C1115" i="1"/>
  <c r="E1115" i="1" s="1"/>
  <c r="C1116" i="1"/>
  <c r="E1116" i="1" s="1"/>
  <c r="C1117" i="1"/>
  <c r="E1117" i="1" s="1"/>
  <c r="C1118" i="1"/>
  <c r="E1118" i="1" s="1"/>
  <c r="C1119" i="1"/>
  <c r="E1119" i="1" s="1"/>
  <c r="C1120" i="1"/>
  <c r="E1120" i="1" s="1"/>
  <c r="C1121" i="1"/>
  <c r="E1121" i="1" s="1"/>
  <c r="C1122" i="1"/>
  <c r="E1122" i="1" s="1"/>
  <c r="C1123" i="1"/>
  <c r="E1123" i="1" s="1"/>
  <c r="C1124" i="1"/>
  <c r="E1124" i="1" s="1"/>
  <c r="C1125" i="1"/>
  <c r="E1125" i="1" s="1"/>
  <c r="C1126" i="1"/>
  <c r="E1126" i="1" s="1"/>
  <c r="C1127" i="1"/>
  <c r="E1127" i="1" s="1"/>
  <c r="C1128" i="1"/>
  <c r="E1128" i="1" s="1"/>
  <c r="C1129" i="1"/>
  <c r="E1129" i="1" s="1"/>
  <c r="C1130" i="1"/>
  <c r="E1130" i="1" s="1"/>
  <c r="C1131" i="1"/>
  <c r="E1131" i="1" s="1"/>
  <c r="C1132" i="1"/>
  <c r="E1132" i="1" s="1"/>
  <c r="C1133" i="1"/>
  <c r="E1133" i="1" s="1"/>
  <c r="C1134" i="1"/>
  <c r="E1134" i="1" s="1"/>
  <c r="C1135" i="1"/>
  <c r="E1135" i="1" s="1"/>
  <c r="C1136" i="1"/>
  <c r="E1136" i="1" s="1"/>
  <c r="C1137" i="1"/>
  <c r="E1137" i="1" s="1"/>
  <c r="C1138" i="1"/>
  <c r="E1138" i="1" s="1"/>
  <c r="C1139" i="1"/>
  <c r="E1139" i="1" s="1"/>
  <c r="C1140" i="1"/>
  <c r="E1140" i="1" s="1"/>
  <c r="C1141" i="1"/>
  <c r="E1141" i="1" s="1"/>
  <c r="C1142" i="1"/>
  <c r="E1142" i="1" s="1"/>
  <c r="C1143" i="1"/>
  <c r="E1143" i="1" s="1"/>
  <c r="C1144" i="1"/>
  <c r="E1144" i="1" s="1"/>
  <c r="C1145" i="1"/>
  <c r="E1145" i="1" s="1"/>
  <c r="C1146" i="1"/>
  <c r="E1146" i="1" s="1"/>
  <c r="C1147" i="1"/>
  <c r="E1147" i="1" s="1"/>
  <c r="C1148" i="1"/>
  <c r="E1148" i="1" s="1"/>
  <c r="C1149" i="1"/>
  <c r="E1149" i="1" s="1"/>
  <c r="C1150" i="1"/>
  <c r="E1150" i="1" s="1"/>
  <c r="C1151" i="1"/>
  <c r="E1151" i="1" s="1"/>
  <c r="C1152" i="1"/>
  <c r="E1152" i="1" s="1"/>
  <c r="C1153" i="1"/>
  <c r="E1153" i="1" s="1"/>
  <c r="C1154" i="1"/>
  <c r="E1154" i="1" s="1"/>
  <c r="C1155" i="1"/>
  <c r="E1155" i="1" s="1"/>
  <c r="C1156" i="1"/>
  <c r="E1156" i="1" s="1"/>
  <c r="C1157" i="1"/>
  <c r="E1157" i="1" s="1"/>
  <c r="C1158" i="1"/>
  <c r="E1158" i="1" s="1"/>
  <c r="C1159" i="1"/>
  <c r="C1160" i="1"/>
  <c r="E1160" i="1" s="1"/>
  <c r="C1161" i="1"/>
  <c r="E1161" i="1" s="1"/>
  <c r="C1162" i="1"/>
  <c r="E1162" i="1" s="1"/>
  <c r="C1163" i="1"/>
  <c r="E1163" i="1" s="1"/>
  <c r="C1164" i="1"/>
  <c r="E1164" i="1" s="1"/>
  <c r="C1165" i="1"/>
  <c r="E1165" i="1" s="1"/>
  <c r="C1166" i="1"/>
  <c r="E1166" i="1" s="1"/>
  <c r="C1167" i="1"/>
  <c r="E1167" i="1" s="1"/>
  <c r="C1168" i="1"/>
  <c r="E1168" i="1" s="1"/>
  <c r="C1169" i="1"/>
  <c r="E1169" i="1" s="1"/>
  <c r="C1170" i="1"/>
  <c r="E1170" i="1" s="1"/>
  <c r="C1171" i="1"/>
  <c r="E1171" i="1" s="1"/>
  <c r="C1172" i="1"/>
  <c r="E1172" i="1" s="1"/>
  <c r="C1173" i="1"/>
  <c r="E1173" i="1" s="1"/>
  <c r="C1174" i="1"/>
  <c r="E1174" i="1" s="1"/>
  <c r="C1175" i="1"/>
  <c r="E1175" i="1" s="1"/>
  <c r="C1176" i="1"/>
  <c r="E1176" i="1" s="1"/>
  <c r="C1177" i="1"/>
  <c r="E1177" i="1" s="1"/>
  <c r="C1178" i="1"/>
  <c r="E1178" i="1" s="1"/>
  <c r="C1179" i="1"/>
  <c r="E1179" i="1" s="1"/>
  <c r="C1180" i="1"/>
  <c r="E1180" i="1" s="1"/>
  <c r="C1181" i="1"/>
  <c r="E1181" i="1" s="1"/>
  <c r="C1182" i="1"/>
  <c r="E1182" i="1" s="1"/>
  <c r="C1183" i="1"/>
  <c r="E1183" i="1" s="1"/>
  <c r="C1184" i="1"/>
  <c r="E1184" i="1" s="1"/>
  <c r="C1185" i="1"/>
  <c r="E1185" i="1" s="1"/>
  <c r="C1186" i="1"/>
  <c r="E1186" i="1" s="1"/>
  <c r="C1187" i="1"/>
  <c r="E1187" i="1" s="1"/>
  <c r="C1188" i="1"/>
  <c r="E1188" i="1" s="1"/>
  <c r="C1189" i="1"/>
  <c r="E1189" i="1" s="1"/>
  <c r="C1190" i="1"/>
  <c r="E1190" i="1" s="1"/>
  <c r="C1191" i="1"/>
  <c r="E1191" i="1" s="1"/>
  <c r="C1192" i="1"/>
  <c r="E1192" i="1" s="1"/>
  <c r="C1193" i="1"/>
  <c r="E1193" i="1" s="1"/>
  <c r="C1194" i="1"/>
  <c r="E1194" i="1" s="1"/>
  <c r="C1195" i="1"/>
  <c r="E1195" i="1" s="1"/>
  <c r="C1196" i="1"/>
  <c r="E1196" i="1" s="1"/>
  <c r="C1197" i="1"/>
  <c r="E1197" i="1" s="1"/>
  <c r="C1198" i="1"/>
  <c r="E1198" i="1" s="1"/>
  <c r="C1199" i="1"/>
  <c r="E1199" i="1" s="1"/>
  <c r="C1200" i="1"/>
  <c r="E1200" i="1" s="1"/>
  <c r="C1201" i="1"/>
  <c r="E1201" i="1" s="1"/>
  <c r="C1202" i="1"/>
  <c r="E1202" i="1" s="1"/>
  <c r="C1203" i="1"/>
  <c r="E1203" i="1" s="1"/>
  <c r="C1204" i="1"/>
  <c r="E1204" i="1" s="1"/>
  <c r="C1205" i="1"/>
  <c r="E1205" i="1" s="1"/>
  <c r="C1206" i="1"/>
  <c r="E1206" i="1" s="1"/>
  <c r="C1207" i="1"/>
  <c r="C1208" i="1"/>
  <c r="E1208" i="1" s="1"/>
  <c r="C1209" i="1"/>
  <c r="E1209" i="1" s="1"/>
  <c r="C1210" i="1"/>
  <c r="E1210" i="1" s="1"/>
  <c r="C1211" i="1"/>
  <c r="E1211" i="1" s="1"/>
  <c r="C1212" i="1"/>
  <c r="E1212" i="1" s="1"/>
  <c r="C1213" i="1"/>
  <c r="E1213" i="1" s="1"/>
  <c r="C1214" i="1"/>
  <c r="E1214" i="1" s="1"/>
  <c r="C1215" i="1"/>
  <c r="E1215" i="1" s="1"/>
  <c r="C1216" i="1"/>
  <c r="E1216" i="1" s="1"/>
  <c r="C1217" i="1"/>
  <c r="E1217" i="1" s="1"/>
  <c r="C1218" i="1"/>
  <c r="E1218" i="1" s="1"/>
  <c r="C1219" i="1"/>
  <c r="E1219" i="1" s="1"/>
  <c r="C1220" i="1"/>
  <c r="E1220" i="1" s="1"/>
  <c r="C1221" i="1"/>
  <c r="E1221" i="1" s="1"/>
  <c r="C1222" i="1"/>
  <c r="E1222" i="1" s="1"/>
  <c r="C1223" i="1"/>
  <c r="E1223" i="1" s="1"/>
  <c r="C1224" i="1"/>
  <c r="E1224" i="1" s="1"/>
  <c r="C1225" i="1"/>
  <c r="E1225" i="1" s="1"/>
  <c r="C1226" i="1"/>
  <c r="E1226" i="1" s="1"/>
  <c r="C1227" i="1"/>
  <c r="E1227" i="1" s="1"/>
  <c r="C1228" i="1"/>
  <c r="E1228" i="1" s="1"/>
  <c r="C1229" i="1"/>
  <c r="E1229" i="1" s="1"/>
  <c r="C1230" i="1"/>
  <c r="E1230" i="1" s="1"/>
  <c r="C1231" i="1"/>
  <c r="E1231" i="1" s="1"/>
  <c r="C1232" i="1"/>
  <c r="E1232" i="1" s="1"/>
  <c r="C1233" i="1"/>
  <c r="E1233" i="1" s="1"/>
  <c r="C1234" i="1"/>
  <c r="E1234" i="1" s="1"/>
  <c r="C1235" i="1"/>
  <c r="E1235" i="1" s="1"/>
  <c r="C1236" i="1"/>
  <c r="E1236" i="1" s="1"/>
  <c r="C1237" i="1"/>
  <c r="E1237" i="1" s="1"/>
  <c r="C1238" i="1"/>
  <c r="E1238" i="1" s="1"/>
  <c r="C1239" i="1"/>
  <c r="E1239" i="1" s="1"/>
  <c r="C1240" i="1"/>
  <c r="E1240" i="1" s="1"/>
  <c r="C1241" i="1"/>
  <c r="E1241" i="1" s="1"/>
  <c r="C1242" i="1"/>
  <c r="E1242" i="1" s="1"/>
  <c r="C1243" i="1"/>
  <c r="E1243" i="1" s="1"/>
  <c r="C1244" i="1"/>
  <c r="E1244" i="1" s="1"/>
  <c r="C1245" i="1"/>
  <c r="E1245" i="1" s="1"/>
  <c r="C1246" i="1"/>
  <c r="E1246" i="1" s="1"/>
  <c r="C1247" i="1"/>
  <c r="E1247" i="1" s="1"/>
  <c r="C1248" i="1"/>
  <c r="E1248" i="1" s="1"/>
  <c r="C1249" i="1"/>
  <c r="E1249" i="1" s="1"/>
  <c r="C1250" i="1"/>
  <c r="E1250" i="1" s="1"/>
  <c r="C1251" i="1"/>
  <c r="E1251" i="1" s="1"/>
  <c r="C1252" i="1"/>
  <c r="E1252" i="1" s="1"/>
  <c r="C1253" i="1"/>
  <c r="E1253" i="1" s="1"/>
  <c r="C1254" i="1"/>
  <c r="E1254" i="1" s="1"/>
  <c r="C1255" i="1"/>
  <c r="C1256" i="1"/>
  <c r="E1256" i="1" s="1"/>
  <c r="C1257" i="1"/>
  <c r="E1257" i="1" s="1"/>
  <c r="C1258" i="1"/>
  <c r="E1258" i="1" s="1"/>
  <c r="C1259" i="1"/>
  <c r="E1259" i="1" s="1"/>
  <c r="C1260" i="1"/>
  <c r="E1260" i="1" s="1"/>
  <c r="C1261" i="1"/>
  <c r="E1261" i="1" s="1"/>
  <c r="C1262" i="1"/>
  <c r="E1262" i="1" s="1"/>
  <c r="C1263" i="1"/>
  <c r="E1263" i="1" s="1"/>
  <c r="C1264" i="1"/>
  <c r="E1264" i="1" s="1"/>
  <c r="C1265" i="1"/>
  <c r="E1265" i="1" s="1"/>
  <c r="C1266" i="1"/>
  <c r="E1266" i="1" s="1"/>
  <c r="C1267" i="1"/>
  <c r="E1267" i="1" s="1"/>
  <c r="C1268" i="1"/>
  <c r="E1268" i="1" s="1"/>
  <c r="C1269" i="1"/>
  <c r="E1269" i="1" s="1"/>
  <c r="C1270" i="1"/>
  <c r="E1270" i="1" s="1"/>
  <c r="C1271" i="1"/>
  <c r="E1271" i="1" s="1"/>
  <c r="C1272" i="1"/>
  <c r="E1272" i="1" s="1"/>
  <c r="C1273" i="1"/>
  <c r="E1273" i="1" s="1"/>
  <c r="C1274" i="1"/>
  <c r="E1274" i="1" s="1"/>
  <c r="C1275" i="1"/>
  <c r="E1275" i="1" s="1"/>
  <c r="C1276" i="1"/>
  <c r="E1276" i="1" s="1"/>
  <c r="C1277" i="1"/>
  <c r="E1277" i="1" s="1"/>
  <c r="C1278" i="1"/>
  <c r="E1278" i="1" s="1"/>
  <c r="C1279" i="1"/>
  <c r="E1279" i="1" s="1"/>
  <c r="C1280" i="1"/>
  <c r="E1280" i="1" s="1"/>
  <c r="C1281" i="1"/>
  <c r="E1281" i="1" s="1"/>
  <c r="C1282" i="1"/>
  <c r="E1282" i="1" s="1"/>
  <c r="C1283" i="1"/>
  <c r="E1283" i="1" s="1"/>
  <c r="C1284" i="1"/>
  <c r="E1284" i="1" s="1"/>
  <c r="C1285" i="1"/>
  <c r="E1285" i="1" s="1"/>
  <c r="C1286" i="1"/>
  <c r="E1286" i="1" s="1"/>
  <c r="C1287" i="1"/>
  <c r="E1287" i="1" s="1"/>
  <c r="C1288" i="1"/>
  <c r="E1288" i="1" s="1"/>
  <c r="C1289" i="1"/>
  <c r="E1289" i="1" s="1"/>
  <c r="C1290" i="1"/>
  <c r="E1290" i="1" s="1"/>
  <c r="C1291" i="1"/>
  <c r="E1291" i="1" s="1"/>
  <c r="C1292" i="1"/>
  <c r="E1292" i="1" s="1"/>
  <c r="C1293" i="1"/>
  <c r="E1293" i="1" s="1"/>
  <c r="C1294" i="1"/>
  <c r="E1294" i="1" s="1"/>
  <c r="C1295" i="1"/>
  <c r="E1295" i="1" s="1"/>
  <c r="C1296" i="1"/>
  <c r="E1296" i="1" s="1"/>
  <c r="C1297" i="1"/>
  <c r="E1297" i="1" s="1"/>
  <c r="C1298" i="1"/>
  <c r="E1298" i="1" s="1"/>
  <c r="C1299" i="1"/>
  <c r="E1299" i="1" s="1"/>
  <c r="C1300" i="1"/>
  <c r="E1300" i="1" s="1"/>
  <c r="C1301" i="1"/>
  <c r="E1301" i="1" s="1"/>
  <c r="C1302" i="1"/>
  <c r="E1302" i="1" s="1"/>
  <c r="C1303" i="1"/>
  <c r="C1304" i="1"/>
  <c r="E1304" i="1" s="1"/>
  <c r="C1305" i="1"/>
  <c r="E1305" i="1" s="1"/>
  <c r="C1306" i="1"/>
  <c r="E1306" i="1" s="1"/>
  <c r="C1307" i="1"/>
  <c r="E1307" i="1" s="1"/>
  <c r="C1308" i="1"/>
  <c r="E1308" i="1" s="1"/>
  <c r="C1309" i="1"/>
  <c r="E1309" i="1" s="1"/>
  <c r="C1310" i="1"/>
  <c r="E1310" i="1" s="1"/>
  <c r="C1311" i="1"/>
  <c r="E1311" i="1" s="1"/>
  <c r="C1312" i="1"/>
  <c r="E1312" i="1" s="1"/>
  <c r="C1313" i="1"/>
  <c r="E1313" i="1" s="1"/>
  <c r="C1314" i="1"/>
  <c r="E1314" i="1" s="1"/>
  <c r="C1315" i="1"/>
  <c r="E1315" i="1" s="1"/>
  <c r="C1316" i="1"/>
  <c r="E1316" i="1" s="1"/>
  <c r="C1317" i="1"/>
  <c r="E1317" i="1" s="1"/>
  <c r="C1318" i="1"/>
  <c r="E1318" i="1" s="1"/>
  <c r="C1319" i="1"/>
  <c r="E1319" i="1" s="1"/>
  <c r="C1320" i="1"/>
  <c r="E1320" i="1" s="1"/>
  <c r="C1321" i="1"/>
  <c r="E1321" i="1" s="1"/>
  <c r="C1322" i="1"/>
  <c r="E1322" i="1" s="1"/>
  <c r="C1323" i="1"/>
  <c r="E1323" i="1" s="1"/>
  <c r="C1324" i="1"/>
  <c r="E1324" i="1" s="1"/>
  <c r="C1325" i="1"/>
  <c r="E1325" i="1" s="1"/>
  <c r="C1326" i="1"/>
  <c r="E1326" i="1" s="1"/>
  <c r="C1327" i="1"/>
  <c r="E1327" i="1" s="1"/>
  <c r="C1328" i="1"/>
  <c r="E1328" i="1" s="1"/>
  <c r="C1329" i="1"/>
  <c r="E1329" i="1" s="1"/>
  <c r="C1330" i="1"/>
  <c r="E1330" i="1" s="1"/>
  <c r="C1331" i="1"/>
  <c r="E1331" i="1" s="1"/>
  <c r="C1332" i="1"/>
  <c r="E1332" i="1" s="1"/>
  <c r="C1333" i="1"/>
  <c r="E1333" i="1" s="1"/>
  <c r="C1334" i="1"/>
  <c r="E1334" i="1" s="1"/>
  <c r="C1335" i="1"/>
  <c r="E1335" i="1" s="1"/>
  <c r="C1336" i="1"/>
  <c r="E1336" i="1" s="1"/>
  <c r="C1337" i="1"/>
  <c r="E1337" i="1" s="1"/>
  <c r="C1338" i="1"/>
  <c r="E1338" i="1" s="1"/>
  <c r="C1339" i="1"/>
  <c r="E1339" i="1" s="1"/>
  <c r="C1340" i="1"/>
  <c r="E1340" i="1" s="1"/>
  <c r="C1341" i="1"/>
  <c r="E1341" i="1" s="1"/>
  <c r="C1342" i="1"/>
  <c r="E1342" i="1" s="1"/>
  <c r="C1343" i="1"/>
  <c r="E1343" i="1" s="1"/>
  <c r="C1344" i="1"/>
  <c r="E1344" i="1" s="1"/>
  <c r="C1345" i="1"/>
  <c r="E1345" i="1" s="1"/>
  <c r="C1346" i="1"/>
  <c r="E1346" i="1" s="1"/>
  <c r="C1347" i="1"/>
  <c r="E1347" i="1" s="1"/>
  <c r="C1348" i="1"/>
  <c r="E1348" i="1" s="1"/>
  <c r="C1349" i="1"/>
  <c r="E1349" i="1" s="1"/>
  <c r="C1350" i="1"/>
  <c r="E1350" i="1" s="1"/>
  <c r="C1351" i="1"/>
  <c r="C1352" i="1"/>
  <c r="E1352" i="1" s="1"/>
  <c r="C1353" i="1"/>
  <c r="E1353" i="1" s="1"/>
  <c r="C1354" i="1"/>
  <c r="E1354" i="1" s="1"/>
  <c r="C1355" i="1"/>
  <c r="E1355" i="1" s="1"/>
  <c r="C1356" i="1"/>
  <c r="E1356" i="1" s="1"/>
  <c r="C1357" i="1"/>
  <c r="E1357" i="1" s="1"/>
  <c r="C1358" i="1"/>
  <c r="E1358" i="1" s="1"/>
  <c r="C1359" i="1"/>
  <c r="E1359" i="1" s="1"/>
  <c r="C1360" i="1"/>
  <c r="E1360" i="1" s="1"/>
  <c r="C1361" i="1"/>
  <c r="E1361" i="1" s="1"/>
  <c r="C1362" i="1"/>
  <c r="E1362" i="1" s="1"/>
  <c r="C1363" i="1"/>
  <c r="E1363" i="1" s="1"/>
  <c r="C1364" i="1"/>
  <c r="E1364" i="1" s="1"/>
  <c r="C1365" i="1"/>
  <c r="E1365" i="1" s="1"/>
  <c r="C1366" i="1"/>
  <c r="E1366" i="1" s="1"/>
  <c r="C1367" i="1"/>
  <c r="E1367" i="1" s="1"/>
  <c r="C1368" i="1"/>
  <c r="E1368" i="1" s="1"/>
  <c r="C1369" i="1"/>
  <c r="E1369" i="1" s="1"/>
  <c r="C1370" i="1"/>
  <c r="E1370" i="1" s="1"/>
  <c r="C1371" i="1"/>
  <c r="E1371" i="1" s="1"/>
  <c r="C1372" i="1"/>
  <c r="E1372" i="1" s="1"/>
  <c r="C1373" i="1"/>
  <c r="E1373" i="1" s="1"/>
  <c r="C1374" i="1"/>
  <c r="E1374" i="1" s="1"/>
  <c r="C1375" i="1"/>
  <c r="E1375" i="1" s="1"/>
  <c r="C1376" i="1"/>
  <c r="E1376" i="1" s="1"/>
  <c r="C1377" i="1"/>
  <c r="E1377" i="1" s="1"/>
  <c r="C1378" i="1"/>
  <c r="E1378" i="1" s="1"/>
  <c r="C1379" i="1"/>
  <c r="E1379" i="1" s="1"/>
  <c r="C1380" i="1"/>
  <c r="E1380" i="1" s="1"/>
  <c r="C1381" i="1"/>
  <c r="E1381" i="1" s="1"/>
  <c r="C1382" i="1"/>
  <c r="E1382" i="1" s="1"/>
  <c r="C1383" i="1"/>
  <c r="E1383" i="1" s="1"/>
  <c r="C1384" i="1"/>
  <c r="E1384" i="1" s="1"/>
  <c r="C1385" i="1"/>
  <c r="E1385" i="1" s="1"/>
  <c r="C1386" i="1"/>
  <c r="E1386" i="1" s="1"/>
  <c r="C1387" i="1"/>
  <c r="E1387" i="1" s="1"/>
  <c r="C1388" i="1"/>
  <c r="E1388" i="1" s="1"/>
  <c r="C1389" i="1"/>
  <c r="E1389" i="1" s="1"/>
  <c r="C1390" i="1"/>
  <c r="E1390" i="1" s="1"/>
  <c r="C1391" i="1"/>
  <c r="E1391" i="1" s="1"/>
  <c r="C1392" i="1"/>
  <c r="E1392" i="1" s="1"/>
  <c r="C1393" i="1"/>
  <c r="E1393" i="1" s="1"/>
  <c r="C1394" i="1"/>
  <c r="E1394" i="1" s="1"/>
  <c r="C1395" i="1"/>
  <c r="E1395" i="1" s="1"/>
  <c r="C1396" i="1"/>
  <c r="E1396" i="1" s="1"/>
  <c r="C1397" i="1"/>
  <c r="E1397" i="1" s="1"/>
  <c r="C1398" i="1"/>
  <c r="E1398" i="1" s="1"/>
  <c r="C1399" i="1"/>
  <c r="C1400" i="1"/>
  <c r="E1400" i="1" s="1"/>
  <c r="C1401" i="1"/>
  <c r="E1401" i="1" s="1"/>
  <c r="C1402" i="1"/>
  <c r="E1402" i="1" s="1"/>
  <c r="C1403" i="1"/>
  <c r="E1403" i="1" s="1"/>
  <c r="C1404" i="1"/>
  <c r="E1404" i="1" s="1"/>
  <c r="C1405" i="1"/>
  <c r="E1405" i="1" s="1"/>
  <c r="C1406" i="1"/>
  <c r="E1406" i="1" s="1"/>
  <c r="C1407" i="1"/>
  <c r="E1407" i="1" s="1"/>
  <c r="C1408" i="1"/>
  <c r="E1408" i="1" s="1"/>
  <c r="C1409" i="1"/>
  <c r="E1409" i="1" s="1"/>
  <c r="C1410" i="1"/>
  <c r="E1410" i="1" s="1"/>
  <c r="C1411" i="1"/>
  <c r="E1411" i="1" s="1"/>
  <c r="C1412" i="1"/>
  <c r="E1412" i="1" s="1"/>
  <c r="C1413" i="1"/>
  <c r="E1413" i="1" s="1"/>
  <c r="C1414" i="1"/>
  <c r="E1414" i="1" s="1"/>
  <c r="C1415" i="1"/>
  <c r="E1415" i="1" s="1"/>
  <c r="C1416" i="1"/>
  <c r="E1416" i="1" s="1"/>
  <c r="C1417" i="1"/>
  <c r="E1417" i="1" s="1"/>
  <c r="C1418" i="1"/>
  <c r="E1418" i="1" s="1"/>
  <c r="C1419" i="1"/>
  <c r="E1419" i="1" s="1"/>
  <c r="C1420" i="1"/>
  <c r="E1420" i="1" s="1"/>
  <c r="C1421" i="1"/>
  <c r="E1421" i="1" s="1"/>
  <c r="C1422" i="1"/>
  <c r="E1422" i="1" s="1"/>
  <c r="C1423" i="1"/>
  <c r="E1423" i="1" s="1"/>
  <c r="C1424" i="1"/>
  <c r="E1424" i="1" s="1"/>
  <c r="C1425" i="1"/>
  <c r="E1425" i="1" s="1"/>
  <c r="C1426" i="1"/>
  <c r="E1426" i="1" s="1"/>
  <c r="C1427" i="1"/>
  <c r="E1427" i="1" s="1"/>
  <c r="C1428" i="1"/>
  <c r="E1428" i="1" s="1"/>
  <c r="C1429" i="1"/>
  <c r="E1429" i="1" s="1"/>
  <c r="C1430" i="1"/>
  <c r="E1430" i="1" s="1"/>
  <c r="C1431" i="1"/>
  <c r="E1431" i="1" s="1"/>
  <c r="C1432" i="1"/>
  <c r="E1432" i="1" s="1"/>
  <c r="C1433" i="1"/>
  <c r="E1433" i="1" s="1"/>
  <c r="C1434" i="1"/>
  <c r="E1434" i="1" s="1"/>
  <c r="C1435" i="1"/>
  <c r="E1435" i="1" s="1"/>
  <c r="C1436" i="1"/>
  <c r="E1436" i="1" s="1"/>
  <c r="C1437" i="1"/>
  <c r="E1437" i="1" s="1"/>
  <c r="C1438" i="1"/>
  <c r="E1438" i="1" s="1"/>
  <c r="C1439" i="1"/>
  <c r="E1439" i="1" s="1"/>
  <c r="C1440" i="1"/>
  <c r="E1440" i="1" s="1"/>
  <c r="C1441" i="1"/>
  <c r="E1441" i="1" s="1"/>
  <c r="C1442" i="1"/>
  <c r="E1442" i="1" s="1"/>
  <c r="C1443" i="1"/>
  <c r="E1443" i="1" s="1"/>
  <c r="C1444" i="1"/>
  <c r="E1444" i="1" s="1"/>
  <c r="C1445" i="1"/>
  <c r="E1445" i="1" s="1"/>
  <c r="C1446" i="1"/>
  <c r="E1446" i="1" s="1"/>
  <c r="C1447" i="1"/>
  <c r="C1448" i="1"/>
  <c r="E1448" i="1" s="1"/>
  <c r="C1449" i="1"/>
  <c r="E1449" i="1" s="1"/>
  <c r="C1450" i="1"/>
  <c r="E1450" i="1" s="1"/>
  <c r="C1451" i="1"/>
  <c r="E1451" i="1" s="1"/>
  <c r="C1452" i="1"/>
  <c r="E1452" i="1" s="1"/>
  <c r="C1453" i="1"/>
  <c r="E1453" i="1" s="1"/>
  <c r="C1454" i="1"/>
  <c r="E1454" i="1" s="1"/>
  <c r="C1455" i="1"/>
  <c r="E1455" i="1" s="1"/>
  <c r="C1456" i="1"/>
  <c r="E1456" i="1" s="1"/>
  <c r="C1457" i="1"/>
  <c r="E1457" i="1" s="1"/>
  <c r="C1458" i="1"/>
  <c r="E1458" i="1" s="1"/>
  <c r="C1459" i="1"/>
  <c r="E1459" i="1" s="1"/>
  <c r="C1460" i="1"/>
  <c r="E1460" i="1" s="1"/>
  <c r="C1461" i="1"/>
  <c r="E1461" i="1" s="1"/>
  <c r="C1462" i="1"/>
  <c r="E1462" i="1" s="1"/>
  <c r="C1463" i="1"/>
  <c r="E1463" i="1" s="1"/>
  <c r="C1464" i="1"/>
  <c r="E1464" i="1" s="1"/>
  <c r="C1465" i="1"/>
  <c r="E1465" i="1" s="1"/>
  <c r="C1466" i="1"/>
  <c r="E1466" i="1" s="1"/>
  <c r="C1467" i="1"/>
  <c r="E1467" i="1" s="1"/>
  <c r="C1468" i="1"/>
  <c r="E1468" i="1" s="1"/>
  <c r="C1469" i="1"/>
  <c r="E1469" i="1" s="1"/>
  <c r="C1470" i="1"/>
  <c r="E1470" i="1" s="1"/>
  <c r="C1471" i="1"/>
  <c r="E1471" i="1" s="1"/>
  <c r="C1472" i="1"/>
  <c r="E1472" i="1" s="1"/>
  <c r="C1473" i="1"/>
  <c r="E1473" i="1" s="1"/>
  <c r="C1474" i="1"/>
  <c r="E1474" i="1" s="1"/>
  <c r="C1475" i="1"/>
  <c r="E1475" i="1" s="1"/>
  <c r="C1476" i="1"/>
  <c r="E1476" i="1" s="1"/>
  <c r="C1477" i="1"/>
  <c r="E1477" i="1" s="1"/>
  <c r="C1478" i="1"/>
  <c r="E1478" i="1" s="1"/>
  <c r="C1479" i="1"/>
  <c r="E1479" i="1" s="1"/>
  <c r="C1480" i="1"/>
  <c r="E1480" i="1" s="1"/>
  <c r="C1481" i="1"/>
  <c r="E1481" i="1" s="1"/>
  <c r="C1482" i="1"/>
  <c r="E1482" i="1" s="1"/>
  <c r="C1483" i="1"/>
  <c r="E1483" i="1" s="1"/>
  <c r="C1484" i="1"/>
  <c r="E1484" i="1" s="1"/>
  <c r="C1485" i="1"/>
  <c r="E1485" i="1" s="1"/>
  <c r="C1486" i="1"/>
  <c r="E1486" i="1" s="1"/>
  <c r="C1487" i="1"/>
  <c r="E1487" i="1" s="1"/>
  <c r="C1488" i="1"/>
  <c r="E1488" i="1" s="1"/>
  <c r="C1489" i="1"/>
  <c r="E1489" i="1" s="1"/>
  <c r="C1490" i="1"/>
  <c r="E1490" i="1" s="1"/>
  <c r="C1491" i="1"/>
  <c r="E1491" i="1" s="1"/>
  <c r="C1492" i="1"/>
  <c r="E1492" i="1" s="1"/>
  <c r="C1493" i="1"/>
  <c r="E1493" i="1" s="1"/>
  <c r="C1494" i="1"/>
  <c r="E1494" i="1" s="1"/>
  <c r="C1495" i="1"/>
  <c r="C1496" i="1"/>
  <c r="E1496" i="1" s="1"/>
  <c r="C1497" i="1"/>
  <c r="E1497" i="1" s="1"/>
  <c r="C1498" i="1"/>
  <c r="E1498" i="1" s="1"/>
  <c r="C1499" i="1"/>
  <c r="E1499" i="1" s="1"/>
  <c r="C1500" i="1"/>
  <c r="E1500" i="1" s="1"/>
  <c r="C1501" i="1"/>
  <c r="E1501" i="1" s="1"/>
  <c r="C1502" i="1"/>
  <c r="E1502" i="1" s="1"/>
  <c r="C1503" i="1"/>
  <c r="E1503" i="1" s="1"/>
  <c r="C1504" i="1"/>
  <c r="E1504" i="1" s="1"/>
  <c r="C1505" i="1"/>
  <c r="E1505" i="1" s="1"/>
  <c r="C1506" i="1"/>
  <c r="E1506" i="1" s="1"/>
  <c r="C1507" i="1"/>
  <c r="E1507" i="1" s="1"/>
  <c r="C1508" i="1"/>
  <c r="E1508" i="1" s="1"/>
  <c r="C1509" i="1"/>
  <c r="E1509" i="1" s="1"/>
  <c r="C1510" i="1"/>
  <c r="E1510" i="1" s="1"/>
  <c r="C1511" i="1"/>
  <c r="E1511" i="1" s="1"/>
  <c r="C1512" i="1"/>
  <c r="E1512" i="1" s="1"/>
  <c r="C1513" i="1"/>
  <c r="E1513" i="1" s="1"/>
  <c r="C1514" i="1"/>
  <c r="E1514" i="1" s="1"/>
  <c r="C1515" i="1"/>
  <c r="E1515" i="1" s="1"/>
  <c r="C1516" i="1"/>
  <c r="E1516" i="1" s="1"/>
  <c r="C1517" i="1"/>
  <c r="E1517" i="1" s="1"/>
  <c r="C1518" i="1"/>
  <c r="E1518" i="1" s="1"/>
  <c r="C1519" i="1"/>
  <c r="E1519" i="1" s="1"/>
  <c r="C1520" i="1"/>
  <c r="E1520" i="1" s="1"/>
  <c r="C1521" i="1"/>
  <c r="E1521" i="1" s="1"/>
  <c r="C1522" i="1"/>
  <c r="E1522" i="1" s="1"/>
  <c r="C1523" i="1"/>
  <c r="E1523" i="1" s="1"/>
  <c r="C1524" i="1"/>
  <c r="E1524" i="1" s="1"/>
  <c r="C1525" i="1"/>
  <c r="E1525" i="1" s="1"/>
  <c r="C1526" i="1"/>
  <c r="E1526" i="1" s="1"/>
  <c r="C1527" i="1"/>
  <c r="E1527" i="1" s="1"/>
  <c r="C1528" i="1"/>
  <c r="E1528" i="1" s="1"/>
  <c r="C1529" i="1"/>
  <c r="E1529" i="1" s="1"/>
  <c r="C1530" i="1"/>
  <c r="E1530" i="1" s="1"/>
  <c r="C1531" i="1"/>
  <c r="E1531" i="1" s="1"/>
  <c r="C1532" i="1"/>
  <c r="E1532" i="1" s="1"/>
  <c r="C1533" i="1"/>
  <c r="E1533" i="1" s="1"/>
  <c r="C1534" i="1"/>
  <c r="E1534" i="1" s="1"/>
  <c r="C1535" i="1"/>
  <c r="E1535" i="1" s="1"/>
  <c r="C1536" i="1"/>
  <c r="E1536" i="1" s="1"/>
  <c r="C1537" i="1"/>
  <c r="E1537" i="1" s="1"/>
  <c r="C1538" i="1"/>
  <c r="E1538" i="1" s="1"/>
  <c r="C1539" i="1"/>
  <c r="E1539" i="1" s="1"/>
  <c r="C1540" i="1"/>
  <c r="E1540" i="1" s="1"/>
  <c r="C1541" i="1"/>
  <c r="E1541" i="1" s="1"/>
  <c r="C1542" i="1"/>
  <c r="E1542" i="1" s="1"/>
  <c r="C1543" i="1"/>
  <c r="C1544" i="1"/>
  <c r="E1544" i="1" s="1"/>
  <c r="C1545" i="1"/>
  <c r="E1545" i="1" s="1"/>
  <c r="C1546" i="1"/>
  <c r="E1546" i="1" s="1"/>
  <c r="C1547" i="1"/>
  <c r="E1547" i="1" s="1"/>
  <c r="C1548" i="1"/>
  <c r="E1548" i="1" s="1"/>
  <c r="C1549" i="1"/>
  <c r="E1549" i="1" s="1"/>
  <c r="C1550" i="1"/>
  <c r="E1550" i="1" s="1"/>
  <c r="C1551" i="1"/>
  <c r="E1551" i="1" s="1"/>
  <c r="C1552" i="1"/>
  <c r="E1552" i="1" s="1"/>
  <c r="C1553" i="1"/>
  <c r="E1553" i="1" s="1"/>
  <c r="C1554" i="1"/>
  <c r="E1554" i="1" s="1"/>
  <c r="C1555" i="1"/>
  <c r="E1555" i="1" s="1"/>
  <c r="C1556" i="1"/>
  <c r="E1556" i="1" s="1"/>
  <c r="C1557" i="1"/>
  <c r="E1557" i="1" s="1"/>
  <c r="C1558" i="1"/>
  <c r="E1558" i="1" s="1"/>
  <c r="C1559" i="1"/>
  <c r="E1559" i="1" s="1"/>
  <c r="C1560" i="1"/>
  <c r="E1560" i="1" s="1"/>
  <c r="C1561" i="1"/>
  <c r="E1561" i="1" s="1"/>
  <c r="C1562" i="1"/>
  <c r="E1562" i="1" s="1"/>
  <c r="C1563" i="1"/>
  <c r="E1563" i="1" s="1"/>
  <c r="C1564" i="1"/>
  <c r="E1564" i="1" s="1"/>
  <c r="C1565" i="1"/>
  <c r="E1565" i="1" s="1"/>
  <c r="C1566" i="1"/>
  <c r="E1566" i="1" s="1"/>
  <c r="C1567" i="1"/>
  <c r="E1567" i="1" s="1"/>
  <c r="C1568" i="1"/>
  <c r="E1568" i="1" s="1"/>
  <c r="C1569" i="1"/>
  <c r="E1569" i="1" s="1"/>
  <c r="C1570" i="1"/>
  <c r="E1570" i="1" s="1"/>
  <c r="C1571" i="1"/>
  <c r="E1571" i="1" s="1"/>
  <c r="C1572" i="1"/>
  <c r="E1572" i="1" s="1"/>
  <c r="C1573" i="1"/>
  <c r="E1573" i="1" s="1"/>
  <c r="C1574" i="1"/>
  <c r="E1574" i="1" s="1"/>
  <c r="C1575" i="1"/>
  <c r="E1575" i="1" s="1"/>
  <c r="C1576" i="1"/>
  <c r="E1576" i="1" s="1"/>
  <c r="C1577" i="1"/>
  <c r="E1577" i="1" s="1"/>
  <c r="C1578" i="1"/>
  <c r="E1578" i="1" s="1"/>
  <c r="C1579" i="1"/>
  <c r="E1579" i="1" s="1"/>
  <c r="C1580" i="1"/>
  <c r="E1580" i="1" s="1"/>
  <c r="C1581" i="1"/>
  <c r="E1581" i="1" s="1"/>
  <c r="C1582" i="1"/>
  <c r="E1582" i="1" s="1"/>
  <c r="C1583" i="1"/>
  <c r="E1583" i="1" s="1"/>
  <c r="C1584" i="1"/>
  <c r="E1584" i="1" s="1"/>
  <c r="C1585" i="1"/>
  <c r="E1585" i="1" s="1"/>
  <c r="C1586" i="1"/>
  <c r="E1586" i="1" s="1"/>
  <c r="C1587" i="1"/>
  <c r="E1587" i="1" s="1"/>
  <c r="C1588" i="1"/>
  <c r="E1588" i="1" s="1"/>
  <c r="C1589" i="1"/>
  <c r="E1589" i="1" s="1"/>
  <c r="C1590" i="1"/>
  <c r="E1590" i="1" s="1"/>
  <c r="C1591" i="1"/>
  <c r="C1592" i="1"/>
  <c r="E1592" i="1" s="1"/>
  <c r="C1593" i="1"/>
  <c r="E1593" i="1" s="1"/>
  <c r="C1594" i="1"/>
  <c r="E1594" i="1" s="1"/>
  <c r="C1595" i="1"/>
  <c r="E1595" i="1" s="1"/>
  <c r="C1596" i="1"/>
  <c r="E1596" i="1" s="1"/>
  <c r="C1597" i="1"/>
  <c r="E1597" i="1" s="1"/>
  <c r="C1598" i="1"/>
  <c r="E1598" i="1" s="1"/>
  <c r="C1599" i="1"/>
  <c r="E1599" i="1" s="1"/>
  <c r="C1600" i="1"/>
  <c r="E1600" i="1" s="1"/>
  <c r="C1601" i="1"/>
  <c r="E1601" i="1" s="1"/>
  <c r="C1602" i="1"/>
  <c r="E1602" i="1" s="1"/>
  <c r="C1603" i="1"/>
  <c r="E1603" i="1" s="1"/>
  <c r="C1604" i="1"/>
  <c r="E1604" i="1" s="1"/>
  <c r="C1605" i="1"/>
  <c r="E1605" i="1" s="1"/>
  <c r="C1606" i="1"/>
  <c r="E1606" i="1" s="1"/>
  <c r="C1607" i="1"/>
  <c r="E1607" i="1" s="1"/>
  <c r="C1608" i="1"/>
  <c r="E1608" i="1" s="1"/>
  <c r="C1609" i="1"/>
  <c r="E1609" i="1" s="1"/>
  <c r="C1610" i="1"/>
  <c r="E1610" i="1" s="1"/>
  <c r="C1611" i="1"/>
  <c r="E1611" i="1" s="1"/>
  <c r="C1612" i="1"/>
  <c r="E1612" i="1" s="1"/>
  <c r="C1613" i="1"/>
  <c r="E1613" i="1" s="1"/>
  <c r="C1614" i="1"/>
  <c r="E1614" i="1" s="1"/>
  <c r="C1615" i="1"/>
  <c r="E1615" i="1" s="1"/>
  <c r="C1616" i="1"/>
  <c r="E1616" i="1" s="1"/>
  <c r="C1617" i="1"/>
  <c r="E1617" i="1" s="1"/>
  <c r="C1618" i="1"/>
  <c r="E1618" i="1" s="1"/>
  <c r="C1619" i="1"/>
  <c r="E1619" i="1" s="1"/>
  <c r="C1620" i="1"/>
  <c r="E1620" i="1" s="1"/>
  <c r="C1621" i="1"/>
  <c r="E1621" i="1" s="1"/>
  <c r="C1622" i="1"/>
  <c r="E1622" i="1" s="1"/>
  <c r="C1623" i="1"/>
  <c r="E1623" i="1" s="1"/>
  <c r="C1624" i="1"/>
  <c r="E1624" i="1" s="1"/>
  <c r="C1625" i="1"/>
  <c r="E1625" i="1" s="1"/>
  <c r="C1626" i="1"/>
  <c r="E1626" i="1" s="1"/>
  <c r="C1627" i="1"/>
  <c r="E1627" i="1" s="1"/>
  <c r="C1628" i="1"/>
  <c r="E1628" i="1" s="1"/>
  <c r="C1629" i="1"/>
  <c r="E1629" i="1" s="1"/>
  <c r="C1630" i="1"/>
  <c r="E1630" i="1" s="1"/>
  <c r="C1631" i="1"/>
  <c r="E1631" i="1" s="1"/>
  <c r="C1632" i="1"/>
  <c r="E1632" i="1" s="1"/>
  <c r="C1633" i="1"/>
  <c r="E1633" i="1" s="1"/>
  <c r="C1634" i="1"/>
  <c r="E1634" i="1" s="1"/>
  <c r="C1635" i="1"/>
  <c r="E1635" i="1" s="1"/>
  <c r="C1636" i="1"/>
  <c r="E1636" i="1" s="1"/>
  <c r="C1637" i="1"/>
  <c r="E1637" i="1" s="1"/>
  <c r="C1638" i="1"/>
  <c r="E1638" i="1" s="1"/>
  <c r="C1639" i="1"/>
  <c r="C1640" i="1"/>
  <c r="E1640" i="1" s="1"/>
  <c r="C1641" i="1"/>
  <c r="E1641" i="1" s="1"/>
  <c r="C1642" i="1"/>
  <c r="E1642" i="1" s="1"/>
  <c r="C1643" i="1"/>
  <c r="E1643" i="1" s="1"/>
  <c r="C1644" i="1"/>
  <c r="E1644" i="1" s="1"/>
  <c r="C1645" i="1"/>
  <c r="E1645" i="1" s="1"/>
  <c r="C1646" i="1"/>
  <c r="E1646" i="1" s="1"/>
  <c r="C1647" i="1"/>
  <c r="E1647" i="1" s="1"/>
  <c r="C1648" i="1"/>
  <c r="E1648" i="1" s="1"/>
  <c r="C1649" i="1"/>
  <c r="E1649" i="1" s="1"/>
  <c r="C1650" i="1"/>
  <c r="E1650" i="1" s="1"/>
  <c r="C1651" i="1"/>
  <c r="E1651" i="1" s="1"/>
  <c r="C1652" i="1"/>
  <c r="E1652" i="1" s="1"/>
  <c r="C1653" i="1"/>
  <c r="E1653" i="1" s="1"/>
  <c r="C1654" i="1"/>
  <c r="E1654" i="1" s="1"/>
  <c r="C1655" i="1"/>
  <c r="E1655" i="1" s="1"/>
  <c r="C1656" i="1"/>
  <c r="E1656" i="1" s="1"/>
  <c r="C1657" i="1"/>
  <c r="E1657" i="1" s="1"/>
  <c r="C1658" i="1"/>
  <c r="E1658" i="1" s="1"/>
  <c r="C1659" i="1"/>
  <c r="E1659" i="1" s="1"/>
  <c r="C1660" i="1"/>
  <c r="E1660" i="1" s="1"/>
  <c r="C1661" i="1"/>
  <c r="E1661" i="1" s="1"/>
  <c r="C1662" i="1"/>
  <c r="E1662" i="1" s="1"/>
  <c r="C1663" i="1"/>
  <c r="E1663" i="1" s="1"/>
  <c r="C1664" i="1"/>
  <c r="E1664" i="1" s="1"/>
  <c r="C1665" i="1"/>
  <c r="E1665" i="1" s="1"/>
  <c r="C1666" i="1"/>
  <c r="E1666" i="1" s="1"/>
  <c r="C1667" i="1"/>
  <c r="E1667" i="1" s="1"/>
  <c r="C1668" i="1"/>
  <c r="E1668" i="1" s="1"/>
  <c r="C1669" i="1"/>
  <c r="E1669" i="1" s="1"/>
  <c r="C1670" i="1"/>
  <c r="E1670" i="1" s="1"/>
  <c r="C1671" i="1"/>
  <c r="E1671" i="1" s="1"/>
  <c r="C1672" i="1"/>
  <c r="E1672" i="1" s="1"/>
  <c r="C1673" i="1"/>
  <c r="E1673" i="1" s="1"/>
  <c r="C1674" i="1"/>
  <c r="E1674" i="1" s="1"/>
  <c r="C1675" i="1"/>
  <c r="E1675" i="1" s="1"/>
  <c r="C1676" i="1"/>
  <c r="E1676" i="1" s="1"/>
  <c r="C1677" i="1"/>
  <c r="E1677" i="1" s="1"/>
  <c r="C1678" i="1"/>
  <c r="E1678" i="1" s="1"/>
  <c r="C1679" i="1"/>
  <c r="E1679" i="1" s="1"/>
  <c r="C1680" i="1"/>
  <c r="E1680" i="1" s="1"/>
  <c r="C1681" i="1"/>
  <c r="E1681" i="1" s="1"/>
  <c r="C1682" i="1"/>
  <c r="E1682" i="1" s="1"/>
  <c r="C1683" i="1"/>
  <c r="E1683" i="1" s="1"/>
  <c r="C1684" i="1"/>
  <c r="E1684" i="1" s="1"/>
  <c r="C1685" i="1"/>
  <c r="E1685" i="1" s="1"/>
  <c r="C1686" i="1"/>
  <c r="E1686" i="1" s="1"/>
  <c r="C1687" i="1"/>
  <c r="C1688" i="1"/>
  <c r="E1688" i="1" s="1"/>
  <c r="C1689" i="1"/>
  <c r="E1689" i="1" s="1"/>
  <c r="C1690" i="1"/>
  <c r="E1690" i="1" s="1"/>
  <c r="C1691" i="1"/>
  <c r="E1691" i="1" s="1"/>
  <c r="C1692" i="1"/>
  <c r="E1692" i="1" s="1"/>
  <c r="C1693" i="1"/>
  <c r="E1693" i="1" s="1"/>
  <c r="C1694" i="1"/>
  <c r="E1694" i="1" s="1"/>
  <c r="C1695" i="1"/>
  <c r="E1695" i="1" s="1"/>
  <c r="C1696" i="1"/>
  <c r="E1696" i="1" s="1"/>
  <c r="C1697" i="1"/>
  <c r="E1697" i="1" s="1"/>
  <c r="C1698" i="1"/>
  <c r="E1698" i="1" s="1"/>
  <c r="C1699" i="1"/>
  <c r="E1699" i="1" s="1"/>
  <c r="C1700" i="1"/>
  <c r="E1700" i="1" s="1"/>
  <c r="C1701" i="1"/>
  <c r="E1701" i="1" s="1"/>
  <c r="C1702" i="1"/>
  <c r="E1702" i="1" s="1"/>
  <c r="C1703" i="1"/>
  <c r="E1703" i="1" s="1"/>
  <c r="C1704" i="1"/>
  <c r="E1704" i="1" s="1"/>
  <c r="C1705" i="1"/>
  <c r="E1705" i="1" s="1"/>
  <c r="C1706" i="1"/>
  <c r="E1706" i="1" s="1"/>
  <c r="C1707" i="1"/>
  <c r="E1707" i="1" s="1"/>
  <c r="C1708" i="1"/>
  <c r="E1708" i="1" s="1"/>
  <c r="C1709" i="1"/>
  <c r="E1709" i="1" s="1"/>
  <c r="C1710" i="1"/>
  <c r="E1710" i="1" s="1"/>
  <c r="C1711" i="1"/>
  <c r="E1711" i="1" s="1"/>
  <c r="C1712" i="1"/>
  <c r="E1712" i="1" s="1"/>
  <c r="C1713" i="1"/>
  <c r="E1713" i="1" s="1"/>
  <c r="C1714" i="1"/>
  <c r="E1714" i="1" s="1"/>
  <c r="C1715" i="1"/>
  <c r="E1715" i="1" s="1"/>
  <c r="C1716" i="1"/>
  <c r="E1716" i="1" s="1"/>
  <c r="C1717" i="1"/>
  <c r="E1717" i="1" s="1"/>
  <c r="C1718" i="1"/>
  <c r="E1718" i="1" s="1"/>
  <c r="C1719" i="1"/>
  <c r="E1719" i="1" s="1"/>
  <c r="C1720" i="1"/>
  <c r="E1720" i="1" s="1"/>
  <c r="C1721" i="1"/>
  <c r="E1721" i="1" s="1"/>
  <c r="C1722" i="1"/>
  <c r="E1722" i="1" s="1"/>
  <c r="C1723" i="1"/>
  <c r="E1723" i="1" s="1"/>
  <c r="C1724" i="1"/>
  <c r="E1724" i="1" s="1"/>
  <c r="C1725" i="1"/>
  <c r="E1725" i="1" s="1"/>
  <c r="C1726" i="1"/>
  <c r="E1726" i="1" s="1"/>
  <c r="C1727" i="1"/>
  <c r="E1727" i="1" s="1"/>
  <c r="C1728" i="1"/>
  <c r="E1728" i="1" s="1"/>
  <c r="C1729" i="1"/>
  <c r="E1729" i="1" s="1"/>
  <c r="C1730" i="1"/>
  <c r="E1730" i="1" s="1"/>
  <c r="C1731" i="1"/>
  <c r="E1731" i="1" s="1"/>
  <c r="C1732" i="1"/>
  <c r="E1732" i="1" s="1"/>
  <c r="C1733" i="1"/>
  <c r="E1733" i="1" s="1"/>
  <c r="C1734" i="1"/>
  <c r="E1734" i="1" s="1"/>
  <c r="C1735" i="1"/>
  <c r="C1736" i="1"/>
  <c r="E1736" i="1" s="1"/>
  <c r="C1737" i="1"/>
  <c r="E1737" i="1" s="1"/>
  <c r="C1738" i="1"/>
  <c r="E1738" i="1" s="1"/>
  <c r="C1739" i="1"/>
  <c r="E1739" i="1" s="1"/>
  <c r="C1740" i="1"/>
  <c r="E1740" i="1" s="1"/>
  <c r="C1741" i="1"/>
  <c r="E1741" i="1" s="1"/>
  <c r="C1742" i="1"/>
  <c r="E1742" i="1" s="1"/>
  <c r="C1743" i="1"/>
  <c r="E1743" i="1" s="1"/>
  <c r="C1744" i="1"/>
  <c r="E1744" i="1" s="1"/>
  <c r="C1745" i="1"/>
  <c r="E1745" i="1" s="1"/>
  <c r="C1746" i="1"/>
  <c r="E1746" i="1" s="1"/>
  <c r="C1747" i="1"/>
  <c r="E1747" i="1" s="1"/>
  <c r="C1748" i="1"/>
  <c r="E1748" i="1" s="1"/>
  <c r="C1749" i="1"/>
  <c r="E1749" i="1" s="1"/>
  <c r="C1750" i="1"/>
  <c r="E1750" i="1" s="1"/>
  <c r="C1751" i="1"/>
  <c r="E1751" i="1" s="1"/>
  <c r="C1752" i="1"/>
  <c r="E1752" i="1" s="1"/>
  <c r="C1753" i="1"/>
  <c r="E1753" i="1" s="1"/>
  <c r="C1754" i="1"/>
  <c r="E1754" i="1" s="1"/>
  <c r="C1755" i="1"/>
  <c r="E1755" i="1" s="1"/>
  <c r="C1756" i="1"/>
  <c r="E1756" i="1" s="1"/>
  <c r="C1757" i="1"/>
  <c r="E1757" i="1" s="1"/>
  <c r="C1758" i="1"/>
  <c r="E1758" i="1" s="1"/>
  <c r="C1759" i="1"/>
  <c r="E1759" i="1" s="1"/>
  <c r="C1760" i="1"/>
  <c r="E1760" i="1" s="1"/>
  <c r="C1761" i="1"/>
  <c r="E1761" i="1" s="1"/>
  <c r="C1762" i="1"/>
  <c r="E1762" i="1" s="1"/>
  <c r="C1763" i="1"/>
  <c r="E1763" i="1" s="1"/>
  <c r="C1764" i="1"/>
  <c r="E1764" i="1" s="1"/>
  <c r="C1765" i="1"/>
  <c r="E1765" i="1" s="1"/>
  <c r="C1766" i="1"/>
  <c r="E1766" i="1" s="1"/>
  <c r="C1767" i="1"/>
  <c r="E1767" i="1" s="1"/>
  <c r="C1768" i="1"/>
  <c r="E1768" i="1" s="1"/>
  <c r="C1769" i="1"/>
  <c r="E1769" i="1" s="1"/>
  <c r="C1770" i="1"/>
  <c r="E1770" i="1" s="1"/>
  <c r="C1771" i="1"/>
  <c r="E1771" i="1" s="1"/>
  <c r="C1772" i="1"/>
  <c r="E1772" i="1" s="1"/>
  <c r="C1773" i="1"/>
  <c r="E1773" i="1" s="1"/>
  <c r="C1774" i="1"/>
  <c r="E1774" i="1" s="1"/>
  <c r="C1775" i="1"/>
  <c r="E1775" i="1" s="1"/>
  <c r="C1776" i="1"/>
  <c r="E1776" i="1" s="1"/>
  <c r="C1777" i="1"/>
  <c r="E1777" i="1" s="1"/>
  <c r="C1778" i="1"/>
  <c r="E1778" i="1" s="1"/>
  <c r="C1779" i="1"/>
  <c r="E1779" i="1" s="1"/>
  <c r="C1780" i="1"/>
  <c r="E1780" i="1" s="1"/>
  <c r="C1781" i="1"/>
  <c r="E1781" i="1" s="1"/>
  <c r="C1782" i="1"/>
  <c r="E1782" i="1" s="1"/>
  <c r="C1783" i="1"/>
  <c r="C1784" i="1"/>
  <c r="E1784" i="1" s="1"/>
  <c r="C1785" i="1"/>
  <c r="E1785" i="1" s="1"/>
  <c r="C1786" i="1"/>
  <c r="E1786" i="1" s="1"/>
  <c r="C1787" i="1"/>
  <c r="E1787" i="1" s="1"/>
  <c r="C1788" i="1"/>
  <c r="E1788" i="1" s="1"/>
  <c r="C1789" i="1"/>
  <c r="E1789" i="1" s="1"/>
  <c r="C1790" i="1"/>
  <c r="E1790" i="1" s="1"/>
  <c r="C1791" i="1"/>
  <c r="E1791" i="1" s="1"/>
  <c r="C1792" i="1"/>
  <c r="E1792" i="1" s="1"/>
  <c r="C1793" i="1"/>
  <c r="E1793" i="1" s="1"/>
  <c r="C1794" i="1"/>
  <c r="E1794" i="1" s="1"/>
  <c r="C1795" i="1"/>
  <c r="E1795" i="1" s="1"/>
  <c r="C1796" i="1"/>
  <c r="E1796" i="1" s="1"/>
  <c r="C1797" i="1"/>
  <c r="E1797" i="1" s="1"/>
  <c r="C1798" i="1"/>
  <c r="E1798" i="1" s="1"/>
  <c r="C1799" i="1"/>
  <c r="E1799" i="1" s="1"/>
  <c r="C1800" i="1"/>
  <c r="E1800" i="1" s="1"/>
  <c r="C1801" i="1"/>
  <c r="E1801" i="1" s="1"/>
  <c r="C1802" i="1"/>
  <c r="E1802" i="1" s="1"/>
  <c r="C1803" i="1"/>
  <c r="E1803" i="1" s="1"/>
  <c r="C1804" i="1"/>
  <c r="E1804" i="1" s="1"/>
  <c r="C1805" i="1"/>
  <c r="E1805" i="1" s="1"/>
  <c r="C1806" i="1"/>
  <c r="E1806" i="1" s="1"/>
  <c r="C1807" i="1"/>
  <c r="E1807" i="1" s="1"/>
  <c r="C1808" i="1"/>
  <c r="E1808" i="1" s="1"/>
  <c r="C1809" i="1"/>
  <c r="E1809" i="1" s="1"/>
  <c r="C1810" i="1"/>
  <c r="E1810" i="1" s="1"/>
  <c r="C1811" i="1"/>
  <c r="E1811" i="1" s="1"/>
  <c r="C1812" i="1"/>
  <c r="E1812" i="1" s="1"/>
  <c r="C1813" i="1"/>
  <c r="E1813" i="1" s="1"/>
  <c r="C1814" i="1"/>
  <c r="E1814" i="1" s="1"/>
  <c r="C1815" i="1"/>
  <c r="E1815" i="1" s="1"/>
  <c r="C1816" i="1"/>
  <c r="E1816" i="1" s="1"/>
  <c r="C1817" i="1"/>
  <c r="E1817" i="1" s="1"/>
  <c r="C1818" i="1"/>
  <c r="E1818" i="1" s="1"/>
  <c r="C1819" i="1"/>
  <c r="E1819" i="1" s="1"/>
  <c r="C1820" i="1"/>
  <c r="E1820" i="1" s="1"/>
  <c r="C1821" i="1"/>
  <c r="E1821" i="1" s="1"/>
  <c r="C1822" i="1"/>
  <c r="E1822" i="1" s="1"/>
  <c r="C1823" i="1"/>
  <c r="E1823" i="1" s="1"/>
  <c r="C1824" i="1"/>
  <c r="C1825" i="1"/>
  <c r="E1825" i="1" s="1"/>
  <c r="C1826" i="1"/>
  <c r="E1826" i="1" s="1"/>
  <c r="C1827" i="1"/>
  <c r="E1827" i="1" s="1"/>
  <c r="C1828" i="1"/>
  <c r="E1828" i="1" s="1"/>
  <c r="C1829" i="1"/>
  <c r="E1829" i="1" s="1"/>
  <c r="C1830" i="1"/>
  <c r="E1830" i="1" s="1"/>
  <c r="C1831" i="1"/>
  <c r="E1831" i="1" s="1"/>
  <c r="C1832" i="1"/>
  <c r="E1832" i="1" s="1"/>
  <c r="C1833" i="1"/>
  <c r="E1833" i="1" s="1"/>
  <c r="C1834" i="1"/>
  <c r="E1834" i="1" s="1"/>
  <c r="C1835" i="1"/>
  <c r="E1835" i="1" s="1"/>
  <c r="C1836" i="1"/>
  <c r="E1836" i="1" s="1"/>
  <c r="C1837" i="1"/>
  <c r="E1837" i="1" s="1"/>
  <c r="C1838" i="1"/>
  <c r="E1838" i="1" s="1"/>
  <c r="C1839" i="1"/>
  <c r="C1840" i="1"/>
  <c r="E1840" i="1" s="1"/>
  <c r="C1841" i="1"/>
  <c r="E1841" i="1" s="1"/>
  <c r="C1842" i="1"/>
  <c r="E1842" i="1" s="1"/>
  <c r="C1843" i="1"/>
  <c r="E1843" i="1" s="1"/>
  <c r="C1844" i="1"/>
  <c r="E1844" i="1" s="1"/>
  <c r="C1845" i="1"/>
  <c r="E1845" i="1" s="1"/>
  <c r="C1846" i="1"/>
  <c r="E1846" i="1" s="1"/>
  <c r="C1847" i="1"/>
  <c r="E1847" i="1" s="1"/>
  <c r="C1848" i="1"/>
  <c r="E1848" i="1" s="1"/>
  <c r="C1849" i="1"/>
  <c r="E1849" i="1" s="1"/>
  <c r="C1850" i="1"/>
  <c r="E1850" i="1" s="1"/>
  <c r="C1851" i="1"/>
  <c r="E1851" i="1" s="1"/>
  <c r="C1852" i="1"/>
  <c r="C1853" i="1"/>
  <c r="E1853" i="1" s="1"/>
  <c r="C1854" i="1"/>
  <c r="E1854" i="1" s="1"/>
  <c r="C1855" i="1"/>
  <c r="E1855" i="1" s="1"/>
  <c r="C1856" i="1"/>
  <c r="E1856" i="1" s="1"/>
  <c r="C1857" i="1"/>
  <c r="E1857" i="1" s="1"/>
  <c r="C1858" i="1"/>
  <c r="E1858" i="1" s="1"/>
  <c r="C1859" i="1"/>
  <c r="E1859" i="1" s="1"/>
  <c r="C1860" i="1"/>
  <c r="E1860" i="1" s="1"/>
  <c r="C1861" i="1"/>
  <c r="E1861" i="1" s="1"/>
  <c r="C1862" i="1"/>
  <c r="E1862" i="1" s="1"/>
  <c r="C1863" i="1"/>
  <c r="E1863" i="1" s="1"/>
  <c r="C1864" i="1"/>
  <c r="C1865" i="1"/>
  <c r="E1865" i="1" s="1"/>
  <c r="C1866" i="1"/>
  <c r="E1866" i="1" s="1"/>
  <c r="C1867" i="1"/>
  <c r="E1867" i="1" s="1"/>
  <c r="C1868" i="1"/>
  <c r="E1868" i="1" s="1"/>
  <c r="C1869" i="1"/>
  <c r="E1869" i="1" s="1"/>
  <c r="C1870" i="1"/>
  <c r="E1870" i="1" s="1"/>
  <c r="C1871" i="1"/>
  <c r="E1871" i="1" s="1"/>
  <c r="C1872" i="1"/>
  <c r="E1872" i="1" s="1"/>
  <c r="C1873" i="1"/>
  <c r="E1873" i="1" s="1"/>
  <c r="C1874" i="1"/>
  <c r="E1874" i="1" s="1"/>
  <c r="C1875" i="1"/>
  <c r="E1875" i="1" s="1"/>
  <c r="C1876" i="1"/>
  <c r="C1877" i="1"/>
  <c r="E1877" i="1" s="1"/>
  <c r="C1878" i="1"/>
  <c r="E1878" i="1" s="1"/>
  <c r="C1879" i="1"/>
  <c r="E1879" i="1" s="1"/>
  <c r="C1880" i="1"/>
  <c r="E1880" i="1" s="1"/>
  <c r="C1881" i="1"/>
  <c r="E1881" i="1" s="1"/>
  <c r="C1882" i="1"/>
  <c r="E1882" i="1" s="1"/>
  <c r="C1883" i="1"/>
  <c r="E1883" i="1" s="1"/>
  <c r="C1884" i="1"/>
  <c r="E1884" i="1" s="1"/>
  <c r="C1885" i="1"/>
  <c r="E1885" i="1" s="1"/>
  <c r="C1886" i="1"/>
  <c r="E1886" i="1" s="1"/>
  <c r="C1887" i="1"/>
  <c r="E1887" i="1" s="1"/>
  <c r="C1888" i="1"/>
  <c r="C1889" i="1"/>
  <c r="E1889" i="1" s="1"/>
  <c r="C1890" i="1"/>
  <c r="E1890" i="1" s="1"/>
  <c r="C1891" i="1"/>
  <c r="E1891" i="1" s="1"/>
  <c r="C1892" i="1"/>
  <c r="E1892" i="1" s="1"/>
  <c r="C1893" i="1"/>
  <c r="E1893" i="1" s="1"/>
  <c r="C1894" i="1"/>
  <c r="E1894" i="1" s="1"/>
  <c r="C1895" i="1"/>
  <c r="E1895" i="1" s="1"/>
  <c r="C1896" i="1"/>
  <c r="E1896" i="1" s="1"/>
  <c r="C1897" i="1"/>
  <c r="E1897" i="1" s="1"/>
  <c r="C1898" i="1"/>
  <c r="E1898" i="1" s="1"/>
  <c r="C1899" i="1"/>
  <c r="E1899" i="1" s="1"/>
  <c r="C1900" i="1"/>
  <c r="C1901" i="1"/>
  <c r="E1901" i="1" s="1"/>
  <c r="C1902" i="1"/>
  <c r="E1902" i="1" s="1"/>
  <c r="C1903" i="1"/>
  <c r="E1903" i="1" s="1"/>
  <c r="C1904" i="1"/>
  <c r="E1904" i="1" s="1"/>
  <c r="C1905" i="1"/>
  <c r="E1905" i="1" s="1"/>
  <c r="C1906" i="1"/>
  <c r="E1906" i="1" s="1"/>
  <c r="C1907" i="1"/>
  <c r="E1907" i="1" s="1"/>
  <c r="C1908" i="1"/>
  <c r="E1908" i="1" s="1"/>
  <c r="C1909" i="1"/>
  <c r="E1909" i="1" s="1"/>
  <c r="C1910" i="1"/>
  <c r="E1910" i="1" s="1"/>
  <c r="C1911" i="1"/>
  <c r="E1911" i="1" s="1"/>
  <c r="C1912" i="1"/>
  <c r="C1913" i="1"/>
  <c r="E1913" i="1" s="1"/>
  <c r="C1914" i="1"/>
  <c r="E1914" i="1" s="1"/>
  <c r="C1915" i="1"/>
  <c r="E1915" i="1" s="1"/>
  <c r="C1916" i="1"/>
  <c r="E1916" i="1" s="1"/>
  <c r="C1917" i="1"/>
  <c r="E1917" i="1" s="1"/>
  <c r="C1918" i="1"/>
  <c r="E1918" i="1" s="1"/>
  <c r="C1919" i="1"/>
  <c r="E1919" i="1" s="1"/>
  <c r="C1920" i="1"/>
  <c r="E1920" i="1" s="1"/>
  <c r="C1921" i="1"/>
  <c r="E1921" i="1" s="1"/>
  <c r="C1922" i="1"/>
  <c r="E1922" i="1" s="1"/>
  <c r="C1923" i="1"/>
  <c r="E1923" i="1" s="1"/>
  <c r="C1924" i="1"/>
  <c r="C1925" i="1"/>
  <c r="E1925" i="1" s="1"/>
  <c r="C1926" i="1"/>
  <c r="E1926" i="1" s="1"/>
  <c r="C1927" i="1"/>
  <c r="E1927" i="1" s="1"/>
  <c r="C1928" i="1"/>
  <c r="E1928" i="1" s="1"/>
  <c r="C1929" i="1"/>
  <c r="E1929" i="1" s="1"/>
  <c r="C1930" i="1"/>
  <c r="E1930" i="1" s="1"/>
  <c r="C1931" i="1"/>
  <c r="E1931" i="1" s="1"/>
  <c r="C1932" i="1"/>
  <c r="E1932" i="1" s="1"/>
  <c r="C1933" i="1"/>
  <c r="E1933" i="1" s="1"/>
  <c r="C1934" i="1"/>
  <c r="E1934" i="1" s="1"/>
  <c r="C1935" i="1"/>
  <c r="E1935" i="1" s="1"/>
  <c r="C1936" i="1"/>
  <c r="C1937" i="1"/>
  <c r="E1937" i="1" s="1"/>
  <c r="C1938" i="1"/>
  <c r="E1938" i="1" s="1"/>
  <c r="C1939" i="1"/>
  <c r="E1939" i="1" s="1"/>
  <c r="C1940" i="1"/>
  <c r="E1940" i="1" s="1"/>
  <c r="C1941" i="1"/>
  <c r="E1941" i="1" s="1"/>
  <c r="C1942" i="1"/>
  <c r="E1942" i="1" s="1"/>
  <c r="C1943" i="1"/>
  <c r="E1943" i="1" s="1"/>
  <c r="C1944" i="1"/>
  <c r="E1944" i="1" s="1"/>
  <c r="C1945" i="1"/>
  <c r="E1945" i="1" s="1"/>
  <c r="C1946" i="1"/>
  <c r="E1946" i="1" s="1"/>
  <c r="C1947" i="1"/>
  <c r="E1947" i="1" s="1"/>
  <c r="C1948" i="1"/>
  <c r="C1949" i="1"/>
  <c r="E1949" i="1" s="1"/>
  <c r="C1950" i="1"/>
  <c r="E1950" i="1" s="1"/>
  <c r="C1951" i="1"/>
  <c r="E1951" i="1" s="1"/>
  <c r="C1952" i="1"/>
  <c r="E1952" i="1" s="1"/>
  <c r="C1953" i="1"/>
  <c r="E1953" i="1" s="1"/>
  <c r="C1954" i="1"/>
  <c r="E1954" i="1" s="1"/>
  <c r="C1955" i="1"/>
  <c r="E1955" i="1" s="1"/>
  <c r="C1956" i="1"/>
  <c r="E1956" i="1" s="1"/>
  <c r="C1957" i="1"/>
  <c r="E1957" i="1" s="1"/>
  <c r="C1958" i="1"/>
  <c r="E1958" i="1" s="1"/>
  <c r="C1959" i="1"/>
  <c r="E1959" i="1" s="1"/>
  <c r="C1960" i="1"/>
  <c r="C1961" i="1"/>
  <c r="E1961" i="1" s="1"/>
  <c r="C1962" i="1"/>
  <c r="E1962" i="1" s="1"/>
  <c r="C1963" i="1"/>
  <c r="E1963" i="1" s="1"/>
  <c r="C1964" i="1"/>
  <c r="E1964" i="1" s="1"/>
  <c r="C1965" i="1"/>
  <c r="E1965" i="1" s="1"/>
  <c r="C1966" i="1"/>
  <c r="E1966" i="1" s="1"/>
  <c r="C1967" i="1"/>
  <c r="E1967" i="1" s="1"/>
  <c r="C1968" i="1"/>
  <c r="E1968" i="1" s="1"/>
  <c r="C1969" i="1"/>
  <c r="E1969" i="1" s="1"/>
  <c r="C1970" i="1"/>
  <c r="E1970" i="1" s="1"/>
  <c r="C1971" i="1"/>
  <c r="E1971" i="1" s="1"/>
  <c r="C1972" i="1"/>
  <c r="C1973" i="1"/>
  <c r="E1973" i="1" s="1"/>
  <c r="C1974" i="1"/>
  <c r="E1974" i="1" s="1"/>
  <c r="C1975" i="1"/>
  <c r="E1975" i="1" s="1"/>
  <c r="C1976" i="1"/>
  <c r="E1976" i="1" s="1"/>
  <c r="C1977" i="1"/>
  <c r="E1977" i="1" s="1"/>
  <c r="C1978" i="1"/>
  <c r="E1978" i="1" s="1"/>
  <c r="C1979" i="1"/>
  <c r="E1979" i="1" s="1"/>
  <c r="C1980" i="1"/>
  <c r="E1980" i="1" s="1"/>
  <c r="C1981" i="1"/>
  <c r="E1981" i="1" s="1"/>
  <c r="C1982" i="1"/>
  <c r="E1982" i="1" s="1"/>
  <c r="C1983" i="1"/>
  <c r="E1983" i="1" s="1"/>
  <c r="C1984" i="1"/>
  <c r="C1985" i="1"/>
  <c r="E1985" i="1" s="1"/>
  <c r="C1986" i="1"/>
  <c r="E1986" i="1" s="1"/>
  <c r="C1987" i="1"/>
  <c r="E1987" i="1" s="1"/>
  <c r="C1988" i="1"/>
  <c r="E1988" i="1" s="1"/>
  <c r="C1989" i="1"/>
  <c r="E1989" i="1" s="1"/>
  <c r="C1990" i="1"/>
  <c r="E1990" i="1" s="1"/>
  <c r="C1991" i="1"/>
  <c r="E1991" i="1" s="1"/>
  <c r="C1992" i="1"/>
  <c r="E1992" i="1" s="1"/>
  <c r="C1993" i="1"/>
  <c r="E1993" i="1" s="1"/>
  <c r="C1994" i="1"/>
  <c r="E1994" i="1" s="1"/>
  <c r="C1995" i="1"/>
  <c r="E1995" i="1" s="1"/>
  <c r="C1996" i="1"/>
  <c r="C1997" i="1"/>
  <c r="E1997" i="1" s="1"/>
  <c r="C1998" i="1"/>
  <c r="E1998" i="1" s="1"/>
  <c r="C1999" i="1"/>
  <c r="E1999" i="1" s="1"/>
  <c r="C2000" i="1"/>
  <c r="E2000" i="1" s="1"/>
  <c r="C2001" i="1"/>
  <c r="E2001" i="1" s="1"/>
  <c r="C2002" i="1"/>
  <c r="E2002" i="1" s="1"/>
  <c r="C2003" i="1"/>
  <c r="E2003" i="1" s="1"/>
  <c r="C2004" i="1"/>
  <c r="E2004" i="1" s="1"/>
  <c r="C2005" i="1"/>
  <c r="E2005" i="1" s="1"/>
  <c r="C2006" i="1"/>
  <c r="E2006" i="1" s="1"/>
  <c r="C2007" i="1"/>
  <c r="E2007" i="1" s="1"/>
  <c r="C2008" i="1"/>
  <c r="C2009" i="1"/>
  <c r="E2009" i="1" s="1"/>
  <c r="C2010" i="1"/>
  <c r="E2010" i="1" s="1"/>
  <c r="C2011" i="1"/>
  <c r="E2011" i="1" s="1"/>
  <c r="C2012" i="1"/>
  <c r="E2012" i="1" s="1"/>
  <c r="C2013" i="1"/>
  <c r="E2013" i="1" s="1"/>
  <c r="C2014" i="1"/>
  <c r="E2014" i="1" s="1"/>
  <c r="C2015" i="1"/>
  <c r="E2015" i="1" s="1"/>
  <c r="C2016" i="1"/>
  <c r="E2016" i="1" s="1"/>
  <c r="C2017" i="1"/>
  <c r="E2017" i="1" s="1"/>
  <c r="C2018" i="1"/>
  <c r="E2018" i="1" s="1"/>
  <c r="C2019" i="1"/>
  <c r="E2019" i="1" s="1"/>
  <c r="C2020" i="1"/>
  <c r="C2021" i="1"/>
  <c r="E2021" i="1" s="1"/>
  <c r="C2022" i="1"/>
  <c r="E2022" i="1" s="1"/>
  <c r="C2023" i="1"/>
  <c r="E2023" i="1" s="1"/>
  <c r="C2024" i="1"/>
  <c r="E2024" i="1" s="1"/>
  <c r="C2025" i="1"/>
  <c r="E2025" i="1" s="1"/>
  <c r="C2026" i="1"/>
  <c r="E2026" i="1" s="1"/>
  <c r="C2027" i="1"/>
  <c r="E2027" i="1" s="1"/>
  <c r="C2028" i="1"/>
  <c r="E2028" i="1" s="1"/>
  <c r="C2029" i="1"/>
  <c r="E2029" i="1" s="1"/>
  <c r="C2030" i="1"/>
  <c r="E2030" i="1" s="1"/>
  <c r="C2031" i="1"/>
  <c r="E2031" i="1" s="1"/>
  <c r="C2032" i="1"/>
  <c r="C2033" i="1"/>
  <c r="E2033" i="1" s="1"/>
  <c r="C2034" i="1"/>
  <c r="E2034" i="1" s="1"/>
  <c r="C2035" i="1"/>
  <c r="E2035" i="1" s="1"/>
  <c r="C2036" i="1"/>
  <c r="E2036" i="1" s="1"/>
  <c r="C2037" i="1"/>
  <c r="E2037" i="1" s="1"/>
  <c r="C2038" i="1"/>
  <c r="E2038" i="1" s="1"/>
  <c r="C2039" i="1"/>
  <c r="E2039" i="1" s="1"/>
  <c r="C2040" i="1"/>
  <c r="E2040" i="1" s="1"/>
  <c r="C2041" i="1"/>
  <c r="E2041" i="1" s="1"/>
  <c r="C2042" i="1"/>
  <c r="E2042" i="1" s="1"/>
  <c r="C2043" i="1"/>
  <c r="E2043" i="1" s="1"/>
  <c r="C2044" i="1"/>
  <c r="C2045" i="1"/>
  <c r="E2045" i="1" s="1"/>
  <c r="C2046" i="1"/>
  <c r="E2046" i="1" s="1"/>
  <c r="C2047" i="1"/>
  <c r="E2047" i="1" s="1"/>
  <c r="C2048" i="1"/>
  <c r="E2048" i="1" s="1"/>
  <c r="C2049" i="1"/>
  <c r="E2049" i="1" s="1"/>
  <c r="C2050" i="1"/>
  <c r="E2050" i="1" s="1"/>
  <c r="C2051" i="1"/>
  <c r="E2051" i="1" s="1"/>
  <c r="C2052" i="1"/>
  <c r="E2052" i="1" s="1"/>
  <c r="C2053" i="1"/>
  <c r="E2053" i="1" s="1"/>
  <c r="C2054" i="1"/>
  <c r="E2054" i="1" s="1"/>
  <c r="C2055" i="1"/>
  <c r="E2055" i="1" s="1"/>
  <c r="C2056" i="1"/>
  <c r="C2057" i="1"/>
  <c r="E2057" i="1" s="1"/>
  <c r="C2058" i="1"/>
  <c r="E2058" i="1" s="1"/>
  <c r="C2059" i="1"/>
  <c r="E2059" i="1" s="1"/>
  <c r="C2060" i="1"/>
  <c r="E2060" i="1" s="1"/>
  <c r="C2061" i="1"/>
  <c r="E2061" i="1" s="1"/>
  <c r="C2062" i="1"/>
  <c r="E2062" i="1" s="1"/>
  <c r="C2063" i="1"/>
  <c r="E2063" i="1" s="1"/>
  <c r="C2064" i="1"/>
  <c r="E2064" i="1" s="1"/>
  <c r="C2065" i="1"/>
  <c r="E2065" i="1" s="1"/>
  <c r="C2066" i="1"/>
  <c r="E2066" i="1" s="1"/>
  <c r="C2067" i="1"/>
  <c r="E2067" i="1" s="1"/>
  <c r="C2068" i="1"/>
  <c r="C2069" i="1"/>
  <c r="E2069" i="1" s="1"/>
  <c r="C2070" i="1"/>
  <c r="E2070" i="1" s="1"/>
  <c r="C2071" i="1"/>
  <c r="E2071" i="1" s="1"/>
  <c r="C2072" i="1"/>
  <c r="E2072" i="1" s="1"/>
  <c r="C2073" i="1"/>
  <c r="E2073" i="1" s="1"/>
  <c r="C2074" i="1"/>
  <c r="E2074" i="1" s="1"/>
  <c r="C2075" i="1"/>
  <c r="E2075" i="1" s="1"/>
  <c r="C2076" i="1"/>
  <c r="E2076" i="1" s="1"/>
  <c r="C2077" i="1"/>
  <c r="E2077" i="1" s="1"/>
  <c r="C2078" i="1"/>
  <c r="E2078" i="1" s="1"/>
  <c r="C2079" i="1"/>
  <c r="E2079" i="1" s="1"/>
  <c r="C2080" i="1"/>
  <c r="C2081" i="1"/>
  <c r="E2081" i="1" s="1"/>
  <c r="C2082" i="1"/>
  <c r="E2082" i="1" s="1"/>
  <c r="C2083" i="1"/>
  <c r="E2083" i="1" s="1"/>
  <c r="C2084" i="1"/>
  <c r="E2084" i="1" s="1"/>
  <c r="C2085" i="1"/>
  <c r="E2085" i="1" s="1"/>
  <c r="C2086" i="1"/>
  <c r="E2086" i="1" s="1"/>
  <c r="C2087" i="1"/>
  <c r="E2087" i="1" s="1"/>
  <c r="C2088" i="1"/>
  <c r="E2088" i="1" s="1"/>
  <c r="C2089" i="1"/>
  <c r="E2089" i="1" s="1"/>
  <c r="C2090" i="1"/>
  <c r="E2090" i="1" s="1"/>
  <c r="C2091" i="1"/>
  <c r="E2091" i="1" s="1"/>
  <c r="C2092" i="1"/>
  <c r="C2093" i="1"/>
  <c r="E2093" i="1" s="1"/>
  <c r="C2094" i="1"/>
  <c r="E2094" i="1" s="1"/>
  <c r="C2095" i="1"/>
  <c r="E2095" i="1" s="1"/>
  <c r="C2096" i="1"/>
  <c r="E2096" i="1" s="1"/>
  <c r="C2097" i="1"/>
  <c r="E2097" i="1" s="1"/>
  <c r="C2098" i="1"/>
  <c r="E2098" i="1" s="1"/>
  <c r="C2099" i="1"/>
  <c r="E2099" i="1" s="1"/>
  <c r="C2100" i="1"/>
  <c r="E2100" i="1" s="1"/>
  <c r="C2101" i="1"/>
  <c r="E2101" i="1" s="1"/>
  <c r="C2102" i="1"/>
  <c r="E2102" i="1" s="1"/>
  <c r="C2103" i="1"/>
  <c r="E2103" i="1" s="1"/>
  <c r="C2104" i="1"/>
  <c r="C2105" i="1"/>
  <c r="E2105" i="1" s="1"/>
  <c r="C2106" i="1"/>
  <c r="E2106" i="1" s="1"/>
  <c r="C2107" i="1"/>
  <c r="E2107" i="1" s="1"/>
  <c r="C2108" i="1"/>
  <c r="E2108" i="1" s="1"/>
  <c r="C2109" i="1"/>
  <c r="E2109" i="1" s="1"/>
  <c r="C2110" i="1"/>
  <c r="E2110" i="1" s="1"/>
  <c r="C2111" i="1"/>
  <c r="E2111" i="1" s="1"/>
  <c r="C2112" i="1"/>
  <c r="E2112" i="1" s="1"/>
  <c r="C2113" i="1"/>
  <c r="E2113" i="1" s="1"/>
  <c r="C2114" i="1"/>
  <c r="E2114" i="1" s="1"/>
  <c r="C2115" i="1"/>
  <c r="E2115" i="1" s="1"/>
  <c r="C2116" i="1"/>
  <c r="C2117" i="1"/>
  <c r="E2117" i="1" s="1"/>
  <c r="C2118" i="1"/>
  <c r="E2118" i="1" s="1"/>
  <c r="C2119" i="1"/>
  <c r="E2119" i="1" s="1"/>
  <c r="C2120" i="1"/>
  <c r="E2120" i="1" s="1"/>
  <c r="C2121" i="1"/>
  <c r="E2121" i="1" s="1"/>
  <c r="C2122" i="1"/>
  <c r="E2122" i="1" s="1"/>
  <c r="C2123" i="1"/>
  <c r="E2123" i="1" s="1"/>
  <c r="C2124" i="1"/>
  <c r="E2124" i="1" s="1"/>
  <c r="C2125" i="1"/>
  <c r="E2125" i="1" s="1"/>
  <c r="C2126" i="1"/>
  <c r="E2126" i="1" s="1"/>
  <c r="C2127" i="1"/>
  <c r="E2127" i="1" s="1"/>
  <c r="C2128" i="1"/>
  <c r="C2129" i="1"/>
  <c r="E2129" i="1" s="1"/>
  <c r="C2130" i="1"/>
  <c r="E2130" i="1" s="1"/>
  <c r="C2131" i="1"/>
  <c r="E2131" i="1" s="1"/>
  <c r="C2132" i="1"/>
  <c r="E2132" i="1" s="1"/>
  <c r="C2133" i="1"/>
  <c r="E2133" i="1" s="1"/>
  <c r="C2134" i="1"/>
  <c r="E2134" i="1" s="1"/>
  <c r="C2135" i="1"/>
  <c r="E2135" i="1" s="1"/>
  <c r="C2136" i="1"/>
  <c r="E2136" i="1" s="1"/>
  <c r="C2137" i="1"/>
  <c r="E2137" i="1" s="1"/>
  <c r="C2138" i="1"/>
  <c r="E2138" i="1" s="1"/>
  <c r="C2139" i="1"/>
  <c r="E2139" i="1" s="1"/>
  <c r="C2140" i="1"/>
  <c r="C2141" i="1"/>
  <c r="E2141" i="1" s="1"/>
  <c r="C2142" i="1"/>
  <c r="E2142" i="1" s="1"/>
  <c r="C2143" i="1"/>
  <c r="E2143" i="1" s="1"/>
  <c r="C2144" i="1"/>
  <c r="E2144" i="1" s="1"/>
  <c r="C2145" i="1"/>
  <c r="E2145" i="1" s="1"/>
  <c r="C2146" i="1"/>
  <c r="E2146" i="1" s="1"/>
  <c r="C2147" i="1"/>
  <c r="E2147" i="1" s="1"/>
  <c r="C2148" i="1"/>
  <c r="E2148" i="1" s="1"/>
  <c r="C2149" i="1"/>
  <c r="E2149" i="1" s="1"/>
  <c r="C2150" i="1"/>
  <c r="E2150" i="1" s="1"/>
  <c r="C2151" i="1"/>
  <c r="E2151" i="1" s="1"/>
  <c r="C2152" i="1"/>
  <c r="C2153" i="1"/>
  <c r="E2153" i="1" s="1"/>
  <c r="C2154" i="1"/>
  <c r="E2154" i="1" s="1"/>
  <c r="C2155" i="1"/>
  <c r="E2155" i="1" s="1"/>
  <c r="C2156" i="1"/>
  <c r="E2156" i="1" s="1"/>
  <c r="C2157" i="1"/>
  <c r="E2157" i="1" s="1"/>
  <c r="C2158" i="1"/>
  <c r="E2158" i="1" s="1"/>
  <c r="C2159" i="1"/>
  <c r="E2159" i="1" s="1"/>
  <c r="C2160" i="1"/>
  <c r="E2160" i="1" s="1"/>
  <c r="C2161" i="1"/>
  <c r="E2161" i="1" s="1"/>
  <c r="C2162" i="1"/>
  <c r="E2162" i="1" s="1"/>
  <c r="C2163" i="1"/>
  <c r="E2163" i="1" s="1"/>
  <c r="C2164" i="1"/>
  <c r="C2165" i="1"/>
  <c r="E2165" i="1" s="1"/>
  <c r="C2166" i="1"/>
  <c r="E2166" i="1" s="1"/>
  <c r="C2167" i="1"/>
  <c r="E2167" i="1" s="1"/>
  <c r="C2168" i="1"/>
  <c r="E2168" i="1" s="1"/>
  <c r="C2169" i="1"/>
  <c r="E2169" i="1" s="1"/>
  <c r="C2170" i="1"/>
  <c r="E2170" i="1" s="1"/>
  <c r="C2171" i="1"/>
  <c r="E2171" i="1" s="1"/>
  <c r="C2172" i="1"/>
  <c r="E2172" i="1" s="1"/>
  <c r="C2173" i="1"/>
  <c r="E2173" i="1" s="1"/>
  <c r="C2174" i="1"/>
  <c r="E2174" i="1" s="1"/>
  <c r="C2175" i="1"/>
  <c r="E2175" i="1" s="1"/>
  <c r="C2176" i="1"/>
  <c r="C2177" i="1"/>
  <c r="E2177" i="1" s="1"/>
  <c r="C2178" i="1"/>
  <c r="E2178" i="1" s="1"/>
  <c r="C2179" i="1"/>
  <c r="E2179" i="1" s="1"/>
  <c r="C2180" i="1"/>
  <c r="E2180" i="1" s="1"/>
  <c r="C2181" i="1"/>
  <c r="E2181" i="1" s="1"/>
  <c r="C2182" i="1"/>
  <c r="E2182" i="1" s="1"/>
  <c r="C2183" i="1"/>
  <c r="E2183" i="1" s="1"/>
  <c r="C2184" i="1"/>
  <c r="E2184" i="1" s="1"/>
  <c r="C2185" i="1"/>
  <c r="E2185" i="1" s="1"/>
  <c r="C2186" i="1"/>
  <c r="E2186" i="1" s="1"/>
  <c r="C2187" i="1"/>
  <c r="E2187" i="1" s="1"/>
  <c r="C2188" i="1"/>
  <c r="C2189" i="1"/>
  <c r="E2189" i="1" s="1"/>
  <c r="C2190" i="1"/>
  <c r="E2190" i="1" s="1"/>
  <c r="C2191" i="1"/>
  <c r="E2191" i="1" s="1"/>
  <c r="C2192" i="1"/>
  <c r="E2192" i="1" s="1"/>
  <c r="C2193" i="1"/>
  <c r="E2193" i="1" s="1"/>
  <c r="C2194" i="1"/>
  <c r="E2194" i="1" s="1"/>
  <c r="C2195" i="1"/>
  <c r="E2195" i="1" s="1"/>
  <c r="C2196" i="1"/>
  <c r="E2196" i="1" s="1"/>
  <c r="C2197" i="1"/>
  <c r="E2197" i="1" s="1"/>
  <c r="C2198" i="1"/>
  <c r="E2198" i="1" s="1"/>
  <c r="C2199" i="1"/>
  <c r="E2199" i="1" s="1"/>
  <c r="C2200" i="1"/>
  <c r="C2201" i="1"/>
  <c r="E2201" i="1" s="1"/>
  <c r="C2202" i="1"/>
  <c r="E2202" i="1" s="1"/>
  <c r="C2203" i="1"/>
  <c r="E2203" i="1" s="1"/>
  <c r="C2204" i="1"/>
  <c r="E2204" i="1" s="1"/>
  <c r="C2205" i="1"/>
  <c r="E2205" i="1" s="1"/>
  <c r="C2206" i="1"/>
  <c r="E2206" i="1" s="1"/>
  <c r="C2207" i="1"/>
  <c r="E2207" i="1" s="1"/>
  <c r="C2208" i="1"/>
  <c r="E2208" i="1" s="1"/>
  <c r="C2209" i="1"/>
  <c r="E2209" i="1" s="1"/>
  <c r="C2210" i="1"/>
  <c r="E2210" i="1" s="1"/>
  <c r="C2211" i="1"/>
  <c r="E2211" i="1" s="1"/>
  <c r="C2212" i="1"/>
  <c r="C2213" i="1"/>
  <c r="E2213" i="1" s="1"/>
  <c r="C2214" i="1"/>
  <c r="E2214" i="1" s="1"/>
  <c r="C2215" i="1"/>
  <c r="E2215" i="1" s="1"/>
  <c r="C2216" i="1"/>
  <c r="E2216" i="1" s="1"/>
  <c r="C2217" i="1"/>
  <c r="E2217" i="1" s="1"/>
  <c r="C2218" i="1"/>
  <c r="E2218" i="1" s="1"/>
  <c r="C2219" i="1"/>
  <c r="E2219" i="1" s="1"/>
  <c r="C2220" i="1"/>
  <c r="E2220" i="1" s="1"/>
  <c r="C2221" i="1"/>
  <c r="E2221" i="1" s="1"/>
  <c r="C2222" i="1"/>
  <c r="E2222" i="1" s="1"/>
  <c r="C2223" i="1"/>
  <c r="E2223" i="1" s="1"/>
  <c r="C2224" i="1"/>
  <c r="C2225" i="1"/>
  <c r="E2225" i="1" s="1"/>
  <c r="C2226" i="1"/>
  <c r="E2226" i="1" s="1"/>
  <c r="C2227" i="1"/>
  <c r="E2227" i="1" s="1"/>
  <c r="C2228" i="1"/>
  <c r="E2228" i="1" s="1"/>
  <c r="C2229" i="1"/>
  <c r="E2229" i="1" s="1"/>
  <c r="C2230" i="1"/>
  <c r="E2230" i="1" s="1"/>
  <c r="C2231" i="1"/>
  <c r="E2231" i="1" s="1"/>
  <c r="C2232" i="1"/>
  <c r="E2232" i="1" s="1"/>
  <c r="C2233" i="1"/>
  <c r="E2233" i="1" s="1"/>
  <c r="C2234" i="1"/>
  <c r="E2234" i="1" s="1"/>
  <c r="C2235" i="1"/>
  <c r="E2235" i="1" s="1"/>
  <c r="C2236" i="1"/>
  <c r="C2237" i="1"/>
  <c r="E2237" i="1" s="1"/>
  <c r="C2238" i="1"/>
  <c r="E2238" i="1" s="1"/>
  <c r="C2239" i="1"/>
  <c r="E2239" i="1" s="1"/>
  <c r="C2240" i="1"/>
  <c r="E2240" i="1" s="1"/>
  <c r="C2241" i="1"/>
  <c r="E2241" i="1" s="1"/>
  <c r="C2242" i="1"/>
  <c r="E2242" i="1" s="1"/>
  <c r="C2243" i="1"/>
  <c r="E2243" i="1" s="1"/>
  <c r="C2244" i="1"/>
  <c r="E2244" i="1" s="1"/>
  <c r="C2245" i="1"/>
  <c r="E2245" i="1" s="1"/>
  <c r="C2246" i="1"/>
  <c r="E2246" i="1" s="1"/>
  <c r="C2247" i="1"/>
  <c r="E2247" i="1" s="1"/>
  <c r="C2248" i="1"/>
  <c r="C2249" i="1"/>
  <c r="E2249" i="1" s="1"/>
  <c r="C2250" i="1"/>
  <c r="E2250" i="1" s="1"/>
  <c r="C2251" i="1"/>
  <c r="E2251" i="1" s="1"/>
  <c r="C2252" i="1"/>
  <c r="E2252" i="1" s="1"/>
  <c r="C2253" i="1"/>
  <c r="E2253" i="1" s="1"/>
  <c r="C2254" i="1"/>
  <c r="E2254" i="1" s="1"/>
  <c r="C2255" i="1"/>
  <c r="E2255" i="1" s="1"/>
  <c r="C2256" i="1"/>
  <c r="E2256" i="1" s="1"/>
  <c r="C2257" i="1"/>
  <c r="E2257" i="1" s="1"/>
  <c r="C2258" i="1"/>
  <c r="E2258" i="1" s="1"/>
  <c r="C2259" i="1"/>
  <c r="E2259" i="1" s="1"/>
  <c r="C2260" i="1"/>
  <c r="C2261" i="1"/>
  <c r="E2261" i="1" s="1"/>
  <c r="C2262" i="1"/>
  <c r="E2262" i="1" s="1"/>
  <c r="C2263" i="1"/>
  <c r="E2263" i="1" s="1"/>
  <c r="C2264" i="1"/>
  <c r="E2264" i="1" s="1"/>
  <c r="C2265" i="1"/>
  <c r="E2265" i="1" s="1"/>
  <c r="C2266" i="1"/>
  <c r="E2266" i="1" s="1"/>
  <c r="C2267" i="1"/>
  <c r="E2267" i="1" s="1"/>
  <c r="C2268" i="1"/>
  <c r="E2268" i="1" s="1"/>
  <c r="C2269" i="1"/>
  <c r="E2269" i="1" s="1"/>
  <c r="C2270" i="1"/>
  <c r="E2270" i="1" s="1"/>
  <c r="C2271" i="1"/>
  <c r="E2271" i="1" s="1"/>
  <c r="C2272" i="1"/>
  <c r="C2273" i="1"/>
  <c r="E2273" i="1" s="1"/>
  <c r="C2274" i="1"/>
  <c r="E2274" i="1" s="1"/>
  <c r="C2275" i="1"/>
  <c r="E2275" i="1" s="1"/>
  <c r="C2276" i="1"/>
  <c r="E2276" i="1" s="1"/>
  <c r="C2277" i="1"/>
  <c r="E2277" i="1" s="1"/>
  <c r="C2278" i="1"/>
  <c r="E2278" i="1" s="1"/>
  <c r="C2279" i="1"/>
  <c r="E2279" i="1" s="1"/>
  <c r="C2280" i="1"/>
  <c r="E2280" i="1" s="1"/>
  <c r="C2281" i="1"/>
  <c r="E2281" i="1" s="1"/>
  <c r="C2282" i="1"/>
  <c r="E2282" i="1" s="1"/>
  <c r="C2283" i="1"/>
  <c r="E2283" i="1" s="1"/>
  <c r="C2284" i="1"/>
  <c r="C2285" i="1"/>
  <c r="E2285" i="1" s="1"/>
  <c r="C2286" i="1"/>
  <c r="E2286" i="1" s="1"/>
  <c r="C2287" i="1"/>
  <c r="E2287" i="1" s="1"/>
  <c r="C2288" i="1"/>
  <c r="E2288" i="1" s="1"/>
  <c r="C2289" i="1"/>
  <c r="E2289" i="1" s="1"/>
  <c r="C2290" i="1"/>
  <c r="E2290" i="1" s="1"/>
  <c r="C2291" i="1"/>
  <c r="E2291" i="1" s="1"/>
  <c r="C2292" i="1"/>
  <c r="E2292" i="1" s="1"/>
  <c r="C2293" i="1"/>
  <c r="E2293" i="1" s="1"/>
  <c r="C2294" i="1"/>
  <c r="E2294" i="1" s="1"/>
  <c r="C2295" i="1"/>
  <c r="E2295" i="1" s="1"/>
  <c r="C2296" i="1"/>
  <c r="C2297" i="1"/>
  <c r="E2297" i="1" s="1"/>
  <c r="C2298" i="1"/>
  <c r="E2298" i="1" s="1"/>
  <c r="C2299" i="1"/>
  <c r="E2299" i="1" s="1"/>
  <c r="C2300" i="1"/>
  <c r="E2300" i="1" s="1"/>
  <c r="C2301" i="1"/>
  <c r="E2301" i="1" s="1"/>
  <c r="C2302" i="1"/>
  <c r="E2302" i="1" s="1"/>
  <c r="C2303" i="1"/>
  <c r="E2303" i="1" s="1"/>
  <c r="C2304" i="1"/>
  <c r="E2304" i="1" s="1"/>
  <c r="C2305" i="1"/>
  <c r="E2305" i="1" s="1"/>
  <c r="C2306" i="1"/>
  <c r="E2306" i="1" s="1"/>
  <c r="C2307" i="1"/>
  <c r="E2307" i="1" s="1"/>
  <c r="C2308" i="1"/>
  <c r="C2309" i="1"/>
  <c r="E2309" i="1" s="1"/>
  <c r="C2310" i="1"/>
  <c r="E2310" i="1" s="1"/>
  <c r="C2311" i="1"/>
  <c r="E2311" i="1" s="1"/>
  <c r="C2312" i="1"/>
  <c r="E2312" i="1" s="1"/>
  <c r="C2313" i="1"/>
  <c r="E2313" i="1" s="1"/>
  <c r="C2314" i="1"/>
  <c r="E2314" i="1" s="1"/>
  <c r="C2315" i="1"/>
  <c r="E2315" i="1" s="1"/>
  <c r="C2316" i="1"/>
  <c r="E2316" i="1" s="1"/>
  <c r="C2317" i="1"/>
  <c r="E2317" i="1" s="1"/>
  <c r="C2318" i="1"/>
  <c r="E2318" i="1" s="1"/>
  <c r="C2319" i="1"/>
  <c r="E2319" i="1" s="1"/>
  <c r="C2320" i="1"/>
  <c r="C2321" i="1"/>
  <c r="E2321" i="1" s="1"/>
  <c r="C2322" i="1"/>
  <c r="E2322" i="1" s="1"/>
  <c r="C2323" i="1"/>
  <c r="E2323" i="1" s="1"/>
  <c r="C2324" i="1"/>
  <c r="E2324" i="1" s="1"/>
  <c r="C2325" i="1"/>
  <c r="E2325" i="1" s="1"/>
  <c r="C2326" i="1"/>
  <c r="E2326" i="1" s="1"/>
  <c r="C2327" i="1"/>
  <c r="E2327" i="1" s="1"/>
  <c r="C2328" i="1"/>
  <c r="E2328" i="1" s="1"/>
  <c r="C2329" i="1"/>
  <c r="E2329" i="1" s="1"/>
  <c r="C2330" i="1"/>
  <c r="E2330" i="1" s="1"/>
  <c r="C2331" i="1"/>
  <c r="E2331" i="1" s="1"/>
  <c r="C2332" i="1"/>
  <c r="C2333" i="1"/>
  <c r="E2333" i="1" s="1"/>
  <c r="C2334" i="1"/>
  <c r="E2334" i="1" s="1"/>
  <c r="C2335" i="1"/>
  <c r="E2335" i="1" s="1"/>
  <c r="C2336" i="1"/>
  <c r="E2336" i="1" s="1"/>
  <c r="C2337" i="1"/>
  <c r="E2337" i="1" s="1"/>
  <c r="C2338" i="1"/>
  <c r="E2338" i="1" s="1"/>
  <c r="C2339" i="1"/>
  <c r="E2339" i="1" s="1"/>
  <c r="C2340" i="1"/>
  <c r="E2340" i="1" s="1"/>
  <c r="C2341" i="1"/>
  <c r="E2341" i="1" s="1"/>
  <c r="C2342" i="1"/>
  <c r="E2342" i="1" s="1"/>
  <c r="C2343" i="1"/>
  <c r="E2343" i="1" s="1"/>
  <c r="C2344" i="1"/>
  <c r="C2345" i="1"/>
  <c r="E2345" i="1" s="1"/>
  <c r="C2346" i="1"/>
  <c r="E2346" i="1" s="1"/>
  <c r="C2347" i="1"/>
  <c r="E2347" i="1" s="1"/>
  <c r="C2348" i="1"/>
  <c r="E2348" i="1" s="1"/>
  <c r="C2349" i="1"/>
  <c r="E2349" i="1" s="1"/>
  <c r="C2350" i="1"/>
  <c r="E2350" i="1" s="1"/>
  <c r="C2351" i="1"/>
  <c r="E2351" i="1" s="1"/>
  <c r="C2352" i="1"/>
  <c r="E2352" i="1" s="1"/>
  <c r="C2353" i="1"/>
  <c r="E2353" i="1" s="1"/>
  <c r="C2354" i="1"/>
  <c r="E2354" i="1" s="1"/>
  <c r="C2355" i="1"/>
  <c r="E2355" i="1" s="1"/>
  <c r="C2356" i="1"/>
  <c r="C2357" i="1"/>
  <c r="E2357" i="1" s="1"/>
  <c r="C2358" i="1"/>
  <c r="E2358" i="1" s="1"/>
  <c r="C2359" i="1"/>
  <c r="E2359" i="1" s="1"/>
  <c r="C2360" i="1"/>
  <c r="E2360" i="1" s="1"/>
  <c r="C2361" i="1"/>
  <c r="E2361" i="1" s="1"/>
  <c r="C2362" i="1"/>
  <c r="E2362" i="1" s="1"/>
  <c r="C2363" i="1"/>
  <c r="E2363" i="1" s="1"/>
  <c r="C2364" i="1"/>
  <c r="E2364" i="1" s="1"/>
  <c r="C2365" i="1"/>
  <c r="E2365" i="1" s="1"/>
  <c r="C2366" i="1"/>
  <c r="E2366" i="1" s="1"/>
  <c r="C2367" i="1"/>
  <c r="E2367" i="1" s="1"/>
  <c r="C2368" i="1"/>
  <c r="C2369" i="1"/>
  <c r="E2369" i="1" s="1"/>
  <c r="C2370" i="1"/>
  <c r="E2370" i="1" s="1"/>
  <c r="C2371" i="1"/>
  <c r="E2371" i="1" s="1"/>
  <c r="C2372" i="1"/>
  <c r="E2372" i="1" s="1"/>
  <c r="C2373" i="1"/>
  <c r="E2373" i="1" s="1"/>
  <c r="C2374" i="1"/>
  <c r="E2374" i="1" s="1"/>
  <c r="C2375" i="1"/>
  <c r="E2375" i="1" s="1"/>
  <c r="C2376" i="1"/>
  <c r="E2376" i="1" s="1"/>
  <c r="C2377" i="1"/>
  <c r="E2377" i="1" s="1"/>
  <c r="C2378" i="1"/>
  <c r="E2378" i="1" s="1"/>
  <c r="C2379" i="1"/>
  <c r="E2379" i="1" s="1"/>
  <c r="C2380" i="1"/>
  <c r="C2381" i="1"/>
  <c r="E2381" i="1" s="1"/>
  <c r="C2382" i="1"/>
  <c r="E2382" i="1" s="1"/>
  <c r="C2383" i="1"/>
  <c r="E2383" i="1" s="1"/>
  <c r="C2384" i="1"/>
  <c r="E2384" i="1" s="1"/>
  <c r="C2385" i="1"/>
  <c r="E2385" i="1" s="1"/>
  <c r="C2386" i="1"/>
  <c r="E2386" i="1" s="1"/>
  <c r="C2387" i="1"/>
  <c r="E2387" i="1" s="1"/>
  <c r="C2388" i="1"/>
  <c r="E2388" i="1" s="1"/>
  <c r="C2389" i="1"/>
  <c r="E2389" i="1" s="1"/>
  <c r="C2390" i="1"/>
  <c r="E2390" i="1" s="1"/>
  <c r="C2391" i="1"/>
  <c r="E2391" i="1" s="1"/>
  <c r="C2392" i="1"/>
  <c r="C2393" i="1"/>
  <c r="E2393" i="1" s="1"/>
  <c r="C2394" i="1"/>
  <c r="E2394" i="1" s="1"/>
  <c r="C2395" i="1"/>
  <c r="E2395" i="1" s="1"/>
  <c r="C2396" i="1"/>
  <c r="E2396" i="1" s="1"/>
  <c r="C2397" i="1"/>
  <c r="E2397" i="1" s="1"/>
  <c r="C2398" i="1"/>
  <c r="E2398" i="1" s="1"/>
  <c r="C2399" i="1"/>
  <c r="E2399" i="1" s="1"/>
  <c r="C2400" i="1"/>
  <c r="E2400" i="1" s="1"/>
  <c r="C2401" i="1"/>
  <c r="E2401" i="1" s="1"/>
  <c r="C2402" i="1"/>
  <c r="E2402" i="1" s="1"/>
  <c r="C2403" i="1"/>
  <c r="E2403" i="1" s="1"/>
  <c r="C2404" i="1"/>
  <c r="C2405" i="1"/>
  <c r="E2405" i="1" s="1"/>
  <c r="C2406" i="1"/>
  <c r="E2406" i="1" s="1"/>
  <c r="C2407" i="1"/>
  <c r="E2407" i="1" s="1"/>
  <c r="C2408" i="1"/>
  <c r="E2408" i="1" s="1"/>
  <c r="C2409" i="1"/>
  <c r="E2409" i="1" s="1"/>
  <c r="C2410" i="1"/>
  <c r="E2410" i="1" s="1"/>
  <c r="C2411" i="1"/>
  <c r="E2411" i="1" s="1"/>
  <c r="C2412" i="1"/>
  <c r="E2412" i="1" s="1"/>
  <c r="C2413" i="1"/>
  <c r="E2413" i="1" s="1"/>
  <c r="C2414" i="1"/>
  <c r="E2414" i="1" s="1"/>
  <c r="C2415" i="1"/>
  <c r="E2415" i="1" s="1"/>
  <c r="C2416" i="1"/>
  <c r="C2417" i="1"/>
  <c r="E2417" i="1" s="1"/>
  <c r="C2418" i="1"/>
  <c r="E2418" i="1" s="1"/>
  <c r="C2419" i="1"/>
  <c r="E2419" i="1" s="1"/>
  <c r="C2420" i="1"/>
  <c r="E2420" i="1" s="1"/>
  <c r="C2421" i="1"/>
  <c r="E2421" i="1" s="1"/>
  <c r="C2422" i="1"/>
  <c r="E2422" i="1" s="1"/>
  <c r="C2423" i="1"/>
  <c r="E2423" i="1" s="1"/>
  <c r="C2424" i="1"/>
  <c r="E2424" i="1" s="1"/>
  <c r="C2425" i="1"/>
  <c r="E2425" i="1" s="1"/>
  <c r="C2426" i="1"/>
  <c r="E2426" i="1" s="1"/>
  <c r="C2427" i="1"/>
  <c r="E2427" i="1" s="1"/>
  <c r="C2428" i="1"/>
  <c r="C2429" i="1"/>
  <c r="E2429" i="1" s="1"/>
  <c r="C2430" i="1"/>
  <c r="E2430" i="1" s="1"/>
  <c r="C2431" i="1"/>
  <c r="E2431" i="1" s="1"/>
  <c r="C2432" i="1"/>
  <c r="E2432" i="1" s="1"/>
  <c r="C2433" i="1"/>
  <c r="E2433" i="1" s="1"/>
  <c r="C2434" i="1"/>
  <c r="E2434" i="1" s="1"/>
  <c r="C2435" i="1"/>
  <c r="E2435" i="1" s="1"/>
  <c r="C2436" i="1"/>
  <c r="E2436" i="1" s="1"/>
  <c r="C2437" i="1"/>
  <c r="E2437" i="1" s="1"/>
  <c r="C2438" i="1"/>
  <c r="E2438" i="1" s="1"/>
  <c r="C2439" i="1"/>
  <c r="E2439" i="1" s="1"/>
  <c r="C2440" i="1"/>
  <c r="C2441" i="1"/>
  <c r="E2441" i="1" s="1"/>
  <c r="C2442" i="1"/>
  <c r="E2442" i="1" s="1"/>
  <c r="C2443" i="1"/>
  <c r="E2443" i="1" s="1"/>
  <c r="C2444" i="1"/>
  <c r="E2444" i="1" s="1"/>
  <c r="C2445" i="1"/>
  <c r="E2445" i="1" s="1"/>
  <c r="C2446" i="1"/>
  <c r="E2446" i="1" s="1"/>
  <c r="C2447" i="1"/>
  <c r="E2447" i="1" s="1"/>
  <c r="C2448" i="1"/>
  <c r="E2448" i="1" s="1"/>
  <c r="C2449" i="1"/>
  <c r="E2449" i="1" s="1"/>
  <c r="C2450" i="1"/>
  <c r="E2450" i="1" s="1"/>
  <c r="C2451" i="1"/>
  <c r="E2451" i="1" s="1"/>
  <c r="C2452" i="1"/>
  <c r="C2453" i="1"/>
  <c r="E2453" i="1" s="1"/>
  <c r="C2454" i="1"/>
  <c r="E2454" i="1" s="1"/>
  <c r="C2455" i="1"/>
  <c r="E2455" i="1" s="1"/>
  <c r="C2456" i="1"/>
  <c r="E2456" i="1" s="1"/>
  <c r="C2457" i="1"/>
  <c r="E2457" i="1" s="1"/>
  <c r="C2458" i="1"/>
  <c r="E2458" i="1" s="1"/>
  <c r="C2459" i="1"/>
  <c r="E2459" i="1" s="1"/>
  <c r="C2460" i="1"/>
  <c r="E2460" i="1" s="1"/>
  <c r="C2461" i="1"/>
  <c r="E2461" i="1" s="1"/>
  <c r="C2462" i="1"/>
  <c r="E2462" i="1" s="1"/>
  <c r="C2463" i="1"/>
  <c r="E2463" i="1" s="1"/>
  <c r="C2464" i="1"/>
  <c r="C2465" i="1"/>
  <c r="E2465" i="1" s="1"/>
  <c r="C2466" i="1"/>
  <c r="E2466" i="1" s="1"/>
  <c r="C2467" i="1"/>
  <c r="E2467" i="1" s="1"/>
  <c r="C2468" i="1"/>
  <c r="E2468" i="1" s="1"/>
  <c r="C2469" i="1"/>
  <c r="E2469" i="1" s="1"/>
  <c r="C2470" i="1"/>
  <c r="E2470" i="1" s="1"/>
  <c r="C2471" i="1"/>
  <c r="E2471" i="1" s="1"/>
  <c r="C2472" i="1"/>
  <c r="E2472" i="1" s="1"/>
  <c r="C2473" i="1"/>
  <c r="E2473" i="1" s="1"/>
  <c r="C2474" i="1"/>
  <c r="E2474" i="1" s="1"/>
  <c r="C2475" i="1"/>
  <c r="E2475" i="1" s="1"/>
  <c r="C2476" i="1"/>
  <c r="C2477" i="1"/>
  <c r="E2477" i="1" s="1"/>
  <c r="C2478" i="1"/>
  <c r="E2478" i="1" s="1"/>
  <c r="N11" i="11"/>
  <c r="B250" i="6"/>
  <c r="BD189" i="6" l="1"/>
  <c r="B132" i="6" l="1"/>
  <c r="N37" i="14" l="1"/>
  <c r="N36" i="14"/>
  <c r="N35" i="14"/>
  <c r="N34" i="14"/>
  <c r="N33" i="14"/>
  <c r="N32" i="14"/>
  <c r="N31" i="14"/>
  <c r="N30" i="14"/>
  <c r="N29" i="14"/>
  <c r="M37" i="14"/>
  <c r="M36" i="14"/>
  <c r="M35" i="14"/>
  <c r="M34" i="14"/>
  <c r="M33" i="14"/>
  <c r="M32" i="14"/>
  <c r="M31" i="14"/>
  <c r="M30" i="14"/>
  <c r="M29" i="14"/>
  <c r="N16" i="14"/>
  <c r="N15" i="14"/>
  <c r="N14" i="14"/>
  <c r="M16" i="14"/>
  <c r="M15" i="14"/>
  <c r="M14" i="14"/>
  <c r="N8" i="13"/>
  <c r="M8" i="13"/>
  <c r="M8" i="14"/>
  <c r="N21" i="13"/>
  <c r="N20" i="13"/>
  <c r="N19" i="13"/>
  <c r="N18" i="13"/>
  <c r="N17" i="13"/>
  <c r="N16" i="13"/>
  <c r="M21" i="13"/>
  <c r="M20" i="13"/>
  <c r="M19" i="13"/>
  <c r="M18" i="13"/>
  <c r="M17" i="13"/>
  <c r="M16" i="13"/>
  <c r="N11" i="13"/>
  <c r="M11" i="13"/>
  <c r="N29" i="11"/>
  <c r="N28" i="11"/>
  <c r="N27" i="11"/>
  <c r="N26" i="11"/>
  <c r="N25" i="11"/>
  <c r="N24" i="11"/>
  <c r="M29" i="11"/>
  <c r="M28" i="11"/>
  <c r="M27" i="11"/>
  <c r="M26" i="11"/>
  <c r="M25" i="11"/>
  <c r="M24" i="11"/>
  <c r="N19" i="11"/>
  <c r="N18" i="11"/>
  <c r="N17" i="11"/>
  <c r="N16" i="11"/>
  <c r="M19" i="11"/>
  <c r="M18" i="11"/>
  <c r="M17" i="11"/>
  <c r="M16" i="11"/>
  <c r="N15" i="11"/>
  <c r="M15" i="11"/>
  <c r="B300" i="6" l="1"/>
  <c r="Z126" i="6" l="1"/>
  <c r="AT114" i="6"/>
  <c r="AL114" i="6"/>
  <c r="V122" i="6"/>
  <c r="AT82" i="6"/>
  <c r="B299" i="6" l="1"/>
  <c r="B37" i="6"/>
  <c r="AD158" i="6" l="1"/>
  <c r="AD157" i="6"/>
  <c r="AD156" i="6"/>
  <c r="AD155" i="6"/>
  <c r="AP125" i="6"/>
  <c r="AP124" i="6"/>
  <c r="AP123" i="6"/>
  <c r="AP122" i="6"/>
  <c r="AP121" i="6"/>
  <c r="AF125" i="6"/>
  <c r="AF124" i="6"/>
  <c r="AF123" i="6"/>
  <c r="AF122" i="6"/>
  <c r="AF121" i="6"/>
  <c r="V123" i="6"/>
  <c r="V121" i="6"/>
  <c r="BD149" i="6" l="1"/>
  <c r="AT125" i="6"/>
  <c r="AJ126" i="6"/>
  <c r="AT110" i="6"/>
  <c r="AL112" i="6"/>
  <c r="AL115" i="6" s="1"/>
  <c r="AD112" i="6"/>
  <c r="V112" i="6"/>
  <c r="P126" i="6" l="1"/>
  <c r="BD126" i="6" s="1"/>
  <c r="N11" i="14"/>
  <c r="M11" i="14"/>
  <c r="N10" i="14"/>
  <c r="M10" i="14"/>
  <c r="N8" i="14"/>
  <c r="N6" i="14"/>
  <c r="M6" i="14"/>
  <c r="N5" i="14"/>
  <c r="M5" i="14"/>
  <c r="N6" i="13"/>
  <c r="M6" i="13"/>
  <c r="N5" i="13"/>
  <c r="M5" i="13"/>
  <c r="V137" i="6" l="1"/>
  <c r="V134" i="6"/>
  <c r="V135" i="6"/>
  <c r="N12" i="11"/>
  <c r="M12" i="11"/>
  <c r="M11" i="11"/>
  <c r="N8" i="11"/>
  <c r="M8" i="11"/>
  <c r="N6" i="11"/>
  <c r="M6" i="11"/>
  <c r="N5" i="11"/>
  <c r="M5" i="11"/>
  <c r="N20" i="14" l="1"/>
  <c r="M20" i="14"/>
  <c r="M28" i="14"/>
  <c r="N28" i="14"/>
  <c r="N7" i="14" l="1"/>
  <c r="M7" i="14"/>
  <c r="N13" i="14"/>
  <c r="M13" i="14"/>
  <c r="N4" i="14"/>
  <c r="M4" i="14"/>
  <c r="C3" i="14"/>
  <c r="N9" i="14" l="1"/>
  <c r="M9" i="14"/>
  <c r="N7" i="13"/>
  <c r="M7" i="13"/>
  <c r="N10" i="13"/>
  <c r="M10" i="13"/>
  <c r="N4" i="13"/>
  <c r="M4" i="13"/>
  <c r="C3" i="13"/>
  <c r="M4" i="11" l="1"/>
  <c r="N7" i="11" l="1"/>
  <c r="M7" i="11"/>
  <c r="N9" i="11" l="1"/>
  <c r="M9" i="11"/>
  <c r="N10" i="11"/>
  <c r="M10" i="11"/>
  <c r="C3" i="11" l="1"/>
  <c r="M14" i="11"/>
  <c r="N14" i="11"/>
  <c r="N4" i="11"/>
  <c r="AP86" i="6" l="1"/>
  <c r="AL86" i="6"/>
  <c r="AH86" i="6"/>
  <c r="AD86" i="6"/>
  <c r="Z86" i="6"/>
  <c r="V86" i="6"/>
  <c r="BD147" i="6" l="1"/>
  <c r="AT135" i="6"/>
  <c r="B133" i="6"/>
  <c r="BD143" i="6" l="1"/>
  <c r="B143" i="6"/>
  <c r="BD52" i="6" l="1"/>
  <c r="BD146" i="6" l="1"/>
  <c r="AT80" i="6"/>
  <c r="BD198" i="6" l="1"/>
  <c r="BD197" i="6" l="1"/>
  <c r="BD324" i="6" l="1"/>
  <c r="BD314" i="6" l="1"/>
  <c r="BD312" i="6" l="1"/>
  <c r="C220" i="6" l="1"/>
  <c r="BD216" i="6"/>
  <c r="BD142" i="6" l="1"/>
  <c r="B134" i="6" l="1"/>
  <c r="BD322" i="6" l="1"/>
  <c r="B207" i="6" l="1"/>
  <c r="B206" i="6"/>
  <c r="B205" i="6" l="1"/>
  <c r="B204" i="6"/>
  <c r="AJ130" i="6" l="1"/>
  <c r="B251" i="6" l="1"/>
  <c r="BD132" i="6" l="1"/>
  <c r="B306" i="6" l="1"/>
  <c r="BD305" i="6"/>
  <c r="AT42" i="6" l="1"/>
  <c r="BD42" i="6" s="1"/>
  <c r="AT124" i="6" l="1"/>
  <c r="H239" i="6" l="1"/>
  <c r="BD240" i="6" s="1"/>
  <c r="BD215" i="6"/>
  <c r="C216" i="6"/>
  <c r="BD210" i="6" l="1"/>
  <c r="C219" i="6" l="1"/>
  <c r="B311" i="6"/>
  <c r="BD310" i="6"/>
  <c r="BD309" i="6"/>
  <c r="B308" i="6"/>
  <c r="V132" i="6" l="1"/>
  <c r="BD209" i="6"/>
  <c r="BD208" i="6"/>
  <c r="AX79" i="6" l="1"/>
  <c r="AX80" i="6"/>
  <c r="AX81" i="6"/>
  <c r="AX82" i="6"/>
  <c r="AX83" i="6"/>
  <c r="AX84" i="6"/>
  <c r="AX85" i="6"/>
  <c r="AT84" i="6"/>
  <c r="AT85" i="6"/>
  <c r="AT83" i="6"/>
  <c r="AT79" i="6"/>
  <c r="AT81" i="6"/>
  <c r="AX78" i="6"/>
  <c r="AT78" i="6"/>
  <c r="AU92" i="6" l="1"/>
  <c r="AX86" i="6"/>
  <c r="AT86" i="6"/>
  <c r="AT132" i="6"/>
  <c r="AT133" i="6"/>
  <c r="AT134" i="6"/>
  <c r="AT137" i="6"/>
  <c r="Z130" i="6"/>
  <c r="Z139" i="6" s="1"/>
  <c r="AT138" i="6"/>
  <c r="AJ139" i="6" l="1"/>
  <c r="AT131" i="6"/>
  <c r="AT126" i="6"/>
  <c r="BD134" i="6" s="1"/>
  <c r="AT122" i="6"/>
  <c r="AT123" i="6"/>
  <c r="AT121" i="6"/>
  <c r="AF138" i="6"/>
  <c r="AF137" i="6"/>
  <c r="AF134" i="6"/>
  <c r="AF133" i="6"/>
  <c r="AF132" i="6"/>
  <c r="AF131" i="6"/>
  <c r="AF130" i="6"/>
  <c r="V131" i="6"/>
  <c r="V133" i="6"/>
  <c r="AP132" i="6" l="1"/>
  <c r="AP133" i="6"/>
  <c r="AP134" i="6"/>
  <c r="AP137" i="6"/>
  <c r="AP131" i="6"/>
  <c r="AP130" i="6"/>
  <c r="AP139" i="6" s="1"/>
  <c r="AF139" i="6"/>
  <c r="L216" i="6" l="1"/>
  <c r="P217" i="6" l="1"/>
  <c r="P220" i="6"/>
  <c r="P219" i="6"/>
  <c r="P218" i="6"/>
  <c r="AD115" i="6"/>
  <c r="V115" i="6" l="1"/>
  <c r="AT115" i="6" s="1"/>
  <c r="Y73" i="6" l="1"/>
  <c r="AJ28" i="6" l="1"/>
  <c r="AT107" i="6" l="1"/>
  <c r="AT108" i="6"/>
  <c r="AT109" i="6"/>
  <c r="AT111" i="6"/>
  <c r="AT112" i="6"/>
  <c r="AT113" i="6"/>
  <c r="AT106" i="6"/>
  <c r="BD121" i="6" l="1"/>
  <c r="BD200" i="6" l="1"/>
  <c r="BD195" i="6"/>
  <c r="BD193" i="6"/>
  <c r="BD187" i="6"/>
  <c r="BD185" i="6"/>
  <c r="BD183" i="6"/>
  <c r="BD179" i="6"/>
  <c r="BD177" i="6"/>
  <c r="V138" i="6" l="1"/>
  <c r="BD138" i="6" s="1"/>
  <c r="J28" i="6" l="1"/>
  <c r="AJ60" i="6" l="1"/>
  <c r="W60" i="6"/>
  <c r="J60" i="6"/>
  <c r="W28" i="6"/>
  <c r="B3" i="8" l="1"/>
  <c r="B4" i="8" s="1"/>
  <c r="B1" i="8"/>
  <c r="B2" i="8" s="1"/>
  <c r="C2" i="1"/>
  <c r="E2" i="1" s="1"/>
  <c r="C1" i="1"/>
  <c r="E1" i="1" s="1"/>
  <c r="B69" i="6"/>
  <c r="AT44" i="6"/>
  <c r="B48" i="6" s="1"/>
  <c r="B46" i="6"/>
  <c r="AU24" i="6" l="1"/>
  <c r="AU56" i="6"/>
  <c r="AT136" i="6"/>
  <c r="P130" i="6"/>
  <c r="V136" i="6"/>
  <c r="V130" i="6" l="1"/>
  <c r="V139" i="6" s="1"/>
  <c r="BD130" i="6"/>
  <c r="P139" i="6"/>
  <c r="AT139" i="6" s="1"/>
  <c r="AT130" i="6"/>
</calcChain>
</file>

<file path=xl/sharedStrings.xml><?xml version="1.0" encoding="utf-8"?>
<sst xmlns="http://schemas.openxmlformats.org/spreadsheetml/2006/main" count="26055" uniqueCount="5665">
  <si>
    <t>0201011</t>
  </si>
  <si>
    <t>0201022</t>
  </si>
  <si>
    <t>0201032</t>
  </si>
  <si>
    <t>0201043</t>
  </si>
  <si>
    <t>0201052</t>
  </si>
  <si>
    <t>0201062</t>
  </si>
  <si>
    <t>0202011</t>
  </si>
  <si>
    <t>0202021</t>
  </si>
  <si>
    <t>0202041</t>
  </si>
  <si>
    <t>0202052</t>
  </si>
  <si>
    <t>0202062</t>
  </si>
  <si>
    <t>0202073</t>
  </si>
  <si>
    <t>0203011</t>
  </si>
  <si>
    <t>0203022</t>
  </si>
  <si>
    <t>0203032</t>
  </si>
  <si>
    <t>0203042</t>
  </si>
  <si>
    <t>0203052</t>
  </si>
  <si>
    <t>0203062</t>
  </si>
  <si>
    <t>0204013</t>
  </si>
  <si>
    <t>0204022</t>
  </si>
  <si>
    <t>0204032</t>
  </si>
  <si>
    <t>0204043</t>
  </si>
  <si>
    <t>0205011</t>
  </si>
  <si>
    <t>0205023</t>
  </si>
  <si>
    <t>0205032</t>
  </si>
  <si>
    <t>0205042</t>
  </si>
  <si>
    <t>0205052</t>
  </si>
  <si>
    <t>0205062</t>
  </si>
  <si>
    <t>0206011</t>
  </si>
  <si>
    <t>0206021</t>
  </si>
  <si>
    <t>0206031</t>
  </si>
  <si>
    <t>0206041</t>
  </si>
  <si>
    <t>0206052</t>
  </si>
  <si>
    <t>0206062</t>
  </si>
  <si>
    <t>0206072</t>
  </si>
  <si>
    <t>0206082</t>
  </si>
  <si>
    <t>0206092</t>
  </si>
  <si>
    <t>0207011</t>
  </si>
  <si>
    <t>0207022</t>
  </si>
  <si>
    <t>0207033</t>
  </si>
  <si>
    <t>0207042</t>
  </si>
  <si>
    <t>0208011</t>
  </si>
  <si>
    <t>0208021</t>
  </si>
  <si>
    <t>0208031</t>
  </si>
  <si>
    <t>0208041</t>
  </si>
  <si>
    <t>0208051</t>
  </si>
  <si>
    <t>0208063</t>
  </si>
  <si>
    <t>0208072</t>
  </si>
  <si>
    <t>0208083</t>
  </si>
  <si>
    <t>0208092</t>
  </si>
  <si>
    <t>0208103</t>
  </si>
  <si>
    <t>0208112</t>
  </si>
  <si>
    <t>0208123</t>
  </si>
  <si>
    <t>0208133</t>
  </si>
  <si>
    <t>0208143</t>
  </si>
  <si>
    <t>0209011</t>
  </si>
  <si>
    <t>0209022</t>
  </si>
  <si>
    <t>0209032</t>
  </si>
  <si>
    <t>0209042</t>
  </si>
  <si>
    <t>0209052</t>
  </si>
  <si>
    <t>0209062</t>
  </si>
  <si>
    <t>0209073</t>
  </si>
  <si>
    <t>0209082</t>
  </si>
  <si>
    <t>0210011</t>
  </si>
  <si>
    <t>0210021</t>
  </si>
  <si>
    <t>0210033</t>
  </si>
  <si>
    <t>0210042</t>
  </si>
  <si>
    <t>0210053</t>
  </si>
  <si>
    <t>0210062</t>
  </si>
  <si>
    <t>0210072</t>
  </si>
  <si>
    <t>0211011</t>
  </si>
  <si>
    <t>0211022</t>
  </si>
  <si>
    <t>0211032</t>
  </si>
  <si>
    <t>0211043</t>
  </si>
  <si>
    <t>0212013</t>
  </si>
  <si>
    <t>0212023</t>
  </si>
  <si>
    <t>0212033</t>
  </si>
  <si>
    <t>0212043</t>
  </si>
  <si>
    <t>0212053</t>
  </si>
  <si>
    <t>0213012</t>
  </si>
  <si>
    <t>0213022</t>
  </si>
  <si>
    <t>0213033</t>
  </si>
  <si>
    <t>0214011</t>
  </si>
  <si>
    <t>0214023</t>
  </si>
  <si>
    <t>0214032</t>
  </si>
  <si>
    <t>0214042</t>
  </si>
  <si>
    <t>0214053</t>
  </si>
  <si>
    <t>0214062</t>
  </si>
  <si>
    <t>0214073</t>
  </si>
  <si>
    <t>0214083</t>
  </si>
  <si>
    <t>0215011</t>
  </si>
  <si>
    <t>0215022</t>
  </si>
  <si>
    <t>0215033</t>
  </si>
  <si>
    <t>0215042</t>
  </si>
  <si>
    <t>0216013</t>
  </si>
  <si>
    <t>0216022</t>
  </si>
  <si>
    <t>0216032</t>
  </si>
  <si>
    <t>0216043</t>
  </si>
  <si>
    <t>0216053</t>
  </si>
  <si>
    <t>0216062</t>
  </si>
  <si>
    <t>0217012</t>
  </si>
  <si>
    <t>0217022</t>
  </si>
  <si>
    <t>0217032</t>
  </si>
  <si>
    <t>0217043</t>
  </si>
  <si>
    <t>0217053</t>
  </si>
  <si>
    <t>0218012</t>
  </si>
  <si>
    <t>0218022</t>
  </si>
  <si>
    <t>0218032</t>
  </si>
  <si>
    <t>0218043</t>
  </si>
  <si>
    <t>0218052</t>
  </si>
  <si>
    <t>0219011</t>
  </si>
  <si>
    <t>0219021</t>
  </si>
  <si>
    <t>0219032</t>
  </si>
  <si>
    <t>0219043</t>
  </si>
  <si>
    <t>0219052</t>
  </si>
  <si>
    <t>0219063</t>
  </si>
  <si>
    <t>0219072</t>
  </si>
  <si>
    <t>0219083</t>
  </si>
  <si>
    <t>0220013</t>
  </si>
  <si>
    <t>0220023</t>
  </si>
  <si>
    <t>0220033</t>
  </si>
  <si>
    <t>0220042</t>
  </si>
  <si>
    <t>0220052</t>
  </si>
  <si>
    <t>0220063</t>
  </si>
  <si>
    <t>0221011</t>
  </si>
  <si>
    <t>0221021</t>
  </si>
  <si>
    <t>0221031</t>
  </si>
  <si>
    <t>0221042</t>
  </si>
  <si>
    <t>0221053</t>
  </si>
  <si>
    <t>0221063</t>
  </si>
  <si>
    <t>0221072</t>
  </si>
  <si>
    <t>0221082</t>
  </si>
  <si>
    <t>0222013</t>
  </si>
  <si>
    <t>0222022</t>
  </si>
  <si>
    <t>0222033</t>
  </si>
  <si>
    <t>0223012</t>
  </si>
  <si>
    <t>0223022</t>
  </si>
  <si>
    <t>0223032</t>
  </si>
  <si>
    <t>0223043</t>
  </si>
  <si>
    <t>0223052</t>
  </si>
  <si>
    <t>0223062</t>
  </si>
  <si>
    <t>0223073</t>
  </si>
  <si>
    <t>0223083</t>
  </si>
  <si>
    <t>0223092</t>
  </si>
  <si>
    <t>0224013</t>
  </si>
  <si>
    <t>0224022</t>
  </si>
  <si>
    <t>0224042</t>
  </si>
  <si>
    <t>0224053</t>
  </si>
  <si>
    <t>0224063</t>
  </si>
  <si>
    <t>0224073</t>
  </si>
  <si>
    <t>0225011</t>
  </si>
  <si>
    <t>0225021</t>
  </si>
  <si>
    <t>0225033</t>
  </si>
  <si>
    <t>0225043</t>
  </si>
  <si>
    <t>0225052</t>
  </si>
  <si>
    <t>0225063</t>
  </si>
  <si>
    <t>0225072</t>
  </si>
  <si>
    <t>0226011</t>
  </si>
  <si>
    <t>0226021</t>
  </si>
  <si>
    <t>0226032</t>
  </si>
  <si>
    <t>0226043</t>
  </si>
  <si>
    <t>0226052</t>
  </si>
  <si>
    <t>0226062</t>
  </si>
  <si>
    <t>0261011</t>
  </si>
  <si>
    <t>0262011</t>
  </si>
  <si>
    <t>0264011</t>
  </si>
  <si>
    <t>0401011</t>
  </si>
  <si>
    <t>0401021</t>
  </si>
  <si>
    <t>0401031</t>
  </si>
  <si>
    <t>0401042</t>
  </si>
  <si>
    <t>0401052</t>
  </si>
  <si>
    <t>0401062</t>
  </si>
  <si>
    <t>0401072</t>
  </si>
  <si>
    <t>0401082</t>
  </si>
  <si>
    <t>0401092</t>
  </si>
  <si>
    <t>0402011</t>
  </si>
  <si>
    <t>0402022</t>
  </si>
  <si>
    <t>0402032</t>
  </si>
  <si>
    <t>0402042</t>
  </si>
  <si>
    <t>0402053</t>
  </si>
  <si>
    <t>0402062</t>
  </si>
  <si>
    <t>0402073</t>
  </si>
  <si>
    <t>0402082</t>
  </si>
  <si>
    <t>0402092</t>
  </si>
  <si>
    <t>0402102</t>
  </si>
  <si>
    <t>0403012</t>
  </si>
  <si>
    <t>0403022</t>
  </si>
  <si>
    <t>0403032</t>
  </si>
  <si>
    <t>0403043</t>
  </si>
  <si>
    <t>0403052</t>
  </si>
  <si>
    <t>0403062</t>
  </si>
  <si>
    <t>0403072</t>
  </si>
  <si>
    <t>0403083</t>
  </si>
  <si>
    <t>0404011</t>
  </si>
  <si>
    <t>0404022</t>
  </si>
  <si>
    <t>0404032</t>
  </si>
  <si>
    <t>0404042</t>
  </si>
  <si>
    <t>0404052</t>
  </si>
  <si>
    <t>0404062</t>
  </si>
  <si>
    <t>0404072</t>
  </si>
  <si>
    <t>0405011</t>
  </si>
  <si>
    <t>0405022</t>
  </si>
  <si>
    <t>0405032</t>
  </si>
  <si>
    <t>0405043</t>
  </si>
  <si>
    <t>0405052</t>
  </si>
  <si>
    <t>0405062</t>
  </si>
  <si>
    <t>0406012</t>
  </si>
  <si>
    <t>0406022</t>
  </si>
  <si>
    <t>0406033</t>
  </si>
  <si>
    <t>0406043</t>
  </si>
  <si>
    <t>0406052</t>
  </si>
  <si>
    <t>0406062</t>
  </si>
  <si>
    <t>0407011</t>
  </si>
  <si>
    <t>0407022</t>
  </si>
  <si>
    <t>0407033</t>
  </si>
  <si>
    <t>0407042</t>
  </si>
  <si>
    <t>0407053</t>
  </si>
  <si>
    <t>0407063</t>
  </si>
  <si>
    <t>0407073</t>
  </si>
  <si>
    <t>0407082</t>
  </si>
  <si>
    <t>0407092</t>
  </si>
  <si>
    <t>0408011</t>
  </si>
  <si>
    <t>0408022</t>
  </si>
  <si>
    <t>0408032</t>
  </si>
  <si>
    <t>0408043</t>
  </si>
  <si>
    <t>0408052</t>
  </si>
  <si>
    <t>0408062</t>
  </si>
  <si>
    <t>0408073</t>
  </si>
  <si>
    <t>0408082</t>
  </si>
  <si>
    <t>0408092</t>
  </si>
  <si>
    <t>0409012</t>
  </si>
  <si>
    <t>0409022</t>
  </si>
  <si>
    <t>0409033</t>
  </si>
  <si>
    <t>0409043</t>
  </si>
  <si>
    <t>0410013</t>
  </si>
  <si>
    <t>0410023</t>
  </si>
  <si>
    <t>0410033</t>
  </si>
  <si>
    <t>0410042</t>
  </si>
  <si>
    <t>0410053</t>
  </si>
  <si>
    <t>0411011</t>
  </si>
  <si>
    <t>0411022</t>
  </si>
  <si>
    <t>0411032</t>
  </si>
  <si>
    <t>0411042</t>
  </si>
  <si>
    <t>0411053</t>
  </si>
  <si>
    <t>0411062</t>
  </si>
  <si>
    <t>0411072</t>
  </si>
  <si>
    <t>0412011</t>
  </si>
  <si>
    <t>0412022</t>
  </si>
  <si>
    <t>0412032</t>
  </si>
  <si>
    <t>0412042</t>
  </si>
  <si>
    <t>0412052</t>
  </si>
  <si>
    <t>0412062</t>
  </si>
  <si>
    <t>0413013</t>
  </si>
  <si>
    <t>0413023</t>
  </si>
  <si>
    <t>0413032</t>
  </si>
  <si>
    <t>0413043</t>
  </si>
  <si>
    <t>0414012</t>
  </si>
  <si>
    <t>0414022</t>
  </si>
  <si>
    <t>0414032</t>
  </si>
  <si>
    <t>0414042</t>
  </si>
  <si>
    <t>0414052</t>
  </si>
  <si>
    <t>0414063</t>
  </si>
  <si>
    <t>0414072</t>
  </si>
  <si>
    <t>0414082</t>
  </si>
  <si>
    <t>0414093</t>
  </si>
  <si>
    <t>0414102</t>
  </si>
  <si>
    <t>0414112</t>
  </si>
  <si>
    <t>0415011</t>
  </si>
  <si>
    <t>0415022</t>
  </si>
  <si>
    <t>0415032</t>
  </si>
  <si>
    <t>0415042</t>
  </si>
  <si>
    <t>0415052</t>
  </si>
  <si>
    <t>0415062</t>
  </si>
  <si>
    <t>0415072</t>
  </si>
  <si>
    <t>0415082</t>
  </si>
  <si>
    <t>0415092</t>
  </si>
  <si>
    <t>0416012</t>
  </si>
  <si>
    <t>0416022</t>
  </si>
  <si>
    <t>0416032</t>
  </si>
  <si>
    <t>0416042</t>
  </si>
  <si>
    <t>0416052</t>
  </si>
  <si>
    <t>0416063</t>
  </si>
  <si>
    <t>0417011</t>
  </si>
  <si>
    <t>0417022</t>
  </si>
  <si>
    <t>0417032</t>
  </si>
  <si>
    <t>0417042</t>
  </si>
  <si>
    <t>0417052</t>
  </si>
  <si>
    <t>0418011</t>
  </si>
  <si>
    <t>0418022</t>
  </si>
  <si>
    <t>0418032</t>
  </si>
  <si>
    <t>0418043</t>
  </si>
  <si>
    <t>0418052</t>
  </si>
  <si>
    <t>0418063</t>
  </si>
  <si>
    <t>0418072</t>
  </si>
  <si>
    <t>0418083</t>
  </si>
  <si>
    <t>0418092</t>
  </si>
  <si>
    <t>0418102</t>
  </si>
  <si>
    <t>0418113</t>
  </si>
  <si>
    <t>0418123</t>
  </si>
  <si>
    <t>0418132</t>
  </si>
  <si>
    <t>0419013</t>
  </si>
  <si>
    <t>0419022</t>
  </si>
  <si>
    <t>0419033</t>
  </si>
  <si>
    <t>0419043</t>
  </si>
  <si>
    <t>0419052</t>
  </si>
  <si>
    <t>0419063</t>
  </si>
  <si>
    <t>0461011</t>
  </si>
  <si>
    <t>0462011</t>
  </si>
  <si>
    <t>0463011</t>
  </si>
  <si>
    <t>0464011</t>
  </si>
  <si>
    <t>0601011</t>
  </si>
  <si>
    <t>0601021</t>
  </si>
  <si>
    <t>0601032</t>
  </si>
  <si>
    <t>0601042</t>
  </si>
  <si>
    <t>0601052</t>
  </si>
  <si>
    <t>0601062</t>
  </si>
  <si>
    <t>0601072</t>
  </si>
  <si>
    <t>0601082</t>
  </si>
  <si>
    <t>0601092</t>
  </si>
  <si>
    <t>0601102</t>
  </si>
  <si>
    <t>0601112</t>
  </si>
  <si>
    <t>0601122</t>
  </si>
  <si>
    <t>0601132</t>
  </si>
  <si>
    <t>0601142</t>
  </si>
  <si>
    <t>0601152</t>
  </si>
  <si>
    <t>0601162</t>
  </si>
  <si>
    <t>0601172</t>
  </si>
  <si>
    <t>0601182</t>
  </si>
  <si>
    <t>0601192</t>
  </si>
  <si>
    <t>0602011</t>
  </si>
  <si>
    <t>0602022</t>
  </si>
  <si>
    <t>0602032</t>
  </si>
  <si>
    <t>0602042</t>
  </si>
  <si>
    <t>0602053</t>
  </si>
  <si>
    <t>0602073</t>
  </si>
  <si>
    <t>0602082</t>
  </si>
  <si>
    <t>0602092</t>
  </si>
  <si>
    <t>0602102</t>
  </si>
  <si>
    <t>0602112</t>
  </si>
  <si>
    <t>0602123</t>
  </si>
  <si>
    <t>0602132</t>
  </si>
  <si>
    <t>0602142</t>
  </si>
  <si>
    <t>0603011</t>
  </si>
  <si>
    <t>0603022</t>
  </si>
  <si>
    <t>0603032</t>
  </si>
  <si>
    <t>0603042</t>
  </si>
  <si>
    <t>0603052</t>
  </si>
  <si>
    <t>0603062</t>
  </si>
  <si>
    <t>0603072</t>
  </si>
  <si>
    <t>0603082</t>
  </si>
  <si>
    <t>0603092</t>
  </si>
  <si>
    <t>0603102</t>
  </si>
  <si>
    <t>0603122</t>
  </si>
  <si>
    <t>0603132</t>
  </si>
  <si>
    <t>0603142</t>
  </si>
  <si>
    <t>0604011</t>
  </si>
  <si>
    <t>0604022</t>
  </si>
  <si>
    <t>0604032</t>
  </si>
  <si>
    <t>0604042</t>
  </si>
  <si>
    <t>0604052</t>
  </si>
  <si>
    <t>0604062</t>
  </si>
  <si>
    <t>0604072</t>
  </si>
  <si>
    <t>0604082</t>
  </si>
  <si>
    <t>0605012</t>
  </si>
  <si>
    <t>0605022</t>
  </si>
  <si>
    <t>0605032</t>
  </si>
  <si>
    <t>0605042</t>
  </si>
  <si>
    <t>0605053</t>
  </si>
  <si>
    <t>0605072</t>
  </si>
  <si>
    <t>0606011</t>
  </si>
  <si>
    <t>0606022</t>
  </si>
  <si>
    <t>0606032</t>
  </si>
  <si>
    <t>0606042</t>
  </si>
  <si>
    <t>0606052</t>
  </si>
  <si>
    <t>0606062</t>
  </si>
  <si>
    <t>0606072</t>
  </si>
  <si>
    <t>0606092</t>
  </si>
  <si>
    <t>0606102</t>
  </si>
  <si>
    <t>0606112</t>
  </si>
  <si>
    <t>0607011</t>
  </si>
  <si>
    <t>0607023</t>
  </si>
  <si>
    <t>0607032</t>
  </si>
  <si>
    <t>0607042</t>
  </si>
  <si>
    <t>0607052</t>
  </si>
  <si>
    <t>0607062</t>
  </si>
  <si>
    <t>0607072</t>
  </si>
  <si>
    <t>0607092</t>
  </si>
  <si>
    <t>0607102</t>
  </si>
  <si>
    <t>0608011</t>
  </si>
  <si>
    <t>0608022</t>
  </si>
  <si>
    <t>0608032</t>
  </si>
  <si>
    <t>0608042</t>
  </si>
  <si>
    <t>0608063</t>
  </si>
  <si>
    <t>0608072</t>
  </si>
  <si>
    <t>0608082</t>
  </si>
  <si>
    <t>0608092</t>
  </si>
  <si>
    <t>0608103</t>
  </si>
  <si>
    <t>0608112</t>
  </si>
  <si>
    <t>0608122</t>
  </si>
  <si>
    <t>0608132</t>
  </si>
  <si>
    <t>0609013</t>
  </si>
  <si>
    <t>0609022</t>
  </si>
  <si>
    <t>0609033</t>
  </si>
  <si>
    <t>0609042</t>
  </si>
  <si>
    <t>0609052</t>
  </si>
  <si>
    <t>0609062</t>
  </si>
  <si>
    <t>0609072</t>
  </si>
  <si>
    <t>0609082</t>
  </si>
  <si>
    <t>0609092</t>
  </si>
  <si>
    <t>0609102</t>
  </si>
  <si>
    <t>0609112</t>
  </si>
  <si>
    <t>0609122</t>
  </si>
  <si>
    <t>0609132</t>
  </si>
  <si>
    <t>0609142</t>
  </si>
  <si>
    <t>0609152</t>
  </si>
  <si>
    <t>0609162</t>
  </si>
  <si>
    <t>0610012</t>
  </si>
  <si>
    <t>0610022</t>
  </si>
  <si>
    <t>0610033</t>
  </si>
  <si>
    <t>0610042</t>
  </si>
  <si>
    <t>0610052</t>
  </si>
  <si>
    <t>0610062</t>
  </si>
  <si>
    <t>0611011</t>
  </si>
  <si>
    <t>0611021</t>
  </si>
  <si>
    <t>0611032</t>
  </si>
  <si>
    <t>0611042</t>
  </si>
  <si>
    <t>0611052</t>
  </si>
  <si>
    <t>0611062</t>
  </si>
  <si>
    <t>0611072</t>
  </si>
  <si>
    <t>0611082</t>
  </si>
  <si>
    <t>0611092</t>
  </si>
  <si>
    <t>0611102</t>
  </si>
  <si>
    <t>0611112</t>
  </si>
  <si>
    <t>0612012</t>
  </si>
  <si>
    <t>0612032</t>
  </si>
  <si>
    <t>0612042</t>
  </si>
  <si>
    <t>0612053</t>
  </si>
  <si>
    <t>0612063</t>
  </si>
  <si>
    <t>0612072</t>
  </si>
  <si>
    <t>0613012</t>
  </si>
  <si>
    <t>0613022</t>
  </si>
  <si>
    <t>0613032</t>
  </si>
  <si>
    <t>0613043</t>
  </si>
  <si>
    <t>0613052</t>
  </si>
  <si>
    <t>0613062</t>
  </si>
  <si>
    <t>0613072</t>
  </si>
  <si>
    <t>0614011</t>
  </si>
  <si>
    <t>0614022</t>
  </si>
  <si>
    <t>0614032</t>
  </si>
  <si>
    <t>0614043</t>
  </si>
  <si>
    <t>0614052</t>
  </si>
  <si>
    <t>0614062</t>
  </si>
  <si>
    <t>0614072</t>
  </si>
  <si>
    <t>0614083</t>
  </si>
  <si>
    <t>0614092</t>
  </si>
  <si>
    <t>0614102</t>
  </si>
  <si>
    <t>0614112</t>
  </si>
  <si>
    <t>0615011</t>
  </si>
  <si>
    <t>0615022</t>
  </si>
  <si>
    <t>0615032</t>
  </si>
  <si>
    <t>0615042</t>
  </si>
  <si>
    <t>0615052</t>
  </si>
  <si>
    <t>0615062</t>
  </si>
  <si>
    <t>0615072</t>
  </si>
  <si>
    <t>0615082</t>
  </si>
  <si>
    <t>0616011</t>
  </si>
  <si>
    <t>0616022</t>
  </si>
  <si>
    <t>0616032</t>
  </si>
  <si>
    <t>0616043</t>
  </si>
  <si>
    <t>0616052</t>
  </si>
  <si>
    <t>0616062</t>
  </si>
  <si>
    <t>0617011</t>
  </si>
  <si>
    <t>0617022</t>
  </si>
  <si>
    <t>0617033</t>
  </si>
  <si>
    <t>0617042</t>
  </si>
  <si>
    <t>0617052</t>
  </si>
  <si>
    <t>0618011</t>
  </si>
  <si>
    <t>0618022</t>
  </si>
  <si>
    <t>0618032</t>
  </si>
  <si>
    <t>0618042</t>
  </si>
  <si>
    <t>0618072</t>
  </si>
  <si>
    <t>0618082</t>
  </si>
  <si>
    <t>0618092</t>
  </si>
  <si>
    <t>0618102</t>
  </si>
  <si>
    <t>0618112</t>
  </si>
  <si>
    <t>0618123</t>
  </si>
  <si>
    <t>0618132</t>
  </si>
  <si>
    <t>0619011</t>
  </si>
  <si>
    <t>0619022</t>
  </si>
  <si>
    <t>0619032</t>
  </si>
  <si>
    <t>0619042</t>
  </si>
  <si>
    <t>0619052</t>
  </si>
  <si>
    <t>0619062</t>
  </si>
  <si>
    <t>0619072</t>
  </si>
  <si>
    <t>0619082</t>
  </si>
  <si>
    <t>0620012</t>
  </si>
  <si>
    <t>0620022</t>
  </si>
  <si>
    <t>0620032</t>
  </si>
  <si>
    <t>0620043</t>
  </si>
  <si>
    <t>0620052</t>
  </si>
  <si>
    <t>0620062</t>
  </si>
  <si>
    <t>0620072</t>
  </si>
  <si>
    <t>0620082</t>
  </si>
  <si>
    <t>0620092</t>
  </si>
  <si>
    <t>0620102</t>
  </si>
  <si>
    <t>0620112</t>
  </si>
  <si>
    <t>0620122</t>
  </si>
  <si>
    <t>0620133</t>
  </si>
  <si>
    <t>0620142</t>
  </si>
  <si>
    <t>0620153</t>
  </si>
  <si>
    <t>0661011</t>
  </si>
  <si>
    <t>0662011</t>
  </si>
  <si>
    <t>0663011</t>
  </si>
  <si>
    <t>0664011</t>
  </si>
  <si>
    <t>0801011</t>
  </si>
  <si>
    <t>0801022</t>
  </si>
  <si>
    <t>0801032</t>
  </si>
  <si>
    <t>0801042</t>
  </si>
  <si>
    <t>0801052</t>
  </si>
  <si>
    <t>0801062</t>
  </si>
  <si>
    <t>0801073</t>
  </si>
  <si>
    <t>0802011</t>
  </si>
  <si>
    <t>0802022</t>
  </si>
  <si>
    <t>0802032</t>
  </si>
  <si>
    <t>0802042</t>
  </si>
  <si>
    <t>0802052</t>
  </si>
  <si>
    <t>0802063</t>
  </si>
  <si>
    <t>0802072</t>
  </si>
  <si>
    <t>0803012</t>
  </si>
  <si>
    <t>0803023</t>
  </si>
  <si>
    <t>0803032</t>
  </si>
  <si>
    <t>0803042</t>
  </si>
  <si>
    <t>0803053</t>
  </si>
  <si>
    <t>0803063</t>
  </si>
  <si>
    <t>0804011</t>
  </si>
  <si>
    <t>0804023</t>
  </si>
  <si>
    <t>0804032</t>
  </si>
  <si>
    <t>0804043</t>
  </si>
  <si>
    <t>0804052</t>
  </si>
  <si>
    <t>0804063</t>
  </si>
  <si>
    <t>0804082</t>
  </si>
  <si>
    <t>0805013</t>
  </si>
  <si>
    <t>0805022</t>
  </si>
  <si>
    <t>0805033</t>
  </si>
  <si>
    <t>0805043</t>
  </si>
  <si>
    <t>0805053</t>
  </si>
  <si>
    <t>0806013</t>
  </si>
  <si>
    <t>0806023</t>
  </si>
  <si>
    <t>0806032</t>
  </si>
  <si>
    <t>0806043</t>
  </si>
  <si>
    <t>0806052</t>
  </si>
  <si>
    <t>0807012</t>
  </si>
  <si>
    <t>0807023</t>
  </si>
  <si>
    <t>0807032</t>
  </si>
  <si>
    <t>0807043</t>
  </si>
  <si>
    <t>0807053</t>
  </si>
  <si>
    <t>0808012</t>
  </si>
  <si>
    <t>0808022</t>
  </si>
  <si>
    <t>0808032</t>
  </si>
  <si>
    <t>0808042</t>
  </si>
  <si>
    <t>0808053</t>
  </si>
  <si>
    <t>0808063</t>
  </si>
  <si>
    <t>0809013</t>
  </si>
  <si>
    <t>0809022</t>
  </si>
  <si>
    <t>0809033</t>
  </si>
  <si>
    <t>0809043</t>
  </si>
  <si>
    <t>0809053</t>
  </si>
  <si>
    <t>0809063</t>
  </si>
  <si>
    <t>0809072</t>
  </si>
  <si>
    <t>0809082</t>
  </si>
  <si>
    <t>0809092</t>
  </si>
  <si>
    <t>0810011</t>
  </si>
  <si>
    <t>0810021</t>
  </si>
  <si>
    <t>0810032</t>
  </si>
  <si>
    <t>0810043</t>
  </si>
  <si>
    <t>0810053</t>
  </si>
  <si>
    <t>0810062</t>
  </si>
  <si>
    <t>0810073</t>
  </si>
  <si>
    <t>0810082</t>
  </si>
  <si>
    <t>0810092</t>
  </si>
  <si>
    <t>0811011</t>
  </si>
  <si>
    <t>0811021</t>
  </si>
  <si>
    <t>0811032</t>
  </si>
  <si>
    <t>0811043</t>
  </si>
  <si>
    <t>0811052</t>
  </si>
  <si>
    <t>0811063</t>
  </si>
  <si>
    <t>0811072</t>
  </si>
  <si>
    <t>0811082</t>
  </si>
  <si>
    <t>0811092</t>
  </si>
  <si>
    <t>0811102</t>
  </si>
  <si>
    <t>0812013</t>
  </si>
  <si>
    <t>0812023</t>
  </si>
  <si>
    <t>0812033</t>
  </si>
  <si>
    <t>0861011</t>
  </si>
  <si>
    <t>0862011</t>
  </si>
  <si>
    <t>1001011</t>
  </si>
  <si>
    <t>1001022</t>
  </si>
  <si>
    <t>1001032</t>
  </si>
  <si>
    <t>1001042</t>
  </si>
  <si>
    <t>1001052</t>
  </si>
  <si>
    <t>1001062</t>
  </si>
  <si>
    <t>1001072</t>
  </si>
  <si>
    <t>1001083</t>
  </si>
  <si>
    <t>1002011</t>
  </si>
  <si>
    <t>1002022</t>
  </si>
  <si>
    <t>1002032</t>
  </si>
  <si>
    <t>1002043</t>
  </si>
  <si>
    <t>1002052</t>
  </si>
  <si>
    <t>1002062</t>
  </si>
  <si>
    <t>1002072</t>
  </si>
  <si>
    <t>1002082</t>
  </si>
  <si>
    <t>1002092</t>
  </si>
  <si>
    <t>1002102</t>
  </si>
  <si>
    <t>1002113</t>
  </si>
  <si>
    <t>1003012</t>
  </si>
  <si>
    <t>1003023</t>
  </si>
  <si>
    <t>1003032</t>
  </si>
  <si>
    <t>1003042</t>
  </si>
  <si>
    <t>1003052</t>
  </si>
  <si>
    <t>1004011</t>
  </si>
  <si>
    <t>1004022</t>
  </si>
  <si>
    <t>1004032</t>
  </si>
  <si>
    <t>1004042</t>
  </si>
  <si>
    <t>1004052</t>
  </si>
  <si>
    <t>1004072</t>
  </si>
  <si>
    <t>1004082</t>
  </si>
  <si>
    <t>1005011</t>
  </si>
  <si>
    <t>1005022</t>
  </si>
  <si>
    <t>1005032</t>
  </si>
  <si>
    <t>1005042</t>
  </si>
  <si>
    <t>1005052</t>
  </si>
  <si>
    <t>1005062</t>
  </si>
  <si>
    <t>1005072</t>
  </si>
  <si>
    <t>1005082</t>
  </si>
  <si>
    <t>1005092</t>
  </si>
  <si>
    <t>1005102</t>
  </si>
  <si>
    <t>1006022</t>
  </si>
  <si>
    <t>1006032</t>
  </si>
  <si>
    <t>1006073</t>
  </si>
  <si>
    <t>1006082</t>
  </si>
  <si>
    <t>1006103</t>
  </si>
  <si>
    <t>1006113</t>
  </si>
  <si>
    <t>1007012</t>
  </si>
  <si>
    <t>1007023</t>
  </si>
  <si>
    <t>1007032</t>
  </si>
  <si>
    <t>1007043</t>
  </si>
  <si>
    <t>1007052</t>
  </si>
  <si>
    <t>1007062</t>
  </si>
  <si>
    <t>1007072</t>
  </si>
  <si>
    <t>1007082</t>
  </si>
  <si>
    <t>1008011</t>
  </si>
  <si>
    <t>1008021</t>
  </si>
  <si>
    <t>1008032</t>
  </si>
  <si>
    <t>1008042</t>
  </si>
  <si>
    <t>1008052</t>
  </si>
  <si>
    <t>1008062</t>
  </si>
  <si>
    <t>1008072</t>
  </si>
  <si>
    <t>1009013</t>
  </si>
  <si>
    <t>1009022</t>
  </si>
  <si>
    <t>1009032</t>
  </si>
  <si>
    <t>1009043</t>
  </si>
  <si>
    <t>1009052</t>
  </si>
  <si>
    <t>1009062</t>
  </si>
  <si>
    <t>1009072</t>
  </si>
  <si>
    <t>1009082</t>
  </si>
  <si>
    <t>1010012</t>
  </si>
  <si>
    <t>1010022</t>
  </si>
  <si>
    <t>1010032</t>
  </si>
  <si>
    <t>1010042</t>
  </si>
  <si>
    <t>1010052</t>
  </si>
  <si>
    <t>1010062</t>
  </si>
  <si>
    <t>1010072</t>
  </si>
  <si>
    <t>1010082</t>
  </si>
  <si>
    <t>1010093</t>
  </si>
  <si>
    <t>1010102</t>
  </si>
  <si>
    <t>1011012</t>
  </si>
  <si>
    <t>1011022</t>
  </si>
  <si>
    <t>1011033</t>
  </si>
  <si>
    <t>1011043</t>
  </si>
  <si>
    <t>1011052</t>
  </si>
  <si>
    <t>1011062</t>
  </si>
  <si>
    <t>1012011</t>
  </si>
  <si>
    <t>1012022</t>
  </si>
  <si>
    <t>1012032</t>
  </si>
  <si>
    <t>1012042</t>
  </si>
  <si>
    <t>1012053</t>
  </si>
  <si>
    <t>1012062</t>
  </si>
  <si>
    <t>1012072</t>
  </si>
  <si>
    <t>1012082</t>
  </si>
  <si>
    <t>1012092</t>
  </si>
  <si>
    <t>1012102</t>
  </si>
  <si>
    <t>1012113</t>
  </si>
  <si>
    <t>1012122</t>
  </si>
  <si>
    <t>1012132</t>
  </si>
  <si>
    <t>1012142</t>
  </si>
  <si>
    <t>1013011</t>
  </si>
  <si>
    <t>1013023</t>
  </si>
  <si>
    <t>1013032</t>
  </si>
  <si>
    <t>1013042</t>
  </si>
  <si>
    <t>1013052</t>
  </si>
  <si>
    <t>1013062</t>
  </si>
  <si>
    <t>1014011</t>
  </si>
  <si>
    <t>1014023</t>
  </si>
  <si>
    <t>1014032</t>
  </si>
  <si>
    <t>1014042</t>
  </si>
  <si>
    <t>1014052</t>
  </si>
  <si>
    <t>1014062</t>
  </si>
  <si>
    <t>1014072</t>
  </si>
  <si>
    <t>1014082</t>
  </si>
  <si>
    <t>1014093</t>
  </si>
  <si>
    <t>1014102</t>
  </si>
  <si>
    <t>1014113</t>
  </si>
  <si>
    <t>1015012</t>
  </si>
  <si>
    <t>1015022</t>
  </si>
  <si>
    <t>1015032</t>
  </si>
  <si>
    <t>1015042</t>
  </si>
  <si>
    <t>1015052</t>
  </si>
  <si>
    <t>1015062</t>
  </si>
  <si>
    <t>1015072</t>
  </si>
  <si>
    <t>1015082</t>
  </si>
  <si>
    <t>1015092</t>
  </si>
  <si>
    <t>1016011</t>
  </si>
  <si>
    <t>1016022</t>
  </si>
  <si>
    <t>1016032</t>
  </si>
  <si>
    <t>1016042</t>
  </si>
  <si>
    <t>1016052</t>
  </si>
  <si>
    <t>1016062</t>
  </si>
  <si>
    <t>1016072</t>
  </si>
  <si>
    <t>1016082</t>
  </si>
  <si>
    <t>1016092</t>
  </si>
  <si>
    <t>1016102</t>
  </si>
  <si>
    <t>1016112</t>
  </si>
  <si>
    <t>1017012</t>
  </si>
  <si>
    <t>1017022</t>
  </si>
  <si>
    <t>1017032</t>
  </si>
  <si>
    <t>1017042</t>
  </si>
  <si>
    <t>1017052</t>
  </si>
  <si>
    <t>1017062</t>
  </si>
  <si>
    <t>1017072</t>
  </si>
  <si>
    <t>1017082</t>
  </si>
  <si>
    <t>1017093</t>
  </si>
  <si>
    <t>1017102</t>
  </si>
  <si>
    <t>1018012</t>
  </si>
  <si>
    <t>1018022</t>
  </si>
  <si>
    <t>1018032</t>
  </si>
  <si>
    <t>1018052</t>
  </si>
  <si>
    <t>1018062</t>
  </si>
  <si>
    <t>1018073</t>
  </si>
  <si>
    <t>1019011</t>
  </si>
  <si>
    <t>1019023</t>
  </si>
  <si>
    <t>1019032</t>
  </si>
  <si>
    <t>1019042</t>
  </si>
  <si>
    <t>1020011</t>
  </si>
  <si>
    <t>1020021</t>
  </si>
  <si>
    <t>1020031</t>
  </si>
  <si>
    <t>1020043</t>
  </si>
  <si>
    <t>1020052</t>
  </si>
  <si>
    <t>1020062</t>
  </si>
  <si>
    <t>1020072</t>
  </si>
  <si>
    <t>1020083</t>
  </si>
  <si>
    <t>1020092</t>
  </si>
  <si>
    <t>1021011</t>
  </si>
  <si>
    <t>1021022</t>
  </si>
  <si>
    <t>1021032</t>
  </si>
  <si>
    <t>1021042</t>
  </si>
  <si>
    <t>1021052</t>
  </si>
  <si>
    <t>1061011</t>
  </si>
  <si>
    <t>1062011</t>
  </si>
  <si>
    <t>1063011</t>
  </si>
  <si>
    <t>1201011</t>
  </si>
  <si>
    <t>1201022</t>
  </si>
  <si>
    <t>1201032</t>
  </si>
  <si>
    <t>1201042</t>
  </si>
  <si>
    <t>1201052</t>
  </si>
  <si>
    <t>1201063</t>
  </si>
  <si>
    <t>1201072</t>
  </si>
  <si>
    <t>1201082</t>
  </si>
  <si>
    <t>1201092</t>
  </si>
  <si>
    <t>1202012</t>
  </si>
  <si>
    <t>1202023</t>
  </si>
  <si>
    <t>1202033</t>
  </si>
  <si>
    <t>1202042</t>
  </si>
  <si>
    <t>1202052</t>
  </si>
  <si>
    <t>1202062</t>
  </si>
  <si>
    <t>1202072</t>
  </si>
  <si>
    <t>1203013</t>
  </si>
  <si>
    <t>1203022</t>
  </si>
  <si>
    <t>1203033</t>
  </si>
  <si>
    <t>1203043</t>
  </si>
  <si>
    <t>1203053</t>
  </si>
  <si>
    <t>1204012</t>
  </si>
  <si>
    <t>1204023</t>
  </si>
  <si>
    <t>1204032</t>
  </si>
  <si>
    <t>1204042</t>
  </si>
  <si>
    <t>1204052</t>
  </si>
  <si>
    <t>1204062</t>
  </si>
  <si>
    <t>1204073</t>
  </si>
  <si>
    <t>1205011</t>
  </si>
  <si>
    <t>1205023</t>
  </si>
  <si>
    <t>1205033</t>
  </si>
  <si>
    <t>1205042</t>
  </si>
  <si>
    <t>1205052</t>
  </si>
  <si>
    <t>1205062</t>
  </si>
  <si>
    <t>1205072</t>
  </si>
  <si>
    <t>1205082</t>
  </si>
  <si>
    <t>1205092</t>
  </si>
  <si>
    <t>1205102</t>
  </si>
  <si>
    <t>1206012</t>
  </si>
  <si>
    <t>1206022</t>
  </si>
  <si>
    <t>1206032</t>
  </si>
  <si>
    <t>1206042</t>
  </si>
  <si>
    <t>1206052</t>
  </si>
  <si>
    <t>1206063</t>
  </si>
  <si>
    <t>1206072</t>
  </si>
  <si>
    <t>1206082</t>
  </si>
  <si>
    <t>1206092</t>
  </si>
  <si>
    <t>1206103</t>
  </si>
  <si>
    <t>1206113</t>
  </si>
  <si>
    <t>1206123</t>
  </si>
  <si>
    <t>1206132</t>
  </si>
  <si>
    <t>1206143</t>
  </si>
  <si>
    <t>1206152</t>
  </si>
  <si>
    <t>1206162</t>
  </si>
  <si>
    <t>1206172</t>
  </si>
  <si>
    <t>1207011</t>
  </si>
  <si>
    <t>1207021</t>
  </si>
  <si>
    <t>1207032</t>
  </si>
  <si>
    <t>1207042</t>
  </si>
  <si>
    <t>1207052</t>
  </si>
  <si>
    <t>1207062</t>
  </si>
  <si>
    <t>1207072</t>
  </si>
  <si>
    <t>1207082</t>
  </si>
  <si>
    <t>1207092</t>
  </si>
  <si>
    <t>1207102</t>
  </si>
  <si>
    <t>1207112</t>
  </si>
  <si>
    <t>1207122</t>
  </si>
  <si>
    <t>1208012</t>
  </si>
  <si>
    <t>1208022</t>
  </si>
  <si>
    <t>1208032</t>
  </si>
  <si>
    <t>1208042</t>
  </si>
  <si>
    <t>1208053</t>
  </si>
  <si>
    <t>1208062</t>
  </si>
  <si>
    <t>1208072</t>
  </si>
  <si>
    <t>1209013</t>
  </si>
  <si>
    <t>1209022</t>
  </si>
  <si>
    <t>1209033</t>
  </si>
  <si>
    <t>1209042</t>
  </si>
  <si>
    <t>1209052</t>
  </si>
  <si>
    <t>1209062</t>
  </si>
  <si>
    <t>1209073</t>
  </si>
  <si>
    <t>1209082</t>
  </si>
  <si>
    <t>1209092</t>
  </si>
  <si>
    <t>1210011</t>
  </si>
  <si>
    <t>1210022</t>
  </si>
  <si>
    <t>1210032</t>
  </si>
  <si>
    <t>1210042</t>
  </si>
  <si>
    <t>1210052</t>
  </si>
  <si>
    <t>1210062</t>
  </si>
  <si>
    <t>1210073</t>
  </si>
  <si>
    <t>1210082</t>
  </si>
  <si>
    <t>1210092</t>
  </si>
  <si>
    <t>1210102</t>
  </si>
  <si>
    <t>1210113</t>
  </si>
  <si>
    <t>1210122</t>
  </si>
  <si>
    <t>1210133</t>
  </si>
  <si>
    <t>1210142</t>
  </si>
  <si>
    <t>1210152</t>
  </si>
  <si>
    <t>1210163</t>
  </si>
  <si>
    <t>1211011</t>
  </si>
  <si>
    <t>1211023</t>
  </si>
  <si>
    <t>1211032</t>
  </si>
  <si>
    <t>1211042</t>
  </si>
  <si>
    <t>1211052</t>
  </si>
  <si>
    <t>1211062</t>
  </si>
  <si>
    <t>1211072</t>
  </si>
  <si>
    <t>1211082</t>
  </si>
  <si>
    <t>1211092</t>
  </si>
  <si>
    <t>1211102</t>
  </si>
  <si>
    <t>1211112</t>
  </si>
  <si>
    <t>1211123</t>
  </si>
  <si>
    <t>1211132</t>
  </si>
  <si>
    <t>1211142</t>
  </si>
  <si>
    <t>1212011</t>
  </si>
  <si>
    <t>1212032</t>
  </si>
  <si>
    <t>1212042</t>
  </si>
  <si>
    <t>1212053</t>
  </si>
  <si>
    <t>1212062</t>
  </si>
  <si>
    <t>1212073</t>
  </si>
  <si>
    <t>1213011</t>
  </si>
  <si>
    <t>1213023</t>
  </si>
  <si>
    <t>1213033</t>
  </si>
  <si>
    <t>1213043</t>
  </si>
  <si>
    <t>1213052</t>
  </si>
  <si>
    <t>1213062</t>
  </si>
  <si>
    <t>1213072</t>
  </si>
  <si>
    <t>1213082</t>
  </si>
  <si>
    <t>1213093</t>
  </si>
  <si>
    <t>1214012</t>
  </si>
  <si>
    <t>1214042</t>
  </si>
  <si>
    <t>1214053</t>
  </si>
  <si>
    <t>1214062</t>
  </si>
  <si>
    <t>1215011</t>
  </si>
  <si>
    <t>1215021</t>
  </si>
  <si>
    <t>1215032</t>
  </si>
  <si>
    <t>1215042</t>
  </si>
  <si>
    <t>1215052</t>
  </si>
  <si>
    <t>1215063</t>
  </si>
  <si>
    <t>1215072</t>
  </si>
  <si>
    <t>1215082</t>
  </si>
  <si>
    <t>1215092</t>
  </si>
  <si>
    <t>1216013</t>
  </si>
  <si>
    <t>1216022</t>
  </si>
  <si>
    <t>1216032</t>
  </si>
  <si>
    <t>1216042</t>
  </si>
  <si>
    <t>1216063</t>
  </si>
  <si>
    <t>1216072</t>
  </si>
  <si>
    <t>1216082</t>
  </si>
  <si>
    <t>1216092</t>
  </si>
  <si>
    <t>1216103</t>
  </si>
  <si>
    <t>1216112</t>
  </si>
  <si>
    <t>1216122</t>
  </si>
  <si>
    <t>1216133</t>
  </si>
  <si>
    <t>1216143</t>
  </si>
  <si>
    <t>1216153</t>
  </si>
  <si>
    <t>1216162</t>
  </si>
  <si>
    <t>1217011</t>
  </si>
  <si>
    <t>1217022</t>
  </si>
  <si>
    <t>1217032</t>
  </si>
  <si>
    <t>1217042</t>
  </si>
  <si>
    <t>1217052</t>
  </si>
  <si>
    <t>1218013</t>
  </si>
  <si>
    <t>1218022</t>
  </si>
  <si>
    <t>1218033</t>
  </si>
  <si>
    <t>1218042</t>
  </si>
  <si>
    <t>1218052</t>
  </si>
  <si>
    <t>1218062</t>
  </si>
  <si>
    <t>1218072</t>
  </si>
  <si>
    <t>1218082</t>
  </si>
  <si>
    <t>1218093</t>
  </si>
  <si>
    <t>1218102</t>
  </si>
  <si>
    <t>1219012</t>
  </si>
  <si>
    <t>1219022</t>
  </si>
  <si>
    <t>1219032</t>
  </si>
  <si>
    <t>1219043</t>
  </si>
  <si>
    <t>1219053</t>
  </si>
  <si>
    <t>1261011</t>
  </si>
  <si>
    <t>1262011</t>
  </si>
  <si>
    <t>1263011</t>
  </si>
  <si>
    <t>1401013</t>
  </si>
  <si>
    <t>1401022</t>
  </si>
  <si>
    <t>1401032</t>
  </si>
  <si>
    <t>1401042</t>
  </si>
  <si>
    <t>1401052</t>
  </si>
  <si>
    <t>1401063</t>
  </si>
  <si>
    <t>1402011</t>
  </si>
  <si>
    <t>1402022</t>
  </si>
  <si>
    <t>1402033</t>
  </si>
  <si>
    <t>1402042</t>
  </si>
  <si>
    <t>1402052</t>
  </si>
  <si>
    <t>1402062</t>
  </si>
  <si>
    <t>1402072</t>
  </si>
  <si>
    <t>1402082</t>
  </si>
  <si>
    <t>1402092</t>
  </si>
  <si>
    <t>1403011</t>
  </si>
  <si>
    <t>1403021</t>
  </si>
  <si>
    <t>1403032</t>
  </si>
  <si>
    <t>1403042</t>
  </si>
  <si>
    <t>1403052</t>
  </si>
  <si>
    <t>1403062</t>
  </si>
  <si>
    <t>1403072</t>
  </si>
  <si>
    <t>1403082</t>
  </si>
  <si>
    <t>1403092</t>
  </si>
  <si>
    <t>1403103</t>
  </si>
  <si>
    <t>1403112</t>
  </si>
  <si>
    <t>1403122</t>
  </si>
  <si>
    <t>1403132</t>
  </si>
  <si>
    <t>1403143</t>
  </si>
  <si>
    <t>1404011</t>
  </si>
  <si>
    <t>1404022</t>
  </si>
  <si>
    <t>1404032</t>
  </si>
  <si>
    <t>1404052</t>
  </si>
  <si>
    <t>1405011</t>
  </si>
  <si>
    <t>1405021</t>
  </si>
  <si>
    <t>1405032</t>
  </si>
  <si>
    <t>1405043</t>
  </si>
  <si>
    <t>1405052</t>
  </si>
  <si>
    <t>1405062</t>
  </si>
  <si>
    <t>1406012</t>
  </si>
  <si>
    <t>1406022</t>
  </si>
  <si>
    <t>1406032</t>
  </si>
  <si>
    <t>1406042</t>
  </si>
  <si>
    <t>1406053</t>
  </si>
  <si>
    <t>1406062</t>
  </si>
  <si>
    <t>1406073</t>
  </si>
  <si>
    <t>1406083</t>
  </si>
  <si>
    <t>1406092</t>
  </si>
  <si>
    <t>1406113</t>
  </si>
  <si>
    <t>1407012</t>
  </si>
  <si>
    <t>1407022</t>
  </si>
  <si>
    <t>1407032</t>
  </si>
  <si>
    <t>1407042</t>
  </si>
  <si>
    <t>1407053</t>
  </si>
  <si>
    <t>1407062</t>
  </si>
  <si>
    <t>1407072</t>
  </si>
  <si>
    <t>1408011</t>
  </si>
  <si>
    <t>1408022</t>
  </si>
  <si>
    <t>1408032</t>
  </si>
  <si>
    <t>1408043</t>
  </si>
  <si>
    <t>1408052</t>
  </si>
  <si>
    <t>1409012</t>
  </si>
  <si>
    <t>1409022</t>
  </si>
  <si>
    <t>1409033</t>
  </si>
  <si>
    <t>1409042</t>
  </si>
  <si>
    <t>1409052</t>
  </si>
  <si>
    <t>1410012</t>
  </si>
  <si>
    <t>1410023</t>
  </si>
  <si>
    <t>1410032</t>
  </si>
  <si>
    <t>1410042</t>
  </si>
  <si>
    <t>1410052</t>
  </si>
  <si>
    <t>1410062</t>
  </si>
  <si>
    <t>1411011</t>
  </si>
  <si>
    <t>1411022</t>
  </si>
  <si>
    <t>1411032</t>
  </si>
  <si>
    <t>1411042</t>
  </si>
  <si>
    <t>1411052</t>
  </si>
  <si>
    <t>1411062</t>
  </si>
  <si>
    <t>1411073</t>
  </si>
  <si>
    <t>1411082</t>
  </si>
  <si>
    <t>1411092</t>
  </si>
  <si>
    <t>1411102</t>
  </si>
  <si>
    <t>1412011</t>
  </si>
  <si>
    <t>1412042</t>
  </si>
  <si>
    <t>1412052</t>
  </si>
  <si>
    <t>1412062</t>
  </si>
  <si>
    <t>1412073</t>
  </si>
  <si>
    <t>1412082</t>
  </si>
  <si>
    <t>1412093</t>
  </si>
  <si>
    <t>1412102</t>
  </si>
  <si>
    <t>1412112</t>
  </si>
  <si>
    <t>1412132</t>
  </si>
  <si>
    <t>1412142</t>
  </si>
  <si>
    <t>1412151</t>
  </si>
  <si>
    <t>1413011</t>
  </si>
  <si>
    <t>1413022</t>
  </si>
  <si>
    <t>1413032</t>
  </si>
  <si>
    <t>1413042</t>
  </si>
  <si>
    <t>1413052</t>
  </si>
  <si>
    <t>1413062</t>
  </si>
  <si>
    <t>1413072</t>
  </si>
  <si>
    <t>1413082</t>
  </si>
  <si>
    <t>1413092</t>
  </si>
  <si>
    <t>1413102</t>
  </si>
  <si>
    <t>1414011</t>
  </si>
  <si>
    <t>1414022</t>
  </si>
  <si>
    <t>1414032</t>
  </si>
  <si>
    <t>1414043</t>
  </si>
  <si>
    <t>1414052</t>
  </si>
  <si>
    <t>1414063</t>
  </si>
  <si>
    <t>1415012</t>
  </si>
  <si>
    <t>1415022</t>
  </si>
  <si>
    <t>1415032</t>
  </si>
  <si>
    <t>1415042</t>
  </si>
  <si>
    <t>1415052</t>
  </si>
  <si>
    <t>1415062</t>
  </si>
  <si>
    <t>1415072</t>
  </si>
  <si>
    <t>1415083</t>
  </si>
  <si>
    <t>1415092</t>
  </si>
  <si>
    <t>1415102</t>
  </si>
  <si>
    <t>1415112</t>
  </si>
  <si>
    <t>1416011</t>
  </si>
  <si>
    <t>1416022</t>
  </si>
  <si>
    <t>1416032</t>
  </si>
  <si>
    <t>1416043</t>
  </si>
  <si>
    <t>1416052</t>
  </si>
  <si>
    <t>1416062</t>
  </si>
  <si>
    <t>1416072</t>
  </si>
  <si>
    <t>1416082</t>
  </si>
  <si>
    <t>1416092</t>
  </si>
  <si>
    <t>1416102</t>
  </si>
  <si>
    <t>1416112</t>
  </si>
  <si>
    <t>1417011</t>
  </si>
  <si>
    <t>1417021</t>
  </si>
  <si>
    <t>1417032</t>
  </si>
  <si>
    <t>1417043</t>
  </si>
  <si>
    <t>1417052</t>
  </si>
  <si>
    <t>1417062</t>
  </si>
  <si>
    <t>1417072</t>
  </si>
  <si>
    <t>1417082</t>
  </si>
  <si>
    <t>1418013</t>
  </si>
  <si>
    <t>1418023</t>
  </si>
  <si>
    <t>1418032</t>
  </si>
  <si>
    <t>1418043</t>
  </si>
  <si>
    <t>1418052</t>
  </si>
  <si>
    <t>1418063</t>
  </si>
  <si>
    <t>1419012</t>
  </si>
  <si>
    <t>1419022</t>
  </si>
  <si>
    <t>1419032</t>
  </si>
  <si>
    <t>1419042</t>
  </si>
  <si>
    <t>1419053</t>
  </si>
  <si>
    <t>1419063</t>
  </si>
  <si>
    <t>1419072</t>
  </si>
  <si>
    <t>1419082</t>
  </si>
  <si>
    <t>1419092</t>
  </si>
  <si>
    <t>1419102</t>
  </si>
  <si>
    <t>1419112</t>
  </si>
  <si>
    <t>1419122</t>
  </si>
  <si>
    <t>1419132</t>
  </si>
  <si>
    <t>1419142</t>
  </si>
  <si>
    <t>1419153</t>
  </si>
  <si>
    <t>1420011</t>
  </si>
  <si>
    <t>1420021</t>
  </si>
  <si>
    <t>1420032</t>
  </si>
  <si>
    <t>1420052</t>
  </si>
  <si>
    <t>1420062</t>
  </si>
  <si>
    <t>1420072</t>
  </si>
  <si>
    <t>1420082</t>
  </si>
  <si>
    <t>1420092</t>
  </si>
  <si>
    <t>1420102</t>
  </si>
  <si>
    <t>1420122</t>
  </si>
  <si>
    <t>1421011</t>
  </si>
  <si>
    <t>1421021</t>
  </si>
  <si>
    <t>1421033</t>
  </si>
  <si>
    <t>1421042</t>
  </si>
  <si>
    <t>1421052</t>
  </si>
  <si>
    <t>1421062</t>
  </si>
  <si>
    <t>1422011</t>
  </si>
  <si>
    <t>1422023</t>
  </si>
  <si>
    <t>1422032</t>
  </si>
  <si>
    <t>1422042</t>
  </si>
  <si>
    <t>1422052</t>
  </si>
  <si>
    <t>1422062</t>
  </si>
  <si>
    <t>1422072</t>
  </si>
  <si>
    <t>1423012</t>
  </si>
  <si>
    <t>1423022</t>
  </si>
  <si>
    <t>1423032</t>
  </si>
  <si>
    <t>1423042</t>
  </si>
  <si>
    <t>1423052</t>
  </si>
  <si>
    <t>1423063</t>
  </si>
  <si>
    <t>1423072</t>
  </si>
  <si>
    <t>1423082</t>
  </si>
  <si>
    <t>1424012</t>
  </si>
  <si>
    <t>1424022</t>
  </si>
  <si>
    <t>1424032</t>
  </si>
  <si>
    <t>1424043</t>
  </si>
  <si>
    <t>1424052</t>
  </si>
  <si>
    <t>1424062</t>
  </si>
  <si>
    <t>1424072</t>
  </si>
  <si>
    <t>1425011</t>
  </si>
  <si>
    <t>1425022</t>
  </si>
  <si>
    <t>1425033</t>
  </si>
  <si>
    <t>1425042</t>
  </si>
  <si>
    <t>1425052</t>
  </si>
  <si>
    <t>1425062</t>
  </si>
  <si>
    <t>1425072</t>
  </si>
  <si>
    <t>1425082</t>
  </si>
  <si>
    <t>1425092</t>
  </si>
  <si>
    <t>1425103</t>
  </si>
  <si>
    <t>1425112</t>
  </si>
  <si>
    <t>1425122</t>
  </si>
  <si>
    <t>1425132</t>
  </si>
  <si>
    <t>1426012</t>
  </si>
  <si>
    <t>1426022</t>
  </si>
  <si>
    <t>1426032</t>
  </si>
  <si>
    <t>1426042</t>
  </si>
  <si>
    <t>1426053</t>
  </si>
  <si>
    <t>1426062</t>
  </si>
  <si>
    <t>1426072</t>
  </si>
  <si>
    <t>1426082</t>
  </si>
  <si>
    <t>1426092</t>
  </si>
  <si>
    <t>1426102</t>
  </si>
  <si>
    <t>1426112</t>
  </si>
  <si>
    <t>1426122</t>
  </si>
  <si>
    <t>1426132</t>
  </si>
  <si>
    <t>1427011</t>
  </si>
  <si>
    <t>1427022</t>
  </si>
  <si>
    <t>1427032</t>
  </si>
  <si>
    <t>1427042</t>
  </si>
  <si>
    <t>1427052</t>
  </si>
  <si>
    <t>1427062</t>
  </si>
  <si>
    <t>1427072</t>
  </si>
  <si>
    <t>1428011</t>
  </si>
  <si>
    <t>1428022</t>
  </si>
  <si>
    <t>1428032</t>
  </si>
  <si>
    <t>1428042</t>
  </si>
  <si>
    <t>1428052</t>
  </si>
  <si>
    <t>1428062</t>
  </si>
  <si>
    <t>1428072</t>
  </si>
  <si>
    <t>1428082</t>
  </si>
  <si>
    <t>1429011</t>
  </si>
  <si>
    <t>1429022</t>
  </si>
  <si>
    <t>1429032</t>
  </si>
  <si>
    <t>1429042</t>
  </si>
  <si>
    <t>1429053</t>
  </si>
  <si>
    <t>1429062</t>
  </si>
  <si>
    <t>1429072</t>
  </si>
  <si>
    <t>1429082</t>
  </si>
  <si>
    <t>1429092</t>
  </si>
  <si>
    <t>1430012</t>
  </si>
  <si>
    <t>1430022</t>
  </si>
  <si>
    <t>1430032</t>
  </si>
  <si>
    <t>1430042</t>
  </si>
  <si>
    <t>1430053</t>
  </si>
  <si>
    <t>1432013</t>
  </si>
  <si>
    <t>1432022</t>
  </si>
  <si>
    <t>1432032</t>
  </si>
  <si>
    <t>1432042</t>
  </si>
  <si>
    <t>1432053</t>
  </si>
  <si>
    <t>1432063</t>
  </si>
  <si>
    <t>1432072</t>
  </si>
  <si>
    <t>1433011</t>
  </si>
  <si>
    <t>1433022</t>
  </si>
  <si>
    <t>1433032</t>
  </si>
  <si>
    <t>1433042</t>
  </si>
  <si>
    <t>1433053</t>
  </si>
  <si>
    <t>1433062</t>
  </si>
  <si>
    <t>1433072</t>
  </si>
  <si>
    <t>1433082</t>
  </si>
  <si>
    <t>1433092</t>
  </si>
  <si>
    <t>1434011</t>
  </si>
  <si>
    <t>1434021</t>
  </si>
  <si>
    <t>1434031</t>
  </si>
  <si>
    <t>1434041</t>
  </si>
  <si>
    <t>1434052</t>
  </si>
  <si>
    <t>1434062</t>
  </si>
  <si>
    <t>1434072</t>
  </si>
  <si>
    <t>1434082</t>
  </si>
  <si>
    <t>1434093</t>
  </si>
  <si>
    <t>1434102</t>
  </si>
  <si>
    <t>1434113</t>
  </si>
  <si>
    <t>1434123</t>
  </si>
  <si>
    <t>1435012</t>
  </si>
  <si>
    <t>1435022</t>
  </si>
  <si>
    <t>1435032</t>
  </si>
  <si>
    <t>1435042</t>
  </si>
  <si>
    <t>1435053</t>
  </si>
  <si>
    <t>1435062</t>
  </si>
  <si>
    <t>1436012</t>
  </si>
  <si>
    <t>1436022</t>
  </si>
  <si>
    <t>1436032</t>
  </si>
  <si>
    <t>1436042</t>
  </si>
  <si>
    <t>1436053</t>
  </si>
  <si>
    <t>1437013</t>
  </si>
  <si>
    <t>1437022</t>
  </si>
  <si>
    <t>1437042</t>
  </si>
  <si>
    <t>1437052</t>
  </si>
  <si>
    <t>1437063</t>
  </si>
  <si>
    <t>1438011</t>
  </si>
  <si>
    <t>1438023</t>
  </si>
  <si>
    <t>1438032</t>
  </si>
  <si>
    <t>1438042</t>
  </si>
  <si>
    <t>1461011</t>
  </si>
  <si>
    <t>1462011</t>
  </si>
  <si>
    <t>1463011</t>
  </si>
  <si>
    <t>1464011</t>
  </si>
  <si>
    <t>1465011</t>
  </si>
  <si>
    <t>1601011</t>
  </si>
  <si>
    <t>1601022</t>
  </si>
  <si>
    <t>1601033</t>
  </si>
  <si>
    <t>1601043</t>
  </si>
  <si>
    <t>1601052</t>
  </si>
  <si>
    <t>1601062</t>
  </si>
  <si>
    <t>1602013</t>
  </si>
  <si>
    <t>1602022</t>
  </si>
  <si>
    <t>1602033</t>
  </si>
  <si>
    <t>1602043</t>
  </si>
  <si>
    <t>1603011</t>
  </si>
  <si>
    <t>1603022</t>
  </si>
  <si>
    <t>1603032</t>
  </si>
  <si>
    <t>1603042</t>
  </si>
  <si>
    <t>1603052</t>
  </si>
  <si>
    <t>1603062</t>
  </si>
  <si>
    <t>1604013</t>
  </si>
  <si>
    <t>1604023</t>
  </si>
  <si>
    <t>1604032</t>
  </si>
  <si>
    <t>1604043</t>
  </si>
  <si>
    <t>1605013</t>
  </si>
  <si>
    <t>1605023</t>
  </si>
  <si>
    <t>1605032</t>
  </si>
  <si>
    <t>1605042</t>
  </si>
  <si>
    <t>1605053</t>
  </si>
  <si>
    <t>1606012</t>
  </si>
  <si>
    <t>1606023</t>
  </si>
  <si>
    <t>1606032</t>
  </si>
  <si>
    <t>1606042</t>
  </si>
  <si>
    <t>1606052</t>
  </si>
  <si>
    <t>1607013</t>
  </si>
  <si>
    <t>1607022</t>
  </si>
  <si>
    <t>1607033</t>
  </si>
  <si>
    <t>1607042</t>
  </si>
  <si>
    <t>1607053</t>
  </si>
  <si>
    <t>1607063</t>
  </si>
  <si>
    <t>1607073</t>
  </si>
  <si>
    <t>1607082</t>
  </si>
  <si>
    <t>1607092</t>
  </si>
  <si>
    <t>1608013</t>
  </si>
  <si>
    <t>1608023</t>
  </si>
  <si>
    <t>1608033</t>
  </si>
  <si>
    <t>1608043</t>
  </si>
  <si>
    <t>1608052</t>
  </si>
  <si>
    <t>1608062</t>
  </si>
  <si>
    <t>1608072</t>
  </si>
  <si>
    <t>1609012</t>
  </si>
  <si>
    <t>1609022</t>
  </si>
  <si>
    <t>1609032</t>
  </si>
  <si>
    <t>1609052</t>
  </si>
  <si>
    <t>1609062</t>
  </si>
  <si>
    <t>1609073</t>
  </si>
  <si>
    <t>1609083</t>
  </si>
  <si>
    <t>1609092</t>
  </si>
  <si>
    <t>1609103</t>
  </si>
  <si>
    <t>1609112</t>
  </si>
  <si>
    <t>1609132</t>
  </si>
  <si>
    <t>1610013</t>
  </si>
  <si>
    <t>1610023</t>
  </si>
  <si>
    <t>1610032</t>
  </si>
  <si>
    <t>1610043</t>
  </si>
  <si>
    <t>1611012</t>
  </si>
  <si>
    <t>1611022</t>
  </si>
  <si>
    <t>1611033</t>
  </si>
  <si>
    <t>1611043</t>
  </si>
  <si>
    <t>1611053</t>
  </si>
  <si>
    <t>1611063</t>
  </si>
  <si>
    <t>1611073</t>
  </si>
  <si>
    <t>1661011</t>
  </si>
  <si>
    <t>1801032</t>
  </si>
  <si>
    <t>1801052</t>
  </si>
  <si>
    <t>1801083</t>
  </si>
  <si>
    <t>1802013</t>
  </si>
  <si>
    <t>1802022</t>
  </si>
  <si>
    <t>1802032</t>
  </si>
  <si>
    <t>1802042</t>
  </si>
  <si>
    <t>1802052</t>
  </si>
  <si>
    <t>1802062</t>
  </si>
  <si>
    <t>1803011</t>
  </si>
  <si>
    <t>1803023</t>
  </si>
  <si>
    <t>1803032</t>
  </si>
  <si>
    <t>1803042</t>
  </si>
  <si>
    <t>1803052</t>
  </si>
  <si>
    <t>1803063</t>
  </si>
  <si>
    <t>1803072</t>
  </si>
  <si>
    <t>1804011</t>
  </si>
  <si>
    <t>1804021</t>
  </si>
  <si>
    <t>1804032</t>
  </si>
  <si>
    <t>1804042</t>
  </si>
  <si>
    <t>1804052</t>
  </si>
  <si>
    <t>1804062</t>
  </si>
  <si>
    <t>1804082</t>
  </si>
  <si>
    <t>1804092</t>
  </si>
  <si>
    <t>1804102</t>
  </si>
  <si>
    <t>1804112</t>
  </si>
  <si>
    <t>1805011</t>
  </si>
  <si>
    <t>1805022</t>
  </si>
  <si>
    <t>1805032</t>
  </si>
  <si>
    <t>1805042</t>
  </si>
  <si>
    <t>1805062</t>
  </si>
  <si>
    <t>1805072</t>
  </si>
  <si>
    <t>1805082</t>
  </si>
  <si>
    <t>1805092</t>
  </si>
  <si>
    <t>1805112</t>
  </si>
  <si>
    <t>1806012</t>
  </si>
  <si>
    <t>1806023</t>
  </si>
  <si>
    <t>1806032</t>
  </si>
  <si>
    <t>1806042</t>
  </si>
  <si>
    <t>1806052</t>
  </si>
  <si>
    <t>1806062</t>
  </si>
  <si>
    <t>1807012</t>
  </si>
  <si>
    <t>1807023</t>
  </si>
  <si>
    <t>1807033</t>
  </si>
  <si>
    <t>1807043</t>
  </si>
  <si>
    <t>1807052</t>
  </si>
  <si>
    <t>1807062</t>
  </si>
  <si>
    <t>1807072</t>
  </si>
  <si>
    <t>1807083</t>
  </si>
  <si>
    <t>1807092</t>
  </si>
  <si>
    <t>1808011</t>
  </si>
  <si>
    <t>1808022</t>
  </si>
  <si>
    <t>1808032</t>
  </si>
  <si>
    <t>1808042</t>
  </si>
  <si>
    <t>1808053</t>
  </si>
  <si>
    <t>1809011</t>
  </si>
  <si>
    <t>1809023</t>
  </si>
  <si>
    <t>1809032</t>
  </si>
  <si>
    <t>1809042</t>
  </si>
  <si>
    <t>1809053</t>
  </si>
  <si>
    <t>1809063</t>
  </si>
  <si>
    <t>1809072</t>
  </si>
  <si>
    <t>1809082</t>
  </si>
  <si>
    <t>1810011</t>
  </si>
  <si>
    <t>1810022</t>
  </si>
  <si>
    <t>1810032</t>
  </si>
  <si>
    <t>1810042</t>
  </si>
  <si>
    <t>1810052</t>
  </si>
  <si>
    <t>1810062</t>
  </si>
  <si>
    <t>1810072</t>
  </si>
  <si>
    <t>1811011</t>
  </si>
  <si>
    <t>1811022</t>
  </si>
  <si>
    <t>1811032</t>
  </si>
  <si>
    <t>1811042</t>
  </si>
  <si>
    <t>1811052</t>
  </si>
  <si>
    <t>1811062</t>
  </si>
  <si>
    <t>1811083</t>
  </si>
  <si>
    <t>1811092</t>
  </si>
  <si>
    <t>1811102</t>
  </si>
  <si>
    <t>1812012</t>
  </si>
  <si>
    <t>1812022</t>
  </si>
  <si>
    <t>1812032</t>
  </si>
  <si>
    <t>1812042</t>
  </si>
  <si>
    <t>1812053</t>
  </si>
  <si>
    <t>1812063</t>
  </si>
  <si>
    <t>1812073</t>
  </si>
  <si>
    <t>1813012</t>
  </si>
  <si>
    <t>1813032</t>
  </si>
  <si>
    <t>1813042</t>
  </si>
  <si>
    <t>1813052</t>
  </si>
  <si>
    <t>1813062</t>
  </si>
  <si>
    <t>1813072</t>
  </si>
  <si>
    <t>1813082</t>
  </si>
  <si>
    <t>1813092</t>
  </si>
  <si>
    <t>1813102</t>
  </si>
  <si>
    <t>1814011</t>
  </si>
  <si>
    <t>1814022</t>
  </si>
  <si>
    <t>1814032</t>
  </si>
  <si>
    <t>1814042</t>
  </si>
  <si>
    <t>1814053</t>
  </si>
  <si>
    <t>1814062</t>
  </si>
  <si>
    <t>1814073</t>
  </si>
  <si>
    <t>1814082</t>
  </si>
  <si>
    <t>1814092</t>
  </si>
  <si>
    <t>1815012</t>
  </si>
  <si>
    <t>1815022</t>
  </si>
  <si>
    <t>1815033</t>
  </si>
  <si>
    <t>1815043</t>
  </si>
  <si>
    <t>1815052</t>
  </si>
  <si>
    <t>1816011</t>
  </si>
  <si>
    <t>1816023</t>
  </si>
  <si>
    <t>1816033</t>
  </si>
  <si>
    <t>1816042</t>
  </si>
  <si>
    <t>1816052</t>
  </si>
  <si>
    <t>1816063</t>
  </si>
  <si>
    <t>1816072</t>
  </si>
  <si>
    <t>1816082</t>
  </si>
  <si>
    <t>1816092</t>
  </si>
  <si>
    <t>1816102</t>
  </si>
  <si>
    <t>1816113</t>
  </si>
  <si>
    <t>1816122</t>
  </si>
  <si>
    <t>1816132</t>
  </si>
  <si>
    <t>1816143</t>
  </si>
  <si>
    <t>1817011</t>
  </si>
  <si>
    <t>1817022</t>
  </si>
  <si>
    <t>1817032</t>
  </si>
  <si>
    <t>1817042</t>
  </si>
  <si>
    <t>1817052</t>
  </si>
  <si>
    <t>1817062</t>
  </si>
  <si>
    <t>1817073</t>
  </si>
  <si>
    <t>1817082</t>
  </si>
  <si>
    <t>1818011</t>
  </si>
  <si>
    <t>1818022</t>
  </si>
  <si>
    <t>1818032</t>
  </si>
  <si>
    <t>1818042</t>
  </si>
  <si>
    <t>1818062</t>
  </si>
  <si>
    <t>1819012</t>
  </si>
  <si>
    <t>1819022</t>
  </si>
  <si>
    <t>1819032</t>
  </si>
  <si>
    <t>1819043</t>
  </si>
  <si>
    <t>1819052</t>
  </si>
  <si>
    <t>1820013</t>
  </si>
  <si>
    <t>1820022</t>
  </si>
  <si>
    <t>1820032</t>
  </si>
  <si>
    <t>1820043</t>
  </si>
  <si>
    <t>1821012</t>
  </si>
  <si>
    <t>1821022</t>
  </si>
  <si>
    <t>1821033</t>
  </si>
  <si>
    <t>1821042</t>
  </si>
  <si>
    <t>1821052</t>
  </si>
  <si>
    <t>1861011</t>
  </si>
  <si>
    <t>1862011</t>
  </si>
  <si>
    <t>1863011</t>
  </si>
  <si>
    <t>1864011</t>
  </si>
  <si>
    <t>2001011</t>
  </si>
  <si>
    <t>2001022</t>
  </si>
  <si>
    <t>2001032</t>
  </si>
  <si>
    <t>2001043</t>
  </si>
  <si>
    <t>2001052</t>
  </si>
  <si>
    <t>2001062</t>
  </si>
  <si>
    <t>2001072</t>
  </si>
  <si>
    <t>2002013</t>
  </si>
  <si>
    <t>2002023</t>
  </si>
  <si>
    <t>2002032</t>
  </si>
  <si>
    <t>2002042</t>
  </si>
  <si>
    <t>2002052</t>
  </si>
  <si>
    <t>2002063</t>
  </si>
  <si>
    <t>2002073</t>
  </si>
  <si>
    <t>2002082</t>
  </si>
  <si>
    <t>2002093</t>
  </si>
  <si>
    <t>2002103</t>
  </si>
  <si>
    <t>2002112</t>
  </si>
  <si>
    <t>2002123</t>
  </si>
  <si>
    <t>2002133</t>
  </si>
  <si>
    <t>2002143</t>
  </si>
  <si>
    <t>2002152</t>
  </si>
  <si>
    <t>2003011</t>
  </si>
  <si>
    <t>2003021</t>
  </si>
  <si>
    <t>2003032</t>
  </si>
  <si>
    <t>2003042</t>
  </si>
  <si>
    <t>2003052</t>
  </si>
  <si>
    <t>2003062</t>
  </si>
  <si>
    <t>2003072</t>
  </si>
  <si>
    <t>2003082</t>
  </si>
  <si>
    <t>2004011</t>
  </si>
  <si>
    <t>2004022</t>
  </si>
  <si>
    <t>2004032</t>
  </si>
  <si>
    <t>2004043</t>
  </si>
  <si>
    <t>2004053</t>
  </si>
  <si>
    <t>2004062</t>
  </si>
  <si>
    <t>2005011</t>
  </si>
  <si>
    <t>2005022</t>
  </si>
  <si>
    <t>2005032</t>
  </si>
  <si>
    <t>2005042</t>
  </si>
  <si>
    <t>2005052</t>
  </si>
  <si>
    <t>2005062</t>
  </si>
  <si>
    <t>2005073</t>
  </si>
  <si>
    <t>2005082</t>
  </si>
  <si>
    <t>2005092</t>
  </si>
  <si>
    <t>2006011</t>
  </si>
  <si>
    <t>2006022</t>
  </si>
  <si>
    <t>2006032</t>
  </si>
  <si>
    <t>2006042</t>
  </si>
  <si>
    <t>2006053</t>
  </si>
  <si>
    <t>2006062</t>
  </si>
  <si>
    <t>2007013</t>
  </si>
  <si>
    <t>2007022</t>
  </si>
  <si>
    <t>2007032</t>
  </si>
  <si>
    <t>2007043</t>
  </si>
  <si>
    <t>2007052</t>
  </si>
  <si>
    <t>2007062</t>
  </si>
  <si>
    <t>2007072</t>
  </si>
  <si>
    <t>2007082</t>
  </si>
  <si>
    <t>2007092</t>
  </si>
  <si>
    <t>2008013</t>
  </si>
  <si>
    <t>2008022</t>
  </si>
  <si>
    <t>2008032</t>
  </si>
  <si>
    <t>2008043</t>
  </si>
  <si>
    <t>2008052</t>
  </si>
  <si>
    <t>2008063</t>
  </si>
  <si>
    <t>2008072</t>
  </si>
  <si>
    <t>2009011</t>
  </si>
  <si>
    <t>2009022</t>
  </si>
  <si>
    <t>2009032</t>
  </si>
  <si>
    <t>2009042</t>
  </si>
  <si>
    <t>2009052</t>
  </si>
  <si>
    <t>2010011</t>
  </si>
  <si>
    <t>2010023</t>
  </si>
  <si>
    <t>2010032</t>
  </si>
  <si>
    <t>2010042</t>
  </si>
  <si>
    <t>2010052</t>
  </si>
  <si>
    <t>2010062</t>
  </si>
  <si>
    <t>2010072</t>
  </si>
  <si>
    <t>2010082</t>
  </si>
  <si>
    <t>2010092</t>
  </si>
  <si>
    <t>2011013</t>
  </si>
  <si>
    <t>2011022</t>
  </si>
  <si>
    <t>2011032</t>
  </si>
  <si>
    <t>2011043</t>
  </si>
  <si>
    <t>2011052</t>
  </si>
  <si>
    <t>2011062</t>
  </si>
  <si>
    <t>2011072</t>
  </si>
  <si>
    <t>2011083</t>
  </si>
  <si>
    <t>2011093</t>
  </si>
  <si>
    <t>2011102</t>
  </si>
  <si>
    <t>2012012</t>
  </si>
  <si>
    <t>2012022</t>
  </si>
  <si>
    <t>2012032</t>
  </si>
  <si>
    <t>2012042</t>
  </si>
  <si>
    <t>2012052</t>
  </si>
  <si>
    <t>2012062</t>
  </si>
  <si>
    <t>2012072</t>
  </si>
  <si>
    <t>2012082</t>
  </si>
  <si>
    <t>2012092</t>
  </si>
  <si>
    <t>2013011</t>
  </si>
  <si>
    <t>2013023</t>
  </si>
  <si>
    <t>2013042</t>
  </si>
  <si>
    <t>2013052</t>
  </si>
  <si>
    <t>2013062</t>
  </si>
  <si>
    <t>2013072</t>
  </si>
  <si>
    <t>2013082</t>
  </si>
  <si>
    <t>2013102</t>
  </si>
  <si>
    <t>2014011</t>
  </si>
  <si>
    <t>2014022</t>
  </si>
  <si>
    <t>2014032</t>
  </si>
  <si>
    <t>2014042</t>
  </si>
  <si>
    <t>2014052</t>
  </si>
  <si>
    <t>2061011</t>
  </si>
  <si>
    <t>2062011</t>
  </si>
  <si>
    <t>2063011</t>
  </si>
  <si>
    <t>2201012</t>
  </si>
  <si>
    <t>2201023</t>
  </si>
  <si>
    <t>2201032</t>
  </si>
  <si>
    <t>2201042</t>
  </si>
  <si>
    <t>2201052</t>
  </si>
  <si>
    <t>2201063</t>
  </si>
  <si>
    <t>2201072</t>
  </si>
  <si>
    <t>2201082</t>
  </si>
  <si>
    <t>2201092</t>
  </si>
  <si>
    <t>2201102</t>
  </si>
  <si>
    <t>2202011</t>
  </si>
  <si>
    <t>2202023</t>
  </si>
  <si>
    <t>2202032</t>
  </si>
  <si>
    <t>2202043</t>
  </si>
  <si>
    <t>2202052</t>
  </si>
  <si>
    <t>2203011</t>
  </si>
  <si>
    <t>2203023</t>
  </si>
  <si>
    <t>2203032</t>
  </si>
  <si>
    <t>2203043</t>
  </si>
  <si>
    <t>2203052</t>
  </si>
  <si>
    <t>2203062</t>
  </si>
  <si>
    <t>2203072</t>
  </si>
  <si>
    <t>2204011</t>
  </si>
  <si>
    <t>2204022</t>
  </si>
  <si>
    <t>2204032</t>
  </si>
  <si>
    <t>2204042</t>
  </si>
  <si>
    <t>2204052</t>
  </si>
  <si>
    <t>2204062</t>
  </si>
  <si>
    <t>2204072</t>
  </si>
  <si>
    <t>2204082</t>
  </si>
  <si>
    <t>2205012</t>
  </si>
  <si>
    <t>2205023</t>
  </si>
  <si>
    <t>2205032</t>
  </si>
  <si>
    <t>2205042</t>
  </si>
  <si>
    <t>2205052</t>
  </si>
  <si>
    <t>2205062</t>
  </si>
  <si>
    <t>2205072</t>
  </si>
  <si>
    <t>2205083</t>
  </si>
  <si>
    <t>2206011</t>
  </si>
  <si>
    <t>2206022</t>
  </si>
  <si>
    <t>2206032</t>
  </si>
  <si>
    <t>2206042</t>
  </si>
  <si>
    <t>2206052</t>
  </si>
  <si>
    <t>2206062</t>
  </si>
  <si>
    <t>2206072</t>
  </si>
  <si>
    <t>2206082</t>
  </si>
  <si>
    <t>2207011</t>
  </si>
  <si>
    <t>2207022</t>
  </si>
  <si>
    <t>2207032</t>
  </si>
  <si>
    <t>2207043</t>
  </si>
  <si>
    <t>2207052</t>
  </si>
  <si>
    <t>2207062</t>
  </si>
  <si>
    <t>2208011</t>
  </si>
  <si>
    <t>2208021</t>
  </si>
  <si>
    <t>2208032</t>
  </si>
  <si>
    <t>2208042</t>
  </si>
  <si>
    <t>2208052</t>
  </si>
  <si>
    <t>2209011</t>
  </si>
  <si>
    <t>2209032</t>
  </si>
  <si>
    <t>2209042</t>
  </si>
  <si>
    <t>2209062</t>
  </si>
  <si>
    <t>2209073</t>
  </si>
  <si>
    <t>2209082</t>
  </si>
  <si>
    <t>2210011</t>
  </si>
  <si>
    <t>2210023</t>
  </si>
  <si>
    <t>2210032</t>
  </si>
  <si>
    <t>2210042</t>
  </si>
  <si>
    <t>2210052</t>
  </si>
  <si>
    <t>2211011</t>
  </si>
  <si>
    <t>2211031</t>
  </si>
  <si>
    <t>2211052</t>
  </si>
  <si>
    <t>2211062</t>
  </si>
  <si>
    <t>2211072</t>
  </si>
  <si>
    <t>2212011</t>
  </si>
  <si>
    <t>2212022</t>
  </si>
  <si>
    <t>2212032</t>
  </si>
  <si>
    <t>2212042</t>
  </si>
  <si>
    <t>2212053</t>
  </si>
  <si>
    <t>2212062</t>
  </si>
  <si>
    <t>2212072</t>
  </si>
  <si>
    <t>2212082</t>
  </si>
  <si>
    <t>2212092</t>
  </si>
  <si>
    <t>2212102</t>
  </si>
  <si>
    <t>2213021</t>
  </si>
  <si>
    <t>2213031</t>
  </si>
  <si>
    <t>2213042</t>
  </si>
  <si>
    <t>2213052</t>
  </si>
  <si>
    <t>2213062</t>
  </si>
  <si>
    <t>2213072</t>
  </si>
  <si>
    <t>2213082</t>
  </si>
  <si>
    <t>2213093</t>
  </si>
  <si>
    <t>2213102</t>
  </si>
  <si>
    <t>2213112</t>
  </si>
  <si>
    <t>2213122</t>
  </si>
  <si>
    <t>2213132</t>
  </si>
  <si>
    <t>2214011</t>
  </si>
  <si>
    <t>2214023</t>
  </si>
  <si>
    <t>2214032</t>
  </si>
  <si>
    <t>2214043</t>
  </si>
  <si>
    <t>2214052</t>
  </si>
  <si>
    <t>2214062</t>
  </si>
  <si>
    <t>2215011</t>
  </si>
  <si>
    <t>2215021</t>
  </si>
  <si>
    <t>2215031</t>
  </si>
  <si>
    <t>2215042</t>
  </si>
  <si>
    <t>2215052</t>
  </si>
  <si>
    <t>2215062</t>
  </si>
  <si>
    <t>2215072</t>
  </si>
  <si>
    <t>2215082</t>
  </si>
  <si>
    <t>2215092</t>
  </si>
  <si>
    <t>2215102</t>
  </si>
  <si>
    <t>2216013</t>
  </si>
  <si>
    <t>2216022</t>
  </si>
  <si>
    <t>2216032</t>
  </si>
  <si>
    <t>2216042</t>
  </si>
  <si>
    <t>2216053</t>
  </si>
  <si>
    <t>2261011</t>
  </si>
  <si>
    <t>2262011</t>
  </si>
  <si>
    <t>2263011</t>
  </si>
  <si>
    <t>2264011</t>
  </si>
  <si>
    <t>2401011</t>
  </si>
  <si>
    <t>2401021</t>
  </si>
  <si>
    <t>2401031</t>
  </si>
  <si>
    <t>2401042</t>
  </si>
  <si>
    <t>2401052</t>
  </si>
  <si>
    <t>2401062</t>
  </si>
  <si>
    <t>2401073</t>
  </si>
  <si>
    <t>2401081</t>
  </si>
  <si>
    <t>2402011</t>
  </si>
  <si>
    <t>2402022</t>
  </si>
  <si>
    <t>2402032</t>
  </si>
  <si>
    <t>2402043</t>
  </si>
  <si>
    <t>2402052</t>
  </si>
  <si>
    <t>2402062</t>
  </si>
  <si>
    <t>2402072</t>
  </si>
  <si>
    <t>2402082</t>
  </si>
  <si>
    <t>2402093</t>
  </si>
  <si>
    <t>2402102</t>
  </si>
  <si>
    <t>2403011</t>
  </si>
  <si>
    <t>2403021</t>
  </si>
  <si>
    <t>2403031</t>
  </si>
  <si>
    <t>2403042</t>
  </si>
  <si>
    <t>2403052</t>
  </si>
  <si>
    <t>2403062</t>
  </si>
  <si>
    <t>2403072</t>
  </si>
  <si>
    <t>2403082</t>
  </si>
  <si>
    <t>2403092</t>
  </si>
  <si>
    <t>2403103</t>
  </si>
  <si>
    <t>2403113</t>
  </si>
  <si>
    <t>2403122</t>
  </si>
  <si>
    <t>2404013</t>
  </si>
  <si>
    <t>2404022</t>
  </si>
  <si>
    <t>2404032</t>
  </si>
  <si>
    <t>2404042</t>
  </si>
  <si>
    <t>2404052</t>
  </si>
  <si>
    <t>2404063</t>
  </si>
  <si>
    <t>2404072</t>
  </si>
  <si>
    <t>2404082</t>
  </si>
  <si>
    <t>2404092</t>
  </si>
  <si>
    <t>2404102</t>
  </si>
  <si>
    <t>2404112</t>
  </si>
  <si>
    <t>2404122</t>
  </si>
  <si>
    <t>2404132</t>
  </si>
  <si>
    <t>2404142</t>
  </si>
  <si>
    <t>2404152</t>
  </si>
  <si>
    <t>2404162</t>
  </si>
  <si>
    <t>2405011</t>
  </si>
  <si>
    <t>2405021</t>
  </si>
  <si>
    <t>2405032</t>
  </si>
  <si>
    <t>2405042</t>
  </si>
  <si>
    <t>2405052</t>
  </si>
  <si>
    <t>2405063</t>
  </si>
  <si>
    <t>2405073</t>
  </si>
  <si>
    <t>2405082</t>
  </si>
  <si>
    <t>2406013</t>
  </si>
  <si>
    <t>2406023</t>
  </si>
  <si>
    <t>2406032</t>
  </si>
  <si>
    <t>2406042</t>
  </si>
  <si>
    <t>2406052</t>
  </si>
  <si>
    <t>2406062</t>
  </si>
  <si>
    <t>2406072</t>
  </si>
  <si>
    <t>2406082</t>
  </si>
  <si>
    <t>2406092</t>
  </si>
  <si>
    <t>2407011</t>
  </si>
  <si>
    <t>2407022</t>
  </si>
  <si>
    <t>2407032</t>
  </si>
  <si>
    <t>2407042</t>
  </si>
  <si>
    <t>2407052</t>
  </si>
  <si>
    <t>2407062</t>
  </si>
  <si>
    <t>2407072</t>
  </si>
  <si>
    <t>2407083</t>
  </si>
  <si>
    <t>2408011</t>
  </si>
  <si>
    <t>2408021</t>
  </si>
  <si>
    <t>2408031</t>
  </si>
  <si>
    <t>2408042</t>
  </si>
  <si>
    <t>2408052</t>
  </si>
  <si>
    <t>2409011</t>
  </si>
  <si>
    <t>2409023</t>
  </si>
  <si>
    <t>2409032</t>
  </si>
  <si>
    <t>2409042</t>
  </si>
  <si>
    <t>2409053</t>
  </si>
  <si>
    <t>2410012</t>
  </si>
  <si>
    <t>2410022</t>
  </si>
  <si>
    <t>2410032</t>
  </si>
  <si>
    <t>2410042</t>
  </si>
  <si>
    <t>2410053</t>
  </si>
  <si>
    <t>2410062</t>
  </si>
  <si>
    <t>2411011</t>
  </si>
  <si>
    <t>2411022</t>
  </si>
  <si>
    <t>2411033</t>
  </si>
  <si>
    <t>2411042</t>
  </si>
  <si>
    <t>2411053</t>
  </si>
  <si>
    <t>2411062</t>
  </si>
  <si>
    <t>2411072</t>
  </si>
  <si>
    <t>2411082</t>
  </si>
  <si>
    <t>2412013</t>
  </si>
  <si>
    <t>2412022</t>
  </si>
  <si>
    <t>2412032</t>
  </si>
  <si>
    <t>2412042</t>
  </si>
  <si>
    <t>2412052</t>
  </si>
  <si>
    <t>2413011</t>
  </si>
  <si>
    <t>2413021</t>
  </si>
  <si>
    <t>2413031</t>
  </si>
  <si>
    <t>2413041</t>
  </si>
  <si>
    <t>2413052</t>
  </si>
  <si>
    <t>2413062</t>
  </si>
  <si>
    <t>2413072</t>
  </si>
  <si>
    <t>2413082</t>
  </si>
  <si>
    <t>2413092</t>
  </si>
  <si>
    <t>2414011</t>
  </si>
  <si>
    <t>2414021</t>
  </si>
  <si>
    <t>2414031</t>
  </si>
  <si>
    <t>2414042</t>
  </si>
  <si>
    <t>2414052</t>
  </si>
  <si>
    <t>2415011</t>
  </si>
  <si>
    <t>2415021</t>
  </si>
  <si>
    <t>2415031</t>
  </si>
  <si>
    <t>2415041</t>
  </si>
  <si>
    <t>2415052</t>
  </si>
  <si>
    <t>2415062</t>
  </si>
  <si>
    <t>2415072</t>
  </si>
  <si>
    <t>2415082</t>
  </si>
  <si>
    <t>2415092</t>
  </si>
  <si>
    <t>2416011</t>
  </si>
  <si>
    <t>2416021</t>
  </si>
  <si>
    <t>2416032</t>
  </si>
  <si>
    <t>2416042</t>
  </si>
  <si>
    <t>2416053</t>
  </si>
  <si>
    <t>2416063</t>
  </si>
  <si>
    <t>2416073</t>
  </si>
  <si>
    <t>2416083</t>
  </si>
  <si>
    <t>2416092</t>
  </si>
  <si>
    <t>2416102</t>
  </si>
  <si>
    <t>2417011</t>
  </si>
  <si>
    <t>2417022</t>
  </si>
  <si>
    <t>2417032</t>
  </si>
  <si>
    <t>2417042</t>
  </si>
  <si>
    <t>2417052</t>
  </si>
  <si>
    <t>2417062</t>
  </si>
  <si>
    <t>2417072</t>
  </si>
  <si>
    <t>2417082</t>
  </si>
  <si>
    <t>2417092</t>
  </si>
  <si>
    <t>2417102</t>
  </si>
  <si>
    <t>2417112</t>
  </si>
  <si>
    <t>2417122</t>
  </si>
  <si>
    <t>2417132</t>
  </si>
  <si>
    <t>2417142</t>
  </si>
  <si>
    <t>2417152</t>
  </si>
  <si>
    <t>2461011</t>
  </si>
  <si>
    <t>2462011</t>
  </si>
  <si>
    <t>2463011</t>
  </si>
  <si>
    <t>2464011</t>
  </si>
  <si>
    <t>2465011</t>
  </si>
  <si>
    <t>2466011</t>
  </si>
  <si>
    <t>2467011</t>
  </si>
  <si>
    <t>2468011</t>
  </si>
  <si>
    <t>2469011</t>
  </si>
  <si>
    <t>2470011</t>
  </si>
  <si>
    <t>2471011</t>
  </si>
  <si>
    <t>2472011</t>
  </si>
  <si>
    <t>2473011</t>
  </si>
  <si>
    <t>2474011</t>
  </si>
  <si>
    <t>2475011</t>
  </si>
  <si>
    <t>2476011</t>
  </si>
  <si>
    <t>2477011</t>
  </si>
  <si>
    <t>2478011</t>
  </si>
  <si>
    <t>2479011</t>
  </si>
  <si>
    <t>2601013</t>
  </si>
  <si>
    <t>2601022</t>
  </si>
  <si>
    <t>2601052</t>
  </si>
  <si>
    <t>2601072</t>
  </si>
  <si>
    <t>2602012</t>
  </si>
  <si>
    <t>2602023</t>
  </si>
  <si>
    <t>2602033</t>
  </si>
  <si>
    <t>2602042</t>
  </si>
  <si>
    <t>2602052</t>
  </si>
  <si>
    <t>2602063</t>
  </si>
  <si>
    <t>2602072</t>
  </si>
  <si>
    <t>2602082</t>
  </si>
  <si>
    <t>2603012</t>
  </si>
  <si>
    <t>2603022</t>
  </si>
  <si>
    <t>2603033</t>
  </si>
  <si>
    <t>2603053</t>
  </si>
  <si>
    <t>2604012</t>
  </si>
  <si>
    <t>2604023</t>
  </si>
  <si>
    <t>2604033</t>
  </si>
  <si>
    <t>2604043</t>
  </si>
  <si>
    <t>2604053</t>
  </si>
  <si>
    <t>2604062</t>
  </si>
  <si>
    <t>2604082</t>
  </si>
  <si>
    <t>2604092</t>
  </si>
  <si>
    <t>2604102</t>
  </si>
  <si>
    <t>2604112</t>
  </si>
  <si>
    <t>2604142</t>
  </si>
  <si>
    <t>2604162</t>
  </si>
  <si>
    <t>2604172</t>
  </si>
  <si>
    <t>2604182</t>
  </si>
  <si>
    <t>2604192</t>
  </si>
  <si>
    <t>2605012</t>
  </si>
  <si>
    <t>2605022</t>
  </si>
  <si>
    <t>2605033</t>
  </si>
  <si>
    <t>2605052</t>
  </si>
  <si>
    <t>2605062</t>
  </si>
  <si>
    <t>2605072</t>
  </si>
  <si>
    <t>2605083</t>
  </si>
  <si>
    <t>2606012</t>
  </si>
  <si>
    <t>2606022</t>
  </si>
  <si>
    <t>2606032</t>
  </si>
  <si>
    <t>2606043</t>
  </si>
  <si>
    <t>2606053</t>
  </si>
  <si>
    <t>2606062</t>
  </si>
  <si>
    <t>2606072</t>
  </si>
  <si>
    <t>2606082</t>
  </si>
  <si>
    <t>2607011</t>
  </si>
  <si>
    <t>2607022</t>
  </si>
  <si>
    <t>2607032</t>
  </si>
  <si>
    <t>2607043</t>
  </si>
  <si>
    <t>2607053</t>
  </si>
  <si>
    <t>2607062</t>
  </si>
  <si>
    <t>2608013</t>
  </si>
  <si>
    <t>2608022</t>
  </si>
  <si>
    <t>2608032</t>
  </si>
  <si>
    <t>2608043</t>
  </si>
  <si>
    <t>2608052</t>
  </si>
  <si>
    <t>2609011</t>
  </si>
  <si>
    <t>2609022</t>
  </si>
  <si>
    <t>2609043</t>
  </si>
  <si>
    <t>2609052</t>
  </si>
  <si>
    <t>2609062</t>
  </si>
  <si>
    <t>2609072</t>
  </si>
  <si>
    <t>2609082</t>
  </si>
  <si>
    <t>2609093</t>
  </si>
  <si>
    <t>2610011</t>
  </si>
  <si>
    <t>2610022</t>
  </si>
  <si>
    <t>2610032</t>
  </si>
  <si>
    <t>2610042</t>
  </si>
  <si>
    <t>2610053</t>
  </si>
  <si>
    <t>2611011</t>
  </si>
  <si>
    <t>2611022</t>
  </si>
  <si>
    <t>2611032</t>
  </si>
  <si>
    <t>2611042</t>
  </si>
  <si>
    <t>2611053</t>
  </si>
  <si>
    <t>2612012</t>
  </si>
  <si>
    <t>2612022</t>
  </si>
  <si>
    <t>2612043</t>
  </si>
  <si>
    <t>2612053</t>
  </si>
  <si>
    <t>2612062</t>
  </si>
  <si>
    <t>2612073</t>
  </si>
  <si>
    <t>2613012</t>
  </si>
  <si>
    <t>2613022</t>
  </si>
  <si>
    <t>2613032</t>
  </si>
  <si>
    <t>2613042</t>
  </si>
  <si>
    <t>2613052</t>
  </si>
  <si>
    <t>2613063</t>
  </si>
  <si>
    <t>2661011</t>
  </si>
  <si>
    <t>2801011</t>
  </si>
  <si>
    <t>2801021</t>
  </si>
  <si>
    <t>2801032</t>
  </si>
  <si>
    <t>2801043</t>
  </si>
  <si>
    <t>2801052</t>
  </si>
  <si>
    <t>2801063</t>
  </si>
  <si>
    <t>2802011</t>
  </si>
  <si>
    <t>2802022</t>
  </si>
  <si>
    <t>2802033</t>
  </si>
  <si>
    <t>2802042</t>
  </si>
  <si>
    <t>2802053</t>
  </si>
  <si>
    <t>2802062</t>
  </si>
  <si>
    <t>2802072</t>
  </si>
  <si>
    <t>2803011</t>
  </si>
  <si>
    <t>2803022</t>
  </si>
  <si>
    <t>2803032</t>
  </si>
  <si>
    <t>2803043</t>
  </si>
  <si>
    <t>2803052</t>
  </si>
  <si>
    <t>2803062</t>
  </si>
  <si>
    <t>2804012</t>
  </si>
  <si>
    <t>2804022</t>
  </si>
  <si>
    <t>2804032</t>
  </si>
  <si>
    <t>2804042</t>
  </si>
  <si>
    <t>2804052</t>
  </si>
  <si>
    <t>2804063</t>
  </si>
  <si>
    <t>2804073</t>
  </si>
  <si>
    <t>2804082</t>
  </si>
  <si>
    <t>2804093</t>
  </si>
  <si>
    <t>2805011</t>
  </si>
  <si>
    <t>2805022</t>
  </si>
  <si>
    <t>2805032</t>
  </si>
  <si>
    <t>2805042</t>
  </si>
  <si>
    <t>2805052</t>
  </si>
  <si>
    <t>2806011</t>
  </si>
  <si>
    <t>2806042</t>
  </si>
  <si>
    <t>2806052</t>
  </si>
  <si>
    <t>2806062</t>
  </si>
  <si>
    <t>2806083</t>
  </si>
  <si>
    <t>2806102</t>
  </si>
  <si>
    <t>2807011</t>
  </si>
  <si>
    <t>2807021</t>
  </si>
  <si>
    <t>2807032</t>
  </si>
  <si>
    <t>2807043</t>
  </si>
  <si>
    <t>2807052</t>
  </si>
  <si>
    <t>2807063</t>
  </si>
  <si>
    <t>2807073</t>
  </si>
  <si>
    <t>2808011</t>
  </si>
  <si>
    <t>2808022</t>
  </si>
  <si>
    <t>2808032</t>
  </si>
  <si>
    <t>2808043</t>
  </si>
  <si>
    <t>2808053</t>
  </si>
  <si>
    <t>2808062</t>
  </si>
  <si>
    <t>2809011</t>
  </si>
  <si>
    <t>2809022</t>
  </si>
  <si>
    <t>2809032</t>
  </si>
  <si>
    <t>2809042</t>
  </si>
  <si>
    <t>2809053</t>
  </si>
  <si>
    <t>2810011</t>
  </si>
  <si>
    <t>2810023</t>
  </si>
  <si>
    <t>2810032</t>
  </si>
  <si>
    <t>2810042</t>
  </si>
  <si>
    <t>2810052</t>
  </si>
  <si>
    <t>2811012</t>
  </si>
  <si>
    <t>2811022</t>
  </si>
  <si>
    <t>2811032</t>
  </si>
  <si>
    <t>2811043</t>
  </si>
  <si>
    <t>2812011</t>
  </si>
  <si>
    <t>2812022</t>
  </si>
  <si>
    <t>2812032</t>
  </si>
  <si>
    <t>2812042</t>
  </si>
  <si>
    <t>2812052</t>
  </si>
  <si>
    <t>2813032</t>
  </si>
  <si>
    <t>2813043</t>
  </si>
  <si>
    <t>2813052</t>
  </si>
  <si>
    <t>2813062</t>
  </si>
  <si>
    <t>2814013</t>
  </si>
  <si>
    <t>2814023</t>
  </si>
  <si>
    <t>2814033</t>
  </si>
  <si>
    <t>2814042</t>
  </si>
  <si>
    <t>2814052</t>
  </si>
  <si>
    <t>2814063</t>
  </si>
  <si>
    <t>2814072</t>
  </si>
  <si>
    <t>2814082</t>
  </si>
  <si>
    <t>2814093</t>
  </si>
  <si>
    <t>2814102</t>
  </si>
  <si>
    <t>2814112</t>
  </si>
  <si>
    <t>2814122</t>
  </si>
  <si>
    <t>2815011</t>
  </si>
  <si>
    <t>2815022</t>
  </si>
  <si>
    <t>2815032</t>
  </si>
  <si>
    <t>2815042</t>
  </si>
  <si>
    <t>2815052</t>
  </si>
  <si>
    <t>2815063</t>
  </si>
  <si>
    <t>2815073</t>
  </si>
  <si>
    <t>2815083</t>
  </si>
  <si>
    <t>2815092</t>
  </si>
  <si>
    <t>2816013</t>
  </si>
  <si>
    <t>2816023</t>
  </si>
  <si>
    <t>2816033</t>
  </si>
  <si>
    <t>2816043</t>
  </si>
  <si>
    <t>2817011</t>
  </si>
  <si>
    <t>2817022</t>
  </si>
  <si>
    <t>2817032</t>
  </si>
  <si>
    <t>2817043</t>
  </si>
  <si>
    <t>2817052</t>
  </si>
  <si>
    <t>2817062</t>
  </si>
  <si>
    <t>2817072</t>
  </si>
  <si>
    <t>2818012</t>
  </si>
  <si>
    <t>2818022</t>
  </si>
  <si>
    <t>2818033</t>
  </si>
  <si>
    <t>2819012</t>
  </si>
  <si>
    <t>2819022</t>
  </si>
  <si>
    <t>2819033</t>
  </si>
  <si>
    <t>2861011</t>
  </si>
  <si>
    <t>2862011</t>
  </si>
  <si>
    <t>3001011</t>
  </si>
  <si>
    <t>3001032</t>
  </si>
  <si>
    <t>3001043</t>
  </si>
  <si>
    <t>3001053</t>
  </si>
  <si>
    <t>3002011</t>
  </si>
  <si>
    <t>3002022</t>
  </si>
  <si>
    <t>3002032</t>
  </si>
  <si>
    <t>3002043</t>
  </si>
  <si>
    <t>3002052</t>
  </si>
  <si>
    <t>3002062</t>
  </si>
  <si>
    <t>3002073</t>
  </si>
  <si>
    <t>3002083</t>
  </si>
  <si>
    <t>3003011</t>
  </si>
  <si>
    <t>3003023</t>
  </si>
  <si>
    <t>3003032</t>
  </si>
  <si>
    <t>3003042</t>
  </si>
  <si>
    <t>3003053</t>
  </si>
  <si>
    <t>3003062</t>
  </si>
  <si>
    <t>3003072</t>
  </si>
  <si>
    <t>3003082</t>
  </si>
  <si>
    <t>3003093</t>
  </si>
  <si>
    <t>3003103</t>
  </si>
  <si>
    <t>3004013</t>
  </si>
  <si>
    <t>3004023</t>
  </si>
  <si>
    <t>3004033</t>
  </si>
  <si>
    <t>3004042</t>
  </si>
  <si>
    <t>3004052</t>
  </si>
  <si>
    <t>3004063</t>
  </si>
  <si>
    <t>3004073</t>
  </si>
  <si>
    <t>3005012</t>
  </si>
  <si>
    <t>3005023</t>
  </si>
  <si>
    <t>3005032</t>
  </si>
  <si>
    <t>3005043</t>
  </si>
  <si>
    <t>3005053</t>
  </si>
  <si>
    <t>3006023</t>
  </si>
  <si>
    <t>3006032</t>
  </si>
  <si>
    <t>3006043</t>
  </si>
  <si>
    <t>3007012</t>
  </si>
  <si>
    <t>3007022</t>
  </si>
  <si>
    <t>3007032</t>
  </si>
  <si>
    <t>3007042</t>
  </si>
  <si>
    <t>3007062</t>
  </si>
  <si>
    <t>3007072</t>
  </si>
  <si>
    <t>3007093</t>
  </si>
  <si>
    <t>3007102</t>
  </si>
  <si>
    <t>3007112</t>
  </si>
  <si>
    <t>3008012</t>
  </si>
  <si>
    <t>3008022</t>
  </si>
  <si>
    <t>3008033</t>
  </si>
  <si>
    <t>3008042</t>
  </si>
  <si>
    <t>3008052</t>
  </si>
  <si>
    <t>3008062</t>
  </si>
  <si>
    <t>3008072</t>
  </si>
  <si>
    <t>3009011</t>
  </si>
  <si>
    <t>3009022</t>
  </si>
  <si>
    <t>3009032</t>
  </si>
  <si>
    <t>3009043</t>
  </si>
  <si>
    <t>3009052</t>
  </si>
  <si>
    <t>3009063</t>
  </si>
  <si>
    <t>3009072</t>
  </si>
  <si>
    <t>3009082</t>
  </si>
  <si>
    <t>3009092</t>
  </si>
  <si>
    <t>3009102</t>
  </si>
  <si>
    <t>3009113</t>
  </si>
  <si>
    <t>3010013</t>
  </si>
  <si>
    <t>3010022</t>
  </si>
  <si>
    <t>3010032</t>
  </si>
  <si>
    <t>3010043</t>
  </si>
  <si>
    <t>3010052</t>
  </si>
  <si>
    <t>3010062</t>
  </si>
  <si>
    <t>3010073</t>
  </si>
  <si>
    <t>3010082</t>
  </si>
  <si>
    <t>3010092</t>
  </si>
  <si>
    <t>3010103</t>
  </si>
  <si>
    <t>3010112</t>
  </si>
  <si>
    <t>3010123</t>
  </si>
  <si>
    <t>3010132</t>
  </si>
  <si>
    <t>3010142</t>
  </si>
  <si>
    <t>3011011</t>
  </si>
  <si>
    <t>3011023</t>
  </si>
  <si>
    <t>3011032</t>
  </si>
  <si>
    <t>3011043</t>
  </si>
  <si>
    <t>3011053</t>
  </si>
  <si>
    <t>3012011</t>
  </si>
  <si>
    <t>3012023</t>
  </si>
  <si>
    <t>3012033</t>
  </si>
  <si>
    <t>3012043</t>
  </si>
  <si>
    <t>3012052</t>
  </si>
  <si>
    <t>3012063</t>
  </si>
  <si>
    <t>3013012</t>
  </si>
  <si>
    <t>3013022</t>
  </si>
  <si>
    <t>3013033</t>
  </si>
  <si>
    <t>3013043</t>
  </si>
  <si>
    <t>3013052</t>
  </si>
  <si>
    <t>3013062</t>
  </si>
  <si>
    <t>3013072</t>
  </si>
  <si>
    <t>3014012</t>
  </si>
  <si>
    <t>3014022</t>
  </si>
  <si>
    <t>3014033</t>
  </si>
  <si>
    <t>3014043</t>
  </si>
  <si>
    <t>3015012</t>
  </si>
  <si>
    <t>3015023</t>
  </si>
  <si>
    <t>3015032</t>
  </si>
  <si>
    <t>3015043</t>
  </si>
  <si>
    <t>3015053</t>
  </si>
  <si>
    <t>3015063</t>
  </si>
  <si>
    <t>3016013</t>
  </si>
  <si>
    <t>3016023</t>
  </si>
  <si>
    <t>3016032</t>
  </si>
  <si>
    <t>3017011</t>
  </si>
  <si>
    <t>3017023</t>
  </si>
  <si>
    <t>3017033</t>
  </si>
  <si>
    <t>3017042</t>
  </si>
  <si>
    <t>3017052</t>
  </si>
  <si>
    <t>3017063</t>
  </si>
  <si>
    <t>3017072</t>
  </si>
  <si>
    <t>3017082</t>
  </si>
  <si>
    <t>3018012</t>
  </si>
  <si>
    <t>3018022</t>
  </si>
  <si>
    <t>3018033</t>
  </si>
  <si>
    <t>3018042</t>
  </si>
  <si>
    <t>3018052</t>
  </si>
  <si>
    <t>3018063</t>
  </si>
  <si>
    <t>3018073</t>
  </si>
  <si>
    <t>3019011</t>
  </si>
  <si>
    <t>3019022</t>
  </si>
  <si>
    <t>3019032</t>
  </si>
  <si>
    <t>3019043</t>
  </si>
  <si>
    <t>3019052</t>
  </si>
  <si>
    <t>3019062</t>
  </si>
  <si>
    <t>3019073</t>
  </si>
  <si>
    <t>3019083</t>
  </si>
  <si>
    <t>3019093</t>
  </si>
  <si>
    <t>3020022</t>
  </si>
  <si>
    <t>3020042</t>
  </si>
  <si>
    <t>3020052</t>
  </si>
  <si>
    <t>3020063</t>
  </si>
  <si>
    <t>3021011</t>
  </si>
  <si>
    <t>3021021</t>
  </si>
  <si>
    <t>3021033</t>
  </si>
  <si>
    <t>3021042</t>
  </si>
  <si>
    <t>3021052</t>
  </si>
  <si>
    <t>3021062</t>
  </si>
  <si>
    <t>3021072</t>
  </si>
  <si>
    <t>3021083</t>
  </si>
  <si>
    <t>3021093</t>
  </si>
  <si>
    <t>3021103</t>
  </si>
  <si>
    <t>3021113</t>
  </si>
  <si>
    <t>3021123</t>
  </si>
  <si>
    <t>3021132</t>
  </si>
  <si>
    <t>3021143</t>
  </si>
  <si>
    <t>3021152</t>
  </si>
  <si>
    <t>3021163</t>
  </si>
  <si>
    <t>3021172</t>
  </si>
  <si>
    <t>3022013</t>
  </si>
  <si>
    <t>3022023</t>
  </si>
  <si>
    <t>3022033</t>
  </si>
  <si>
    <t>3022042</t>
  </si>
  <si>
    <t>3022053</t>
  </si>
  <si>
    <t>3023011</t>
  </si>
  <si>
    <t>3023022</t>
  </si>
  <si>
    <t>3023032</t>
  </si>
  <si>
    <t>3023042</t>
  </si>
  <si>
    <t>3023052</t>
  </si>
  <si>
    <t>3023062</t>
  </si>
  <si>
    <t>3023072</t>
  </si>
  <si>
    <t>3023083</t>
  </si>
  <si>
    <t>3024011</t>
  </si>
  <si>
    <t>3024022</t>
  </si>
  <si>
    <t>3024032</t>
  </si>
  <si>
    <t>3024042</t>
  </si>
  <si>
    <t>3024053</t>
  </si>
  <si>
    <t>3024063</t>
  </si>
  <si>
    <t>3024073</t>
  </si>
  <si>
    <t>3024083</t>
  </si>
  <si>
    <t>3025012</t>
  </si>
  <si>
    <t>3025022</t>
  </si>
  <si>
    <t>3025032</t>
  </si>
  <si>
    <t>3025043</t>
  </si>
  <si>
    <t>3025052</t>
  </si>
  <si>
    <t>3026012</t>
  </si>
  <si>
    <t>3026023</t>
  </si>
  <si>
    <t>3026033</t>
  </si>
  <si>
    <t>3026043</t>
  </si>
  <si>
    <t>3027011</t>
  </si>
  <si>
    <t>3027022</t>
  </si>
  <si>
    <t>3027033</t>
  </si>
  <si>
    <t>3027042</t>
  </si>
  <si>
    <t>3027052</t>
  </si>
  <si>
    <t>3027062</t>
  </si>
  <si>
    <t>3027073</t>
  </si>
  <si>
    <t>3027082</t>
  </si>
  <si>
    <t>3027092</t>
  </si>
  <si>
    <t>3028011</t>
  </si>
  <si>
    <t>3028022</t>
  </si>
  <si>
    <t>3028033</t>
  </si>
  <si>
    <t>3028042</t>
  </si>
  <si>
    <t>3028053</t>
  </si>
  <si>
    <t>3028062</t>
  </si>
  <si>
    <t>3028072</t>
  </si>
  <si>
    <t>3029012</t>
  </si>
  <si>
    <t>3029022</t>
  </si>
  <si>
    <t>3029033</t>
  </si>
  <si>
    <t>3030012</t>
  </si>
  <si>
    <t>3030023</t>
  </si>
  <si>
    <t>3030033</t>
  </si>
  <si>
    <t>3030043</t>
  </si>
  <si>
    <t>3030053</t>
  </si>
  <si>
    <t>3031011</t>
  </si>
  <si>
    <t>3031023</t>
  </si>
  <si>
    <t>3031033</t>
  </si>
  <si>
    <t>3031042</t>
  </si>
  <si>
    <t>3031053</t>
  </si>
  <si>
    <t>3031062</t>
  </si>
  <si>
    <t>3031072</t>
  </si>
  <si>
    <t>3031082</t>
  </si>
  <si>
    <t>3061011</t>
  </si>
  <si>
    <t>3062011</t>
  </si>
  <si>
    <t>3063011</t>
  </si>
  <si>
    <t>3064011</t>
  </si>
  <si>
    <t>3201011</t>
  </si>
  <si>
    <t>3201022</t>
  </si>
  <si>
    <t>3201033</t>
  </si>
  <si>
    <t>3202012</t>
  </si>
  <si>
    <t>3202023</t>
  </si>
  <si>
    <t>3202033</t>
  </si>
  <si>
    <t>3202042</t>
  </si>
  <si>
    <t>3202053</t>
  </si>
  <si>
    <t>3202063</t>
  </si>
  <si>
    <t>3203013</t>
  </si>
  <si>
    <t>3203023</t>
  </si>
  <si>
    <t>3203033</t>
  </si>
  <si>
    <t>3203052</t>
  </si>
  <si>
    <t>3203063</t>
  </si>
  <si>
    <t>3204023</t>
  </si>
  <si>
    <t>3204033</t>
  </si>
  <si>
    <t>3204043</t>
  </si>
  <si>
    <t>3204052</t>
  </si>
  <si>
    <t>3204062</t>
  </si>
  <si>
    <t>3205012</t>
  </si>
  <si>
    <t>3205023</t>
  </si>
  <si>
    <t>3205032</t>
  </si>
  <si>
    <t>3205043</t>
  </si>
  <si>
    <t>3205072</t>
  </si>
  <si>
    <t>3205083</t>
  </si>
  <si>
    <t>3206012</t>
  </si>
  <si>
    <t>3206023</t>
  </si>
  <si>
    <t>3206033</t>
  </si>
  <si>
    <t>3206043</t>
  </si>
  <si>
    <t>3206053</t>
  </si>
  <si>
    <t>3206063</t>
  </si>
  <si>
    <t>3206072</t>
  </si>
  <si>
    <t>3206083</t>
  </si>
  <si>
    <t>3206092</t>
  </si>
  <si>
    <t>3207013</t>
  </si>
  <si>
    <t>3207023</t>
  </si>
  <si>
    <t>3207033</t>
  </si>
  <si>
    <t>3207043</t>
  </si>
  <si>
    <t>3207052</t>
  </si>
  <si>
    <t>3207063</t>
  </si>
  <si>
    <t>3208011</t>
  </si>
  <si>
    <t>3208022</t>
  </si>
  <si>
    <t>3208042</t>
  </si>
  <si>
    <t>3208052</t>
  </si>
  <si>
    <t>3208062</t>
  </si>
  <si>
    <t>3208072</t>
  </si>
  <si>
    <t>3209012</t>
  </si>
  <si>
    <t>3209022</t>
  </si>
  <si>
    <t>3209033</t>
  </si>
  <si>
    <t>3209042</t>
  </si>
  <si>
    <t>3209063</t>
  </si>
  <si>
    <t>3209073</t>
  </si>
  <si>
    <t>3209082</t>
  </si>
  <si>
    <t>3210013</t>
  </si>
  <si>
    <t>3210022</t>
  </si>
  <si>
    <t>3210033</t>
  </si>
  <si>
    <t>3210043</t>
  </si>
  <si>
    <t>3210052</t>
  </si>
  <si>
    <t>3211012</t>
  </si>
  <si>
    <t>3211022</t>
  </si>
  <si>
    <t>3211033</t>
  </si>
  <si>
    <t>3211043</t>
  </si>
  <si>
    <t>3212012</t>
  </si>
  <si>
    <t>3212022</t>
  </si>
  <si>
    <t>3212033</t>
  </si>
  <si>
    <t>3212042</t>
  </si>
  <si>
    <t>3212053</t>
  </si>
  <si>
    <t>3212062</t>
  </si>
  <si>
    <t>3213011</t>
  </si>
  <si>
    <t>3213021</t>
  </si>
  <si>
    <t>3213032</t>
  </si>
  <si>
    <t>3213042</t>
  </si>
  <si>
    <t>3213052</t>
  </si>
  <si>
    <t>3213062</t>
  </si>
  <si>
    <t>3214011</t>
  </si>
  <si>
    <t>3214023</t>
  </si>
  <si>
    <t>3214033</t>
  </si>
  <si>
    <t>3214042</t>
  </si>
  <si>
    <t>3214053</t>
  </si>
  <si>
    <t>3214062</t>
  </si>
  <si>
    <t>3214082</t>
  </si>
  <si>
    <t>3214092</t>
  </si>
  <si>
    <t>3214102</t>
  </si>
  <si>
    <t>3214113</t>
  </si>
  <si>
    <t>3215011</t>
  </si>
  <si>
    <t>3215023</t>
  </si>
  <si>
    <t>3215033</t>
  </si>
  <si>
    <t>3215043</t>
  </si>
  <si>
    <t>3215052</t>
  </si>
  <si>
    <t>3215062</t>
  </si>
  <si>
    <t>3216011</t>
  </si>
  <si>
    <t>3216022</t>
  </si>
  <si>
    <t>3216033</t>
  </si>
  <si>
    <t>3216042</t>
  </si>
  <si>
    <t>3216052</t>
  </si>
  <si>
    <t>3216062</t>
  </si>
  <si>
    <t>3217011</t>
  </si>
  <si>
    <t>3217023</t>
  </si>
  <si>
    <t>3217033</t>
  </si>
  <si>
    <t>3217043</t>
  </si>
  <si>
    <t>3217052</t>
  </si>
  <si>
    <t>3218013</t>
  </si>
  <si>
    <t>3218023</t>
  </si>
  <si>
    <t>3218032</t>
  </si>
  <si>
    <t>3218043</t>
  </si>
  <si>
    <t>3218053</t>
  </si>
  <si>
    <t>3261011</t>
  </si>
  <si>
    <t>3262011</t>
  </si>
  <si>
    <t>3263011</t>
  </si>
  <si>
    <t>Gromadka</t>
  </si>
  <si>
    <t>Nowogrodziec</t>
  </si>
  <si>
    <t>Osiecznica</t>
  </si>
  <si>
    <t>Warta Bolesławiecka</t>
  </si>
  <si>
    <t>Bielawa</t>
  </si>
  <si>
    <t>Pieszyce</t>
  </si>
  <si>
    <t>Piława Górna</t>
  </si>
  <si>
    <t>Łagiewniki</t>
  </si>
  <si>
    <t>Niemcza</t>
  </si>
  <si>
    <t>Jerzmanowa</t>
  </si>
  <si>
    <t>Kotla</t>
  </si>
  <si>
    <t>Pęcław</t>
  </si>
  <si>
    <t>Żukowice</t>
  </si>
  <si>
    <t>Góra</t>
  </si>
  <si>
    <t>Jemielno</t>
  </si>
  <si>
    <t>Niechlów</t>
  </si>
  <si>
    <t>Wąsosz</t>
  </si>
  <si>
    <t>Jawor</t>
  </si>
  <si>
    <t>Bolków</t>
  </si>
  <si>
    <t>Męcinka</t>
  </si>
  <si>
    <t>Mściwojów</t>
  </si>
  <si>
    <t>Paszowice</t>
  </si>
  <si>
    <t>Wądroże Wielkie</t>
  </si>
  <si>
    <t>Karpacz</t>
  </si>
  <si>
    <t>Kowary</t>
  </si>
  <si>
    <t>Piechowice</t>
  </si>
  <si>
    <t>Szklarska Poręba</t>
  </si>
  <si>
    <t>Janowice Wielkie</t>
  </si>
  <si>
    <t>Jeżów Sudecki</t>
  </si>
  <si>
    <t>Mysłakowice</t>
  </si>
  <si>
    <t>Podgórzyn</t>
  </si>
  <si>
    <t>Stara Kamienica</t>
  </si>
  <si>
    <t>Lubawka</t>
  </si>
  <si>
    <t>Marciszów</t>
  </si>
  <si>
    <t>Duszniki-Zdrój</t>
  </si>
  <si>
    <t>Kudowa-Zdrój</t>
  </si>
  <si>
    <t>Polanica-Zdrój</t>
  </si>
  <si>
    <t>Bystrzyca Kłodzka</t>
  </si>
  <si>
    <t>Lądek-Zdrój</t>
  </si>
  <si>
    <t>Lewin Kłodzki</t>
  </si>
  <si>
    <t>Międzylesie</t>
  </si>
  <si>
    <t>Radków</t>
  </si>
  <si>
    <t>Stronie Śląskie</t>
  </si>
  <si>
    <t>Szczytna</t>
  </si>
  <si>
    <t>Krotoszyce</t>
  </si>
  <si>
    <t>Kunice</t>
  </si>
  <si>
    <t>Legnickie Pole</t>
  </si>
  <si>
    <t>Miłkowice</t>
  </si>
  <si>
    <t>Prochowice</t>
  </si>
  <si>
    <t>Ruja</t>
  </si>
  <si>
    <t>Świeradów-Zdrój</t>
  </si>
  <si>
    <t>Leśna</t>
  </si>
  <si>
    <t>Olszyna</t>
  </si>
  <si>
    <t>Platerówka</t>
  </si>
  <si>
    <t>Siekierczyn</t>
  </si>
  <si>
    <t>Rudna</t>
  </si>
  <si>
    <t>Ścinawa</t>
  </si>
  <si>
    <t>Gryfów Śląski</t>
  </si>
  <si>
    <t>Lubomierz</t>
  </si>
  <si>
    <t>Lwówek Śląski</t>
  </si>
  <si>
    <t>Mirsk</t>
  </si>
  <si>
    <t>Wleń</t>
  </si>
  <si>
    <t>Cieszków</t>
  </si>
  <si>
    <t>Krośnice</t>
  </si>
  <si>
    <t>Milicz</t>
  </si>
  <si>
    <t>Oleśnica</t>
  </si>
  <si>
    <t>Bierutów</t>
  </si>
  <si>
    <t>Dobroszyce</t>
  </si>
  <si>
    <t>Dziadowa Kłoda</t>
  </si>
  <si>
    <t>Międzybórz</t>
  </si>
  <si>
    <t>Syców</t>
  </si>
  <si>
    <t>Twardogóra</t>
  </si>
  <si>
    <t>Domaniów</t>
  </si>
  <si>
    <t>Jelcz-Laskowice</t>
  </si>
  <si>
    <t>Chocianów</t>
  </si>
  <si>
    <t>Gaworzyce</t>
  </si>
  <si>
    <t>Grębocice</t>
  </si>
  <si>
    <t>Polkowice</t>
  </si>
  <si>
    <t>Przemków</t>
  </si>
  <si>
    <t>Radwanice</t>
  </si>
  <si>
    <t>Borów</t>
  </si>
  <si>
    <t>Kondratowice</t>
  </si>
  <si>
    <t>Przeworno</t>
  </si>
  <si>
    <t>Strzelin</t>
  </si>
  <si>
    <t>Wiązów</t>
  </si>
  <si>
    <t>Kostomłoty</t>
  </si>
  <si>
    <t>Malczyce</t>
  </si>
  <si>
    <t>Miękinia</t>
  </si>
  <si>
    <t>Środa Śląska</t>
  </si>
  <si>
    <t>Udanin</t>
  </si>
  <si>
    <t>Świdnica</t>
  </si>
  <si>
    <t>Świebodzice</t>
  </si>
  <si>
    <t>Dobromierz</t>
  </si>
  <si>
    <t>Jaworzyna Śląska</t>
  </si>
  <si>
    <t>Marcinowice</t>
  </si>
  <si>
    <t>Strzegom</t>
  </si>
  <si>
    <t>Żarów</t>
  </si>
  <si>
    <t>Oborniki Śląskie</t>
  </si>
  <si>
    <t>Prusice</t>
  </si>
  <si>
    <t>Trzebnica</t>
  </si>
  <si>
    <t>Wisznia Mała</t>
  </si>
  <si>
    <t>Zawonia</t>
  </si>
  <si>
    <t>Żmigród</t>
  </si>
  <si>
    <t>Boguszów-Gorce</t>
  </si>
  <si>
    <t>Jedlina-Zdrój</t>
  </si>
  <si>
    <t>Szczawno-Zdrój</t>
  </si>
  <si>
    <t>Czarny Bór</t>
  </si>
  <si>
    <t>Głuszyca</t>
  </si>
  <si>
    <t>Mieroszów</t>
  </si>
  <si>
    <t>Stare Bogaczowice</t>
  </si>
  <si>
    <t>Walim</t>
  </si>
  <si>
    <t>Wałbrzych</t>
  </si>
  <si>
    <t>Brzeg Dolny</t>
  </si>
  <si>
    <t>Wińsko</t>
  </si>
  <si>
    <t>Wołów</t>
  </si>
  <si>
    <t>Czernica</t>
  </si>
  <si>
    <t>Długołęka</t>
  </si>
  <si>
    <t>Jordanów Śląski</t>
  </si>
  <si>
    <t>Kąty Wrocławskie</t>
  </si>
  <si>
    <t>Kobierzyce</t>
  </si>
  <si>
    <t>Mietków</t>
  </si>
  <si>
    <t>Sobótka</t>
  </si>
  <si>
    <t>Siechnice</t>
  </si>
  <si>
    <t>Żórawina</t>
  </si>
  <si>
    <t>Bardo</t>
  </si>
  <si>
    <t>Ciepłowody</t>
  </si>
  <si>
    <t>Kamieniec Ząbkowicki</t>
  </si>
  <si>
    <t>Stoszowice</t>
  </si>
  <si>
    <t>Ząbkowice Śląskie</t>
  </si>
  <si>
    <t>Ziębice</t>
  </si>
  <si>
    <t>Złoty Stok</t>
  </si>
  <si>
    <t>Zawidów</t>
  </si>
  <si>
    <t>Bogatynia</t>
  </si>
  <si>
    <t>Pieńsk</t>
  </si>
  <si>
    <t>Sulików</t>
  </si>
  <si>
    <t>Węgliniec</t>
  </si>
  <si>
    <t>Wojcieszów</t>
  </si>
  <si>
    <t>Pielgrzymka</t>
  </si>
  <si>
    <t>Świerzawa</t>
  </si>
  <si>
    <t>Zagrodno</t>
  </si>
  <si>
    <t>Jelenia Góra</t>
  </si>
  <si>
    <t>Legnica</t>
  </si>
  <si>
    <t>Wrocław</t>
  </si>
  <si>
    <t>Ciechocinek</t>
  </si>
  <si>
    <t>Nieszawa</t>
  </si>
  <si>
    <t>Bądkowo</t>
  </si>
  <si>
    <t>Koneck</t>
  </si>
  <si>
    <t>Raciążek</t>
  </si>
  <si>
    <t>Waganiec</t>
  </si>
  <si>
    <t>Zakrzewo</t>
  </si>
  <si>
    <t>Brodnica</t>
  </si>
  <si>
    <t>Bobrowo</t>
  </si>
  <si>
    <t>Brzozie</t>
  </si>
  <si>
    <t>Górzno</t>
  </si>
  <si>
    <t>Bartniczka</t>
  </si>
  <si>
    <t>Jabłonowo Pomorskie</t>
  </si>
  <si>
    <t>Osiek</t>
  </si>
  <si>
    <t>Świedziebnia</t>
  </si>
  <si>
    <t>Zbiczno</t>
  </si>
  <si>
    <t>Białe Błota</t>
  </si>
  <si>
    <t>Dąbrowa Chełmińska</t>
  </si>
  <si>
    <t>Dobrcz</t>
  </si>
  <si>
    <t>Koronowo</t>
  </si>
  <si>
    <t>Nowa Wieś Wielka</t>
  </si>
  <si>
    <t>Osielsko</t>
  </si>
  <si>
    <t>Sicienko</t>
  </si>
  <si>
    <t>Solec Kujawski</t>
  </si>
  <si>
    <t>Kijewo Królewskie</t>
  </si>
  <si>
    <t>Lisewo</t>
  </si>
  <si>
    <t>Papowo Biskupie</t>
  </si>
  <si>
    <t>Stolno</t>
  </si>
  <si>
    <t>Unisław</t>
  </si>
  <si>
    <t>Ciechocin</t>
  </si>
  <si>
    <t>Kowalewo Pomorskie</t>
  </si>
  <si>
    <t>Radomin</t>
  </si>
  <si>
    <t>Zbójno</t>
  </si>
  <si>
    <t>Grudziądz</t>
  </si>
  <si>
    <t>Gruta</t>
  </si>
  <si>
    <t>Łasin</t>
  </si>
  <si>
    <t>Radzyń Chełmiński</t>
  </si>
  <si>
    <t>Rogóźno</t>
  </si>
  <si>
    <t>Świecie nad Osą</t>
  </si>
  <si>
    <t>Dąbrowa Biskupia</t>
  </si>
  <si>
    <t>Gniewkowo</t>
  </si>
  <si>
    <t>Janikowo</t>
  </si>
  <si>
    <t>Kruszwica</t>
  </si>
  <si>
    <t>Pakość</t>
  </si>
  <si>
    <t>Rojewo</t>
  </si>
  <si>
    <t>Złotniki Kujawskie</t>
  </si>
  <si>
    <t>Lipno</t>
  </si>
  <si>
    <t>Bobrowniki</t>
  </si>
  <si>
    <t>Chrostkowo</t>
  </si>
  <si>
    <t>Dobrzyń nad Wisłą</t>
  </si>
  <si>
    <t>Kikół</t>
  </si>
  <si>
    <t>Skępe</t>
  </si>
  <si>
    <t>Tłuchowo</t>
  </si>
  <si>
    <t>Wielgie</t>
  </si>
  <si>
    <t>Dąbrowa</t>
  </si>
  <si>
    <t>Jeziora Wielkie</t>
  </si>
  <si>
    <t>Mogilno</t>
  </si>
  <si>
    <t>Strzelno</t>
  </si>
  <si>
    <t>Kcynia</t>
  </si>
  <si>
    <t>Mrocza</t>
  </si>
  <si>
    <t>Nakło nad Notecią</t>
  </si>
  <si>
    <t>Sadki</t>
  </si>
  <si>
    <t>Szubin</t>
  </si>
  <si>
    <t>Bytoń</t>
  </si>
  <si>
    <t>Dobre</t>
  </si>
  <si>
    <t>Osięciny</t>
  </si>
  <si>
    <t>Piotrków Kujawski</t>
  </si>
  <si>
    <t>Topólka</t>
  </si>
  <si>
    <t>Brzuze</t>
  </si>
  <si>
    <t>Rogowo</t>
  </si>
  <si>
    <t>Skrwilno</t>
  </si>
  <si>
    <t>Wąpielsk</t>
  </si>
  <si>
    <t>Kamień Krajeński</t>
  </si>
  <si>
    <t>Sępólno Krajeńskie</t>
  </si>
  <si>
    <t>Sośno</t>
  </si>
  <si>
    <t>Więcbork</t>
  </si>
  <si>
    <t>Bukowiec</t>
  </si>
  <si>
    <t>Dragacz</t>
  </si>
  <si>
    <t>Drzycim</t>
  </si>
  <si>
    <t>Jeżewo</t>
  </si>
  <si>
    <t>Lniano</t>
  </si>
  <si>
    <t>Nowe</t>
  </si>
  <si>
    <t>Osie</t>
  </si>
  <si>
    <t>Pruszcz</t>
  </si>
  <si>
    <t>Świecie</t>
  </si>
  <si>
    <t>Świekatowo</t>
  </si>
  <si>
    <t>Warlubie</t>
  </si>
  <si>
    <t>Czernikowo</t>
  </si>
  <si>
    <t>Lubicz</t>
  </si>
  <si>
    <t>Łubianka</t>
  </si>
  <si>
    <t>Łysomice</t>
  </si>
  <si>
    <t>Obrowo</t>
  </si>
  <si>
    <t>Wielka Nieszawka</t>
  </si>
  <si>
    <t>Zławieś Wielka</t>
  </si>
  <si>
    <t>Cekcyn</t>
  </si>
  <si>
    <t>Gostycyn</t>
  </si>
  <si>
    <t>Kęsowo</t>
  </si>
  <si>
    <t>Lubiewo</t>
  </si>
  <si>
    <t>Śliwice</t>
  </si>
  <si>
    <t>Tuchola</t>
  </si>
  <si>
    <t>Dębowa Łąka</t>
  </si>
  <si>
    <t>Książki</t>
  </si>
  <si>
    <t>Płużnica</t>
  </si>
  <si>
    <t>Baruchowo</t>
  </si>
  <si>
    <t>Boniewo</t>
  </si>
  <si>
    <t>Brześć Kujawski</t>
  </si>
  <si>
    <t>Choceń</t>
  </si>
  <si>
    <t>Chodecz</t>
  </si>
  <si>
    <t>Fabianki</t>
  </si>
  <si>
    <t>Izbica Kujawska</t>
  </si>
  <si>
    <t>Lubanie</t>
  </si>
  <si>
    <t>Lubień Kujawski</t>
  </si>
  <si>
    <t>Lubraniec</t>
  </si>
  <si>
    <t>Włocławek</t>
  </si>
  <si>
    <t>Barcin</t>
  </si>
  <si>
    <t>Gąsawa</t>
  </si>
  <si>
    <t>Janowiec Wielkopolski</t>
  </si>
  <si>
    <t>Łabiszyn</t>
  </si>
  <si>
    <t>Żnin</t>
  </si>
  <si>
    <t>Bydgoszcz</t>
  </si>
  <si>
    <t>Toruń</t>
  </si>
  <si>
    <t>Biała Podlaska</t>
  </si>
  <si>
    <t>Drelów</t>
  </si>
  <si>
    <t>Janów Podlaski</t>
  </si>
  <si>
    <t>Kodeń</t>
  </si>
  <si>
    <t>Konstantynów</t>
  </si>
  <si>
    <t>Leśna Podlaska</t>
  </si>
  <si>
    <t>Łomazy</t>
  </si>
  <si>
    <t>Piszczac</t>
  </si>
  <si>
    <t>Rokitno</t>
  </si>
  <si>
    <t>Rossosz</t>
  </si>
  <si>
    <t>Sławatycze</t>
  </si>
  <si>
    <t>Sosnówka</t>
  </si>
  <si>
    <t>Tuczna</t>
  </si>
  <si>
    <t>Wisznice</t>
  </si>
  <si>
    <t>Zalesie</t>
  </si>
  <si>
    <t>Aleksandrów</t>
  </si>
  <si>
    <t>Biszcza</t>
  </si>
  <si>
    <t>Frampol</t>
  </si>
  <si>
    <t>Goraj</t>
  </si>
  <si>
    <t>Józefów</t>
  </si>
  <si>
    <t>Księżpol</t>
  </si>
  <si>
    <t>Łukowa</t>
  </si>
  <si>
    <t>Obsza</t>
  </si>
  <si>
    <t>Potok Górny</t>
  </si>
  <si>
    <t>Tarnogród</t>
  </si>
  <si>
    <t>Tereszpol</t>
  </si>
  <si>
    <t>Turobin</t>
  </si>
  <si>
    <t>Białopole</t>
  </si>
  <si>
    <t>Chełm</t>
  </si>
  <si>
    <t>Dorohusk</t>
  </si>
  <si>
    <t>Dubienka</t>
  </si>
  <si>
    <t>Kamień</t>
  </si>
  <si>
    <t>Leśniowice</t>
  </si>
  <si>
    <t>Ruda-Huta</t>
  </si>
  <si>
    <t>Sawin</t>
  </si>
  <si>
    <t>Siedliszcze</t>
  </si>
  <si>
    <t>Wierzbica</t>
  </si>
  <si>
    <t>Wojsławice</t>
  </si>
  <si>
    <t>Żmudź</t>
  </si>
  <si>
    <t>Rejowiec</t>
  </si>
  <si>
    <t>Dołhobyczów</t>
  </si>
  <si>
    <t>Horodło</t>
  </si>
  <si>
    <t>Mircze</t>
  </si>
  <si>
    <t>Trzeszczany</t>
  </si>
  <si>
    <t>Uchanie</t>
  </si>
  <si>
    <t>Werbkowice</t>
  </si>
  <si>
    <t>Batorz</t>
  </si>
  <si>
    <t>Chrzanów</t>
  </si>
  <si>
    <t>Dzwola</t>
  </si>
  <si>
    <t>Godziszów</t>
  </si>
  <si>
    <t>Janów Lubelski</t>
  </si>
  <si>
    <t>Modliborzyce</t>
  </si>
  <si>
    <t>Potok Wielki</t>
  </si>
  <si>
    <t>Fajsławice</t>
  </si>
  <si>
    <t>Gorzków</t>
  </si>
  <si>
    <t>Izbica</t>
  </si>
  <si>
    <t>Kraśniczyn</t>
  </si>
  <si>
    <t>Łopiennik Górny</t>
  </si>
  <si>
    <t>Rudnik</t>
  </si>
  <si>
    <t>Siennica Różana</t>
  </si>
  <si>
    <t>Żółkiewka</t>
  </si>
  <si>
    <t>Annopol</t>
  </si>
  <si>
    <t>Dzierzkowice</t>
  </si>
  <si>
    <t>Gościeradów</t>
  </si>
  <si>
    <t>Szastarka</t>
  </si>
  <si>
    <t>Trzydnik Duży</t>
  </si>
  <si>
    <t>Urzędów</t>
  </si>
  <si>
    <t>Wilkołaz</t>
  </si>
  <si>
    <t>Zakrzówek</t>
  </si>
  <si>
    <t>Abramów</t>
  </si>
  <si>
    <t>Firlej</t>
  </si>
  <si>
    <t>Jeziorzany</t>
  </si>
  <si>
    <t>Kamionka</t>
  </si>
  <si>
    <t>Kock</t>
  </si>
  <si>
    <t>Michów</t>
  </si>
  <si>
    <t>Niedźwiada</t>
  </si>
  <si>
    <t>Ostrów Lubelski</t>
  </si>
  <si>
    <t>Ostrówek</t>
  </si>
  <si>
    <t>Serniki</t>
  </si>
  <si>
    <t>Uścimów</t>
  </si>
  <si>
    <t>Bełżyce</t>
  </si>
  <si>
    <t>Borzechów</t>
  </si>
  <si>
    <t>Bychawa</t>
  </si>
  <si>
    <t>Garbów</t>
  </si>
  <si>
    <t>Głusk</t>
  </si>
  <si>
    <t>Jabłonna</t>
  </si>
  <si>
    <t>Jastków</t>
  </si>
  <si>
    <t>Konopnica</t>
  </si>
  <si>
    <t>Krzczonów</t>
  </si>
  <si>
    <t>Niedrzwica Duża</t>
  </si>
  <si>
    <t>Niemce</t>
  </si>
  <si>
    <t>Strzyżewice</t>
  </si>
  <si>
    <t>Wojciechów</t>
  </si>
  <si>
    <t>Wólka</t>
  </si>
  <si>
    <t>Wysokie</t>
  </si>
  <si>
    <t>Zakrzew</t>
  </si>
  <si>
    <t>Cyców</t>
  </si>
  <si>
    <t>Ludwin</t>
  </si>
  <si>
    <t>Łęczna</t>
  </si>
  <si>
    <t>Milejów</t>
  </si>
  <si>
    <t>Puchaczów</t>
  </si>
  <si>
    <t>Spiczyn</t>
  </si>
  <si>
    <t>Adamów</t>
  </si>
  <si>
    <t>Krzywda</t>
  </si>
  <si>
    <t>Serokomla</t>
  </si>
  <si>
    <t>Stanin</t>
  </si>
  <si>
    <t>Trzebieszów</t>
  </si>
  <si>
    <t>Wojcieszków</t>
  </si>
  <si>
    <t>Wola Mysłowska</t>
  </si>
  <si>
    <t>Chodel</t>
  </si>
  <si>
    <t>Józefów nad Wisłą</t>
  </si>
  <si>
    <t>Karczmiska</t>
  </si>
  <si>
    <t>Łaziska</t>
  </si>
  <si>
    <t>Opole Lubelskie</t>
  </si>
  <si>
    <t>Poniatowa</t>
  </si>
  <si>
    <t>Wilków</t>
  </si>
  <si>
    <t>Dębowa Kłoda</t>
  </si>
  <si>
    <t>Jabłoń</t>
  </si>
  <si>
    <t>Milanów</t>
  </si>
  <si>
    <t>Parczew</t>
  </si>
  <si>
    <t>Podedwórze</t>
  </si>
  <si>
    <t>Siemień</t>
  </si>
  <si>
    <t>Sosnowica</t>
  </si>
  <si>
    <t>Baranów</t>
  </si>
  <si>
    <t>Janowiec</t>
  </si>
  <si>
    <t>Kazimierz Dolny</t>
  </si>
  <si>
    <t>Końskowola</t>
  </si>
  <si>
    <t>Kurów</t>
  </si>
  <si>
    <t>Markuszów</t>
  </si>
  <si>
    <t>Nałęczów</t>
  </si>
  <si>
    <t>Wąwolnica</t>
  </si>
  <si>
    <t>Żyrzyn</t>
  </si>
  <si>
    <t>Borki</t>
  </si>
  <si>
    <t>Czemierniki</t>
  </si>
  <si>
    <t>Kąkolewnica</t>
  </si>
  <si>
    <t>Komarówka Podlaska</t>
  </si>
  <si>
    <t>Ulan-Majorat</t>
  </si>
  <si>
    <t>Wohyń</t>
  </si>
  <si>
    <t>Dęblin</t>
  </si>
  <si>
    <t>Kłoczew</t>
  </si>
  <si>
    <t>Nowodwór</t>
  </si>
  <si>
    <t>Ryki</t>
  </si>
  <si>
    <t>Stężyca</t>
  </si>
  <si>
    <t>Ułęż</t>
  </si>
  <si>
    <t>Świdnik</t>
  </si>
  <si>
    <t>Mełgiew</t>
  </si>
  <si>
    <t>Piaski</t>
  </si>
  <si>
    <t>Rybczewice</t>
  </si>
  <si>
    <t>Trawniki</t>
  </si>
  <si>
    <t>Bełżec</t>
  </si>
  <si>
    <t>Jarczów</t>
  </si>
  <si>
    <t>Krynice</t>
  </si>
  <si>
    <t>Lubycza Królewska</t>
  </si>
  <si>
    <t>Łaszczów</t>
  </si>
  <si>
    <t>Rachanie</t>
  </si>
  <si>
    <t>Susiec</t>
  </si>
  <si>
    <t>Tarnawatka</t>
  </si>
  <si>
    <t>Telatyn</t>
  </si>
  <si>
    <t>Tyszowce</t>
  </si>
  <si>
    <t>Ulhówek</t>
  </si>
  <si>
    <t>Hanna</t>
  </si>
  <si>
    <t>Hańsk</t>
  </si>
  <si>
    <t>Stary Brus</t>
  </si>
  <si>
    <t>Urszulin</t>
  </si>
  <si>
    <t>Wola Uhruska</t>
  </si>
  <si>
    <t>Wyryki</t>
  </si>
  <si>
    <t>Grabowiec</t>
  </si>
  <si>
    <t>Komarów-Osada</t>
  </si>
  <si>
    <t>Krasnobród</t>
  </si>
  <si>
    <t>Łabunie</t>
  </si>
  <si>
    <t>Miączyn</t>
  </si>
  <si>
    <t>Nielisz</t>
  </si>
  <si>
    <t>Radecznica</t>
  </si>
  <si>
    <t>Sitno</t>
  </si>
  <si>
    <t>Skierbieszów</t>
  </si>
  <si>
    <t>Stary Zamość</t>
  </si>
  <si>
    <t>Sułów</t>
  </si>
  <si>
    <t>Szczebrzeszyn</t>
  </si>
  <si>
    <t>Zamość</t>
  </si>
  <si>
    <t>Zwierzyniec</t>
  </si>
  <si>
    <t>Lublin</t>
  </si>
  <si>
    <t>Kostrzyn nad Odrą</t>
  </si>
  <si>
    <t>Bogdaniec</t>
  </si>
  <si>
    <t>Deszczno</t>
  </si>
  <si>
    <t>Kłodawa</t>
  </si>
  <si>
    <t>Lubiszyn</t>
  </si>
  <si>
    <t>Santok</t>
  </si>
  <si>
    <t>Witnica</t>
  </si>
  <si>
    <t>Bobrowice</t>
  </si>
  <si>
    <t>Bytnica</t>
  </si>
  <si>
    <t>Dąbie</t>
  </si>
  <si>
    <t>Krosno Odrzańskie</t>
  </si>
  <si>
    <t>Maszewo</t>
  </si>
  <si>
    <t>Bledzew</t>
  </si>
  <si>
    <t>Międzyrzecz</t>
  </si>
  <si>
    <t>Przytoczna</t>
  </si>
  <si>
    <t>Pszczew</t>
  </si>
  <si>
    <t>Skwierzyna</t>
  </si>
  <si>
    <t>Trzciel</t>
  </si>
  <si>
    <t>Bytom Odrzański</t>
  </si>
  <si>
    <t>Kolsko</t>
  </si>
  <si>
    <t>Kożuchów</t>
  </si>
  <si>
    <t>Nowe Miasteczko</t>
  </si>
  <si>
    <t>Otyń</t>
  </si>
  <si>
    <t>Siedlisko</t>
  </si>
  <si>
    <t>Cybinka</t>
  </si>
  <si>
    <t>Górzyca</t>
  </si>
  <si>
    <t>Ośno Lubuskie</t>
  </si>
  <si>
    <t>Rzepin</t>
  </si>
  <si>
    <t>Słubice</t>
  </si>
  <si>
    <t>Dobiegniew</t>
  </si>
  <si>
    <t>Drezdenko</t>
  </si>
  <si>
    <t>Stare Kurowo</t>
  </si>
  <si>
    <t>Strzelce Krajeńskie</t>
  </si>
  <si>
    <t>Zwierzyn</t>
  </si>
  <si>
    <t>Krzeszyce</t>
  </si>
  <si>
    <t>Lubniewice</t>
  </si>
  <si>
    <t>Słońsk</t>
  </si>
  <si>
    <t>Sulęcin</t>
  </si>
  <si>
    <t>Torzym</t>
  </si>
  <si>
    <t>Lubrza</t>
  </si>
  <si>
    <t>Łagów</t>
  </si>
  <si>
    <t>Skąpe</t>
  </si>
  <si>
    <t>Szczaniec</t>
  </si>
  <si>
    <t>Świebodzin</t>
  </si>
  <si>
    <t>Zbąszynek</t>
  </si>
  <si>
    <t>Babimost</t>
  </si>
  <si>
    <t>Bojadła</t>
  </si>
  <si>
    <t>Czerwieńsk</t>
  </si>
  <si>
    <t>Kargowa</t>
  </si>
  <si>
    <t>Nowogród Bobrzański</t>
  </si>
  <si>
    <t>Sulechów</t>
  </si>
  <si>
    <t>Trzebiechów</t>
  </si>
  <si>
    <t>Zabór</t>
  </si>
  <si>
    <t>Zielona Góra</t>
  </si>
  <si>
    <t>Gozdnica</t>
  </si>
  <si>
    <t>Brzeźnica</t>
  </si>
  <si>
    <t>Iłowa</t>
  </si>
  <si>
    <t>Małomice</t>
  </si>
  <si>
    <t>Niegosławice</t>
  </si>
  <si>
    <t>Szprotawa</t>
  </si>
  <si>
    <t>Wymiarki</t>
  </si>
  <si>
    <t>Łęknica</t>
  </si>
  <si>
    <t>Brody</t>
  </si>
  <si>
    <t>Jasień</t>
  </si>
  <si>
    <t>Lipinki Łużyckie</t>
  </si>
  <si>
    <t>Lubsko</t>
  </si>
  <si>
    <t>Przewóz</t>
  </si>
  <si>
    <t>Trzebiel</t>
  </si>
  <si>
    <t>Tuplice</t>
  </si>
  <si>
    <t>Sława</t>
  </si>
  <si>
    <t>Szlichtyngowa</t>
  </si>
  <si>
    <t>Wschowa</t>
  </si>
  <si>
    <t>Gorzów Wielkopolski</t>
  </si>
  <si>
    <t>Drużbice</t>
  </si>
  <si>
    <t>Kleszczów</t>
  </si>
  <si>
    <t>Kluki</t>
  </si>
  <si>
    <t>Rusiec</t>
  </si>
  <si>
    <t>Szczerców</t>
  </si>
  <si>
    <t>Zelów</t>
  </si>
  <si>
    <t>Bedlno</t>
  </si>
  <si>
    <t>Dąbrowice</t>
  </si>
  <si>
    <t>Krośniewice</t>
  </si>
  <si>
    <t>Krzyżanów</t>
  </si>
  <si>
    <t>Łanięta</t>
  </si>
  <si>
    <t>Nowe Ostrowy</t>
  </si>
  <si>
    <t>Oporów</t>
  </si>
  <si>
    <t>Strzelce</t>
  </si>
  <si>
    <t>Żychlin</t>
  </si>
  <si>
    <t>Buczek</t>
  </si>
  <si>
    <t>Łask</t>
  </si>
  <si>
    <t>Sędziejowice</t>
  </si>
  <si>
    <t>Widawa</t>
  </si>
  <si>
    <t>Wodzierady</t>
  </si>
  <si>
    <t>Daszyna</t>
  </si>
  <si>
    <t>Góra Świętej Małgorzaty</t>
  </si>
  <si>
    <t>Grabów</t>
  </si>
  <si>
    <t>Piątek</t>
  </si>
  <si>
    <t>Świnice Warckie</t>
  </si>
  <si>
    <t>Witonia</t>
  </si>
  <si>
    <t>Bielawy</t>
  </si>
  <si>
    <t>Chąśno</t>
  </si>
  <si>
    <t>Domaniewice</t>
  </si>
  <si>
    <t>Kiernozia</t>
  </si>
  <si>
    <t>Kocierzew Południowy</t>
  </si>
  <si>
    <t>Łyszkowice</t>
  </si>
  <si>
    <t>Nieborów</t>
  </si>
  <si>
    <t>Zduny</t>
  </si>
  <si>
    <t>Andrespol</t>
  </si>
  <si>
    <t>Brójce</t>
  </si>
  <si>
    <t>Koluszki</t>
  </si>
  <si>
    <t>Nowosolna</t>
  </si>
  <si>
    <t>Rzgów</t>
  </si>
  <si>
    <t>Tuszyn</t>
  </si>
  <si>
    <t>Białaczów</t>
  </si>
  <si>
    <t>Drzewica</t>
  </si>
  <si>
    <t>Mniszków</t>
  </si>
  <si>
    <t>Opoczno</t>
  </si>
  <si>
    <t>Paradyż</t>
  </si>
  <si>
    <t>Poświętne</t>
  </si>
  <si>
    <t>Sławno</t>
  </si>
  <si>
    <t>Żarnów</t>
  </si>
  <si>
    <t>Konstantynów Łódzki</t>
  </si>
  <si>
    <t>Dłutów</t>
  </si>
  <si>
    <t>Dobroń</t>
  </si>
  <si>
    <t>Ksawerów</t>
  </si>
  <si>
    <t>Lutomiersk</t>
  </si>
  <si>
    <t>Działoszyn</t>
  </si>
  <si>
    <t>Kiełczygłów</t>
  </si>
  <si>
    <t>Nowa Brzeźnica</t>
  </si>
  <si>
    <t>Pajęczno</t>
  </si>
  <si>
    <t>Rząśnia</t>
  </si>
  <si>
    <t>Siemkowice</t>
  </si>
  <si>
    <t>Strzelce Wielkie</t>
  </si>
  <si>
    <t>Sulmierzyce</t>
  </si>
  <si>
    <t>Czarnocin</t>
  </si>
  <si>
    <t>Gorzkowice</t>
  </si>
  <si>
    <t>Grabica</t>
  </si>
  <si>
    <t>Łęki Szlacheckie</t>
  </si>
  <si>
    <t>Moszczenica</t>
  </si>
  <si>
    <t>Ręczno</t>
  </si>
  <si>
    <t>Rozprza</t>
  </si>
  <si>
    <t>Sulejów</t>
  </si>
  <si>
    <t>Wola Krzysztoporska</t>
  </si>
  <si>
    <t>Wolbórz</t>
  </si>
  <si>
    <t>Dalików</t>
  </si>
  <si>
    <t>Pęczniew</t>
  </si>
  <si>
    <t>Poddębice</t>
  </si>
  <si>
    <t>Uniejów</t>
  </si>
  <si>
    <t>Wartkowice</t>
  </si>
  <si>
    <t>Zadzim</t>
  </si>
  <si>
    <t>Dobryszyce</t>
  </si>
  <si>
    <t>Gidle</t>
  </si>
  <si>
    <t>Gomunice</t>
  </si>
  <si>
    <t>Kamieńsk</t>
  </si>
  <si>
    <t>Kobiele Wielkie</t>
  </si>
  <si>
    <t>Kodrąb</t>
  </si>
  <si>
    <t>Lgota Wielka</t>
  </si>
  <si>
    <t>Ładzice</t>
  </si>
  <si>
    <t>Masłowice</t>
  </si>
  <si>
    <t>Przedbórz</t>
  </si>
  <si>
    <t>Wielgomłyny</t>
  </si>
  <si>
    <t>Żytno</t>
  </si>
  <si>
    <t>Biała Rawska</t>
  </si>
  <si>
    <t>Cielądz</t>
  </si>
  <si>
    <t>Regnów</t>
  </si>
  <si>
    <t>Sadkowice</t>
  </si>
  <si>
    <t>Błaszki</t>
  </si>
  <si>
    <t>Brąszewice</t>
  </si>
  <si>
    <t>Brzeźnio</t>
  </si>
  <si>
    <t>Burzenin</t>
  </si>
  <si>
    <t>Goszczanów</t>
  </si>
  <si>
    <t>Klonowa</t>
  </si>
  <si>
    <t>Warta</t>
  </si>
  <si>
    <t>Wróblew</t>
  </si>
  <si>
    <t>Złoczew</t>
  </si>
  <si>
    <t>Bolimów</t>
  </si>
  <si>
    <t>Głuchów</t>
  </si>
  <si>
    <t>Godzianów</t>
  </si>
  <si>
    <t>Kowiesy</t>
  </si>
  <si>
    <t>Lipce Reymontowskie</t>
  </si>
  <si>
    <t>Maków</t>
  </si>
  <si>
    <t>Nowy Kawęczyn</t>
  </si>
  <si>
    <t>Skierniewice</t>
  </si>
  <si>
    <t>Słupia</t>
  </si>
  <si>
    <t>Będków</t>
  </si>
  <si>
    <t>Budziszewice</t>
  </si>
  <si>
    <t>Czerniewice</t>
  </si>
  <si>
    <t>Inowłódz</t>
  </si>
  <si>
    <t>Lubochnia</t>
  </si>
  <si>
    <t>Rokiciny</t>
  </si>
  <si>
    <t>Rzeczyca</t>
  </si>
  <si>
    <t>Ujazd</t>
  </si>
  <si>
    <t>Żelechlinek</t>
  </si>
  <si>
    <t>Biała</t>
  </si>
  <si>
    <t>Czarnożyły</t>
  </si>
  <si>
    <t>Mokrsko</t>
  </si>
  <si>
    <t>Osjaków</t>
  </si>
  <si>
    <t>Pątnów</t>
  </si>
  <si>
    <t>Skomlin</t>
  </si>
  <si>
    <t>Wieluń</t>
  </si>
  <si>
    <t>Wierzchlas</t>
  </si>
  <si>
    <t>Bolesławiec</t>
  </si>
  <si>
    <t>Czastary</t>
  </si>
  <si>
    <t>Galewice</t>
  </si>
  <si>
    <t>Lututów</t>
  </si>
  <si>
    <t>Łubnice</t>
  </si>
  <si>
    <t>Sokolniki</t>
  </si>
  <si>
    <t>Wieruszów</t>
  </si>
  <si>
    <t>Szadek</t>
  </si>
  <si>
    <t>Zapolice</t>
  </si>
  <si>
    <t>Aleksandrów Łódzki</t>
  </si>
  <si>
    <t>Parzęczew</t>
  </si>
  <si>
    <t>Stryków</t>
  </si>
  <si>
    <t>Dmosin</t>
  </si>
  <si>
    <t>Jeżów</t>
  </si>
  <si>
    <t>Rogów</t>
  </si>
  <si>
    <t>Łódź</t>
  </si>
  <si>
    <t>Piotrków Trybunalski</t>
  </si>
  <si>
    <t>Drwinia</t>
  </si>
  <si>
    <t>Lipnica Murowana</t>
  </si>
  <si>
    <t>Łapanów</t>
  </si>
  <si>
    <t>Nowy Wiśnicz</t>
  </si>
  <si>
    <t>Rzezawa</t>
  </si>
  <si>
    <t>Trzciana</t>
  </si>
  <si>
    <t>Żegocina</t>
  </si>
  <si>
    <t>Borzęcin</t>
  </si>
  <si>
    <t>Brzesko</t>
  </si>
  <si>
    <t>Czchów</t>
  </si>
  <si>
    <t>Dębno</t>
  </si>
  <si>
    <t>Gnojnik</t>
  </si>
  <si>
    <t>Iwkowa</t>
  </si>
  <si>
    <t>Szczurowa</t>
  </si>
  <si>
    <t>Alwernia</t>
  </si>
  <si>
    <t>Babice</t>
  </si>
  <si>
    <t>Libiąż</t>
  </si>
  <si>
    <t>Trzebinia</t>
  </si>
  <si>
    <t>Bolesław</t>
  </si>
  <si>
    <t>Dąbrowa Tarnowska</t>
  </si>
  <si>
    <t>Gręboszów</t>
  </si>
  <si>
    <t>Mędrzechów</t>
  </si>
  <si>
    <t>Olesno</t>
  </si>
  <si>
    <t>Radgoszcz</t>
  </si>
  <si>
    <t>Szczucin</t>
  </si>
  <si>
    <t>Biecz</t>
  </si>
  <si>
    <t>Bobowa</t>
  </si>
  <si>
    <t>Lipinki</t>
  </si>
  <si>
    <t>Łużna</t>
  </si>
  <si>
    <t>Ropa</t>
  </si>
  <si>
    <t>Sękowa</t>
  </si>
  <si>
    <t>Uście Gorlickie</t>
  </si>
  <si>
    <t>Czernichów</t>
  </si>
  <si>
    <t>Igołomia-Wawrzeńczyce</t>
  </si>
  <si>
    <t>Iwanowice</t>
  </si>
  <si>
    <t>Jerzmanowice-Przeginia</t>
  </si>
  <si>
    <t>Kocmyrzów-Luborzyca</t>
  </si>
  <si>
    <t>Krzeszowice</t>
  </si>
  <si>
    <t>Liszki</t>
  </si>
  <si>
    <t>Michałowice</t>
  </si>
  <si>
    <t>Mogilany</t>
  </si>
  <si>
    <t>Skała</t>
  </si>
  <si>
    <t>Skawina</t>
  </si>
  <si>
    <t>Słomniki</t>
  </si>
  <si>
    <t>Sułoszowa</t>
  </si>
  <si>
    <t>Świątniki Górne</t>
  </si>
  <si>
    <t>Wielka Wieś</t>
  </si>
  <si>
    <t>Zabierzów</t>
  </si>
  <si>
    <t>Zielonki</t>
  </si>
  <si>
    <t>Dobra</t>
  </si>
  <si>
    <t>Jodłownik</t>
  </si>
  <si>
    <t>Kamienica</t>
  </si>
  <si>
    <t>Laskowa</t>
  </si>
  <si>
    <t>Łukowica</t>
  </si>
  <si>
    <t>Niedźwiedź</t>
  </si>
  <si>
    <t>Słopnice</t>
  </si>
  <si>
    <t>Tymbark</t>
  </si>
  <si>
    <t>Charsznica</t>
  </si>
  <si>
    <t>Gołcza</t>
  </si>
  <si>
    <t>Kozłów</t>
  </si>
  <si>
    <t>Książ Wielki</t>
  </si>
  <si>
    <t>Miechów</t>
  </si>
  <si>
    <t>Racławice</t>
  </si>
  <si>
    <t>Słaboszów</t>
  </si>
  <si>
    <t>Dobczyce</t>
  </si>
  <si>
    <t>Lubień</t>
  </si>
  <si>
    <t>Myślenice</t>
  </si>
  <si>
    <t>Pcim</t>
  </si>
  <si>
    <t>Raciechowice</t>
  </si>
  <si>
    <t>Siepraw</t>
  </si>
  <si>
    <t>Sułkowice</t>
  </si>
  <si>
    <t>Tokarnia</t>
  </si>
  <si>
    <t>Wiśniowa</t>
  </si>
  <si>
    <t>Chełmiec</t>
  </si>
  <si>
    <t>Gródek nad Dunajcem</t>
  </si>
  <si>
    <t>Kamionka Wielka</t>
  </si>
  <si>
    <t>Korzenna</t>
  </si>
  <si>
    <t>Krynica-Zdrój</t>
  </si>
  <si>
    <t>Łabowa</t>
  </si>
  <si>
    <t>Łącko</t>
  </si>
  <si>
    <t>Łososina Dolna</t>
  </si>
  <si>
    <t>Muszyna</t>
  </si>
  <si>
    <t>Nawojowa</t>
  </si>
  <si>
    <t>Piwniczna-Zdrój</t>
  </si>
  <si>
    <t>Podegrodzie</t>
  </si>
  <si>
    <t>Rytro</t>
  </si>
  <si>
    <t>Stary Sącz</t>
  </si>
  <si>
    <t>Szczawnica</t>
  </si>
  <si>
    <t>Czarny Dunajec</t>
  </si>
  <si>
    <t>Czorsztyn</t>
  </si>
  <si>
    <t>Jabłonka</t>
  </si>
  <si>
    <t>Krościenko nad Dunajcem</t>
  </si>
  <si>
    <t>Lipnica Wielka</t>
  </si>
  <si>
    <t>Łapsze Niżne</t>
  </si>
  <si>
    <t>Ochotnica Dolna</t>
  </si>
  <si>
    <t>Raba Wyżna</t>
  </si>
  <si>
    <t>Rabka-Zdrój</t>
  </si>
  <si>
    <t>Spytkowice</t>
  </si>
  <si>
    <t>Szaflary</t>
  </si>
  <si>
    <t>Bukowno</t>
  </si>
  <si>
    <t>Klucze</t>
  </si>
  <si>
    <t>Olkusz</t>
  </si>
  <si>
    <t>Trzyciąż</t>
  </si>
  <si>
    <t>Wolbrom</t>
  </si>
  <si>
    <t>Brzeszcze</t>
  </si>
  <si>
    <t>Chełmek</t>
  </si>
  <si>
    <t>Kęty</t>
  </si>
  <si>
    <t>Polanka Wielka</t>
  </si>
  <si>
    <t>Przeciszów</t>
  </si>
  <si>
    <t>Zator</t>
  </si>
  <si>
    <t>Koniusza</t>
  </si>
  <si>
    <t>Koszyce</t>
  </si>
  <si>
    <t>Nowe Brzesko</t>
  </si>
  <si>
    <t>Pałecznica</t>
  </si>
  <si>
    <t>Proszowice</t>
  </si>
  <si>
    <t>Radziemice</t>
  </si>
  <si>
    <t>Sucha Beskidzka</t>
  </si>
  <si>
    <t>Budzów</t>
  </si>
  <si>
    <t>Bystra-Sidzina</t>
  </si>
  <si>
    <t>Maków Podhalański</t>
  </si>
  <si>
    <t>Stryszawa</t>
  </si>
  <si>
    <t>Zawoja</t>
  </si>
  <si>
    <t>Zembrzyce</t>
  </si>
  <si>
    <t>Ciężkowice</t>
  </si>
  <si>
    <t>Gromnik</t>
  </si>
  <si>
    <t>Lisia Góra</t>
  </si>
  <si>
    <t>Pleśna</t>
  </si>
  <si>
    <t>Radłów</t>
  </si>
  <si>
    <t>Ryglice</t>
  </si>
  <si>
    <t>Rzepiennik Strzyżewski</t>
  </si>
  <si>
    <t>Skrzyszów</t>
  </si>
  <si>
    <t>Tarnów</t>
  </si>
  <si>
    <t>Tuchów</t>
  </si>
  <si>
    <t>Wierzchosławice</t>
  </si>
  <si>
    <t>Wietrzychowice</t>
  </si>
  <si>
    <t>Wojnicz</t>
  </si>
  <si>
    <t>Zakliczyn</t>
  </si>
  <si>
    <t>Żabno</t>
  </si>
  <si>
    <t>Szerzyny</t>
  </si>
  <si>
    <t>Zakopane</t>
  </si>
  <si>
    <t>Biały Dunajec</t>
  </si>
  <si>
    <t>Bukowina Tatrzańska</t>
  </si>
  <si>
    <t>Kościelisko</t>
  </si>
  <si>
    <t>Poronin</t>
  </si>
  <si>
    <t>Andrychów</t>
  </si>
  <si>
    <t>Kalwaria Zebrzydowska</t>
  </si>
  <si>
    <t>Lanckorona</t>
  </si>
  <si>
    <t>Mucharz</t>
  </si>
  <si>
    <t>Stryszów</t>
  </si>
  <si>
    <t>Tomice</t>
  </si>
  <si>
    <t>Wadowice</t>
  </si>
  <si>
    <t>Wieprz</t>
  </si>
  <si>
    <t>Biskupice</t>
  </si>
  <si>
    <t>Gdów</t>
  </si>
  <si>
    <t>Kłaj</t>
  </si>
  <si>
    <t>Niepołomice</t>
  </si>
  <si>
    <t>Wieliczka</t>
  </si>
  <si>
    <t>Kraków</t>
  </si>
  <si>
    <t>Nowy Sącz</t>
  </si>
  <si>
    <t>Białobrzegi</t>
  </si>
  <si>
    <t>Promna</t>
  </si>
  <si>
    <t>Radzanów</t>
  </si>
  <si>
    <t>Stara Błotnica</t>
  </si>
  <si>
    <t>Stromiec</t>
  </si>
  <si>
    <t>Wyśmierzyce</t>
  </si>
  <si>
    <t>Glinojeck</t>
  </si>
  <si>
    <t>Gołymin-Ośrodek</t>
  </si>
  <si>
    <t>Grudusk</t>
  </si>
  <si>
    <t>Ojrzeń</t>
  </si>
  <si>
    <t>Opinogóra Górna</t>
  </si>
  <si>
    <t>Regimin</t>
  </si>
  <si>
    <t>Sońsk</t>
  </si>
  <si>
    <t>Borowie</t>
  </si>
  <si>
    <t>Maciejowice</t>
  </si>
  <si>
    <t>Miastków Kościelny</t>
  </si>
  <si>
    <t>Parysów</t>
  </si>
  <si>
    <t>Pilawa</t>
  </si>
  <si>
    <t>Sobolew</t>
  </si>
  <si>
    <t>Trojanów</t>
  </si>
  <si>
    <t>Wilga</t>
  </si>
  <si>
    <t>Żelechów</t>
  </si>
  <si>
    <t>Pacyna</t>
  </si>
  <si>
    <t>Sanniki</t>
  </si>
  <si>
    <t>Szczawin Kościelny</t>
  </si>
  <si>
    <t>Milanówek</t>
  </si>
  <si>
    <t>Podkowa Leśna</t>
  </si>
  <si>
    <t>Grodzisk Mazowiecki</t>
  </si>
  <si>
    <t>Jaktorów</t>
  </si>
  <si>
    <t>Żabia Wola</t>
  </si>
  <si>
    <t>Belsk Duży</t>
  </si>
  <si>
    <t>Błędów</t>
  </si>
  <si>
    <t>Chynów</t>
  </si>
  <si>
    <t>Goszczyn</t>
  </si>
  <si>
    <t>Grójec</t>
  </si>
  <si>
    <t>Jasieniec</t>
  </si>
  <si>
    <t>Mogielnica</t>
  </si>
  <si>
    <t>Nowe Miasto nad Pilicą</t>
  </si>
  <si>
    <t>Pniewy</t>
  </si>
  <si>
    <t>Warka</t>
  </si>
  <si>
    <t>Garbatka-Letnisko</t>
  </si>
  <si>
    <t>Głowaczów</t>
  </si>
  <si>
    <t>Gniewoszów</t>
  </si>
  <si>
    <t>Grabów nad Pilicą</t>
  </si>
  <si>
    <t>Kozienice</t>
  </si>
  <si>
    <t>Magnuszew</t>
  </si>
  <si>
    <t>Sieciechów</t>
  </si>
  <si>
    <t>Legionowo</t>
  </si>
  <si>
    <t>Nieporęt</t>
  </si>
  <si>
    <t>Serock</t>
  </si>
  <si>
    <t>Wieliszew</t>
  </si>
  <si>
    <t>Chotcza</t>
  </si>
  <si>
    <t>Ciepielów</t>
  </si>
  <si>
    <t>Lipsko</t>
  </si>
  <si>
    <t>Rzeczniów</t>
  </si>
  <si>
    <t>Sienno</t>
  </si>
  <si>
    <t>Solec nad Wisłą</t>
  </si>
  <si>
    <t>Huszlew</t>
  </si>
  <si>
    <t>Łosice</t>
  </si>
  <si>
    <t>Olszanka</t>
  </si>
  <si>
    <t>Platerów</t>
  </si>
  <si>
    <t>Sarnaki</t>
  </si>
  <si>
    <t>Stara Kornica</t>
  </si>
  <si>
    <t>Maków Mazowiecki</t>
  </si>
  <si>
    <t>Czerwonka</t>
  </si>
  <si>
    <t>Karniewo</t>
  </si>
  <si>
    <t>Krasnosielc</t>
  </si>
  <si>
    <t>Młynarze</t>
  </si>
  <si>
    <t>Płoniawy-Bramura</t>
  </si>
  <si>
    <t>Różan</t>
  </si>
  <si>
    <t>Rzewnie</t>
  </si>
  <si>
    <t>Sypniewo</t>
  </si>
  <si>
    <t>Szelków</t>
  </si>
  <si>
    <t>Cegłów</t>
  </si>
  <si>
    <t>Dębe Wielkie</t>
  </si>
  <si>
    <t>Halinów</t>
  </si>
  <si>
    <t>Jakubów</t>
  </si>
  <si>
    <t>Kałuszyn</t>
  </si>
  <si>
    <t>Latowicz</t>
  </si>
  <si>
    <t>Mrozy</t>
  </si>
  <si>
    <t>Siennica</t>
  </si>
  <si>
    <t>Stanisławów</t>
  </si>
  <si>
    <t>Sulejówek</t>
  </si>
  <si>
    <t>Mława</t>
  </si>
  <si>
    <t>Dzierzgowo</t>
  </si>
  <si>
    <t>Lipowiec Kościelny</t>
  </si>
  <si>
    <t>Strzegowo</t>
  </si>
  <si>
    <t>Stupsk</t>
  </si>
  <si>
    <t>Szreńsk</t>
  </si>
  <si>
    <t>Szydłowo</t>
  </si>
  <si>
    <t>Wieczfnia Kościelna</t>
  </si>
  <si>
    <t>Wiśniewo</t>
  </si>
  <si>
    <t>Nowy Dwór Mazowiecki</t>
  </si>
  <si>
    <t>Czosnów</t>
  </si>
  <si>
    <t>Leoncin</t>
  </si>
  <si>
    <t>Nasielsk</t>
  </si>
  <si>
    <t>Pomiechówek</t>
  </si>
  <si>
    <t>Zakroczym</t>
  </si>
  <si>
    <t>Baranowo</t>
  </si>
  <si>
    <t>Czarnia</t>
  </si>
  <si>
    <t>Czerwin</t>
  </si>
  <si>
    <t>Goworowo</t>
  </si>
  <si>
    <t>Kadzidło</t>
  </si>
  <si>
    <t>Lelis</t>
  </si>
  <si>
    <t>Łyse</t>
  </si>
  <si>
    <t>Myszyniec</t>
  </si>
  <si>
    <t>Olszewo-Borki</t>
  </si>
  <si>
    <t>Rzekuń</t>
  </si>
  <si>
    <t>Troszyn</t>
  </si>
  <si>
    <t>Andrzejewo</t>
  </si>
  <si>
    <t>Boguty-Pianki</t>
  </si>
  <si>
    <t>Brok</t>
  </si>
  <si>
    <t>Małkinia Górna</t>
  </si>
  <si>
    <t>Nur</t>
  </si>
  <si>
    <t>Stary Lubotyń</t>
  </si>
  <si>
    <t>Szulborze Wielkie</t>
  </si>
  <si>
    <t>Wąsewo</t>
  </si>
  <si>
    <t>Zaręby Kościelne</t>
  </si>
  <si>
    <t>Otwock</t>
  </si>
  <si>
    <t>Celestynów</t>
  </si>
  <si>
    <t>Karczew</t>
  </si>
  <si>
    <t>Kołbiel</t>
  </si>
  <si>
    <t>Osieck</t>
  </si>
  <si>
    <t>Sobienie-Jeziory</t>
  </si>
  <si>
    <t>Wiązowna</t>
  </si>
  <si>
    <t>Góra Kalwaria</t>
  </si>
  <si>
    <t>Konstancin-Jeziorna</t>
  </si>
  <si>
    <t>Lesznowola</t>
  </si>
  <si>
    <t>Piaseczno</t>
  </si>
  <si>
    <t>Prażmów</t>
  </si>
  <si>
    <t>Tarczyn</t>
  </si>
  <si>
    <t>Bielsk</t>
  </si>
  <si>
    <t>Bodzanów</t>
  </si>
  <si>
    <t>Brudzeń Duży</t>
  </si>
  <si>
    <t>Bulkowo</t>
  </si>
  <si>
    <t>Drobin</t>
  </si>
  <si>
    <t>Gąbin</t>
  </si>
  <si>
    <t>Łąck</t>
  </si>
  <si>
    <t>Mała Wieś</t>
  </si>
  <si>
    <t>Nowy Duninów</t>
  </si>
  <si>
    <t>Radzanowo</t>
  </si>
  <si>
    <t>Słupno</t>
  </si>
  <si>
    <t>Stara Biała</t>
  </si>
  <si>
    <t>Staroźreby</t>
  </si>
  <si>
    <t>Wyszogród</t>
  </si>
  <si>
    <t>Baboszewo</t>
  </si>
  <si>
    <t>Czerwińsk nad Wisłą</t>
  </si>
  <si>
    <t>Dzierzążnia</t>
  </si>
  <si>
    <t>Joniec</t>
  </si>
  <si>
    <t>Naruszewo</t>
  </si>
  <si>
    <t>Nowe Miasto</t>
  </si>
  <si>
    <t>Sochocin</t>
  </si>
  <si>
    <t>Załuski</t>
  </si>
  <si>
    <t>Piastów</t>
  </si>
  <si>
    <t>Pruszków</t>
  </si>
  <si>
    <t>Brwinów</t>
  </si>
  <si>
    <t>Nadarzyn</t>
  </si>
  <si>
    <t>Raszyn</t>
  </si>
  <si>
    <t>Chorzele</t>
  </si>
  <si>
    <t>Czernice Borowe</t>
  </si>
  <si>
    <t>Jednorożec</t>
  </si>
  <si>
    <t>Krasne</t>
  </si>
  <si>
    <t>Krzynowłoga Mała</t>
  </si>
  <si>
    <t>Borkowice</t>
  </si>
  <si>
    <t>Gielniów</t>
  </si>
  <si>
    <t>Klwów</t>
  </si>
  <si>
    <t>Odrzywół</t>
  </si>
  <si>
    <t>Potworów</t>
  </si>
  <si>
    <t>Przysucha</t>
  </si>
  <si>
    <t>Rusinów</t>
  </si>
  <si>
    <t>Wieniawa</t>
  </si>
  <si>
    <t>Gzy</t>
  </si>
  <si>
    <t>Obryte</t>
  </si>
  <si>
    <t>Pokrzywnica</t>
  </si>
  <si>
    <t>Pułtusk</t>
  </si>
  <si>
    <t>Świercze</t>
  </si>
  <si>
    <t>Winnica</t>
  </si>
  <si>
    <t>Zatory</t>
  </si>
  <si>
    <t>Gózd</t>
  </si>
  <si>
    <t>Iłża</t>
  </si>
  <si>
    <t>Jastrzębia</t>
  </si>
  <si>
    <t>Jedlińsk</t>
  </si>
  <si>
    <t>Jedlnia-Letnisko</t>
  </si>
  <si>
    <t>Kowala</t>
  </si>
  <si>
    <t>Przytyk</t>
  </si>
  <si>
    <t>Skaryszew</t>
  </si>
  <si>
    <t>Wolanów</t>
  </si>
  <si>
    <t>Domanice</t>
  </si>
  <si>
    <t>Korczew</t>
  </si>
  <si>
    <t>Kotuń</t>
  </si>
  <si>
    <t>Mokobody</t>
  </si>
  <si>
    <t>Mordy</t>
  </si>
  <si>
    <t>Paprotnia</t>
  </si>
  <si>
    <t>Przesmyki</t>
  </si>
  <si>
    <t>Siedlce</t>
  </si>
  <si>
    <t>Skórzec</t>
  </si>
  <si>
    <t>Suchożebry</t>
  </si>
  <si>
    <t>Wiśniew</t>
  </si>
  <si>
    <t>Wodynie</t>
  </si>
  <si>
    <t>Zbuczyn</t>
  </si>
  <si>
    <t>Gozdowo</t>
  </si>
  <si>
    <t>Mochowo</t>
  </si>
  <si>
    <t>Rościszewo</t>
  </si>
  <si>
    <t>Szczutowo</t>
  </si>
  <si>
    <t>Zawidz</t>
  </si>
  <si>
    <t>Brochów</t>
  </si>
  <si>
    <t>Iłów</t>
  </si>
  <si>
    <t>Młodzieszyn</t>
  </si>
  <si>
    <t>Nowa Sucha</t>
  </si>
  <si>
    <t>Rybno</t>
  </si>
  <si>
    <t>Teresin</t>
  </si>
  <si>
    <t>Bielany</t>
  </si>
  <si>
    <t>Ceranów</t>
  </si>
  <si>
    <t>Jabłonna Lacka</t>
  </si>
  <si>
    <t>Kosów Lacki</t>
  </si>
  <si>
    <t>Repki</t>
  </si>
  <si>
    <t>Sabnie</t>
  </si>
  <si>
    <t>Sterdyń</t>
  </si>
  <si>
    <t>Chlewiska</t>
  </si>
  <si>
    <t>Jastrząb</t>
  </si>
  <si>
    <t>Mirów</t>
  </si>
  <si>
    <t>Orońsko</t>
  </si>
  <si>
    <t>Szydłowiec</t>
  </si>
  <si>
    <t>Błonie</t>
  </si>
  <si>
    <t>Izabelin</t>
  </si>
  <si>
    <t>Kampinos</t>
  </si>
  <si>
    <t>Leszno</t>
  </si>
  <si>
    <t>Łomianki</t>
  </si>
  <si>
    <t>Ożarów Mazowiecki</t>
  </si>
  <si>
    <t>Stare Babice</t>
  </si>
  <si>
    <t>Węgrów</t>
  </si>
  <si>
    <t>Grębków</t>
  </si>
  <si>
    <t>Korytnica</t>
  </si>
  <si>
    <t>Liw</t>
  </si>
  <si>
    <t>Łochów</t>
  </si>
  <si>
    <t>Miedzna</t>
  </si>
  <si>
    <t>Sadowne</t>
  </si>
  <si>
    <t>Stoczek</t>
  </si>
  <si>
    <t>Wierzbno</t>
  </si>
  <si>
    <t>Kobyłka</t>
  </si>
  <si>
    <t>Marki</t>
  </si>
  <si>
    <t>Ząbki</t>
  </si>
  <si>
    <t>Zielonka</t>
  </si>
  <si>
    <t>Dąbrówka</t>
  </si>
  <si>
    <t>Jadów</t>
  </si>
  <si>
    <t>Klembów</t>
  </si>
  <si>
    <t>Radzymin</t>
  </si>
  <si>
    <t>Strachówka</t>
  </si>
  <si>
    <t>Tłuszcz</t>
  </si>
  <si>
    <t>Wołomin</t>
  </si>
  <si>
    <t>Brańszczyk</t>
  </si>
  <si>
    <t>Długosiodło</t>
  </si>
  <si>
    <t>Rząśnik</t>
  </si>
  <si>
    <t>Somianka</t>
  </si>
  <si>
    <t>Wyszków</t>
  </si>
  <si>
    <t>Zabrodzie</t>
  </si>
  <si>
    <t>Kazanów</t>
  </si>
  <si>
    <t>Policzna</t>
  </si>
  <si>
    <t>Przyłęk</t>
  </si>
  <si>
    <t>Tczów</t>
  </si>
  <si>
    <t>Zwoleń</t>
  </si>
  <si>
    <t>Bieżuń</t>
  </si>
  <si>
    <t>Kuczbork-Osada</t>
  </si>
  <si>
    <t>Lubowidz</t>
  </si>
  <si>
    <t>Lutocin</t>
  </si>
  <si>
    <t>Siemiątkowo</t>
  </si>
  <si>
    <t>Żuromin</t>
  </si>
  <si>
    <t>Żyrardów</t>
  </si>
  <si>
    <t>Mszczonów</t>
  </si>
  <si>
    <t>Puszcza Mariańska</t>
  </si>
  <si>
    <t>Radziejowice</t>
  </si>
  <si>
    <t>Wiskitki</t>
  </si>
  <si>
    <t>Ostrołęka</t>
  </si>
  <si>
    <t>Płock</t>
  </si>
  <si>
    <t>Radom</t>
  </si>
  <si>
    <t>Brzeg</t>
  </si>
  <si>
    <t>Skarbimierz</t>
  </si>
  <si>
    <t>Grodków</t>
  </si>
  <si>
    <t>Lewin Brzeski</t>
  </si>
  <si>
    <t>Lubsza</t>
  </si>
  <si>
    <t>Baborów</t>
  </si>
  <si>
    <t>Branice</t>
  </si>
  <si>
    <t>Głubczyce</t>
  </si>
  <si>
    <t>Kietrz</t>
  </si>
  <si>
    <t>Kędzierzyn-Koźle</t>
  </si>
  <si>
    <t>Bierawa</t>
  </si>
  <si>
    <t>Cisek</t>
  </si>
  <si>
    <t>Pawłowiczki</t>
  </si>
  <si>
    <t>Polska Cerekiew</t>
  </si>
  <si>
    <t>Reńska Wieś</t>
  </si>
  <si>
    <t>Byczyna</t>
  </si>
  <si>
    <t>Kluczbork</t>
  </si>
  <si>
    <t>Lasowice Wielkie</t>
  </si>
  <si>
    <t>Wołczyn</t>
  </si>
  <si>
    <t>Gogolin</t>
  </si>
  <si>
    <t>Krapkowice</t>
  </si>
  <si>
    <t>Strzeleczki</t>
  </si>
  <si>
    <t>Walce</t>
  </si>
  <si>
    <t>Zdzieszowice</t>
  </si>
  <si>
    <t>Domaszowice</t>
  </si>
  <si>
    <t>Namysłów</t>
  </si>
  <si>
    <t>Pokój</t>
  </si>
  <si>
    <t>Świerczów</t>
  </si>
  <si>
    <t>Głuchołazy</t>
  </si>
  <si>
    <t>Kamiennik</t>
  </si>
  <si>
    <t>Korfantów</t>
  </si>
  <si>
    <t>Łambinowice</t>
  </si>
  <si>
    <t>Nysa</t>
  </si>
  <si>
    <t>Otmuchów</t>
  </si>
  <si>
    <t>Paczków</t>
  </si>
  <si>
    <t>Pakosławice</t>
  </si>
  <si>
    <t>Skoroszyce</t>
  </si>
  <si>
    <t>Dobrodzień</t>
  </si>
  <si>
    <t>Gorzów Śląski</t>
  </si>
  <si>
    <t>Praszka</t>
  </si>
  <si>
    <t>Rudniki</t>
  </si>
  <si>
    <t>Zębowice</t>
  </si>
  <si>
    <t>Chrząstowice</t>
  </si>
  <si>
    <t>Dobrzeń Wielki</t>
  </si>
  <si>
    <t>Komprachcice</t>
  </si>
  <si>
    <t>Łubniany</t>
  </si>
  <si>
    <t>Murów</t>
  </si>
  <si>
    <t>Niemodlin</t>
  </si>
  <si>
    <t>Ozimek</t>
  </si>
  <si>
    <t>Popielów</t>
  </si>
  <si>
    <t>Prószków</t>
  </si>
  <si>
    <t>Tarnów Opolski</t>
  </si>
  <si>
    <t>Tułowice</t>
  </si>
  <si>
    <t>Turawa</t>
  </si>
  <si>
    <t>Głogówek</t>
  </si>
  <si>
    <t>Prudnik</t>
  </si>
  <si>
    <t>Izbicko</t>
  </si>
  <si>
    <t>Jemielnica</t>
  </si>
  <si>
    <t>Kolonowskie</t>
  </si>
  <si>
    <t>Leśnica</t>
  </si>
  <si>
    <t>Strzelce Opolskie</t>
  </si>
  <si>
    <t>Zawadzkie</t>
  </si>
  <si>
    <t>Opole</t>
  </si>
  <si>
    <t>Czarna</t>
  </si>
  <si>
    <t>Lutowiska</t>
  </si>
  <si>
    <t>Ustrzyki Dolne</t>
  </si>
  <si>
    <t>Brzozów</t>
  </si>
  <si>
    <t>Domaradz</t>
  </si>
  <si>
    <t>Dydnia</t>
  </si>
  <si>
    <t>Haczów</t>
  </si>
  <si>
    <t>Jasienica Rosielna</t>
  </si>
  <si>
    <t>Nozdrzec</t>
  </si>
  <si>
    <t>Brzostek</t>
  </si>
  <si>
    <t>Jodłowa</t>
  </si>
  <si>
    <t>Pilzno</t>
  </si>
  <si>
    <t>Żyraków</t>
  </si>
  <si>
    <t>Chłopice</t>
  </si>
  <si>
    <t>Laszki</t>
  </si>
  <si>
    <t>Pawłosiów</t>
  </si>
  <si>
    <t>Pruchnik</t>
  </si>
  <si>
    <t>Rokietnica</t>
  </si>
  <si>
    <t>Roźwienica</t>
  </si>
  <si>
    <t>Wiązownica</t>
  </si>
  <si>
    <t>Brzyska</t>
  </si>
  <si>
    <t>Dębowiec</t>
  </si>
  <si>
    <t>Kołaczyce</t>
  </si>
  <si>
    <t>Krempna</t>
  </si>
  <si>
    <t>Nowy Żmigród</t>
  </si>
  <si>
    <t>Osiek Jasielski</t>
  </si>
  <si>
    <t>Skołyszyn</t>
  </si>
  <si>
    <t>Tarnowiec</t>
  </si>
  <si>
    <t>Cmolas</t>
  </si>
  <si>
    <t>Kolbuszowa</t>
  </si>
  <si>
    <t>Majdan Królewski</t>
  </si>
  <si>
    <t>Niwiska</t>
  </si>
  <si>
    <t>Raniżów</t>
  </si>
  <si>
    <t>Dzikowiec</t>
  </si>
  <si>
    <t>Chorkówka</t>
  </si>
  <si>
    <t>Dukla</t>
  </si>
  <si>
    <t>Iwonicz-Zdrój</t>
  </si>
  <si>
    <t>Jedlicze</t>
  </si>
  <si>
    <t>Korczyna</t>
  </si>
  <si>
    <t>Krościenko Wyżne</t>
  </si>
  <si>
    <t>Miejsce Piastowe</t>
  </si>
  <si>
    <t>Rymanów</t>
  </si>
  <si>
    <t>Wojaszówka</t>
  </si>
  <si>
    <t>Grodzisko Dolne</t>
  </si>
  <si>
    <t>Kuryłówka</t>
  </si>
  <si>
    <t>Nowa Sarzyna</t>
  </si>
  <si>
    <t>Cieszanów</t>
  </si>
  <si>
    <t>Horyniec-Zdrój</t>
  </si>
  <si>
    <t>Narol</t>
  </si>
  <si>
    <t>Oleszyce</t>
  </si>
  <si>
    <t>Stary Dzików</t>
  </si>
  <si>
    <t>Wielkie Oczy</t>
  </si>
  <si>
    <t>Markowa</t>
  </si>
  <si>
    <t>Rakszawa</t>
  </si>
  <si>
    <t>Żołynia</t>
  </si>
  <si>
    <t>Borowa</t>
  </si>
  <si>
    <t>Czermin</t>
  </si>
  <si>
    <t>Gawłuszowice</t>
  </si>
  <si>
    <t>Padew Narodowa</t>
  </si>
  <si>
    <t>Przecław</t>
  </si>
  <si>
    <t>Radomyśl Wielki</t>
  </si>
  <si>
    <t>Tuszów Narodowy</t>
  </si>
  <si>
    <t>Wadowice Górne</t>
  </si>
  <si>
    <t>Harasiuki</t>
  </si>
  <si>
    <t>Jarocin</t>
  </si>
  <si>
    <t>Jeżowe</t>
  </si>
  <si>
    <t>Krzeszów</t>
  </si>
  <si>
    <t>Nisko</t>
  </si>
  <si>
    <t>Rudnik nad Sanem</t>
  </si>
  <si>
    <t>Ulanów</t>
  </si>
  <si>
    <t>Bircza</t>
  </si>
  <si>
    <t>Dubiecko</t>
  </si>
  <si>
    <t>Fredropol</t>
  </si>
  <si>
    <t>Krasiczyn</t>
  </si>
  <si>
    <t>Krzywcza</t>
  </si>
  <si>
    <t>Medyka</t>
  </si>
  <si>
    <t>Orły</t>
  </si>
  <si>
    <t>Przemyśl</t>
  </si>
  <si>
    <t>Stubno</t>
  </si>
  <si>
    <t>Żurawica</t>
  </si>
  <si>
    <t>Adamówka</t>
  </si>
  <si>
    <t>Gać</t>
  </si>
  <si>
    <t>Jawornik Polski</t>
  </si>
  <si>
    <t>Kańczuga</t>
  </si>
  <si>
    <t>Sieniawa</t>
  </si>
  <si>
    <t>Tryńcza</t>
  </si>
  <si>
    <t>Zarzecze</t>
  </si>
  <si>
    <t>Iwierzyce</t>
  </si>
  <si>
    <t>Ostrów</t>
  </si>
  <si>
    <t>Ropczyce</t>
  </si>
  <si>
    <t>Sędziszów Małopolski</t>
  </si>
  <si>
    <t>Wielopole Skrzyńskie</t>
  </si>
  <si>
    <t>Błażowa</t>
  </si>
  <si>
    <t>Boguchwała</t>
  </si>
  <si>
    <t>Chmielnik</t>
  </si>
  <si>
    <t>Głogów Małopolski</t>
  </si>
  <si>
    <t>Hyżne</t>
  </si>
  <si>
    <t>Lubenia</t>
  </si>
  <si>
    <t>Sokołów Małopolski</t>
  </si>
  <si>
    <t>Świlcza</t>
  </si>
  <si>
    <t>Trzebownisko</t>
  </si>
  <si>
    <t>Tyczyn</t>
  </si>
  <si>
    <t>Besko</t>
  </si>
  <si>
    <t>Bukowsko</t>
  </si>
  <si>
    <t>Komańcza</t>
  </si>
  <si>
    <t>Tyrawa Wołoska</t>
  </si>
  <si>
    <t>Zagórz</t>
  </si>
  <si>
    <t>Zarszyn</t>
  </si>
  <si>
    <t>Stalowa Wola</t>
  </si>
  <si>
    <t>Bojanów</t>
  </si>
  <si>
    <t>Pysznica</t>
  </si>
  <si>
    <t>Radomyśl nad Sanem</t>
  </si>
  <si>
    <t>Zaklików</t>
  </si>
  <si>
    <t>Zaleszany</t>
  </si>
  <si>
    <t>Czudec</t>
  </si>
  <si>
    <t>Frysztak</t>
  </si>
  <si>
    <t>Niebylec</t>
  </si>
  <si>
    <t>Strzyżów</t>
  </si>
  <si>
    <t>Baranów Sandomierski</t>
  </si>
  <si>
    <t>Gorzyce</t>
  </si>
  <si>
    <t>Grębów</t>
  </si>
  <si>
    <t>Nowa Dęba</t>
  </si>
  <si>
    <t>Baligród</t>
  </si>
  <si>
    <t>Cisna</t>
  </si>
  <si>
    <t>Lesko</t>
  </si>
  <si>
    <t>Olszanica</t>
  </si>
  <si>
    <t>Solina</t>
  </si>
  <si>
    <t>Krosno</t>
  </si>
  <si>
    <t>Rzeszów</t>
  </si>
  <si>
    <t>Tarnobrzeg</t>
  </si>
  <si>
    <t>Bargłów Kościelny</t>
  </si>
  <si>
    <t>Lipsk</t>
  </si>
  <si>
    <t>Nowinka</t>
  </si>
  <si>
    <t>Płaska</t>
  </si>
  <si>
    <t>Sztabin</t>
  </si>
  <si>
    <t>Choroszcz</t>
  </si>
  <si>
    <t>Czarna Białostocka</t>
  </si>
  <si>
    <t>Dobrzyniewo Duże</t>
  </si>
  <si>
    <t>Gródek</t>
  </si>
  <si>
    <t>Juchnowiec Kościelny</t>
  </si>
  <si>
    <t>Łapy</t>
  </si>
  <si>
    <t>Michałowo</t>
  </si>
  <si>
    <t>Supraśl</t>
  </si>
  <si>
    <t>Suraż</t>
  </si>
  <si>
    <t>Turośń Kościelna</t>
  </si>
  <si>
    <t>Tykocin</t>
  </si>
  <si>
    <t>Wasilków</t>
  </si>
  <si>
    <t>Zabłudów</t>
  </si>
  <si>
    <t>Zawady</t>
  </si>
  <si>
    <t>Boćki</t>
  </si>
  <si>
    <t>Orla</t>
  </si>
  <si>
    <t>Rudka</t>
  </si>
  <si>
    <t>Wyszki</t>
  </si>
  <si>
    <t>Radziłów</t>
  </si>
  <si>
    <t>Rajgród</t>
  </si>
  <si>
    <t>Szczuczyn</t>
  </si>
  <si>
    <t>Białowieża</t>
  </si>
  <si>
    <t>Czeremcha</t>
  </si>
  <si>
    <t>Czyże</t>
  </si>
  <si>
    <t>Dubicze Cerkiewne</t>
  </si>
  <si>
    <t>Kleszczele</t>
  </si>
  <si>
    <t>Narew</t>
  </si>
  <si>
    <t>Narewka</t>
  </si>
  <si>
    <t>Kolno</t>
  </si>
  <si>
    <t>Grabowo</t>
  </si>
  <si>
    <t>Mały Płock</t>
  </si>
  <si>
    <t>Stawiski</t>
  </si>
  <si>
    <t>Turośl</t>
  </si>
  <si>
    <t>Jedwabne</t>
  </si>
  <si>
    <t>Łomża</t>
  </si>
  <si>
    <t>Miastkowo</t>
  </si>
  <si>
    <t>Nowogród</t>
  </si>
  <si>
    <t>Piątnica</t>
  </si>
  <si>
    <t>Przytuły</t>
  </si>
  <si>
    <t>Śniadowo</t>
  </si>
  <si>
    <t>Wizna</t>
  </si>
  <si>
    <t>Zbójna</t>
  </si>
  <si>
    <t>Goniądz</t>
  </si>
  <si>
    <t>Jasionówka</t>
  </si>
  <si>
    <t>Jaświły</t>
  </si>
  <si>
    <t>Knyszyn</t>
  </si>
  <si>
    <t>Krypno</t>
  </si>
  <si>
    <t>Mońki</t>
  </si>
  <si>
    <t>Trzcianne</t>
  </si>
  <si>
    <t>Giby</t>
  </si>
  <si>
    <t>Krasnopol</t>
  </si>
  <si>
    <t>Puńsk</t>
  </si>
  <si>
    <t>Drohiczyn</t>
  </si>
  <si>
    <t>Dziadkowice</t>
  </si>
  <si>
    <t>Grodzisk</t>
  </si>
  <si>
    <t>Mielnik</t>
  </si>
  <si>
    <t>Milejczyce</t>
  </si>
  <si>
    <t>Nurzec-Stacja</t>
  </si>
  <si>
    <t>Perlejewo</t>
  </si>
  <si>
    <t>Dąbrowa Białostocka</t>
  </si>
  <si>
    <t>Janów</t>
  </si>
  <si>
    <t>Korycin</t>
  </si>
  <si>
    <t>Krynki</t>
  </si>
  <si>
    <t>Kuźnica</t>
  </si>
  <si>
    <t>Nowy Dwór</t>
  </si>
  <si>
    <t>Sidra</t>
  </si>
  <si>
    <t>Sokółka</t>
  </si>
  <si>
    <t>Suchowola</t>
  </si>
  <si>
    <t>Szudziałowo</t>
  </si>
  <si>
    <t>Bakałarzewo</t>
  </si>
  <si>
    <t>Filipów</t>
  </si>
  <si>
    <t>Jeleniewo</t>
  </si>
  <si>
    <t>Przerośl</t>
  </si>
  <si>
    <t>Raczki</t>
  </si>
  <si>
    <t>Rutka-Tartak</t>
  </si>
  <si>
    <t>Suwałki</t>
  </si>
  <si>
    <t>Szypliszki</t>
  </si>
  <si>
    <t>Wiżajny</t>
  </si>
  <si>
    <t>Ciechanowiec</t>
  </si>
  <si>
    <t>Klukowo</t>
  </si>
  <si>
    <t>Kobylin-Borzymy</t>
  </si>
  <si>
    <t>Kulesze Kościelne</t>
  </si>
  <si>
    <t>Nowe Piekuty</t>
  </si>
  <si>
    <t>Sokoły</t>
  </si>
  <si>
    <t>Szepietowo</t>
  </si>
  <si>
    <t>Kołaki Kościelne</t>
  </si>
  <si>
    <t>Rutki</t>
  </si>
  <si>
    <t>Szumowo</t>
  </si>
  <si>
    <t>Białystok</t>
  </si>
  <si>
    <t>Borzytuchom</t>
  </si>
  <si>
    <t>Bytów</t>
  </si>
  <si>
    <t>Czarna Dąbrówka</t>
  </si>
  <si>
    <t>Kołczygłowy</t>
  </si>
  <si>
    <t>Lipnica</t>
  </si>
  <si>
    <t>Miastko</t>
  </si>
  <si>
    <t>Parchowo</t>
  </si>
  <si>
    <t>Studzienice</t>
  </si>
  <si>
    <t>Trzebielino</t>
  </si>
  <si>
    <t>Tuchomie</t>
  </si>
  <si>
    <t>Brusy</t>
  </si>
  <si>
    <t>Czersk</t>
  </si>
  <si>
    <t>Konarzyny</t>
  </si>
  <si>
    <t>Czarne</t>
  </si>
  <si>
    <t>Debrzno</t>
  </si>
  <si>
    <t>Koczała</t>
  </si>
  <si>
    <t>Przechlewo</t>
  </si>
  <si>
    <t>Rzeczenica</t>
  </si>
  <si>
    <t>Cedry Wielkie</t>
  </si>
  <si>
    <t>Kolbudy</t>
  </si>
  <si>
    <t>Przywidz</t>
  </si>
  <si>
    <t>Pszczółki</t>
  </si>
  <si>
    <t>Suchy Dąb</t>
  </si>
  <si>
    <t>Trąbki Wielkie</t>
  </si>
  <si>
    <t>Chmielno</t>
  </si>
  <si>
    <t>Kartuzy</t>
  </si>
  <si>
    <t>Przodkowo</t>
  </si>
  <si>
    <t>Sierakowice</t>
  </si>
  <si>
    <t>Somonino</t>
  </si>
  <si>
    <t>Sulęczyno</t>
  </si>
  <si>
    <t>Żukowo</t>
  </si>
  <si>
    <t>Dziemiany</t>
  </si>
  <si>
    <t>Karsin</t>
  </si>
  <si>
    <t>Liniewo</t>
  </si>
  <si>
    <t>Lipusz</t>
  </si>
  <si>
    <t>Nowa Karczma</t>
  </si>
  <si>
    <t>Stara Kiszewa</t>
  </si>
  <si>
    <t>Gardeja</t>
  </si>
  <si>
    <t>Prabuty</t>
  </si>
  <si>
    <t>Ryjewo</t>
  </si>
  <si>
    <t>Sadlinki</t>
  </si>
  <si>
    <t>Lębork</t>
  </si>
  <si>
    <t>Łeba</t>
  </si>
  <si>
    <t>Cewice</t>
  </si>
  <si>
    <t>Nowa Wieś Lęborska</t>
  </si>
  <si>
    <t>Wicko</t>
  </si>
  <si>
    <t>Lichnowy</t>
  </si>
  <si>
    <t>Miłoradz</t>
  </si>
  <si>
    <t>Nowy Staw</t>
  </si>
  <si>
    <t>Stare Pole</t>
  </si>
  <si>
    <t>Krynica Morska</t>
  </si>
  <si>
    <t>Nowy Dwór Gdański</t>
  </si>
  <si>
    <t>Ostaszewo</t>
  </si>
  <si>
    <t>Stegna</t>
  </si>
  <si>
    <t>Sztutowo</t>
  </si>
  <si>
    <t>Hel</t>
  </si>
  <si>
    <t>Jastarnia</t>
  </si>
  <si>
    <t>Władysławowo</t>
  </si>
  <si>
    <t>Kosakowo</t>
  </si>
  <si>
    <t>Krokowa</t>
  </si>
  <si>
    <t>Damnica</t>
  </si>
  <si>
    <t>Dębnica Kaszubska</t>
  </si>
  <si>
    <t>Główczyce</t>
  </si>
  <si>
    <t>Kępice</t>
  </si>
  <si>
    <t>Kobylnica</t>
  </si>
  <si>
    <t>Potęgowo</t>
  </si>
  <si>
    <t>Słupsk</t>
  </si>
  <si>
    <t>Smołdzino</t>
  </si>
  <si>
    <t>Czarna Woda</t>
  </si>
  <si>
    <t>Bobowo</t>
  </si>
  <si>
    <t>Kaliska</t>
  </si>
  <si>
    <t>Lubichowo</t>
  </si>
  <si>
    <t>Osieczna</t>
  </si>
  <si>
    <t>Skarszewy</t>
  </si>
  <si>
    <t>Smętowo Graniczne</t>
  </si>
  <si>
    <t>Zblewo</t>
  </si>
  <si>
    <t>Gniew</t>
  </si>
  <si>
    <t>Morzeszczyn</t>
  </si>
  <si>
    <t>Pelplin</t>
  </si>
  <si>
    <t>Subkowy</t>
  </si>
  <si>
    <t>Reda</t>
  </si>
  <si>
    <t>Rumia</t>
  </si>
  <si>
    <t>Choczewo</t>
  </si>
  <si>
    <t>Gniewino</t>
  </si>
  <si>
    <t>Linia</t>
  </si>
  <si>
    <t>Luzino</t>
  </si>
  <si>
    <t>Łęczyce</t>
  </si>
  <si>
    <t>Szemud</t>
  </si>
  <si>
    <t>Dzierzgoń</t>
  </si>
  <si>
    <t>Mikołajki Pomorskie</t>
  </si>
  <si>
    <t>Stary Dzierzgoń</t>
  </si>
  <si>
    <t>Stary Targ</t>
  </si>
  <si>
    <t>Sztum</t>
  </si>
  <si>
    <t>Gdańsk</t>
  </si>
  <si>
    <t>Gdynia</t>
  </si>
  <si>
    <t>Sopot</t>
  </si>
  <si>
    <t>Będzin</t>
  </si>
  <si>
    <t>Czeladź</t>
  </si>
  <si>
    <t>Wojkowice</t>
  </si>
  <si>
    <t>Mierzęcice</t>
  </si>
  <si>
    <t>Psary</t>
  </si>
  <si>
    <t>Siewierz</t>
  </si>
  <si>
    <t>Sławków</t>
  </si>
  <si>
    <t>Szczyrk</t>
  </si>
  <si>
    <t>Bestwina</t>
  </si>
  <si>
    <t>Buczkowice</t>
  </si>
  <si>
    <t>Czechowice-Dziedzice</t>
  </si>
  <si>
    <t>Jasienica</t>
  </si>
  <si>
    <t>Jaworze</t>
  </si>
  <si>
    <t>Kozy</t>
  </si>
  <si>
    <t>Porąbka</t>
  </si>
  <si>
    <t>Wilamowice</t>
  </si>
  <si>
    <t>Wilkowice</t>
  </si>
  <si>
    <t>Cieszyn</t>
  </si>
  <si>
    <t>Ustroń</t>
  </si>
  <si>
    <t>Wisła</t>
  </si>
  <si>
    <t>Brenna</t>
  </si>
  <si>
    <t>Chybie</t>
  </si>
  <si>
    <t>Goleszów</t>
  </si>
  <si>
    <t>Hażlach</t>
  </si>
  <si>
    <t>Istebna</t>
  </si>
  <si>
    <t>Skoczów</t>
  </si>
  <si>
    <t>Strumień</t>
  </si>
  <si>
    <t>Zebrzydowice</t>
  </si>
  <si>
    <t>Blachownia</t>
  </si>
  <si>
    <t>Dąbrowa Zielona</t>
  </si>
  <si>
    <t>Kamienica Polska</t>
  </si>
  <si>
    <t>Kłomnice</t>
  </si>
  <si>
    <t>Koniecpol</t>
  </si>
  <si>
    <t>Konopiska</t>
  </si>
  <si>
    <t>Kruszyna</t>
  </si>
  <si>
    <t>Lelów</t>
  </si>
  <si>
    <t>Mstów</t>
  </si>
  <si>
    <t>Mykanów</t>
  </si>
  <si>
    <t>Olsztyn</t>
  </si>
  <si>
    <t>Poczesna</t>
  </si>
  <si>
    <t>Przyrów</t>
  </si>
  <si>
    <t>Rędziny</t>
  </si>
  <si>
    <t>Starcza</t>
  </si>
  <si>
    <t>Knurów</t>
  </si>
  <si>
    <t>Pyskowice</t>
  </si>
  <si>
    <t>Gierałtowice</t>
  </si>
  <si>
    <t>Pilchowice</t>
  </si>
  <si>
    <t>Rudziniec</t>
  </si>
  <si>
    <t>Sośnicowice</t>
  </si>
  <si>
    <t>Toszek</t>
  </si>
  <si>
    <t>Wielowieś</t>
  </si>
  <si>
    <t>Kłobuck</t>
  </si>
  <si>
    <t>Krzepice</t>
  </si>
  <si>
    <t>Lipie</t>
  </si>
  <si>
    <t>Miedźno</t>
  </si>
  <si>
    <t>Opatów</t>
  </si>
  <si>
    <t>Panki</t>
  </si>
  <si>
    <t>Popów</t>
  </si>
  <si>
    <t>Przystajń</t>
  </si>
  <si>
    <t>Wręczyca Wielka</t>
  </si>
  <si>
    <t>Lubliniec</t>
  </si>
  <si>
    <t>Boronów</t>
  </si>
  <si>
    <t>Ciasna</t>
  </si>
  <si>
    <t>Herby</t>
  </si>
  <si>
    <t>Kochanowice</t>
  </si>
  <si>
    <t>Koszęcin</t>
  </si>
  <si>
    <t>Pawonków</t>
  </si>
  <si>
    <t>Woźniki</t>
  </si>
  <si>
    <t>Łaziska Górne</t>
  </si>
  <si>
    <t>Mikołów</t>
  </si>
  <si>
    <t>Orzesze</t>
  </si>
  <si>
    <t>Ornontowice</t>
  </si>
  <si>
    <t>Wyry</t>
  </si>
  <si>
    <t>Myszków</t>
  </si>
  <si>
    <t>Koziegłowy</t>
  </si>
  <si>
    <t>Niegowa</t>
  </si>
  <si>
    <t>Poraj</t>
  </si>
  <si>
    <t>Żarki</t>
  </si>
  <si>
    <t>Goczałkowice-Zdrój</t>
  </si>
  <si>
    <t>Kobiór</t>
  </si>
  <si>
    <t>Miedźna</t>
  </si>
  <si>
    <t>Pawłowice</t>
  </si>
  <si>
    <t>Pszczyna</t>
  </si>
  <si>
    <t>Suszec</t>
  </si>
  <si>
    <t>Racibórz</t>
  </si>
  <si>
    <t>Kornowac</t>
  </si>
  <si>
    <t>Krzanowice</t>
  </si>
  <si>
    <t>Krzyżanowice</t>
  </si>
  <si>
    <t>Kuźnia Raciborska</t>
  </si>
  <si>
    <t>Nędza</t>
  </si>
  <si>
    <t>Pietrowice Wielkie</t>
  </si>
  <si>
    <t>Czerwionka-Leszczyny</t>
  </si>
  <si>
    <t>Gaszowice</t>
  </si>
  <si>
    <t>Jejkowice</t>
  </si>
  <si>
    <t>Lyski</t>
  </si>
  <si>
    <t>Świerklany</t>
  </si>
  <si>
    <t>Kalety</t>
  </si>
  <si>
    <t>Miasteczko Śląskie</t>
  </si>
  <si>
    <t>Radzionków</t>
  </si>
  <si>
    <t>Tarnowskie Góry</t>
  </si>
  <si>
    <t>Krupski Młyn</t>
  </si>
  <si>
    <t>Ożarowice</t>
  </si>
  <si>
    <t>Świerklaniec</t>
  </si>
  <si>
    <t>Tworóg</t>
  </si>
  <si>
    <t>Zbrosławice</t>
  </si>
  <si>
    <t>Bieruń</t>
  </si>
  <si>
    <t>Imielin</t>
  </si>
  <si>
    <t>Lędziny</t>
  </si>
  <si>
    <t>Bojszowy</t>
  </si>
  <si>
    <t>Chełm Śląski</t>
  </si>
  <si>
    <t>Pszów</t>
  </si>
  <si>
    <t>Radlin</t>
  </si>
  <si>
    <t>Rydułtowy</t>
  </si>
  <si>
    <t>Wodzisław Śląski</t>
  </si>
  <si>
    <t>Godów</t>
  </si>
  <si>
    <t>Lubomia</t>
  </si>
  <si>
    <t>Marklowice</t>
  </si>
  <si>
    <t>Mszana</t>
  </si>
  <si>
    <t>Poręba</t>
  </si>
  <si>
    <t>Zawiercie</t>
  </si>
  <si>
    <t>Irządze</t>
  </si>
  <si>
    <t>Kroczyce</t>
  </si>
  <si>
    <t>Łazy</t>
  </si>
  <si>
    <t>Ogrodzieniec</t>
  </si>
  <si>
    <t>Pilica</t>
  </si>
  <si>
    <t>Szczekociny</t>
  </si>
  <si>
    <t>Włodowice</t>
  </si>
  <si>
    <t>Żarnowiec</t>
  </si>
  <si>
    <t>Żywiec</t>
  </si>
  <si>
    <t>Gilowice</t>
  </si>
  <si>
    <t>Jeleśnia</t>
  </si>
  <si>
    <t>Koszarawa</t>
  </si>
  <si>
    <t>Lipowa</t>
  </si>
  <si>
    <t>Łękawica</t>
  </si>
  <si>
    <t>Łodygowice</t>
  </si>
  <si>
    <t>Milówka</t>
  </si>
  <si>
    <t>Radziechowy-Wieprz</t>
  </si>
  <si>
    <t>Rajcza</t>
  </si>
  <si>
    <t>Ślemień</t>
  </si>
  <si>
    <t>Świnna</t>
  </si>
  <si>
    <t>Ujsoły</t>
  </si>
  <si>
    <t>Węgierska Górka</t>
  </si>
  <si>
    <t>Bielsko-Biała</t>
  </si>
  <si>
    <t>Bytom</t>
  </si>
  <si>
    <t>Chorzów</t>
  </si>
  <si>
    <t>Częstochowa</t>
  </si>
  <si>
    <t>Dąbrowa Górnicza</t>
  </si>
  <si>
    <t>Gliwice</t>
  </si>
  <si>
    <t>Jastrzębie-Zdrój</t>
  </si>
  <si>
    <t>Jaworzno</t>
  </si>
  <si>
    <t>Katowice</t>
  </si>
  <si>
    <t>Mysłowice</t>
  </si>
  <si>
    <t>Piekary Śląskie</t>
  </si>
  <si>
    <t>Ruda Śląska</t>
  </si>
  <si>
    <t>Rybnik</t>
  </si>
  <si>
    <t>Siemianowice Śląskie</t>
  </si>
  <si>
    <t>Sosnowiec</t>
  </si>
  <si>
    <t>Świętochłowice</t>
  </si>
  <si>
    <t>Tychy</t>
  </si>
  <si>
    <t>Zabrze</t>
  </si>
  <si>
    <t>Żory</t>
  </si>
  <si>
    <t>Busko-Zdrój</t>
  </si>
  <si>
    <t>Gnojno</t>
  </si>
  <si>
    <t>Nowy Korczyn</t>
  </si>
  <si>
    <t>Pacanów</t>
  </si>
  <si>
    <t>Solec-Zdrój</t>
  </si>
  <si>
    <t>Stopnica</t>
  </si>
  <si>
    <t>Tuczępy</t>
  </si>
  <si>
    <t>Wiślica</t>
  </si>
  <si>
    <t>Imielno</t>
  </si>
  <si>
    <t>Jędrzejów</t>
  </si>
  <si>
    <t>Małogoszcz</t>
  </si>
  <si>
    <t>Nagłowice</t>
  </si>
  <si>
    <t>Oksa</t>
  </si>
  <si>
    <t>Sędziszów</t>
  </si>
  <si>
    <t>Sobków</t>
  </si>
  <si>
    <t>Wodzisław</t>
  </si>
  <si>
    <t>Bejsce</t>
  </si>
  <si>
    <t>Kazimierza Wielka</t>
  </si>
  <si>
    <t>Opatowiec</t>
  </si>
  <si>
    <t>Skalbmierz</t>
  </si>
  <si>
    <t>Bieliny</t>
  </si>
  <si>
    <t>Bodzentyn</t>
  </si>
  <si>
    <t>Chęciny</t>
  </si>
  <si>
    <t>Daleszyce</t>
  </si>
  <si>
    <t>Górno</t>
  </si>
  <si>
    <t>Łopuszno</t>
  </si>
  <si>
    <t>Masłów</t>
  </si>
  <si>
    <t>Miedziana Góra</t>
  </si>
  <si>
    <t>Mniów</t>
  </si>
  <si>
    <t>Morawica</t>
  </si>
  <si>
    <t>Nowa Słupia</t>
  </si>
  <si>
    <t>Piekoszów</t>
  </si>
  <si>
    <t>Pierzchnica</t>
  </si>
  <si>
    <t>Raków</t>
  </si>
  <si>
    <t>Strawczyn</t>
  </si>
  <si>
    <t>Zagnańsk</t>
  </si>
  <si>
    <t>Fałków</t>
  </si>
  <si>
    <t>Gowarczów</t>
  </si>
  <si>
    <t>Końskie</t>
  </si>
  <si>
    <t>Radoszyce</t>
  </si>
  <si>
    <t>Ruda Maleniecka</t>
  </si>
  <si>
    <t>Smyków</t>
  </si>
  <si>
    <t>Stąporków</t>
  </si>
  <si>
    <t>Baćkowice</t>
  </si>
  <si>
    <t>Iwaniska</t>
  </si>
  <si>
    <t>Lipnik</t>
  </si>
  <si>
    <t>Ożarów</t>
  </si>
  <si>
    <t>Sadowie</t>
  </si>
  <si>
    <t>Tarłów</t>
  </si>
  <si>
    <t>Wojciechowice</t>
  </si>
  <si>
    <t>Ostrowiec Świętokrzyski</t>
  </si>
  <si>
    <t>Bałtów</t>
  </si>
  <si>
    <t>Bodzechów</t>
  </si>
  <si>
    <t>Ćmielów</t>
  </si>
  <si>
    <t>Kunów</t>
  </si>
  <si>
    <t>Waśniów</t>
  </si>
  <si>
    <t>Działoszyce</t>
  </si>
  <si>
    <t>Kije</t>
  </si>
  <si>
    <t>Michałów</t>
  </si>
  <si>
    <t>Pińczów</t>
  </si>
  <si>
    <t>Złota</t>
  </si>
  <si>
    <t>Sandomierz</t>
  </si>
  <si>
    <t>Dwikozy</t>
  </si>
  <si>
    <t>Klimontów</t>
  </si>
  <si>
    <t>Koprzywnica</t>
  </si>
  <si>
    <t>Łoniów</t>
  </si>
  <si>
    <t>Obrazów</t>
  </si>
  <si>
    <t>Samborzec</t>
  </si>
  <si>
    <t>Wilczyce</t>
  </si>
  <si>
    <t>Zawichost</t>
  </si>
  <si>
    <t>Skarżysko-Kamienna</t>
  </si>
  <si>
    <t>Bliżyn</t>
  </si>
  <si>
    <t>Łączna</t>
  </si>
  <si>
    <t>Skarżysko Kościelne</t>
  </si>
  <si>
    <t>Suchedniów</t>
  </si>
  <si>
    <t>Starachowice</t>
  </si>
  <si>
    <t>Mirzec</t>
  </si>
  <si>
    <t>Pawłów</t>
  </si>
  <si>
    <t>Wąchock</t>
  </si>
  <si>
    <t>Bogoria</t>
  </si>
  <si>
    <t>Połaniec</t>
  </si>
  <si>
    <t>Rytwiany</t>
  </si>
  <si>
    <t>Staszów</t>
  </si>
  <si>
    <t>Szydłów</t>
  </si>
  <si>
    <t>Kluczewsko</t>
  </si>
  <si>
    <t>Krasocin</t>
  </si>
  <si>
    <t>Moskorzew</t>
  </si>
  <si>
    <t>Secemin</t>
  </si>
  <si>
    <t>Włoszczowa</t>
  </si>
  <si>
    <t>Kielce</t>
  </si>
  <si>
    <t>Bisztynek</t>
  </si>
  <si>
    <t>Sępopol</t>
  </si>
  <si>
    <t>Frombork</t>
  </si>
  <si>
    <t>Lelkowo</t>
  </si>
  <si>
    <t>Pieniężno</t>
  </si>
  <si>
    <t>Płoskinia</t>
  </si>
  <si>
    <t>Wilczęta</t>
  </si>
  <si>
    <t>Iłowo-Osada</t>
  </si>
  <si>
    <t>Lidzbark</t>
  </si>
  <si>
    <t>Płośnica</t>
  </si>
  <si>
    <t>Elbląg</t>
  </si>
  <si>
    <t>Godkowo</t>
  </si>
  <si>
    <t>Gronowo Elbląskie</t>
  </si>
  <si>
    <t>Markusy</t>
  </si>
  <si>
    <t>Milejewo</t>
  </si>
  <si>
    <t>Młynary</t>
  </si>
  <si>
    <t>Pasłęk</t>
  </si>
  <si>
    <t>Rychliki</t>
  </si>
  <si>
    <t>Tolkmicko</t>
  </si>
  <si>
    <t>Kalinowo</t>
  </si>
  <si>
    <t>Prostki</t>
  </si>
  <si>
    <t>Stare Juchy</t>
  </si>
  <si>
    <t>Kruklanki</t>
  </si>
  <si>
    <t>Miłki</t>
  </si>
  <si>
    <t>Ryn</t>
  </si>
  <si>
    <t>Wydminy</t>
  </si>
  <si>
    <t>Kisielice</t>
  </si>
  <si>
    <t>Susz</t>
  </si>
  <si>
    <t>Zalewo</t>
  </si>
  <si>
    <t>Barciany</t>
  </si>
  <si>
    <t>Korsze</t>
  </si>
  <si>
    <t>Reszel</t>
  </si>
  <si>
    <t>Srokowo</t>
  </si>
  <si>
    <t>Kiwity</t>
  </si>
  <si>
    <t>Lubomino</t>
  </si>
  <si>
    <t>Orneta</t>
  </si>
  <si>
    <t>Mikołajki</t>
  </si>
  <si>
    <t>Piecki</t>
  </si>
  <si>
    <t>Sorkwity</t>
  </si>
  <si>
    <t>Janowiec Kościelny</t>
  </si>
  <si>
    <t>Janowo</t>
  </si>
  <si>
    <t>Kozłowo</t>
  </si>
  <si>
    <t>Nidzica</t>
  </si>
  <si>
    <t>Biskupiec</t>
  </si>
  <si>
    <t>Grodziczno</t>
  </si>
  <si>
    <t>Kurzętnik</t>
  </si>
  <si>
    <t>Kowale Oleckie</t>
  </si>
  <si>
    <t>Olecko</t>
  </si>
  <si>
    <t>Świętajno</t>
  </si>
  <si>
    <t>Wieliczki</t>
  </si>
  <si>
    <t>Barczewo</t>
  </si>
  <si>
    <t>Dobre Miasto</t>
  </si>
  <si>
    <t>Dywity</t>
  </si>
  <si>
    <t>Gietrzwałd</t>
  </si>
  <si>
    <t>Jeziorany</t>
  </si>
  <si>
    <t>Jonkowo</t>
  </si>
  <si>
    <t>Olsztynek</t>
  </si>
  <si>
    <t>Purda</t>
  </si>
  <si>
    <t>Stawiguda</t>
  </si>
  <si>
    <t>Świątki</t>
  </si>
  <si>
    <t>Dąbrówno</t>
  </si>
  <si>
    <t>Grunwald</t>
  </si>
  <si>
    <t>Łukta</t>
  </si>
  <si>
    <t>Małdyty</t>
  </si>
  <si>
    <t>Miłakowo</t>
  </si>
  <si>
    <t>Miłomłyn</t>
  </si>
  <si>
    <t>Morąg</t>
  </si>
  <si>
    <t>Biała Piska</t>
  </si>
  <si>
    <t>Orzysz</t>
  </si>
  <si>
    <t>Pisz</t>
  </si>
  <si>
    <t>Ruciane-Nida</t>
  </si>
  <si>
    <t>Dźwierzuty</t>
  </si>
  <si>
    <t>Jedwabno</t>
  </si>
  <si>
    <t>Pasym</t>
  </si>
  <si>
    <t>Rozogi</t>
  </si>
  <si>
    <t>Wielbark</t>
  </si>
  <si>
    <t>Banie Mazurskie</t>
  </si>
  <si>
    <t>Dubeninki</t>
  </si>
  <si>
    <t>Gołdap</t>
  </si>
  <si>
    <t>Budry</t>
  </si>
  <si>
    <t>Pozezdrze</t>
  </si>
  <si>
    <t>Węgorzewo</t>
  </si>
  <si>
    <t>Budzyń</t>
  </si>
  <si>
    <t>Margonin</t>
  </si>
  <si>
    <t>Szamocin</t>
  </si>
  <si>
    <t>Drawsko</t>
  </si>
  <si>
    <t>Krzyż Wielkopolski</t>
  </si>
  <si>
    <t>Lubasz</t>
  </si>
  <si>
    <t>Połajewo</t>
  </si>
  <si>
    <t>Trzcianka</t>
  </si>
  <si>
    <t>Wieleń</t>
  </si>
  <si>
    <t>Czerniejewo</t>
  </si>
  <si>
    <t>Kiszkowo</t>
  </si>
  <si>
    <t>Kłecko</t>
  </si>
  <si>
    <t>Łubowo</t>
  </si>
  <si>
    <t>Mieleszyn</t>
  </si>
  <si>
    <t>Niechanowo</t>
  </si>
  <si>
    <t>Trzemeszno</t>
  </si>
  <si>
    <t>Witkowo</t>
  </si>
  <si>
    <t>Borek Wielkopolski</t>
  </si>
  <si>
    <t>Gostyń</t>
  </si>
  <si>
    <t>Krobia</t>
  </si>
  <si>
    <t>Pępowo</t>
  </si>
  <si>
    <t>Pogorzela</t>
  </si>
  <si>
    <t>Poniec</t>
  </si>
  <si>
    <t>Granowo</t>
  </si>
  <si>
    <t>Grodzisk Wielkopolski</t>
  </si>
  <si>
    <t>Kamieniec</t>
  </si>
  <si>
    <t>Rakoniewice</t>
  </si>
  <si>
    <t>Wielichowo</t>
  </si>
  <si>
    <t>Jaraczewo</t>
  </si>
  <si>
    <t>Kotlin</t>
  </si>
  <si>
    <t>Żerków</t>
  </si>
  <si>
    <t>Blizanów</t>
  </si>
  <si>
    <t>Brzeziny</t>
  </si>
  <si>
    <t>Ceków-Kolonia</t>
  </si>
  <si>
    <t>Godziesze Wielkie</t>
  </si>
  <si>
    <t>Koźminek</t>
  </si>
  <si>
    <t>Lisków</t>
  </si>
  <si>
    <t>Mycielin</t>
  </si>
  <si>
    <t>Opatówek</t>
  </si>
  <si>
    <t>Stawiszyn</t>
  </si>
  <si>
    <t>Szczytniki</t>
  </si>
  <si>
    <t>Żelazków</t>
  </si>
  <si>
    <t>Bralin</t>
  </si>
  <si>
    <t>Kępno</t>
  </si>
  <si>
    <t>Łęka Opatowska</t>
  </si>
  <si>
    <t>Perzów</t>
  </si>
  <si>
    <t>Rychtal</t>
  </si>
  <si>
    <t>Trzcinica</t>
  </si>
  <si>
    <t>Babiak</t>
  </si>
  <si>
    <t>Chodów</t>
  </si>
  <si>
    <t>Grzegorzew</t>
  </si>
  <si>
    <t>Kościelec</t>
  </si>
  <si>
    <t>Olszówka</t>
  </si>
  <si>
    <t>Osiek Mały</t>
  </si>
  <si>
    <t>Przedecz</t>
  </si>
  <si>
    <t>Golina</t>
  </si>
  <si>
    <t>Grodziec</t>
  </si>
  <si>
    <t>Kazimierz Biskupi</t>
  </si>
  <si>
    <t>Kleczew</t>
  </si>
  <si>
    <t>Kramsk</t>
  </si>
  <si>
    <t>Krzymów</t>
  </si>
  <si>
    <t>Rychwał</t>
  </si>
  <si>
    <t>Skulsk</t>
  </si>
  <si>
    <t>Sompolno</t>
  </si>
  <si>
    <t>Stare Miasto</t>
  </si>
  <si>
    <t>Ślesin</t>
  </si>
  <si>
    <t>Wierzbinek</t>
  </si>
  <si>
    <t>Wilczyn</t>
  </si>
  <si>
    <t>Czempiń</t>
  </si>
  <si>
    <t>Krzywiń</t>
  </si>
  <si>
    <t>Śmigiel</t>
  </si>
  <si>
    <t>Kobylin</t>
  </si>
  <si>
    <t>Koźmin Wielkopolski</t>
  </si>
  <si>
    <t>Krotoszyn</t>
  </si>
  <si>
    <t>Rozdrażew</t>
  </si>
  <si>
    <t>Krzemieniewo</t>
  </si>
  <si>
    <t>Rydzyna</t>
  </si>
  <si>
    <t>Święciechowa</t>
  </si>
  <si>
    <t>Wijewo</t>
  </si>
  <si>
    <t>Włoszakowice</t>
  </si>
  <si>
    <t>Chrzypsko Wielkie</t>
  </si>
  <si>
    <t>Kwilcz</t>
  </si>
  <si>
    <t>Międzychód</t>
  </si>
  <si>
    <t>Sieraków</t>
  </si>
  <si>
    <t>Kuślin</t>
  </si>
  <si>
    <t>Lwówek</t>
  </si>
  <si>
    <t>Miedzichowo</t>
  </si>
  <si>
    <t>Nowy Tomyśl</t>
  </si>
  <si>
    <t>Opalenica</t>
  </si>
  <si>
    <t>Zbąszyń</t>
  </si>
  <si>
    <t>Oborniki</t>
  </si>
  <si>
    <t>Rogoźno</t>
  </si>
  <si>
    <t>Ryczywół</t>
  </si>
  <si>
    <t>Nowe Skalmierzyce</t>
  </si>
  <si>
    <t>Odolanów</t>
  </si>
  <si>
    <t>Przygodzice</t>
  </si>
  <si>
    <t>Raszków</t>
  </si>
  <si>
    <t>Sieroszewice</t>
  </si>
  <si>
    <t>Sośnie</t>
  </si>
  <si>
    <t>Czajków</t>
  </si>
  <si>
    <t>Doruchów</t>
  </si>
  <si>
    <t>Grabów nad Prosną</t>
  </si>
  <si>
    <t>Kobyla Góra</t>
  </si>
  <si>
    <t>Kraszewice</t>
  </si>
  <si>
    <t>Mikstat</t>
  </si>
  <si>
    <t>Ostrzeszów</t>
  </si>
  <si>
    <t>Piła</t>
  </si>
  <si>
    <t>Białośliwie</t>
  </si>
  <si>
    <t>Kaczory</t>
  </si>
  <si>
    <t>Łobżenica</t>
  </si>
  <si>
    <t>Miasteczko Krajeńskie</t>
  </si>
  <si>
    <t>Ujście</t>
  </si>
  <si>
    <t>Wyrzysk</t>
  </si>
  <si>
    <t>Wysoka</t>
  </si>
  <si>
    <t>Chocz</t>
  </si>
  <si>
    <t>Dobrzyca</t>
  </si>
  <si>
    <t>Gizałki</t>
  </si>
  <si>
    <t>Gołuchów</t>
  </si>
  <si>
    <t>Pleszew</t>
  </si>
  <si>
    <t>Luboń</t>
  </si>
  <si>
    <t>Puszczykowo</t>
  </si>
  <si>
    <t>Buk</t>
  </si>
  <si>
    <t>Czerwonak</t>
  </si>
  <si>
    <t>Dopiewo</t>
  </si>
  <si>
    <t>Kleszczewo</t>
  </si>
  <si>
    <t>Komorniki</t>
  </si>
  <si>
    <t>Kostrzyn</t>
  </si>
  <si>
    <t>Kórnik</t>
  </si>
  <si>
    <t>Mosina</t>
  </si>
  <si>
    <t>Murowana Goślina</t>
  </si>
  <si>
    <t>Pobiedziska</t>
  </si>
  <si>
    <t>Stęszew</t>
  </si>
  <si>
    <t>Suchy Las</t>
  </si>
  <si>
    <t>Swarzędz</t>
  </si>
  <si>
    <t>Tarnowo Podgórne</t>
  </si>
  <si>
    <t>Bojanowo</t>
  </si>
  <si>
    <t>Jutrosin</t>
  </si>
  <si>
    <t>Miejska Górka</t>
  </si>
  <si>
    <t>Pakosław</t>
  </si>
  <si>
    <t>Rawicz</t>
  </si>
  <si>
    <t>Lądek</t>
  </si>
  <si>
    <t>Orchowo</t>
  </si>
  <si>
    <t>Ostrowite</t>
  </si>
  <si>
    <t>Powidz</t>
  </si>
  <si>
    <t>Strzałkowo</t>
  </si>
  <si>
    <t>Zagórów</t>
  </si>
  <si>
    <t>Duszniki</t>
  </si>
  <si>
    <t>Kaźmierz</t>
  </si>
  <si>
    <t>Ostroróg</t>
  </si>
  <si>
    <t>Szamotuły</t>
  </si>
  <si>
    <t>Wronki</t>
  </si>
  <si>
    <t>Dominowo</t>
  </si>
  <si>
    <t>Krzykosy</t>
  </si>
  <si>
    <t>Nowe Miasto nad Wartą</t>
  </si>
  <si>
    <t>Środa Wielkopolska</t>
  </si>
  <si>
    <t>Zaniemyśl</t>
  </si>
  <si>
    <t>Dolsk</t>
  </si>
  <si>
    <t>Książ Wielkopolski</t>
  </si>
  <si>
    <t>Śrem</t>
  </si>
  <si>
    <t>Brudzew</t>
  </si>
  <si>
    <t>Kawęczyn</t>
  </si>
  <si>
    <t>Malanów</t>
  </si>
  <si>
    <t>Przykona</t>
  </si>
  <si>
    <t>Tuliszków</t>
  </si>
  <si>
    <t>Władysławów</t>
  </si>
  <si>
    <t>Damasławek</t>
  </si>
  <si>
    <t>Gołańcz</t>
  </si>
  <si>
    <t>Mieścisko</t>
  </si>
  <si>
    <t>Skoki</t>
  </si>
  <si>
    <t>Wapno</t>
  </si>
  <si>
    <t>Przemęt</t>
  </si>
  <si>
    <t>Siedlec</t>
  </si>
  <si>
    <t>Wolsztyn</t>
  </si>
  <si>
    <t>Kołaczkowo</t>
  </si>
  <si>
    <t>Miłosław</t>
  </si>
  <si>
    <t>Nekla</t>
  </si>
  <si>
    <t>Pyzdry</t>
  </si>
  <si>
    <t>Września</t>
  </si>
  <si>
    <t>Jastrowie</t>
  </si>
  <si>
    <t>Krajenka</t>
  </si>
  <si>
    <t>Lipka</t>
  </si>
  <si>
    <t>Okonek</t>
  </si>
  <si>
    <t>Tarnówka</t>
  </si>
  <si>
    <t>Kalisz</t>
  </si>
  <si>
    <t>Konin</t>
  </si>
  <si>
    <t>Poznań</t>
  </si>
  <si>
    <t>Karlino</t>
  </si>
  <si>
    <t>Tychowo</t>
  </si>
  <si>
    <t>Bierzwnik</t>
  </si>
  <si>
    <t>Choszczno</t>
  </si>
  <si>
    <t>Drawno</t>
  </si>
  <si>
    <t>Krzęcin</t>
  </si>
  <si>
    <t>Pełczyce</t>
  </si>
  <si>
    <t>Recz</t>
  </si>
  <si>
    <t>Czaplinek</t>
  </si>
  <si>
    <t>Drawsko Pomorskie</t>
  </si>
  <si>
    <t>Kalisz Pomorski</t>
  </si>
  <si>
    <t>Wierzchowo</t>
  </si>
  <si>
    <t>Złocieniec</t>
  </si>
  <si>
    <t>Goleniów</t>
  </si>
  <si>
    <t>Nowogard</t>
  </si>
  <si>
    <t>Osina</t>
  </si>
  <si>
    <t>Przybiernów</t>
  </si>
  <si>
    <t>Stepnica</t>
  </si>
  <si>
    <t>Brojce</t>
  </si>
  <si>
    <t>Gryfice</t>
  </si>
  <si>
    <t>Karnice</t>
  </si>
  <si>
    <t>Płoty</t>
  </si>
  <si>
    <t>Rewal</t>
  </si>
  <si>
    <t>Trzebiatów</t>
  </si>
  <si>
    <t>Banie</t>
  </si>
  <si>
    <t>Cedynia</t>
  </si>
  <si>
    <t>Chojna</t>
  </si>
  <si>
    <t>Gryfino</t>
  </si>
  <si>
    <t>Mieszkowice</t>
  </si>
  <si>
    <t>Moryń</t>
  </si>
  <si>
    <t>Stare Czarnowo</t>
  </si>
  <si>
    <t>Trzcińsko-Zdrój</t>
  </si>
  <si>
    <t>Widuchowa</t>
  </si>
  <si>
    <t>Dziwnów</t>
  </si>
  <si>
    <t>Golczewo</t>
  </si>
  <si>
    <t>Kamień Pomorski</t>
  </si>
  <si>
    <t>Międzyzdroje</t>
  </si>
  <si>
    <t>Świerzno</t>
  </si>
  <si>
    <t>Wolin</t>
  </si>
  <si>
    <t>Dygowo</t>
  </si>
  <si>
    <t>Gościno</t>
  </si>
  <si>
    <t>Rymań</t>
  </si>
  <si>
    <t>Siemyśl</t>
  </si>
  <si>
    <t>Ustronie Morskie</t>
  </si>
  <si>
    <t>Będzino</t>
  </si>
  <si>
    <t>Biesiekierz</t>
  </si>
  <si>
    <t>Bobolice</t>
  </si>
  <si>
    <t>Manowo</t>
  </si>
  <si>
    <t>Mielno</t>
  </si>
  <si>
    <t>Polanów</t>
  </si>
  <si>
    <t>Sianów</t>
  </si>
  <si>
    <t>Świeszyno</t>
  </si>
  <si>
    <t>Barlinek</t>
  </si>
  <si>
    <t>Boleszkowice</t>
  </si>
  <si>
    <t>Myślibórz</t>
  </si>
  <si>
    <t>Nowogródek Pomorski</t>
  </si>
  <si>
    <t>Kołbaskowo</t>
  </si>
  <si>
    <t>Nowe Warpno</t>
  </si>
  <si>
    <t>Police</t>
  </si>
  <si>
    <t>Bielice</t>
  </si>
  <si>
    <t>Kozielice</t>
  </si>
  <si>
    <t>Lipiany</t>
  </si>
  <si>
    <t>Przelewice</t>
  </si>
  <si>
    <t>Pyrzyce</t>
  </si>
  <si>
    <t>Warnice</t>
  </si>
  <si>
    <t>Malechowo</t>
  </si>
  <si>
    <t>Postomino</t>
  </si>
  <si>
    <t>Chociwel</t>
  </si>
  <si>
    <t>Dobrzany</t>
  </si>
  <si>
    <t>Dolice</t>
  </si>
  <si>
    <t>Ińsko</t>
  </si>
  <si>
    <t>Kobylanka</t>
  </si>
  <si>
    <t>Marianowo</t>
  </si>
  <si>
    <t>Stara Dąbrowa</t>
  </si>
  <si>
    <t>Suchań</t>
  </si>
  <si>
    <t>Barwice</t>
  </si>
  <si>
    <t>Biały Bór</t>
  </si>
  <si>
    <t>Borne Sulinowo</t>
  </si>
  <si>
    <t>Grzmiąca</t>
  </si>
  <si>
    <t>Brzeżno</t>
  </si>
  <si>
    <t>Połczyn-Zdrój</t>
  </si>
  <si>
    <t>Rąbino</t>
  </si>
  <si>
    <t>Sławoborze</t>
  </si>
  <si>
    <t>Człopa</t>
  </si>
  <si>
    <t>Mirosławiec</t>
  </si>
  <si>
    <t>Tuczno</t>
  </si>
  <si>
    <t>Łobez</t>
  </si>
  <si>
    <t>Radowo Małe</t>
  </si>
  <si>
    <t>Resko</t>
  </si>
  <si>
    <t>Węgorzyno</t>
  </si>
  <si>
    <t>Koszalin</t>
  </si>
  <si>
    <t>Szczecin</t>
  </si>
  <si>
    <t>województwo</t>
  </si>
  <si>
    <t>powiat</t>
  </si>
  <si>
    <t>gmina</t>
  </si>
  <si>
    <t>teryt</t>
  </si>
  <si>
    <t>Bolesławiec (gm. miejska)</t>
  </si>
  <si>
    <t>Bolesławiec (gm. wiejska)</t>
  </si>
  <si>
    <t>Dzierżoniów (gm. miejska)</t>
  </si>
  <si>
    <t>Dzierżoniów (gm. wiejska)</t>
  </si>
  <si>
    <t>Głogów (gm. miejska)</t>
  </si>
  <si>
    <t>Głogów (gm. wiejska)</t>
  </si>
  <si>
    <t>Kamienna Góra (gm. miejska)</t>
  </si>
  <si>
    <t>Kamienna Góra (gm. wiejska)</t>
  </si>
  <si>
    <t>Kłodzko (gm. miejska)</t>
  </si>
  <si>
    <t>Nowa Ruda (gm. miejska)</t>
  </si>
  <si>
    <t>Kłodzko (gm. wiejska)</t>
  </si>
  <si>
    <t>Nowa Ruda (gm. wiejska)</t>
  </si>
  <si>
    <t>Chojnów (gm. miejska)</t>
  </si>
  <si>
    <t>Chojnów (gm. wiejska)</t>
  </si>
  <si>
    <t>Lubań (gm. miejska)</t>
  </si>
  <si>
    <t>Lubań (gm. wiejska)</t>
  </si>
  <si>
    <t>Lubin (gm. miejska)</t>
  </si>
  <si>
    <t>Lubin (gm. wiejska)</t>
  </si>
  <si>
    <t>Oleśnica (gm. miejska)</t>
  </si>
  <si>
    <t>Oleśnica (gm. wiejska)</t>
  </si>
  <si>
    <t>Oława (gm. miejska)</t>
  </si>
  <si>
    <t>Oława (gm. wiejska)</t>
  </si>
  <si>
    <t>Świdnica (gm. miejska)</t>
  </si>
  <si>
    <t>Świdnica (gm. wiejska)</t>
  </si>
  <si>
    <t>Zgorzelec (gm. miejska)</t>
  </si>
  <si>
    <t>Zgorzelec (gm. wiejska)</t>
  </si>
  <si>
    <t>Złotoryja (gm. miejska)</t>
  </si>
  <si>
    <t>Złotoryja (gm. wiejska)</t>
  </si>
  <si>
    <t>Aleksandrów Kujawski (gm. miejska)</t>
  </si>
  <si>
    <t>Aleksandrów Kujawski (gm. wiejska)</t>
  </si>
  <si>
    <t>Brodnica (gm. miejska)</t>
  </si>
  <si>
    <t>Brodnica (gm. wiejska)</t>
  </si>
  <si>
    <t>Chełmno (gm. miejska)</t>
  </si>
  <si>
    <t>Chełmno (gm. wiejska)</t>
  </si>
  <si>
    <t>Golub-Dobrzyń (gm. miejska)</t>
  </si>
  <si>
    <t>Golub-Dobrzyń (gm. wiejska)</t>
  </si>
  <si>
    <t>Inowrocław (gm. miejska)</t>
  </si>
  <si>
    <t>Inowrocław (gm. wiejska)</t>
  </si>
  <si>
    <t>Lipno (gm. miejska)</t>
  </si>
  <si>
    <t>Lipno (gm. wiejska)</t>
  </si>
  <si>
    <t>Radziejów (gm. miejska)</t>
  </si>
  <si>
    <t>Radziejów (gm. wiejska)</t>
  </si>
  <si>
    <t>Rypin (gm. miejska)</t>
  </si>
  <si>
    <t>Rypin (gm. wiejska)</t>
  </si>
  <si>
    <t>Chełmża (gm. miejska)</t>
  </si>
  <si>
    <t>Chełmża (gm. wiejska)</t>
  </si>
  <si>
    <t>Kowal (gm. miejska)</t>
  </si>
  <si>
    <t>Kowal (gm. wiejska)</t>
  </si>
  <si>
    <t>Międzyrzec Podlaski (gm. miejska)</t>
  </si>
  <si>
    <t>Terespol (gm. miejska)</t>
  </si>
  <si>
    <t>Międzyrzec Podlaski (gm. wiejska)</t>
  </si>
  <si>
    <t>Terespol (gm. wiejska)</t>
  </si>
  <si>
    <t>Biłgoraj (gm. miejska)</t>
  </si>
  <si>
    <t>Biłgoraj (gm. wiejska)</t>
  </si>
  <si>
    <t>Rejowiec Fabryczny (gm. miejska)</t>
  </si>
  <si>
    <t>Rejowiec Fabryczny (gm. wiejska)</t>
  </si>
  <si>
    <t>Hrubieszów (gm. miejska)</t>
  </si>
  <si>
    <t>Hrubieszów (gm. wiejska)</t>
  </si>
  <si>
    <t>Krasnystaw (gm. miejska)</t>
  </si>
  <si>
    <t>Krasnystaw (gm. wiejska)</t>
  </si>
  <si>
    <t>Kraśnik (gm. miejska)</t>
  </si>
  <si>
    <t>Kraśnik (gm. wiejska)</t>
  </si>
  <si>
    <t>Lubartów (gm. miejska)</t>
  </si>
  <si>
    <t>Lubartów (gm. wiejska)</t>
  </si>
  <si>
    <t>Łuków (gm. miejska)</t>
  </si>
  <si>
    <t>Łuków (gm. wiejska)</t>
  </si>
  <si>
    <t>Puławy (gm. miejska)</t>
  </si>
  <si>
    <t>Puławy (gm. wiejska)</t>
  </si>
  <si>
    <t>Radzyń Podlaski (gm. miejska)</t>
  </si>
  <si>
    <t>Radzyń Podlaski (gm. wiejska)</t>
  </si>
  <si>
    <t>Tomaszów Lubelski (gm. miejska)</t>
  </si>
  <si>
    <t>Tomaszów Lubelski (gm. wiejska)</t>
  </si>
  <si>
    <t>Włodawa (gm. miejska)</t>
  </si>
  <si>
    <t>Włodawa (gm. wiejska)</t>
  </si>
  <si>
    <t>Gubin (gm. miejska)</t>
  </si>
  <si>
    <t>Gubin (gm. wiejska)</t>
  </si>
  <si>
    <t>Nowa Sól (gm. miejska)</t>
  </si>
  <si>
    <t>Nowa Sól (gm. wiejska)</t>
  </si>
  <si>
    <t>Żagań (gm. miejska)</t>
  </si>
  <si>
    <t>Żagań (gm. wiejska)</t>
  </si>
  <si>
    <t>Żary (gm. miejska)</t>
  </si>
  <si>
    <t>Żary (gm. wiejska)</t>
  </si>
  <si>
    <t>Bełchatów (gm. miejska)</t>
  </si>
  <si>
    <t>Bełchatów (gm. wiejska)</t>
  </si>
  <si>
    <t>Kutno (gm. miejska)</t>
  </si>
  <si>
    <t>Kutno (gm. wiejska)</t>
  </si>
  <si>
    <t>Łęczyca (gm. miejska)</t>
  </si>
  <si>
    <t>Łęczyca (gm. wiejska)</t>
  </si>
  <si>
    <t>Łowicz (gm. miejska)</t>
  </si>
  <si>
    <t>Łowicz (gm. wiejska)</t>
  </si>
  <si>
    <t>Pabianice (gm. miejska)</t>
  </si>
  <si>
    <t>Pabianice (gm. wiejska)</t>
  </si>
  <si>
    <t>Radomsko (gm. miejska)</t>
  </si>
  <si>
    <t>Radomsko (gm. wiejska)</t>
  </si>
  <si>
    <t>Rawa Mazowiecka (gm. miejska)</t>
  </si>
  <si>
    <t>Rawa Mazowiecka (gm. wiejska)</t>
  </si>
  <si>
    <t>Sieradz (gm. miejska)</t>
  </si>
  <si>
    <t>Sieradz (gm. wiejska)</t>
  </si>
  <si>
    <t>Tomaszów Mazowiecki (gm. miejska)</t>
  </si>
  <si>
    <t>Tomaszów Mazowiecki (gm. wiejska)</t>
  </si>
  <si>
    <t>Zduńska Wola (gm. miejska)</t>
  </si>
  <si>
    <t>Zduńska Wola (gm. wiejska)</t>
  </si>
  <si>
    <t>Głowno (gm. miejska)</t>
  </si>
  <si>
    <t>Ozorków (gm. miejska)</t>
  </si>
  <si>
    <t>Zgierz (gm. miejska)</t>
  </si>
  <si>
    <t>Głowno (gm. wiejska)</t>
  </si>
  <si>
    <t>Ozorków (gm. wiejska)</t>
  </si>
  <si>
    <t>Zgierz (gm. wiejska)</t>
  </si>
  <si>
    <t>Bochnia (gm. miejska)</t>
  </si>
  <si>
    <t>Bochnia (gm. wiejska)</t>
  </si>
  <si>
    <t>Gorlice (gm. miejska)</t>
  </si>
  <si>
    <t>Gorlice (gm. wiejska)</t>
  </si>
  <si>
    <t>Limanowa (gm. miejska)</t>
  </si>
  <si>
    <t>Mszana Dolna (gm. miejska)</t>
  </si>
  <si>
    <t>Limanowa (gm. wiejska)</t>
  </si>
  <si>
    <t>Mszana Dolna (gm. wiejska)</t>
  </si>
  <si>
    <t>Grybów (gm. miejska)</t>
  </si>
  <si>
    <t>Grybów (gm. wiejska)</t>
  </si>
  <si>
    <t>Nowy Targ (gm. miejska)</t>
  </si>
  <si>
    <t>Nowy Targ (gm. wiejska)</t>
  </si>
  <si>
    <t>Oświęcim (gm. miejska)</t>
  </si>
  <si>
    <t>Oświęcim (gm. wiejska)</t>
  </si>
  <si>
    <t>Jordanów (gm. miejska)</t>
  </si>
  <si>
    <t>Jordanów (gm. wiejska)</t>
  </si>
  <si>
    <t>Ciechanów (gm. miejska)</t>
  </si>
  <si>
    <t>Ciechanów (gm. wiejska)</t>
  </si>
  <si>
    <t>Garwolin (gm. miejska)</t>
  </si>
  <si>
    <t>Łaskarzew (gm. miejska)</t>
  </si>
  <si>
    <t>Garwolin (gm. wiejska)</t>
  </si>
  <si>
    <t>Łaskarzew (gm. wiejska)</t>
  </si>
  <si>
    <t>Gostynin (gm. miejska)</t>
  </si>
  <si>
    <t>Gostynin (gm. wiejska)</t>
  </si>
  <si>
    <t>Mińsk Mazowiecki (gm. miejska)</t>
  </si>
  <si>
    <t>Mińsk Mazowiecki (gm. wiejska)</t>
  </si>
  <si>
    <t>Ostrów Mazowiecka (gm. miejska)</t>
  </si>
  <si>
    <t>Ostrów Mazowiecka (gm. wiejska)</t>
  </si>
  <si>
    <t>Płońsk (gm. miejska)</t>
  </si>
  <si>
    <t>Raciąż (gm. miejska)</t>
  </si>
  <si>
    <t>Płońsk (gm. wiejska)</t>
  </si>
  <si>
    <t>Raciąż (gm. wiejska)</t>
  </si>
  <si>
    <t>Przasnysz (gm. miejska)</t>
  </si>
  <si>
    <t>Przasnysz (gm. wiejska)</t>
  </si>
  <si>
    <t>Pionki (gm. miejska)</t>
  </si>
  <si>
    <t>Pionki (gm. wiejska)</t>
  </si>
  <si>
    <t>Sierpc (gm. miejska)</t>
  </si>
  <si>
    <t>Sierpc (gm. wiejska)</t>
  </si>
  <si>
    <t>Sochaczew (gm. miejska)</t>
  </si>
  <si>
    <t>Sochaczew (gm. wiejska)</t>
  </si>
  <si>
    <t>Sokołów Podlaski (gm. miejska)</t>
  </si>
  <si>
    <t>Sokołów Podlaski (gm. wiejska)</t>
  </si>
  <si>
    <t>Dębica (gm. miejska)</t>
  </si>
  <si>
    <t>Dębica (gm. wiejska)</t>
  </si>
  <si>
    <t>Jarosław (gm. miejska)</t>
  </si>
  <si>
    <t>Radymno (gm. miejska)</t>
  </si>
  <si>
    <t>Jarosław (gm. wiejska)</t>
  </si>
  <si>
    <t>Radymno (gm. wiejska)</t>
  </si>
  <si>
    <t>Jasło (gm. miejska)</t>
  </si>
  <si>
    <t>Jasło (gm. wiejska)</t>
  </si>
  <si>
    <t>Leżajsk (gm. miejska)</t>
  </si>
  <si>
    <t>Leżajsk (gm. wiejska)</t>
  </si>
  <si>
    <t>Lubaczów (gm. miejska)</t>
  </si>
  <si>
    <t>Lubaczów (gm. wiejska)</t>
  </si>
  <si>
    <t>Łańcut (gm. miejska)</t>
  </si>
  <si>
    <t>Łańcut (gm. wiejska)</t>
  </si>
  <si>
    <t>Mielec (gm. miejska)</t>
  </si>
  <si>
    <t>Mielec (gm. wiejska)</t>
  </si>
  <si>
    <t>Przeworsk (gm. miejska)</t>
  </si>
  <si>
    <t>Przeworsk (gm. wiejska)</t>
  </si>
  <si>
    <t>Dynów (gm. miejska)</t>
  </si>
  <si>
    <t>Dynów (gm. wiejska)</t>
  </si>
  <si>
    <t>Sanok (gm. miejska)</t>
  </si>
  <si>
    <t>Sanok (gm. wiejska)</t>
  </si>
  <si>
    <t>Augustów (gm. miejska)</t>
  </si>
  <si>
    <t>Augustów (gm. wiejska)</t>
  </si>
  <si>
    <t>Bielsk Podlaski (gm. miejska)</t>
  </si>
  <si>
    <t>Brańsk (gm. miejska)</t>
  </si>
  <si>
    <t>Bielsk Podlaski (gm. wiejska)</t>
  </si>
  <si>
    <t>Brańsk (gm. wiejska)</t>
  </si>
  <si>
    <t>Grajewo (gm. miejska)</t>
  </si>
  <si>
    <t>Grajewo (gm. wiejska)</t>
  </si>
  <si>
    <t>Hajnówka (gm. miejska)</t>
  </si>
  <si>
    <t>Hajnówka (gm. wiejska)</t>
  </si>
  <si>
    <t>Kolno (gm. miejska)</t>
  </si>
  <si>
    <t>Kolno (gm. wiejska)</t>
  </si>
  <si>
    <t>Sejny (gm. miejska)</t>
  </si>
  <si>
    <t>Sejny (gm. wiejska)</t>
  </si>
  <si>
    <t>Siemiatycze (gm. miejska)</t>
  </si>
  <si>
    <t>Siemiatycze (gm. wiejska)</t>
  </si>
  <si>
    <t>Wysokie Mazowieckie (gm. miejska)</t>
  </si>
  <si>
    <t>Wysokie Mazowieckie (gm. wiejska)</t>
  </si>
  <si>
    <t>Zambrów (gm. miejska)</t>
  </si>
  <si>
    <t>Zambrów (gm. wiejska)</t>
  </si>
  <si>
    <t>Chojnice (gm. miejska)</t>
  </si>
  <si>
    <t>Chojnice (gm. wiejska)</t>
  </si>
  <si>
    <t>Człuchów (gm. miejska)</t>
  </si>
  <si>
    <t>Człuchów (gm. wiejska)</t>
  </si>
  <si>
    <t>Pruszcz Gdański (gm. miejska)</t>
  </si>
  <si>
    <t>Pruszcz Gdański (gm. wiejska)</t>
  </si>
  <si>
    <t>Kościerzyna (gm. miejska)</t>
  </si>
  <si>
    <t>Kościerzyna (gm. wiejska)</t>
  </si>
  <si>
    <t>Kwidzyn (gm. miejska)</t>
  </si>
  <si>
    <t>Kwidzyn (gm. wiejska)</t>
  </si>
  <si>
    <t>Malbork (gm. miejska)</t>
  </si>
  <si>
    <t>Malbork (gm. wiejska)</t>
  </si>
  <si>
    <t>Puck (gm. miejska)</t>
  </si>
  <si>
    <t>Puck (gm. wiejska)</t>
  </si>
  <si>
    <t>Ustka (gm. miejska)</t>
  </si>
  <si>
    <t>Ustka (gm. wiejska)</t>
  </si>
  <si>
    <t>Skórcz (gm. miejska)</t>
  </si>
  <si>
    <t>Starogard Gdański (gm. miejska)</t>
  </si>
  <si>
    <t>Skórcz (gm. wiejska)</t>
  </si>
  <si>
    <t>Starogard Gdański (gm. wiejska)</t>
  </si>
  <si>
    <t>Tczew (gm. miejska)</t>
  </si>
  <si>
    <t>Tczew (gm. wiejska)</t>
  </si>
  <si>
    <t>Wejherowo (gm. miejska)</t>
  </si>
  <si>
    <t>Wejherowo (gm. wiejska)</t>
  </si>
  <si>
    <t>Bartoszyce (gm. miejska)</t>
  </si>
  <si>
    <t>Górowo Iławeckie (gm. miejska)</t>
  </si>
  <si>
    <t>Bartoszyce (gm. wiejska)</t>
  </si>
  <si>
    <t>Górowo Iławeckie (gm. wiejska)</t>
  </si>
  <si>
    <t>Braniewo (gm. miejska)</t>
  </si>
  <si>
    <t>Braniewo (gm. wiejska)</t>
  </si>
  <si>
    <t>Działdowo (gm. miejska)</t>
  </si>
  <si>
    <t>Działdowo (gm. wiejska)</t>
  </si>
  <si>
    <t>Ełk (gm. miejska)</t>
  </si>
  <si>
    <t>Ełk (gm. wiejska)</t>
  </si>
  <si>
    <t>Giżycko (gm. miejska)</t>
  </si>
  <si>
    <t>Giżycko (gm. wiejska)</t>
  </si>
  <si>
    <t>Iława (gm. miejska)</t>
  </si>
  <si>
    <t>Lubawa (gm. miejska)</t>
  </si>
  <si>
    <t>Iława (gm. wiejska)</t>
  </si>
  <si>
    <t>Lubawa (gm. wiejska)</t>
  </si>
  <si>
    <t>Kętrzyn (gm. miejska)</t>
  </si>
  <si>
    <t>Kętrzyn (gm. wiejska)</t>
  </si>
  <si>
    <t>Lidzbark Warmiński (gm. miejska)</t>
  </si>
  <si>
    <t>Lidzbark Warmiński (gm. wiejska)</t>
  </si>
  <si>
    <t>Mrągowo (gm. miejska)</t>
  </si>
  <si>
    <t>Mrągowo (gm. wiejska)</t>
  </si>
  <si>
    <t>Nowe Miasto Lubawskie (gm. miejska)</t>
  </si>
  <si>
    <t>Nowe Miasto Lubawskie (gm. wiejska)</t>
  </si>
  <si>
    <t>Ostróda (gm. miejska)</t>
  </si>
  <si>
    <t>Ostróda (gm. wiejska)</t>
  </si>
  <si>
    <t>Szczytno (gm. miejska)</t>
  </si>
  <si>
    <t>Szczytno (gm. wiejska)</t>
  </si>
  <si>
    <t>Chodzież (gm. miejska)</t>
  </si>
  <si>
    <t>Chodzież (gm. wiejska)</t>
  </si>
  <si>
    <t>Czarnków (gm. miejska)</t>
  </si>
  <si>
    <t>Czarnków (gm. wiejska)</t>
  </si>
  <si>
    <t>Gniezno (gm. miejska)</t>
  </si>
  <si>
    <t>Gniezno (gm. wiejska)</t>
  </si>
  <si>
    <t>Koło (gm. miejska)</t>
  </si>
  <si>
    <t>Koło (gm. wiejska)</t>
  </si>
  <si>
    <t>Kościan (gm. miejska)</t>
  </si>
  <si>
    <t>Kościan (gm. wiejska)</t>
  </si>
  <si>
    <t>Ostrów Wielkopolski (gm. miejska)</t>
  </si>
  <si>
    <t>Ostrów Wielkopolski (gm. wiejska)</t>
  </si>
  <si>
    <t>Słupca (gm. miejska)</t>
  </si>
  <si>
    <t>Słupca (gm. wiejska)</t>
  </si>
  <si>
    <t>Obrzycko (gm. miejska)</t>
  </si>
  <si>
    <t>Obrzycko (gm. wiejska)</t>
  </si>
  <si>
    <t>Turek (gm. miejska)</t>
  </si>
  <si>
    <t>Turek (gm. wiejska)</t>
  </si>
  <si>
    <t>Wągrowiec (gm. miejska)</t>
  </si>
  <si>
    <t>Wągrowiec (gm. wiejska)</t>
  </si>
  <si>
    <t>Złotów (gm. miejska)</t>
  </si>
  <si>
    <t>Złotów (gm. wiejska)</t>
  </si>
  <si>
    <t>Białogard (gm. miejska)</t>
  </si>
  <si>
    <t>Białogard (gm. wiejska)</t>
  </si>
  <si>
    <t>Kołobrzeg (gm. miejska)</t>
  </si>
  <si>
    <t>Kołobrzeg (gm. wiejska)</t>
  </si>
  <si>
    <t>Darłowo (gm. miejska)</t>
  </si>
  <si>
    <t>Sławno (gm. miejska)</t>
  </si>
  <si>
    <t>Darłowo (gm. wiejska)</t>
  </si>
  <si>
    <t>Szczecinek (gm. miejska)</t>
  </si>
  <si>
    <t>Szczecinek (gm. wiejska)</t>
  </si>
  <si>
    <t>Świdwin (gm. miejska)</t>
  </si>
  <si>
    <t>Świdwin (gm. wiejska)</t>
  </si>
  <si>
    <t>Wałcz (gm. miejska)</t>
  </si>
  <si>
    <t>Wałcz (gm. wiejska)</t>
  </si>
  <si>
    <t>ostrowski</t>
  </si>
  <si>
    <t>ząbkowicki</t>
  </si>
  <si>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</si>
  <si>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</si>
  <si>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</si>
  <si>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</si>
  <si>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</si>
  <si>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</si>
  <si>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</si>
  <si>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</si>
  <si>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</si>
  <si>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</si>
  <si>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</si>
  <si>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</si>
  <si>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</si>
  <si>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</si>
  <si>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</si>
  <si>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</si>
  <si>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bolesławiecki</t>
  </si>
  <si>
    <t>dzierżoniowski</t>
  </si>
  <si>
    <t>głogowski</t>
  </si>
  <si>
    <t>górowski</t>
  </si>
  <si>
    <t>jaworski</t>
  </si>
  <si>
    <t>kamiennogórski</t>
  </si>
  <si>
    <t>kłodzki</t>
  </si>
  <si>
    <t>legnicki</t>
  </si>
  <si>
    <t>lubański</t>
  </si>
  <si>
    <t>lubiński</t>
  </si>
  <si>
    <t>lwówecki</t>
  </si>
  <si>
    <t>milicki</t>
  </si>
  <si>
    <t>oleśnicki</t>
  </si>
  <si>
    <t>oławski</t>
  </si>
  <si>
    <t>polkowicki</t>
  </si>
  <si>
    <t>strzeliński</t>
  </si>
  <si>
    <t>średzki</t>
  </si>
  <si>
    <t>świdnicki</t>
  </si>
  <si>
    <t>trzebnicki</t>
  </si>
  <si>
    <t>wałbrzyski</t>
  </si>
  <si>
    <t>wołowski</t>
  </si>
  <si>
    <t>wrocławski</t>
  </si>
  <si>
    <t>zgorzelecki</t>
  </si>
  <si>
    <t>złotoryjski</t>
  </si>
  <si>
    <t>aleksandrowski</t>
  </si>
  <si>
    <t>brodnicki</t>
  </si>
  <si>
    <t>bydgoski</t>
  </si>
  <si>
    <t>chełmiński</t>
  </si>
  <si>
    <t>golubsko-dobrzyński</t>
  </si>
  <si>
    <t>grudziądzki</t>
  </si>
  <si>
    <t>inowrocławski</t>
  </si>
  <si>
    <t>lipnowski</t>
  </si>
  <si>
    <t>mogileński</t>
  </si>
  <si>
    <t>nakielski</t>
  </si>
  <si>
    <t>radziejowski</t>
  </si>
  <si>
    <t>rypiński</t>
  </si>
  <si>
    <t>sępoleński</t>
  </si>
  <si>
    <t>świecki</t>
  </si>
  <si>
    <t>toruński</t>
  </si>
  <si>
    <t>tucholski</t>
  </si>
  <si>
    <t>wąbrzeski</t>
  </si>
  <si>
    <t>włocławski</t>
  </si>
  <si>
    <t>żniński</t>
  </si>
  <si>
    <t>bialski</t>
  </si>
  <si>
    <t>biłgorajski</t>
  </si>
  <si>
    <t>chełmski</t>
  </si>
  <si>
    <t>hrubieszowski</t>
  </si>
  <si>
    <t>janowski</t>
  </si>
  <si>
    <t>krasnostawski</t>
  </si>
  <si>
    <t>kraśnicki</t>
  </si>
  <si>
    <t>lubartowski</t>
  </si>
  <si>
    <t>lubelski</t>
  </si>
  <si>
    <t>łęczyński</t>
  </si>
  <si>
    <t>łukowski</t>
  </si>
  <si>
    <t>opolski</t>
  </si>
  <si>
    <t>parczewski</t>
  </si>
  <si>
    <t>puławski</t>
  </si>
  <si>
    <t>radzyński</t>
  </si>
  <si>
    <t>rycki</t>
  </si>
  <si>
    <t>tomaszowski</t>
  </si>
  <si>
    <t>włodawski</t>
  </si>
  <si>
    <t>zamojski</t>
  </si>
  <si>
    <t>gorzowski</t>
  </si>
  <si>
    <t>krośnieński</t>
  </si>
  <si>
    <t>międzyrzecki</t>
  </si>
  <si>
    <t>nowosolski</t>
  </si>
  <si>
    <t>słubicki</t>
  </si>
  <si>
    <t>strzelecko-drezdenecki</t>
  </si>
  <si>
    <t>sulęciński</t>
  </si>
  <si>
    <t>świebodziński</t>
  </si>
  <si>
    <t>zielonogórski</t>
  </si>
  <si>
    <t>żagański</t>
  </si>
  <si>
    <t>żarski</t>
  </si>
  <si>
    <t>wschowski</t>
  </si>
  <si>
    <t>bełchatowski</t>
  </si>
  <si>
    <t>kutnowski</t>
  </si>
  <si>
    <t>łaski</t>
  </si>
  <si>
    <t>łęczycki</t>
  </si>
  <si>
    <t>łowicki</t>
  </si>
  <si>
    <t>łódzki wschodni</t>
  </si>
  <si>
    <t>opoczyński</t>
  </si>
  <si>
    <t>pabianicki</t>
  </si>
  <si>
    <t>pajęczański</t>
  </si>
  <si>
    <t>piotrkowski</t>
  </si>
  <si>
    <t>poddębicki</t>
  </si>
  <si>
    <t>radomszczański</t>
  </si>
  <si>
    <t>rawski</t>
  </si>
  <si>
    <t>sieradzki</t>
  </si>
  <si>
    <t>skierniewicki</t>
  </si>
  <si>
    <t>wieluński</t>
  </si>
  <si>
    <t>wieruszowski</t>
  </si>
  <si>
    <t>zduńskowolski</t>
  </si>
  <si>
    <t>zgierski</t>
  </si>
  <si>
    <t>brzeziński</t>
  </si>
  <si>
    <t>bocheński</t>
  </si>
  <si>
    <t>brzeski</t>
  </si>
  <si>
    <t>chrzanowski</t>
  </si>
  <si>
    <t>dąbrowski</t>
  </si>
  <si>
    <t>gorlicki</t>
  </si>
  <si>
    <t>krakowski</t>
  </si>
  <si>
    <t>limanowski</t>
  </si>
  <si>
    <t>miechowski</t>
  </si>
  <si>
    <t>myślenicki</t>
  </si>
  <si>
    <t>nowosądecki</t>
  </si>
  <si>
    <t>nowotarski</t>
  </si>
  <si>
    <t>olkuski</t>
  </si>
  <si>
    <t>oświęcimski</t>
  </si>
  <si>
    <t>proszowicki</t>
  </si>
  <si>
    <t>suski</t>
  </si>
  <si>
    <t>tarnowski</t>
  </si>
  <si>
    <t>tatrzański</t>
  </si>
  <si>
    <t>wadowicki</t>
  </si>
  <si>
    <t>wielicki</t>
  </si>
  <si>
    <t>białobrzeski</t>
  </si>
  <si>
    <t>ciechanowski</t>
  </si>
  <si>
    <t>garwoliński</t>
  </si>
  <si>
    <t>gostyniński</t>
  </si>
  <si>
    <t>grodziski</t>
  </si>
  <si>
    <t>grójecki</t>
  </si>
  <si>
    <t>kozienicki</t>
  </si>
  <si>
    <t>legionowski</t>
  </si>
  <si>
    <t>lipski</t>
  </si>
  <si>
    <t>łosicki</t>
  </si>
  <si>
    <t>makowski</t>
  </si>
  <si>
    <t>miński</t>
  </si>
  <si>
    <t>mławski</t>
  </si>
  <si>
    <t>nowodworski</t>
  </si>
  <si>
    <t>ostrołęcki</t>
  </si>
  <si>
    <t>otwocki</t>
  </si>
  <si>
    <t>piaseczyński</t>
  </si>
  <si>
    <t>płocki</t>
  </si>
  <si>
    <t>płoński</t>
  </si>
  <si>
    <t>pruszkowski</t>
  </si>
  <si>
    <t>przasnyski</t>
  </si>
  <si>
    <t>przysuski</t>
  </si>
  <si>
    <t>pułtuski</t>
  </si>
  <si>
    <t>radomski</t>
  </si>
  <si>
    <t>siedlecki</t>
  </si>
  <si>
    <t>sierpecki</t>
  </si>
  <si>
    <t>sochaczewski</t>
  </si>
  <si>
    <t>sokołowski</t>
  </si>
  <si>
    <t>szydłowiecki</t>
  </si>
  <si>
    <t>warszawski zachodni</t>
  </si>
  <si>
    <t>węgrowski</t>
  </si>
  <si>
    <t>wołomiński</t>
  </si>
  <si>
    <t>wyszkowski</t>
  </si>
  <si>
    <t>zwoleński</t>
  </si>
  <si>
    <t>żuromiński</t>
  </si>
  <si>
    <t>żyrardowski</t>
  </si>
  <si>
    <t>głubczycki</t>
  </si>
  <si>
    <t>kędzierzyńsko-kozielski</t>
  </si>
  <si>
    <t>kluczborski</t>
  </si>
  <si>
    <t>krapkowicki</t>
  </si>
  <si>
    <t>namysłowski</t>
  </si>
  <si>
    <t>nyski</t>
  </si>
  <si>
    <t>oleski</t>
  </si>
  <si>
    <t>prudnicki</t>
  </si>
  <si>
    <t>strzelecki</t>
  </si>
  <si>
    <t>bieszczadzki</t>
  </si>
  <si>
    <t>brzozowski</t>
  </si>
  <si>
    <t>dębicki</t>
  </si>
  <si>
    <t>jarosławski</t>
  </si>
  <si>
    <t>jasielski</t>
  </si>
  <si>
    <t>kolbuszowski</t>
  </si>
  <si>
    <t>leżajski</t>
  </si>
  <si>
    <t>lubaczowski</t>
  </si>
  <si>
    <t>łańcucki</t>
  </si>
  <si>
    <t>mielecki</t>
  </si>
  <si>
    <t>niżański</t>
  </si>
  <si>
    <t>przemyski</t>
  </si>
  <si>
    <t>przeworski</t>
  </si>
  <si>
    <t>ropczycko-sędziszowski</t>
  </si>
  <si>
    <t>rzeszowski</t>
  </si>
  <si>
    <t>sanocki</t>
  </si>
  <si>
    <t>stalowowolski</t>
  </si>
  <si>
    <t>strzyżowski</t>
  </si>
  <si>
    <t>tarnobrzeski</t>
  </si>
  <si>
    <t>leski</t>
  </si>
  <si>
    <t>augustowski</t>
  </si>
  <si>
    <t>białostocki</t>
  </si>
  <si>
    <t>bielski</t>
  </si>
  <si>
    <t>grajewski</t>
  </si>
  <si>
    <t>hajnowski</t>
  </si>
  <si>
    <t>kolneński</t>
  </si>
  <si>
    <t>łomżyński</t>
  </si>
  <si>
    <t>moniecki</t>
  </si>
  <si>
    <t>sejneński</t>
  </si>
  <si>
    <t>siemiatycki</t>
  </si>
  <si>
    <t>sokólski</t>
  </si>
  <si>
    <t>suwalski</t>
  </si>
  <si>
    <t>wysokomazowiecki</t>
  </si>
  <si>
    <t>zambrowski</t>
  </si>
  <si>
    <t>bytowski</t>
  </si>
  <si>
    <t>chojnicki</t>
  </si>
  <si>
    <t>człuchowski</t>
  </si>
  <si>
    <t>gdański</t>
  </si>
  <si>
    <t>kartuski</t>
  </si>
  <si>
    <t>kościerski</t>
  </si>
  <si>
    <t>kwidzyński</t>
  </si>
  <si>
    <t>lęborski</t>
  </si>
  <si>
    <t>malborski</t>
  </si>
  <si>
    <t>pucki</t>
  </si>
  <si>
    <t>słupski</t>
  </si>
  <si>
    <t>starogardzki</t>
  </si>
  <si>
    <t>tczewski</t>
  </si>
  <si>
    <t>wejherowski</t>
  </si>
  <si>
    <t>sztumski</t>
  </si>
  <si>
    <t>będziński</t>
  </si>
  <si>
    <t>cieszyński</t>
  </si>
  <si>
    <t>częstochowski</t>
  </si>
  <si>
    <t>gliwicki</t>
  </si>
  <si>
    <t>kłobucki</t>
  </si>
  <si>
    <t>lubliniecki</t>
  </si>
  <si>
    <t>mikołowski</t>
  </si>
  <si>
    <t>myszkowski</t>
  </si>
  <si>
    <t>pszczyński</t>
  </si>
  <si>
    <t>raciborski</t>
  </si>
  <si>
    <t>rybnicki</t>
  </si>
  <si>
    <t>tarnogórski</t>
  </si>
  <si>
    <t>bieruńsko-lędziński</t>
  </si>
  <si>
    <t>wodzisławski</t>
  </si>
  <si>
    <t>zawierciański</t>
  </si>
  <si>
    <t>żywiecki</t>
  </si>
  <si>
    <t>buski</t>
  </si>
  <si>
    <t>jędrzejowski</t>
  </si>
  <si>
    <t>kazimierski</t>
  </si>
  <si>
    <t>kielecki</t>
  </si>
  <si>
    <t>konecki</t>
  </si>
  <si>
    <t>opatowski</t>
  </si>
  <si>
    <t>ostrowiecki</t>
  </si>
  <si>
    <t>pińczowski</t>
  </si>
  <si>
    <t>sandomierski</t>
  </si>
  <si>
    <t>skarżyski</t>
  </si>
  <si>
    <t>starachowicki</t>
  </si>
  <si>
    <t>staszowski</t>
  </si>
  <si>
    <t>włoszczowski</t>
  </si>
  <si>
    <t>bartoszycki</t>
  </si>
  <si>
    <t>braniewski</t>
  </si>
  <si>
    <t>działdowski</t>
  </si>
  <si>
    <t>elbląski</t>
  </si>
  <si>
    <t>ełcki</t>
  </si>
  <si>
    <t>giżycki</t>
  </si>
  <si>
    <t>iławski</t>
  </si>
  <si>
    <t>kętrzyński</t>
  </si>
  <si>
    <t>lidzbarski</t>
  </si>
  <si>
    <t>mrągowski</t>
  </si>
  <si>
    <t>nidzicki</t>
  </si>
  <si>
    <t>nowomiejski</t>
  </si>
  <si>
    <t>olecki</t>
  </si>
  <si>
    <t>olsztyński</t>
  </si>
  <si>
    <t>ostródzki</t>
  </si>
  <si>
    <t>piski</t>
  </si>
  <si>
    <t>szczycieński</t>
  </si>
  <si>
    <t>gołdapski</t>
  </si>
  <si>
    <t>węgorzewski</t>
  </si>
  <si>
    <t>chodzieski</t>
  </si>
  <si>
    <t>czarnkowsko-trzcianecki</t>
  </si>
  <si>
    <t>gnieźnieński</t>
  </si>
  <si>
    <t>gostyński</t>
  </si>
  <si>
    <t>jarociński</t>
  </si>
  <si>
    <t>kaliski</t>
  </si>
  <si>
    <t>kępiński</t>
  </si>
  <si>
    <t>kolski</t>
  </si>
  <si>
    <t>koniński</t>
  </si>
  <si>
    <t>kościański</t>
  </si>
  <si>
    <t>krotoszyński</t>
  </si>
  <si>
    <t>leszczyński</t>
  </si>
  <si>
    <t>międzychodzki</t>
  </si>
  <si>
    <t>nowotomyski</t>
  </si>
  <si>
    <t>obornicki</t>
  </si>
  <si>
    <t>ostrzeszowski</t>
  </si>
  <si>
    <t>pilski</t>
  </si>
  <si>
    <t>pleszewski</t>
  </si>
  <si>
    <t>poznański</t>
  </si>
  <si>
    <t>rawicki</t>
  </si>
  <si>
    <t>słupecki</t>
  </si>
  <si>
    <t>szamotulski</t>
  </si>
  <si>
    <t>śremski</t>
  </si>
  <si>
    <t>turecki</t>
  </si>
  <si>
    <t>wągrowiecki</t>
  </si>
  <si>
    <t>wolsztyński</t>
  </si>
  <si>
    <t>wrzesiński</t>
  </si>
  <si>
    <t>złotowski</t>
  </si>
  <si>
    <t>białogardzki</t>
  </si>
  <si>
    <t>choszczeński</t>
  </si>
  <si>
    <t>drawski</t>
  </si>
  <si>
    <t>goleniowski</t>
  </si>
  <si>
    <t>gryficki</t>
  </si>
  <si>
    <t>gryfiński</t>
  </si>
  <si>
    <t>kamieński</t>
  </si>
  <si>
    <t>kołobrzeski</t>
  </si>
  <si>
    <t>koszaliński</t>
  </si>
  <si>
    <t>myśliborski</t>
  </si>
  <si>
    <t>policki</t>
  </si>
  <si>
    <t>pyrzycki</t>
  </si>
  <si>
    <t>sławieński</t>
  </si>
  <si>
    <t>stargardzki</t>
  </si>
  <si>
    <t>szczecinecki</t>
  </si>
  <si>
    <t>świdwiński</t>
  </si>
  <si>
    <t>wałecki</t>
  </si>
  <si>
    <t>łobeski</t>
  </si>
  <si>
    <t>REGON</t>
  </si>
  <si>
    <t>NIP</t>
  </si>
  <si>
    <t>rodzaj podmiotu</t>
  </si>
  <si>
    <t>spółdzielnia mieszkaniowa</t>
  </si>
  <si>
    <t>spółka gminna</t>
  </si>
  <si>
    <t>KRS</t>
  </si>
  <si>
    <t>ulica</t>
  </si>
  <si>
    <t>nr domu</t>
  </si>
  <si>
    <t>nr lokalu</t>
  </si>
  <si>
    <t>kod pocztowy</t>
  </si>
  <si>
    <t>miejscowość</t>
  </si>
  <si>
    <t>województwo_powiat WNIOSKODAWCA</t>
  </si>
  <si>
    <t>województwo_powiat_gmina WNIOSKODAWCA</t>
  </si>
  <si>
    <t>TERYT</t>
  </si>
  <si>
    <t>imię i nazwisko osoby do kontaktu ws. wniosku</t>
  </si>
  <si>
    <t>telefon</t>
  </si>
  <si>
    <t>adres e-mail</t>
  </si>
  <si>
    <t>województwo_powiat INWESTYCJA</t>
  </si>
  <si>
    <t>województwo_powiat_gmina INWESTYCJA</t>
  </si>
  <si>
    <t>IV. Dodatkowe informacje niezbędne do przeprowadzenia oceny punktowej wniosku</t>
  </si>
  <si>
    <t>Liczba lokali mieszkalnych, o których mowa w kryterium "Adresowanie nowych mieszkań do osób wychowujących dzieci"</t>
  </si>
  <si>
    <t>Żółte pola wypełnią się automatycznie.</t>
  </si>
  <si>
    <t>II. Wnioskowane warunki finansowania</t>
  </si>
  <si>
    <t>dzielnica</t>
  </si>
  <si>
    <t>numery ewidencyjne działek</t>
  </si>
  <si>
    <t>numer księgi wieczystej</t>
  </si>
  <si>
    <t>liczba</t>
  </si>
  <si>
    <t>RAZEM</t>
  </si>
  <si>
    <t>lokale mieszkalne</t>
  </si>
  <si>
    <t>pomieszczenia przynależne do lokali mieszkalnych</t>
  </si>
  <si>
    <t>pomieszczenia przynależne do lokali użytkowych</t>
  </si>
  <si>
    <t>opis inwestycji</t>
  </si>
  <si>
    <t>technologia budowy</t>
  </si>
  <si>
    <t>własność</t>
  </si>
  <si>
    <t>zmiana sposobu użytkowania budynku w celu utworzenia lokali mieszkalnych</t>
  </si>
  <si>
    <t>rodzaj prawa do gruntu</t>
  </si>
  <si>
    <t>liczba budynków</t>
  </si>
  <si>
    <r>
      <t>powierzchnia zabudowy (m</t>
    </r>
    <r>
      <rPr>
        <vertAlign val="superscript"/>
        <sz val="9"/>
        <color theme="1"/>
        <rFont val="Calibri"/>
        <family val="2"/>
        <scheme val="minor"/>
      </rPr>
      <t>2</t>
    </r>
    <r>
      <rPr>
        <sz val="9"/>
        <color theme="1"/>
        <rFont val="Calibri"/>
        <family val="2"/>
        <scheme val="minor"/>
      </rPr>
      <t>)</t>
    </r>
  </si>
  <si>
    <r>
      <t>powierzchnia użytkowa budynku/-ów (m</t>
    </r>
    <r>
      <rPr>
        <vertAlign val="superscript"/>
        <sz val="9"/>
        <color theme="1"/>
        <rFont val="Calibri"/>
        <family val="2"/>
        <scheme val="minor"/>
      </rPr>
      <t>2</t>
    </r>
    <r>
      <rPr>
        <sz val="9"/>
        <color theme="1"/>
        <rFont val="Calibri"/>
        <family val="2"/>
        <scheme val="minor"/>
      </rPr>
      <t>)</t>
    </r>
  </si>
  <si>
    <r>
      <t>powierzchnia netto budynku/-ów (m</t>
    </r>
    <r>
      <rPr>
        <vertAlign val="superscript"/>
        <sz val="9"/>
        <color theme="1"/>
        <rFont val="Calibri"/>
        <family val="2"/>
        <scheme val="minor"/>
      </rPr>
      <t>2</t>
    </r>
    <r>
      <rPr>
        <sz val="9"/>
        <color theme="1"/>
        <rFont val="Calibri"/>
        <family val="2"/>
        <scheme val="minor"/>
      </rPr>
      <t>)</t>
    </r>
  </si>
  <si>
    <r>
      <t>kubatura (m</t>
    </r>
    <r>
      <rPr>
        <vertAlign val="superscript"/>
        <sz val="9"/>
        <color theme="1"/>
        <rFont val="Calibri"/>
        <family val="2"/>
        <scheme val="minor"/>
      </rPr>
      <t>3</t>
    </r>
    <r>
      <rPr>
        <sz val="9"/>
        <color theme="1"/>
        <rFont val="Calibri"/>
        <family val="2"/>
        <scheme val="minor"/>
      </rPr>
      <t>)</t>
    </r>
  </si>
  <si>
    <r>
      <t>powierzchnia działek (m</t>
    </r>
    <r>
      <rPr>
        <vertAlign val="superscript"/>
        <sz val="9"/>
        <color theme="1"/>
        <rFont val="Calibri"/>
        <family val="2"/>
        <scheme val="minor"/>
      </rPr>
      <t>2</t>
    </r>
    <r>
      <rPr>
        <sz val="9"/>
        <color theme="1"/>
        <rFont val="Calibri"/>
        <family val="2"/>
        <scheme val="minor"/>
      </rPr>
      <t>)</t>
    </r>
  </si>
  <si>
    <t>budowa</t>
  </si>
  <si>
    <t>nadbudowa</t>
  </si>
  <si>
    <t>przebudowa</t>
  </si>
  <si>
    <t>inne</t>
  </si>
  <si>
    <t>tradycyjna</t>
  </si>
  <si>
    <t>tradycyjna z elementami prefabrykacji</t>
  </si>
  <si>
    <t>prefabrykowana</t>
  </si>
  <si>
    <t>prefabrykowana żelbetowa</t>
  </si>
  <si>
    <t>inna</t>
  </si>
  <si>
    <t>Terminy realizacji inwestycji</t>
  </si>
  <si>
    <t>zakończenie robót budowlanych</t>
  </si>
  <si>
    <t>uwagi</t>
  </si>
  <si>
    <t>data</t>
  </si>
  <si>
    <t>Liczba lokali mieszkalnych, o których mowa w kryterium "Rotacyjność zasobów (tzw. „łańcuch przeprowadzek”)"</t>
  </si>
  <si>
    <t>0605063</t>
  </si>
  <si>
    <t>0618063</t>
  </si>
  <si>
    <t>1010113</t>
  </si>
  <si>
    <t>1214033</t>
  </si>
  <si>
    <t>1216053</t>
  </si>
  <si>
    <t>1412123</t>
  </si>
  <si>
    <t>1804073</t>
  </si>
  <si>
    <t>1805053</t>
  </si>
  <si>
    <t>Jaśliska</t>
  </si>
  <si>
    <t>1807102</t>
  </si>
  <si>
    <t>1811073</t>
  </si>
  <si>
    <t>1818053</t>
  </si>
  <si>
    <t>2013033</t>
  </si>
  <si>
    <t>Czyżew</t>
  </si>
  <si>
    <t>2013093</t>
  </si>
  <si>
    <t>2213013</t>
  </si>
  <si>
    <t>3020033</t>
  </si>
  <si>
    <t>3201043</t>
  </si>
  <si>
    <t>3204073</t>
  </si>
  <si>
    <t>3208033</t>
  </si>
  <si>
    <t>liczba kondygnacji*</t>
  </si>
  <si>
    <t>liczba klatek schodowych*</t>
  </si>
  <si>
    <t>zaawansowanie rzeczowe inwestycji</t>
  </si>
  <si>
    <t>zaangażowanie finansowe Wnioskodawcy w inwestycję</t>
  </si>
  <si>
    <t>Kwota w zł</t>
  </si>
  <si>
    <t>% planowanego kosztu</t>
  </si>
  <si>
    <t>Informacja wg stanu na dzień złożenia wniosku</t>
  </si>
  <si>
    <t>Liczba pustostanów lokali mieszkalnych w zasobie własnym</t>
  </si>
  <si>
    <t>Przychody netto ze sprzedaży i zrównane z nimi</t>
  </si>
  <si>
    <t>Koszty działalności operacyjnej</t>
  </si>
  <si>
    <t>Zapasy</t>
  </si>
  <si>
    <t>Łączna liczba lokali mieszkalnych w zasobie własnym</t>
  </si>
  <si>
    <t>Dane wg stanu na dzień</t>
  </si>
  <si>
    <t>1.</t>
  </si>
  <si>
    <t>2.</t>
  </si>
  <si>
    <t>odpis z Krajowego Rejestru Sądowego</t>
  </si>
  <si>
    <t>umowa spółki</t>
  </si>
  <si>
    <t>statut spółki</t>
  </si>
  <si>
    <t>statut spółdzielni</t>
  </si>
  <si>
    <t>3.</t>
  </si>
  <si>
    <t>4.</t>
  </si>
  <si>
    <t>5.</t>
  </si>
  <si>
    <t>6.</t>
  </si>
  <si>
    <t>odpis z księgi wieczystej finansowanej nieruchomości</t>
  </si>
  <si>
    <t>7.</t>
  </si>
  <si>
    <t>8.</t>
  </si>
  <si>
    <t>0265011</t>
  </si>
  <si>
    <t>remont</t>
  </si>
  <si>
    <t>monolityczna</t>
  </si>
  <si>
    <t>Wnioskowana kwota finansowania</t>
  </si>
  <si>
    <t>prawo wieczystego użytkowania*</t>
  </si>
  <si>
    <t>zakończenie inwestycji**</t>
  </si>
  <si>
    <t>rozpoczęcie robót budowlanych*</t>
  </si>
  <si>
    <t>garaże indywidualne</t>
  </si>
  <si>
    <t>Informacja dot. źródeł finansowania</t>
  </si>
  <si>
    <t>zł</t>
  </si>
  <si>
    <t>%</t>
  </si>
  <si>
    <t>data wniosku</t>
  </si>
  <si>
    <t>V. Informacje niezbędne do dokonania wstępnej oceny finansowej</t>
  </si>
  <si>
    <t>Czy w okresie 12 miesięcy poprzedzających złożenie wniosku wystąpiły zajęcia komornicze/tytuły egzekucyjne na rachunkach Wnioskodawcy?</t>
  </si>
  <si>
    <t>Krótkoterminowe rozliczenia międzyokresowe (czynne)</t>
  </si>
  <si>
    <t>1609042</t>
  </si>
  <si>
    <t>I. Dane Wnioskodawcy</t>
  </si>
  <si>
    <t>Czy, wg stanu na dzień złożenia wniosku, Wnioskodawca posiada zaległości podatkowe?</t>
  </si>
  <si>
    <t>Czy, wg stanu na dzień złożenia wniosku, Wnioskodawca posiada zaległości w zobowiązaniach wobec ZUS?</t>
  </si>
  <si>
    <t>Województwo</t>
  </si>
  <si>
    <t>Powiat</t>
  </si>
  <si>
    <t>Gmina</t>
  </si>
  <si>
    <t>UWAGA: Jeżeli nie jest możliwe wypełnienie pól "województwo", "powiat", "gmina" w powyższym wierszu, proszę o sprawdzenie kodu TERYT gminy w zakładce "Lista kodów TERYT" oraz wpisanie go w polu "TERYT" w poniższym wierszu i zweryfikowanie czy pola "województwo", "powiat", "gmina" wypełniły się poprawnie.</t>
  </si>
  <si>
    <t>Rzeczowe aktywa trwałe</t>
  </si>
  <si>
    <t xml:space="preserve">Umorzenia części kwot kredytów (ewidencjonowane jako rozliczenia międzyokresowe)
</t>
  </si>
  <si>
    <t xml:space="preserve">Inne środki finansowe, w tym otrzymane od podmiotów zewnętrznych, mające charakter trwałego zasilania finansowego
</t>
  </si>
  <si>
    <r>
      <t>Rozliczenia międzyokresowe długoterminowe</t>
    </r>
    <r>
      <rPr>
        <vertAlign val="superscript"/>
        <sz val="9"/>
        <color theme="1"/>
        <rFont val="Calibri"/>
        <family val="2"/>
        <charset val="238"/>
        <scheme val="minor"/>
      </rPr>
      <t>1</t>
    </r>
  </si>
  <si>
    <t xml:space="preserve">planowany koszt brutto </t>
  </si>
  <si>
    <t>Czy umowa z Generalnym Wykonawcą została już zawarta?</t>
  </si>
  <si>
    <t>Rodzaj lokalu</t>
  </si>
  <si>
    <t>garaże wielostanowiskowe</t>
  </si>
  <si>
    <t>koszt całkowity netto</t>
  </si>
  <si>
    <t>podatek od towarów i usług VAT</t>
  </si>
  <si>
    <t xml:space="preserve">RAZEM </t>
  </si>
  <si>
    <t>planowany koszt brutto 
zł</t>
  </si>
  <si>
    <r>
      <t>powierzchnia
(m</t>
    </r>
    <r>
      <rPr>
        <vertAlign val="superscript"/>
        <sz val="5"/>
        <color theme="1"/>
        <rFont val="Calibri"/>
        <family val="2"/>
        <scheme val="minor"/>
      </rPr>
      <t>2</t>
    </r>
    <r>
      <rPr>
        <sz val="5"/>
        <color theme="1"/>
        <rFont val="Calibri"/>
        <family val="2"/>
        <scheme val="minor"/>
      </rPr>
      <t>)</t>
    </r>
  </si>
  <si>
    <t>Zestawienie planowanych kosztów inwestycji</t>
  </si>
  <si>
    <t>jakie?</t>
  </si>
  <si>
    <t>spłata kredytu</t>
  </si>
  <si>
    <t>koszty eksploatacji</t>
  </si>
  <si>
    <t>Nr</t>
  </si>
  <si>
    <t>Kwota</t>
  </si>
  <si>
    <t>Data (miesiąc)</t>
  </si>
  <si>
    <t>Data
(rok)</t>
  </si>
  <si>
    <t>styczeń</t>
  </si>
  <si>
    <t>luty</t>
  </si>
  <si>
    <t>marzec</t>
  </si>
  <si>
    <t>kwiecień</t>
  </si>
  <si>
    <t>maj</t>
  </si>
  <si>
    <t>czerwiec</t>
  </si>
  <si>
    <t>lipiec</t>
  </si>
  <si>
    <t>sierpień</t>
  </si>
  <si>
    <t>wrzesień</t>
  </si>
  <si>
    <t>październik</t>
  </si>
  <si>
    <t>listopad</t>
  </si>
  <si>
    <t>grudzień</t>
  </si>
  <si>
    <t>Nazwa banku:</t>
  </si>
  <si>
    <t>Numer rachunku:</t>
  </si>
  <si>
    <t>koszt jednostkowy zł/m2</t>
  </si>
  <si>
    <t>Liczba lokali mieszkalnych adresowana do osób starszych</t>
  </si>
  <si>
    <t>Część inwestycji nieobjęta finansowaniem BGK</t>
  </si>
  <si>
    <t>1, NIE</t>
  </si>
  <si>
    <t>1, TAK</t>
  </si>
  <si>
    <t>3, NIE</t>
  </si>
  <si>
    <t>3, TAK</t>
  </si>
  <si>
    <t>Planowany termin podpisania umowy kredytu</t>
  </si>
  <si>
    <t>Razem</t>
  </si>
  <si>
    <t>Proszę wypełnić niebieskie pola.</t>
  </si>
  <si>
    <t>Liczba lokali mieszkalnych na wynajem</t>
  </si>
  <si>
    <t>Liczba lokali mieszkalnych spółdzielczych lokatorskich</t>
  </si>
  <si>
    <t>0, NIE</t>
  </si>
  <si>
    <t>*Kryteria są spełnione w następujących przypadkach:
1. Zabudowa mieszkaniowa jest objęta ustaleniami miejscowego planu zagospodarowania przestrzennego, a jej powierzchnia jest niemniejsza niż:
- 2 ha na obszarach objętych formami ochrony przyrody
- 4 ha na pozostałych obszarach
2. Zabudowa mieszkaniowa nie jest objęta ustaleniami miejscowego planu zagospodarowania przestrzennego, a jej powierzchnia jest niemniejsza niż:
- 0,5 ha na obszarach objętych formami ochrony przyrody
- 2 ha na pozostałych obszarach</t>
  </si>
  <si>
    <t xml:space="preserve">  w tym odsetki od kredytów zaciągniętych przez Wnioskodawcę </t>
  </si>
  <si>
    <t>Koszty finansowe</t>
  </si>
  <si>
    <t>Liczba zatrudnionych w przeliczeniu na pełne etaty</t>
  </si>
  <si>
    <t xml:space="preserve"> </t>
  </si>
  <si>
    <t>najem</t>
  </si>
  <si>
    <t>spółdzielcze lokatorskie prawo do lokalu</t>
  </si>
  <si>
    <t>inne (jakie?)</t>
  </si>
  <si>
    <t>**Planowana data uzyskania pozwolenia na użytkowanie lub uprawomocnienia się powiadomienia o zakończeniu budowy.</t>
  </si>
  <si>
    <t xml:space="preserve"> - w tym podatek VAT od budowy garaży w części jakiej Kredytobiorcy przysługuje prawo do odliczenia tego podatku</t>
  </si>
  <si>
    <t>Kapitał (fundusz) własny</t>
  </si>
  <si>
    <t>Kapitał (fundusz) podstawowy</t>
  </si>
  <si>
    <r>
      <t>Aktywa obrotowe</t>
    </r>
    <r>
      <rPr>
        <vertAlign val="superscript"/>
        <sz val="9"/>
        <color theme="1"/>
        <rFont val="Calibri"/>
        <family val="2"/>
        <charset val="238"/>
        <scheme val="minor"/>
      </rPr>
      <t>3</t>
    </r>
  </si>
  <si>
    <r>
      <t>Zobowiązania krótkoterminowe</t>
    </r>
    <r>
      <rPr>
        <vertAlign val="superscript"/>
        <sz val="9"/>
        <color theme="1"/>
        <rFont val="Calibri"/>
        <family val="2"/>
        <charset val="238"/>
        <scheme val="minor"/>
      </rPr>
      <t>4</t>
    </r>
  </si>
  <si>
    <r>
      <t>Uzyskane partycypacje</t>
    </r>
    <r>
      <rPr>
        <vertAlign val="superscript"/>
        <sz val="9"/>
        <color theme="1"/>
        <rFont val="Calibri"/>
        <family val="2"/>
        <charset val="238"/>
        <scheme val="minor"/>
      </rPr>
      <t>5</t>
    </r>
  </si>
  <si>
    <t>* np. pompy ciepła, fotowoltaika. W przypadku braku odnawialnych źródeł energii proszę wpisać "brak"</t>
  </si>
  <si>
    <t>Rezerwy na zobowiązania</t>
  </si>
  <si>
    <t>Zobowiązania długoterminowe</t>
  </si>
  <si>
    <t>w tym: wartość gruntu wniesionego aportem**</t>
  </si>
  <si>
    <t>`</t>
  </si>
  <si>
    <t>Czy w okresie ostatnich 12 miesięcy poprzedzających złożenie wniosku wystąpiły zaległości podatkowe lub zaległości wobec ZUS?</t>
  </si>
  <si>
    <t>Amortyzacja</t>
  </si>
  <si>
    <t>IX. Oświadczenie w sprawie sposobu przekazywania dokumentów drogą elektroniczną do BGK</t>
  </si>
  <si>
    <t xml:space="preserve">Mając powyższe na uwadze oświadczamy, iż:
    1) przyjmujemy na siebie i uznajemy swoją odpowiedzialność za negatywne dla BGK skutki i szkody wynikające z wykorzystania przez BGK przekazanych przez nas w sposób określony wyżej dokumentów, oświadczeń i  informacji, które okazały się nieprawdziwe, nieautentyczne, nierzetelne, niezgodne ze stanem faktycznym i prawnym, kopii dokumentów niezgodnych z ich oryginałami, oraz dokumentów, oświadczeń i informacji wadliwych z jakiejkolwiek innej przyczyny;
    2) zrzekamy się (każdy z nas) podnoszenia jakichkolwiek roszczeń i zarzutów wobec BGK, które mogłyby powstać w związku z przyjętym sposobem przesyłania dokumentów lub oświadczeń lub informacji za pośrednictwem poczty elektronicznej;
    3) znane nam są przepisy ustawy – Kodeks karny dotyczące odpowiedzialności karnej osób, które w celu uzyskania od banku kredytu lub innego wsparcia finansowego, przedkładają podrobiony, przerobiony, poświadczający nieprawdę albo nierzetelny dokument albo nierzetelne, pisemne oświadczenie dotyczące okoliczności o istotnym znaczeniu dla uzyskania kredytu lub innego wsparcia finansowego.
</t>
  </si>
  <si>
    <t>Należne wpłaty na kapitał (fundusz) podstawowy (pozycja z aktywów)</t>
  </si>
  <si>
    <t>Udziały (akcje) własne (pozycja z aktywów)</t>
  </si>
  <si>
    <t>towarzystwo budownictwa społecznego/społeczna inicjatywa mieszkaniowa (z przewagą kapitału JST)</t>
  </si>
  <si>
    <t>towarzystwo budownictwa społecznego/społeczna inicjatywa mieszkaniowa (z przewagą kapitału prywatnego)</t>
  </si>
  <si>
    <t>towarzystwo budownictwa społecznego/społeczna inicjatywa mieszkaniowa (z przewagą kapitału państwowego)</t>
  </si>
  <si>
    <t>Wnioskowana kwota finansowania zwrotnego *</t>
  </si>
  <si>
    <t>Elementy składowe kosztów</t>
  </si>
  <si>
    <t>wsparcie z Funduszu Dopłat</t>
  </si>
  <si>
    <t>wsparcie z Rządowego Funduszu Rozwoju Mieszkalnictwa</t>
  </si>
  <si>
    <t>Liczba lokali mieszkalnych, o których mowa w kryterium „Adresowanie mieszkań do rodzin z dzieckiem posiadającym zaświadczenie, o którym mowa w art. 4 ust. 3 ustawy z dnia 4 listopada 2016 r. o wsparciu kobiet w ciąży i rodzin „Za życiem”</t>
  </si>
  <si>
    <t>Liczba lokali mieszkalnych, o których mowa w kryterium „Adresowanie mieszkań do rodzin z dzieckiem posiadającym orzeczenie o niepełnosprawności, a w przypadku dzieci od 16. do 18. roku życia – orzeczenie o znacznym stopniu niepełnosprawności, wydane na podstawie przepisów ustawy z dnia 27 sierpnia 1997 r. o rehabilitacji zawodowej i społecznej oraz zatrudnianiu osób niepełnosprawnych"</t>
  </si>
  <si>
    <t>Powierzchnia lokali mieszkalnych, o których mowa w kryterium „Adresowanie mieszkań do rodzin z dzieckiem posiadającym zaświadczenie, 
o którym mowa w art. 4 ust. 3 ustawy z dnia 4 listopada 2016 r. o wsparciu kobiet w ciąży i rodzin „Za życiem”</t>
  </si>
  <si>
    <t>Moc paneli fotowoltaicznych*</t>
  </si>
  <si>
    <t>* W przypadku braku paneli proszę wpisać "nie dotyczy"
   W przypadku, gdy w momencie wypełniania wniosku nie jest znana moc proszę wpisać „będzie znana w późniejszym terminie”</t>
  </si>
  <si>
    <t>Powierzchnia lokali mieszkalnych, o których mowa w kryterium „Adresowanie mieszkań do rodzin z dzieckiem posiadającym orzeczenie o niepełnosprawności, a w przypadku dzieci od 16. do 18. roku życia – orzeczenie o znacznym stopniu niepełnosprawności, wydane na podstawie przepisów ustawy z dnia 27 sierpnia 1997 r. o rehabilitacji zawodowej i społecznej oraz zatrudnianiu osób niepełnosprawnych"</t>
  </si>
  <si>
    <t>*jeśli występuje więcej niż 5 transz należy odkryć powyższe wiersze, uruchomienie finansowania zwrotnego powyżej pięciu transz podlega opłacie zgodnej z Taryfą opłat i prowizji.</t>
  </si>
  <si>
    <t>LOKALE RAZEM</t>
  </si>
  <si>
    <t xml:space="preserve"> Kryteria wykluczające kredytobiorcę z finansowania zwrotnego w ramach programu:*</t>
  </si>
  <si>
    <t>kryteria wykluczające kredytobiorcę zgodnie z "Zasadami udzielania i wprowadzania zmian warunków finansowania SBC"</t>
  </si>
  <si>
    <t>zaleganie z płatnościami w stosunku do ZUS/US</t>
  </si>
  <si>
    <t>występowanie zajęć komorniczych/tytułów egzekucyjnych na rachunkach kredytobiorcy lub jego udziałowców/akcjonariuszy w okresie ostatnich 12 miesięcy</t>
  </si>
  <si>
    <t>w ciągu ostatnich 3 lat w co najmniej jednym roku wystąpił ujemny wynik finansowy netto, z wyłączeniem uzasadnionych w ocenie Banku zdarzeń incydentalnych</t>
  </si>
  <si>
    <t>stosowanie w odniesieniu do budynków kredytowanych przez BGK stawki amortyzacji na poziomie niższym niż 0,75% w skali roku</t>
  </si>
  <si>
    <t>Wskaźniki przyjęte do oceny wiarygodności finansowej - wskaźniki dla TBS*</t>
  </si>
  <si>
    <t>wskaźniki zgodne z "Zasadami udzielania i wprowadzania zmian warunków finansowania SBC"</t>
  </si>
  <si>
    <t>utrzymywanie kapitału podstawowego o wartości stanowiącej co najmniej 10% łącznego zadłużenia Kredytobiorcy wobec Banku oraz innych podmiotów</t>
  </si>
  <si>
    <t>wskaźnik sfinansowania rzeczowego majątku trwałego kapitałami Kredytobiorcy - min. 40%</t>
  </si>
  <si>
    <t>wskaźnik finansowania kosztów - na poziomie nie niższym niż 1,0</t>
  </si>
  <si>
    <t>wskaźnika pokrycia i obsługi zadłużenia - min.1</t>
  </si>
  <si>
    <t>wskaźnik zaległości czynszowych netto dla lokali mieszkalnych w zasobach własnych na poziomie nie wyższym niż 10% netto */</t>
  </si>
  <si>
    <t>*) jeżeli jedno z kryteriów wykluczających i/lub wskaźnik finansowy nie spełniają określonych wymagań/minimów, proszę odkryć i wyliczyć poniższe:</t>
  </si>
  <si>
    <t>wskaźnik rentowności działalności ogółem</t>
  </si>
  <si>
    <t>Przychody netto ogółem</t>
  </si>
  <si>
    <t>wskaźnik płynności szybki - min. 1</t>
  </si>
  <si>
    <t>7.1.</t>
  </si>
  <si>
    <t>wskaźnik rotacji należności w dniach</t>
  </si>
  <si>
    <t>7.2.</t>
  </si>
  <si>
    <t>wskaźnik okresu regulacji zobowiązań w dniach</t>
  </si>
  <si>
    <t>wskaźnik stałości sfinansowania majątku trwałego - min. 1</t>
  </si>
  <si>
    <t>Aktywa trwałe</t>
  </si>
  <si>
    <t>Aktywa razem</t>
  </si>
  <si>
    <t>Informacje z monitoringu</t>
  </si>
  <si>
    <t xml:space="preserve">
Wypełnić jeżeli Spółka jest klientem Banku i przekazuje dane ekonomiczno-finansowe.</t>
  </si>
  <si>
    <t>Warszawa dn,   …………………………..</t>
  </si>
  <si>
    <t xml:space="preserve">*) wynik finansowy po korekcie o partycypacje i umorzenia jednorazowo zaewidencjonowane w rachunku zysków i strat, a powiększony o ich część nierozliczoną zgodnie ze stawką amortyzacji zasobu mieszkaniowego,
**) koszty finansowe (odsetki, prowizje i inne koszty wykazane w kosztach finansowych) zwięzane z obsługą transakcji kredytowych w BGK oraz innych Bankach. W przypadku braku informacji dodatkowych do wyliczenia wskaźnika należy przyjąć kwotę odsetek wskazaną w kosztach finansowych w rachunku zysków i strat. </t>
  </si>
  <si>
    <t>Należności krótkoterminowe</t>
  </si>
  <si>
    <t>Pozostałe przychody operacyjne</t>
  </si>
  <si>
    <t>Przychody finansowe</t>
  </si>
  <si>
    <t>Pozostałe koszty operacyjne</t>
  </si>
  <si>
    <t>Informacja dot. struktury i powierzchni w inwestycji</t>
  </si>
  <si>
    <t>Wskaźniki przyjęte do oceny wiarygodności finansowej - wskaźniki dla SM*</t>
  </si>
  <si>
    <t>wskaźnik pokrycia zobowiązań funduszem własnym</t>
  </si>
  <si>
    <t>wskaźnik płynności bieżącej</t>
  </si>
  <si>
    <t>zyskowność sprzedaży</t>
  </si>
  <si>
    <t>wskaźnik cykl rozliczeniowy należności</t>
  </si>
  <si>
    <t>wskaźnik zapasy do kosztów operacyjnych w dniach</t>
  </si>
  <si>
    <t>zobowiązania handlowe do przychodów w sprzedaży</t>
  </si>
  <si>
    <t>wskaźnik kapitał stały do aktywów trwałych</t>
  </si>
  <si>
    <t>wskaźnik pokrycia odsetek i spłat rat</t>
  </si>
  <si>
    <t>Należności z tytułu dostaw i usług</t>
  </si>
  <si>
    <t>Podatek dochodowy</t>
  </si>
  <si>
    <t>Pasywa całkowite</t>
  </si>
  <si>
    <t xml:space="preserve"> Kryteria wykluczające :</t>
  </si>
  <si>
    <t>Klient posiada wymagalne zaległości wobec ZUS, US, pracowników lub inne zaległe zobowiązania publiczno-prawne, a w przypadku postępowania układowego z tytułu ww. zaległych zobowiązań - nie realizuje terminowo zawartego układu.</t>
  </si>
  <si>
    <t>Klient nie współpracował z BGK i uzyskał negatywne opinie o współpracy z innymi bankami i/lub instytucjami finansowymi.</t>
  </si>
  <si>
    <t>Wskaźniki przyjęte do oceny wiarygodności finansowej - wskaźniki dla spółek gminnych:</t>
  </si>
  <si>
    <t>wskaźnik zaległości z tytułu opłat eksploatacyjnych dla lokali mieszkalnych w zasobach własnych na poziomie nie wyższym niż 10% netto */</t>
  </si>
  <si>
    <t>Zysk (strata) ze sprzedaży</t>
  </si>
  <si>
    <t>Fundusze specjalne (dotyczy spółdzielni mieszkaniowych)</t>
  </si>
  <si>
    <t>Zobowiązania z tytułu dostaw i usług</t>
  </si>
  <si>
    <t>czynności wynikające z obowiązków inwestora netto</t>
  </si>
  <si>
    <t>roboty budowlane obiektu, uzbrojenie i urządzenie terenu netto</t>
  </si>
  <si>
    <t>nadzór inwestorski netto</t>
  </si>
  <si>
    <t xml:space="preserve">rezerwa netto* </t>
  </si>
  <si>
    <t>Zestawienie planowanych kosztów inwestycji według struktury lokali/inwestycji</t>
  </si>
  <si>
    <t>lokale użytkowe handlowe, usługowe, biurowe</t>
  </si>
  <si>
    <t>lubelskie</t>
  </si>
  <si>
    <t>podkarpackie</t>
  </si>
  <si>
    <t>łódzkie</t>
  </si>
  <si>
    <t>kujawsko-pomorskie</t>
  </si>
  <si>
    <t>małopolskie</t>
  </si>
  <si>
    <t>mazowieckie</t>
  </si>
  <si>
    <t>podlaskie</t>
  </si>
  <si>
    <t>wielkopolskie</t>
  </si>
  <si>
    <t>lubuskie</t>
  </si>
  <si>
    <t>opolskie</t>
  </si>
  <si>
    <t>świętokrzyskie</t>
  </si>
  <si>
    <t>zachodniopomorskie</t>
  </si>
  <si>
    <t>warmińsko-mazurskie</t>
  </si>
  <si>
    <t>dolnośląskie</t>
  </si>
  <si>
    <t>śląskie</t>
  </si>
  <si>
    <t>pomorskie</t>
  </si>
  <si>
    <t>Brzeziny (gm. miejska)</t>
  </si>
  <si>
    <t>Brzeziny (gm. wiejska)</t>
  </si>
  <si>
    <t>3001023</t>
  </si>
  <si>
    <t>3020013</t>
  </si>
  <si>
    <t>1420043</t>
  </si>
  <si>
    <t>Dobra (Szczecińska)</t>
  </si>
  <si>
    <t>1813023</t>
  </si>
  <si>
    <t>0602063</t>
  </si>
  <si>
    <t>karkonoski</t>
  </si>
  <si>
    <t>3006013</t>
  </si>
  <si>
    <t>2211023</t>
  </si>
  <si>
    <t>0612023</t>
  </si>
  <si>
    <t>0224033</t>
  </si>
  <si>
    <t>0608053</t>
  </si>
  <si>
    <t>2609033</t>
  </si>
  <si>
    <t>1214023</t>
  </si>
  <si>
    <t>3007053</t>
  </si>
  <si>
    <t>1437033</t>
  </si>
  <si>
    <t>0618053</t>
  </si>
  <si>
    <t>1018043</t>
  </si>
  <si>
    <t>2604073</t>
  </si>
  <si>
    <t>Warszawa</t>
  </si>
  <si>
    <t>3209053</t>
  </si>
  <si>
    <t>2604123</t>
  </si>
  <si>
    <t>2604133</t>
  </si>
  <si>
    <t>Nowiny</t>
  </si>
  <si>
    <t>2601033</t>
  </si>
  <si>
    <t>2612033</t>
  </si>
  <si>
    <t>2603043</t>
  </si>
  <si>
    <t>3007083</t>
  </si>
  <si>
    <t>0804073</t>
  </si>
  <si>
    <t>2601043</t>
  </si>
  <si>
    <t>1004063</t>
  </si>
  <si>
    <t>2604153</t>
  </si>
  <si>
    <t>0202033</t>
  </si>
  <si>
    <t>2605043</t>
  </si>
  <si>
    <t>0603153</t>
  </si>
  <si>
    <t>Ryńsk</t>
  </si>
  <si>
    <t>1404043</t>
  </si>
  <si>
    <t>0603113</t>
  </si>
  <si>
    <t>Sławno (gm. wiejska)</t>
  </si>
  <si>
    <t>Słupia Konecka</t>
  </si>
  <si>
    <t>1420113</t>
  </si>
  <si>
    <t>1409063</t>
  </si>
  <si>
    <t>Stargard (gm. miejska)</t>
  </si>
  <si>
    <t>Stargard (gm. wiejska)</t>
  </si>
  <si>
    <t>Stoczek Łukowski (gm. miejska)</t>
  </si>
  <si>
    <t>Stoczek Łukowski (gm. wiejska)</t>
  </si>
  <si>
    <t>2601063</t>
  </si>
  <si>
    <t>2612083</t>
  </si>
  <si>
    <t>Świnoujście</t>
  </si>
  <si>
    <t>1609123</t>
  </si>
  <si>
    <t>0607083</t>
  </si>
  <si>
    <t>Wąbrzeźno</t>
  </si>
  <si>
    <t>2817083</t>
  </si>
  <si>
    <t>1438053</t>
  </si>
  <si>
    <t>2601083</t>
  </si>
  <si>
    <t>2211043</t>
  </si>
  <si>
    <t>2602093</t>
  </si>
  <si>
    <t xml:space="preserve">                            (imię i nazwisko oraz adres poczty elektronicznej osoby upoważnionej)
- na wskazany przez BGK, poniższy adres poczty elektronicznej BGK: 
wnioski.sbc@bgk.pl
ze skutkiem doręczenia Dokumentu do BGK z chwilą otrzymania i odczytania tego Dokumentu przez BGK;</t>
  </si>
  <si>
    <t>……………………………………………………………………………………………………………………………..……………………………….</t>
  </si>
  <si>
    <t xml:space="preserve">- upoważnioną przez Wnioskodawcę niżej wskazaną osobę, ze wskazanego poniżej adresu poczty elektronicznej:
</t>
  </si>
  <si>
    <t>powierzchnie użytkowe przeznaczone na zaspakajanie potrzeb osób starszych traktowane jako powierzchnie wspólne nieruchomości*</t>
  </si>
  <si>
    <t>w tym: stanowiska postojowe</t>
  </si>
  <si>
    <t xml:space="preserve">Raty kapitałowe z tytułu kredytów zaciągniętych w BGK oraz w innych bankach (spłacone w ciągu ostatnich 12 miesięcy/spłacone w ciągu ostatnich 6 miesięcy) </t>
  </si>
  <si>
    <r>
      <t>grunt z naniesieniami netto</t>
    </r>
    <r>
      <rPr>
        <vertAlign val="superscript"/>
        <sz val="9"/>
        <rFont val="Calibri"/>
        <family val="2"/>
        <charset val="238"/>
        <scheme val="minor"/>
      </rPr>
      <t>1</t>
    </r>
  </si>
  <si>
    <r>
      <t>koszty inne netto</t>
    </r>
    <r>
      <rPr>
        <vertAlign val="superscript"/>
        <sz val="9"/>
        <rFont val="Calibri"/>
        <family val="2"/>
        <charset val="238"/>
        <scheme val="minor"/>
      </rPr>
      <t>2</t>
    </r>
  </si>
  <si>
    <r>
      <t>Kwota łącznego zadłużenia Wnioskodawcy wobec BGK oraz innych podmiotów</t>
    </r>
    <r>
      <rPr>
        <vertAlign val="superscript"/>
        <sz val="9"/>
        <rFont val="Calibri"/>
        <family val="2"/>
        <scheme val="minor"/>
      </rPr>
      <t>2</t>
    </r>
  </si>
  <si>
    <t>liczba dźwigów osobowych*</t>
  </si>
  <si>
    <t>Planowane wypłaty transz ustalone w oparciu o harmonogram rzeczowo-finansowy inwestycji*</t>
  </si>
  <si>
    <t>1015013</t>
  </si>
  <si>
    <t>1412043</t>
  </si>
  <si>
    <t>2606023</t>
  </si>
  <si>
    <t>0606043</t>
  </si>
  <si>
    <t>1425063</t>
  </si>
  <si>
    <t>3019033</t>
  </si>
  <si>
    <t>1008063</t>
  </si>
  <si>
    <t>1420083</t>
  </si>
  <si>
    <t>2404123</t>
  </si>
  <si>
    <t>0414083</t>
  </si>
  <si>
    <t>Wynik finansowy netto Wnioskodawcy w 2023 roku</t>
  </si>
  <si>
    <t xml:space="preserve">
Podsumowanie oceny: 
• spełnione wskaźniki kapitałowe, 
• spełniony wskaźniki finansowe tj. wskaźnik sfinansowania kosztów, wskaźnik pokrycia obsługi zadłużenia, 
• dodatnie wyniki uzyskane w przeciągu trzech ostatnich 3 lat tj. rok 2020, rok 2021, rok 2022,  
</t>
  </si>
  <si>
    <t xml:space="preserve">
Podsumowanie oceny: 
• spełnione wskaźniki kapitałowe, 
• spełniony wskaźniki finansowe tj. wskaźnik sfinansowania kosztów, wskaźnik pokrycia obsługi zadłużenia, 
• dodatnie wyniki uzyskane w przeciągu trzech ostatnich 3 lat tj. rok 2020, rok 2021, rok 2022  
</t>
  </si>
  <si>
    <t xml:space="preserve">
Podsumowanie oceny: 
• spełnione wskaźniki kapitałowe, 
• spełniony wskaźniki finansowe tj. wskaźnik sfinansowania kosztów, wskaźnik pokrycia obsługi zadłużenia, 
• dodatnie wyniki uzyskane w przeciągu trzech ostatnich 3 lat tj. rok 2020, rok 2021, rok 2022
</t>
  </si>
  <si>
    <t>Wynik finansowy netto Wnioskodawcy w 2024 roku</t>
  </si>
  <si>
    <t>0218033</t>
  </si>
  <si>
    <t>0408023</t>
  </si>
  <si>
    <t>0408053</t>
  </si>
  <si>
    <t>0419023</t>
  </si>
  <si>
    <t>1018013</t>
  </si>
  <si>
    <t>0601113</t>
  </si>
  <si>
    <t>0602143</t>
  </si>
  <si>
    <t>0614053</t>
  </si>
  <si>
    <t>0614063</t>
  </si>
  <si>
    <t>0614103</t>
  </si>
  <si>
    <t>0615033</t>
  </si>
  <si>
    <t>0811033</t>
  </si>
  <si>
    <t>1002033</t>
  </si>
  <si>
    <t>1004043</t>
  </si>
  <si>
    <t>1005053</t>
  </si>
  <si>
    <t>1007013</t>
  </si>
  <si>
    <t>1007083</t>
  </si>
  <si>
    <t>1010083</t>
  </si>
  <si>
    <t>1016053</t>
  </si>
  <si>
    <t>1016103</t>
  </si>
  <si>
    <t>1017053</t>
  </si>
  <si>
    <t>1020073</t>
  </si>
  <si>
    <t>1021043</t>
  </si>
  <si>
    <t>1208043</t>
  </si>
  <si>
    <t>1211033</t>
  </si>
  <si>
    <t>1403073</t>
  </si>
  <si>
    <t>1407023</t>
  </si>
  <si>
    <t>1407063</t>
  </si>
  <si>
    <t>1409023</t>
  </si>
  <si>
    <t>1409053</t>
  </si>
  <si>
    <t>1412103</t>
  </si>
  <si>
    <t>1412133</t>
  </si>
  <si>
    <t>1417063</t>
  </si>
  <si>
    <t>1419023</t>
  </si>
  <si>
    <t>1423023</t>
  </si>
  <si>
    <t>1423043</t>
  </si>
  <si>
    <t>1425093</t>
  </si>
  <si>
    <t>1430023</t>
  </si>
  <si>
    <t>1434063</t>
  </si>
  <si>
    <t>1436013</t>
  </si>
  <si>
    <t>1605033</t>
  </si>
  <si>
    <t>1813013</t>
  </si>
  <si>
    <t>1814043</t>
  </si>
  <si>
    <t>2212063</t>
  </si>
  <si>
    <t>2404143</t>
  </si>
  <si>
    <t>2416093</t>
  </si>
  <si>
    <t>2602083</t>
  </si>
  <si>
    <t>2604083</t>
  </si>
  <si>
    <t>2604143</t>
  </si>
  <si>
    <t>2605023</t>
  </si>
  <si>
    <t>2612013</t>
  </si>
  <si>
    <t>3008063</t>
  </si>
  <si>
    <t>3019053</t>
  </si>
  <si>
    <t>3025053</t>
  </si>
  <si>
    <t>3028043</t>
  </si>
  <si>
    <t>Rodzaj gminy</t>
  </si>
  <si>
    <t>gmina miejska</t>
  </si>
  <si>
    <t>gmina wiejska</t>
  </si>
  <si>
    <t>gmina miejsko-wiejska</t>
  </si>
  <si>
    <t>gmina miejska, miasto stołeczne</t>
  </si>
  <si>
    <t>Redzikowo</t>
  </si>
  <si>
    <t>1412063</t>
  </si>
  <si>
    <t>Szczawa</t>
  </si>
  <si>
    <t>Grabówka</t>
  </si>
  <si>
    <t>1207132</t>
  </si>
  <si>
    <t>2002162</t>
  </si>
  <si>
    <t>wskaźnik zaległości czynszowych/z tytułu opłat eksploatacyjnych netto dla lokali mieszkalnych w zasobach własnych przekracza 10% wg stanu - wg stanu na 30 czerwca roku (w przypadku wniosków składanych w edycji jesiennej), za ostatni rok obrachunkowy (w przypadku wniosków składanych w edycji wiosennej)</t>
  </si>
  <si>
    <t>poziom pustostanów lokali mieszkalnych w zasobach własnych przekracza 5% – wg stanu na 30 czerwca roku (w przypadku wniosków składanych w edycji jesiennej), za ostatni rok obrachunkowy (w przypadku wniosków składanych w edycji wiosennej)</t>
  </si>
  <si>
    <t>Planowany koszt części inwestycji objętej finansowaniem zwrotnym</t>
  </si>
  <si>
    <t>udział finansowania zwrotnego w koszcie części inwestycji objętej tym finansowaniem</t>
  </si>
  <si>
    <t>udział wartości gruntu wniesionego aportem w koszcie części inwestycji objętej finansowaniem zwrotnym</t>
  </si>
  <si>
    <t>Czy wniosek dotyczący tej inwestycji był już składany we wcześniejszych edycjach?</t>
  </si>
  <si>
    <t>III. Informacje na temat inwestycji</t>
  </si>
  <si>
    <t>Część inwestycji objęta finansowaniem zwrotnym (kredytem preferencyjnym SBC)</t>
  </si>
  <si>
    <t>Część inwestycji objęta innym finansowaniem BGK (np. kredytem budowlanym)</t>
  </si>
  <si>
    <t>lokale użytkowe (usługowe, handlowe, biurowe, inne)</t>
  </si>
  <si>
    <r>
      <t xml:space="preserve">Objaśnienia:
</t>
    </r>
    <r>
      <rPr>
        <b/>
        <vertAlign val="superscript"/>
        <sz val="6"/>
        <rFont val="Calibri"/>
        <family val="2"/>
        <charset val="238"/>
        <scheme val="minor"/>
      </rPr>
      <t>1</t>
    </r>
    <r>
      <rPr>
        <b/>
        <sz val="6"/>
        <rFont val="Calibri"/>
        <family val="2"/>
        <charset val="238"/>
        <scheme val="minor"/>
      </rPr>
      <t xml:space="preserve"> m.in. pozyskanie/zakup terenu, wartość pozyskanych/zakupionych naniesień, opłaty związane z gruntem (np. opłaty notarialne, sądowe, opłaty za wieczyste użytkowanie i podatki od nieruchomości w okresie realizacji inwestycji)
</t>
    </r>
    <r>
      <rPr>
        <b/>
        <vertAlign val="superscript"/>
        <sz val="6"/>
        <rFont val="Calibri"/>
        <family val="2"/>
        <charset val="238"/>
        <scheme val="minor"/>
      </rPr>
      <t>2</t>
    </r>
    <r>
      <rPr>
        <b/>
        <sz val="6"/>
        <rFont val="Calibri"/>
        <family val="2"/>
        <charset val="238"/>
        <scheme val="minor"/>
      </rPr>
      <t xml:space="preserve"> m.in. koszty reklamy, marketingu oraz inne koszty inwestora związane z inwestycją w okresie jej realizacji</t>
    </r>
  </si>
  <si>
    <t>Wkład własny Wnioskodawcy, w tym:</t>
  </si>
  <si>
    <t>*usunąć niepotrzebne</t>
  </si>
  <si>
    <t>Czy inwestycja jest współfinansowana z wykorzystaniem innych środków, np. grantu KPO, grantu OZE?</t>
  </si>
  <si>
    <t>Czy jesteście Państwo zainteresowani skorzystaniem z proponowanej przez Bank gwarancji InvestEU jako dodatkowego zabezpieczenia spłaty kredytu?</t>
  </si>
  <si>
    <t>(szczegóły na stronie BGK</t>
  </si>
  <si>
    <t>Kredyt preferencyjny SBC - BGK</t>
  </si>
  <si>
    <t>w zakładce „Gwarancja InvestEU”)</t>
  </si>
  <si>
    <t>w tym część objęta finansowaniem zwrotnym</t>
  </si>
  <si>
    <t>Czy inwestycja jest realizowana na podstawie gminnego programu rewitalizacji, o którym mowa w ustawie z dnia 9 października 2015 r. o rewitalizacji, i jest inwestycją wpisaną na listę, o której mowa w art. 15 ust. 1 pkt 5 lit. a ustawy z dnia 9 października 2015 r. o rewitalizacji?</t>
  </si>
  <si>
    <t>Czy inwestycja jest realizowana na podstawie zapisów programu w zakresie rewitalizacji, niebędącego gminnym programem rewitalizacji w rozumieniu ustawy z dnia 9 października 2015 r. o rewitalizacji (Dz.U. 2024 poz. 278), albo gminnego programu rewitalizacji, o którym mowa w ustawie z dnia 9 października 2015 r. o rewitalizacji, i jest inwestycją możliwą do realizacji na podstawie art. 15 ust. 1 pkt 5 lit. b ustawy z dnia 9 października 2015 r. o rewitalizacji?</t>
  </si>
  <si>
    <t>Czy wniosek dotyczy inwestycji, w przypadku której projekt architektoniczny został wykonany w drodze otwartego konkursu architektonicznego?</t>
  </si>
  <si>
    <t xml:space="preserve">Czy inwestycja polega na remoncie lub zmianie sposobu użytkowania istniejącego budynku w celu utworzenia lokali mieszkalnych?
</t>
  </si>
  <si>
    <t>Czy inwestycja realizowana jest na obszarze objętym miejscowym planem zagospodarowania przestrzennego?</t>
  </si>
  <si>
    <t xml:space="preserve">Czy inwestycja realizowana jest w oparciu o WZ lub uchwałę gminy w sprawie lokalizacji inwestycji (dotyczy inwestycji realizowanych w oparciu o specustawę z dnia 5 lipca 2018 r.)? </t>
  </si>
  <si>
    <t>Czy została podjęta uchwała w sprawie ustanowienia ograniczonego prawa rzeczowego (hipoteki) na finansowanej nieruchomości na zabezpieczenie spłaty kredytu?</t>
  </si>
  <si>
    <t>Rachunek, na jaki mają być przelewane środki z finansowania zwrotnego (kredytu preferencyjnego SBC):</t>
  </si>
  <si>
    <t>Wynik finansowy netto Wnioskodawcy w 2025 roku</t>
  </si>
  <si>
    <t>Wynik finansowy netto Wnioskodawcy na 30 czerwca 2026 roku</t>
  </si>
  <si>
    <t>Pliki zawierające załączniki do wniosku należy ponumerować zgodnie z poniższą listą.</t>
  </si>
  <si>
    <t>VI. Informacje związane z oceną oddziaływania na środowisko</t>
  </si>
  <si>
    <t>VII. Informacje związane z oszczędnością energii i izolacyjnością cieplną, dotyczące planowanej inwestycji</t>
  </si>
  <si>
    <t>Czy inwestycja spełnia kryteria* § 3 ust. 1 pkt 55 rozporządzenia Rady Ministrów z dnia 10 września 2019 r. w sprawie przedsięwzięć mogących znacząco oddziaływać na środowisko (Dz. U. 2019 poz. 1839 z późn. zm.)?</t>
  </si>
  <si>
    <t>Oświadczam/-y, że inwestycja objęta niniejszym wnioskiem nie spełnia kryteriów § 3 ust. 1 pkt 55 rozporządzenia Rady Ministrów z dnia
10 września 2019 r. w sprawie przedsięwzięć mogących znacząco oddziaływać na środowisko (Dz.U. 2019 poz. 1839 z późn. zm.).</t>
  </si>
  <si>
    <t>Czy inwestycja wymagała przeprowadzenia oceny oddziaływania na środowisko (OOŚ)?</t>
  </si>
  <si>
    <t>Oświadczam/-y, że dla inwestycji objętej niniejszym wnioskiem odpowiedni organ ds. środowiska wydał postanowienie o braku potrzeby przeprowadzenia oceny oddziaływania na środowisko (OOŚ). Jednocześnie załączam/-y do wniosku kopię tego postanowienia oraz decyzji o środowiskowych uwarunkowaniach.</t>
  </si>
  <si>
    <t>Oświadczam/-y, że dla inwestycji objętej niniejszym wnioskiem ocena oddziaływania na środowisko (OOŚ) oraz odpowiadające jej podsumowanie w języku nietechnicznym (PJN) zostały przedłożone organowi ds. środowiska, OOŚ została zatwierdzona, a organ ds. środowiska udzielił zezwolenia na realizację projektu. Jednocześnie załączam/-y do wniosku kopię PJN.</t>
  </si>
  <si>
    <t>Oświadczam/-y, że dla inwestycji objętej niniejszym wnioskiem organ ds. środowiska wydał dokument potwierdzający przeprowadzenie wymaganych ocen, brak istotnego wpływu projektu na obszary chronione zgodnie z ww. dyrektywami oraz identyfikację właściwych sposobów mitygacji wpływu projektu na środowisko. Jednocześnie załączam/-y do wniosku stosowny dokument.</t>
  </si>
  <si>
    <t>Oświadczam/-y, że dla inwestycji objętej niniejszym wnioskiem organ ds. środowiska odpowiedzialny za monitorowanie obszarów Natura 2000 wydał dokument uzasadniający realizację projektu ze względu na nadrzędny interes publiczny oraz określający działania mitygujące wpływ inwestycji na środowisko. Jednocześnie załączam/-y do wniosku stosowną dokumentację wraz z opinią Komisji Europejskiej.</t>
  </si>
  <si>
    <t xml:space="preserve">Czy inwestycja podlegała sprawdzeniu zgodnie z dyrektywą siedliskową oraz dyrektywą ptasią (92/43/EWG i 79/409/EWG)? </t>
  </si>
  <si>
    <t>Jakie odnawialne źródła energii będą wykorzystywane przy realizacji inwestycji?*</t>
  </si>
  <si>
    <t>Planowana wartość wskaźnika EP dla inwestycji.</t>
  </si>
  <si>
    <t>Czy zaprojektowane i planowane do wykonania budynki objęte wnioskiem i współfinansowane z Funduszu Dopłat, po wybudowaniu spełniać będą wymagania określone w:
       1. art. 6aa. ustawy z dnia 8 grudnia 2006 r. o finansowym wsparciu niektórych przedsięwzięć mieszkaniowych (tj. Dz. U. z 2024 r. poz. 304, z 2025 r. 
           poz. 680, 1077), dotyczące wartości wskaźnika rocznego zapotrzebowania na nieodnawialną energię pierwotną EP oraz  
       2. Rozporządzeniu Ministra Inwestycji i Rozwoju z dnia 4 marca 2019 r. w sprawie standardów dotyczących przestrzennego kształtowania budynku i 
            jego otoczenia, technologii wykonania i wyposażenia technicznego budynku oraz lokalizacji przedsięwzięć realizowanych z wykorzystaniem 
            finansowego wsparcia z Funduszu Dopłat (Dz. U. 2019 poz. 457)?</t>
  </si>
  <si>
    <t>Czy w ramach inwestycji powstaną mieszkania przeznaczone dla funkcjonariuszy/pracowników Policji lub żołnierzy/pracowników Wojska?</t>
  </si>
  <si>
    <t>VIII. Dodatkowe informacje</t>
  </si>
  <si>
    <t>podpisy elektroniczne kwalifikowane osób uprawnionych do reprezentowania Wnioskodawcy i składania oświadczeń woli w jego imieniu</t>
  </si>
  <si>
    <t>Potwierdzam, że wniosek podpisały osoby uprawnione do reprezentowania Wnioskodawcy.</t>
  </si>
  <si>
    <t>Data i podpis pracownika BGK</t>
  </si>
  <si>
    <t>2. Oświadczam/-my, że wyrażamy zgodę na publikację przez Bank zdjęć/danych dotyczących inwestycji.</t>
  </si>
  <si>
    <t xml:space="preserve">1.	Oświadczam/-my, że przedmiotowa inwestycja nie została zakończona. </t>
  </si>
  <si>
    <t>2.	Oświadczam/-my, że postępowania o udzielenie zamówień na roboty budowlane, usługi i dostawy lub konkursy dotyczące przedmiotowej inwestycji przeprowadzimy/-iliśmy zgodnie z przepisami ustawy z dnia 29 stycznia 2004 r. Prawo zamówień publicznych lub ustawy 11 września 2019 r. Prawo zamówień publicznych w zależności od tego, która z tych ustaw obowiązywała w dniu rozpoczęcia postępowania o udzielenie zamówienia publicznego, zwanej dalej Prawem zamówień publicznych, oraz z ogólnym prawem unijnym, w szczególności z odpowiednimi dyrektywami unijnymi, z wyłączeniem tych zamówień, przy udzielaniu których, zgodnie z przepisami Prawa zamówień publicznych, nie byliśmy zobowiązani do stosowania Prawa zamówień publicznych i w związku z czym postępowanie i zawarcie umowy z wykonawcą robót budowlanych/usług/dostaw dotyczące inwestycji przeprowadziliśmy zgodnie z ustawą z dnia 23 kwietnia 1964 r. Kodeks cywilny.</t>
  </si>
  <si>
    <t>Oświadczam/-my, że:
1. wszystkie dane i informacje podane we wniosku i załączonych do niego dokumentach są zgodne ze stanem faktycznym i obowiązującymi przepisami prawa;
2. wersja edytowalna wniosku wysłana na adres wnioski.sbc@bgk.pl jest zgodna z wersją podpisaną wniosku wysłaną na ten adres;
3. wkład własny:
           1) pochodzi z innych źródeł niż kredyt, pożyczka lub inne instrumenty dłużne,
           2) nie pochodzi ze środków pieniężnych zgromadzonych na cele remontowe oraz z kaucji, do gromadzenia których Wnioskodawca jest zobowiązany na podstawie umów 
                kredytu zawartych z BGK;
4. środki zainwestowane w realizację inwestycji nie pochodzą z nielegalnych źródeł, w tym nie pochodzą z procederu prania pieniędzy ani nie są powiązane z finansowaniem terroryzmu;
5. zobowiązuję/-my się niezwłocznie informować Bank w przypadku pozyskania wiedzy na temat nielegalnego pochodzenia środków zainwestowanych w inwestycję.</t>
  </si>
  <si>
    <t>prawomocna decyzja o pozwoleniu na budowę</t>
  </si>
  <si>
    <t>zgłoszenie budowy lub innych robót budowlanych, dokonane właściwemu organowi, wobec którego nie został wniesiony sprzeciw – zgodnie z przepisami ustawy z dnia 7 lipca 1994 r. – Prawo budowlane (Dz. U. z 2025 r. poz. 418 z późn. zm.)</t>
  </si>
  <si>
    <t>inny dokument potwierdzający tytuł prawny Wnioskodawcy do nieruchomości</t>
  </si>
  <si>
    <t>strony dziennika budowy potwierdzające rozpoczęcie inwestycji</t>
  </si>
  <si>
    <t>bilans i rachunek zysków i strat za ostatnie dwa lata obrotowe</t>
  </si>
  <si>
    <t>Wniosek o udzielenie finansowania zwrotnego (kredytu preferencyjnego SBC)</t>
  </si>
  <si>
    <t>w ramach realizacji przez Bank Gospodarstwa Krajowego rządowego programu popierania budownictwa mieszkaniowego *</t>
  </si>
  <si>
    <t>0601053</t>
  </si>
  <si>
    <t>1412143</t>
  </si>
  <si>
    <t>1416053</t>
  </si>
  <si>
    <t>1419143</t>
  </si>
  <si>
    <t>1602023</t>
  </si>
  <si>
    <t>2404033</t>
  </si>
  <si>
    <t>Bratian</t>
  </si>
  <si>
    <t>Nowe Miasto Lubawskie</t>
  </si>
  <si>
    <t>*Jeżeli w ramach inwestycji powstaje więcej niż jeden budynek, proszę podać informację dla każdego z budynków.  Poszczególne wartości proszę oddzielić przecinkiem.</t>
  </si>
  <si>
    <t>**Wartość gruntu wniesionego aportem zaliczana do kosztów części inwestycji objętej finansowaniem zwrotnym nie może przekroczyć 20% tych kosztów i ustalana jest na podstawie operatu szacunkowego sporządzonego
przez rzeczoznawcę majątkowego dla celów zabezpieczenia wierzytelności Banku. Dla potrzeb złożenia wniosku można przyjąć wartość gruntu wniesionego aportem wynikającą z aktu notarialnego - umowy przeniesienia własności nieruchomości.</t>
  </si>
  <si>
    <t>*Powierzchnie, o których mowa w art. 15a ust. 2a i 2b Ustawy.</t>
  </si>
  <si>
    <t xml:space="preserve"> lub </t>
  </si>
  <si>
    <t xml:space="preserve">1. Odnośnie dokumentów (dalej: „Dokumenty”), których przedłożenia wymaga Bank Gospodarstwa Krajowego (dalej: „BGK”) w związku ze złożeniem niniejszego wniosku o udzielenie finansowania zwrotnego w ramach realizacji przez Bank Gospodarstwa Krajowego rządowego programu popierania budownictwa mieszkaniowego, oświadczamy, co następuje:
    1) przyjmujemy do akceptującej wiadomości, że wskazane przez BGK Dokumenty mogą być przekazywane do BGK za pośrednictwem poczty elektronicznej, o ile i dopóki BGK nie 
         zażąda, w  odniesieniu do wskazanych przez BGK Dokumentów, złożenia lub okazania oryginałów tych Dokumentów na nośniku, na którym zostały utrwalone (papierowy,  
         elektroniczny);
    2) Dokumenty przekazywane do BGK za pośrednictwem poczty elektronicznej – będą przesyłane w postaci formatu graficznego (np. PDF) przedstawiającego obraz oryginału 
         Dokumentu pozostającego w posiadaniu Wnioskodawcy, sporządzonego przez Wnioskodawcę, jako załączniki do wiadomości e-mail;   
</t>
  </si>
  <si>
    <t xml:space="preserve">    3) wiadomości e-mail wraz z załączonymi do nich Dokumentami w formacie, o którym mowa w pkt 2, będą przesyłane wyłącznie z należących do Wnioskodawcy adresów poczty 
        elektronicznej:
- przez Wnioskodawcę, ze wskazanego poniżej adresu poczty elektronicznej: </t>
  </si>
  <si>
    <t xml:space="preserve">    4) przyjmujemy pełną odpowiedzialność za wszelkie skutki wynikające z zawinionego lub niezawinionego działania lub zaniechania wskazanej wyżej upoważnionej osoby w 
         odniesieniu do powierzonych jej ww. czynności.
2. W związku z powyższym zobowiązujemy się i zapewniamy, że:
    1) Dokumenty sporządzone i przesłane w sposób określony w ust. 1 za pośrednictwem poczty elektronicznej będą tożsame z oryginałami tych Dokumentów, tj. będą stanowić pełne i 
         rzeczywiste odzwierciedlenie ich treści, w tym zachowywać integralność oryginału Dokumentu;
    2) oryginały Dokumentów przesłanych do BGK pocztą elektroniczną będą przez Wnioskodawcę  przechowywane do czasu całkowitej spłaty wobec BGK zobowiązań z tytułu 
         udzielonego przez BGK kredytu;
    3) na każdorazowe żądanie BGK, udostępnimy oryginały Dokumentów przesłanych do BGK pocztą elektroniczną, w terminie i miejscu określonym przez BGK oraz umożliwimy BGK 
         wykonanie kopii tych Dokumentów.</t>
  </si>
  <si>
    <t>XX EDYCJA SKŁADANIA WNIOSKÓW (WIOSNA 2026)</t>
  </si>
  <si>
    <t>pełna nazwa Wnioskodawcy</t>
  </si>
  <si>
    <t>1. BGK jest administratorem danych osobowych w rozumieniu przepisów rozporządzenia Parlamentu Europejskiego i Rady (UE) 2016/679 z dnia 27 kwietnia 2016 r. w sprawie ochrony osób fizycznych w związku z przetwarzaniem danych osobowych i w sprawie swobodnego przepływu takich danych oraz uchylenia dyrektywy 95/46/WE (dalej: RODO).
2. BGK będzie  przetwarzał  dane osobowe reprezentantów, pełnomocników, osób wyznaczonych do kontaktu i innych osób upoważnionych przez Wnioskodawcę w związku z czynnościami, które poprzedzają zawarcie umowy kredytu objętego wnioskiem oraz realizacją umowy kredytu i ustanowieniem zabezpieczeń spłaty kredytu (dalej: Zabezpieczeń). 
3. Bank informuje, że:
     1) wyznaczył Inspektora Ochrony Danych, z którym można kontaktować się e-mailowo (na adres e-mail: iod@bgk.pl) lub listownie (adres korespondencyjny: budynek Varso 2, ul. 
         Chmielna 73, 00-801 Warszawa);
     2) dane osobowe, o których mowa w ust. 2, będzie przetwarzał na podstawie:
          a) art. 6 ust. 1 lit. b) oraz f) RODO – w celu zawarcia i realizacji umowy kredytu objętego wnioskiem i ustanowionych Zabezpieczeń,
          b) art. 6 ust. 1 lit. c) RODO – w celu oceny zdolności kredytowej Wnioskodawcy i analizy ryzyka kredytowego (podstawą prawną przetwarzania danych osobowych są przepisy 
              ustawy Prawo bankowe), a także w celu wypełnienia obowiązków prawnych, które ciążą na Banku w związku z prowadzeniem działalności bankowej i realizacją umów,
          c) art. 6 ust. 1 lit. f) RODO – w celu zabezpieczenia i dochodzenia roszczeń Banku z umowy kredytu i ustanowionych Zabezpieczeń, jako prawnie uzasadnionych interesów 
              realizowanych przez Bank;
     3) podanie danych osobowych jest warunkiem przyjęcia i rozpatrzenia przez Bank wniosku o udzielenie kredytu i zawarcia umowy kredytu;
     4) dane osobowe, o których mowa w ust. 1, będzie przetwarzał przez okres niezbędny do rozpatrzenia wniosku o udzielenie kredytu, a następnie zawarcia i realizacji umowy 
          kredytu i ustanowionych Zabezpieczeń oraz dla zabezpieczenia i dochodzenia roszczeń, które wynikają z umowy kredytu i ustanowionych Zabezpieczeń; 
     5) dane osobowe nie będą podlegały zautomatyzowanemu podejmowaniu decyzji, w tym profilowaniu, w rozumieniu art. 22 RODO;
     6) dane osobowe nie będą przekazywane do państw trzecich, czyli poza Europejski Obszar Gospodarczy ani do organizacji międzynarodowych – z zastrzeżeniem przypadków, gdy z 
          umowy kredytu albo pisemnej dyspozycji wyraźnie wynika inaczej;
     7) osobom, o których mowa w ust. 2, przysługuje prawo:
          a) dostępu do swoich danych osobowych oraz prawo żądania ich sprostowania, usunięcia, ograniczenia przetwarzania, przenoszenia, 
          b) wniesienia sprzeciwu wobec przetwarzania danych osobowych w zakresie, w jakim podstawą przetwarzania danych jest przesłanka prawnie uzasadnionego interesu 
               administratora, 
          c) wycofania zgody w zakresie, w jakim jest ona podstawą przetwarzania, 
          d) wniesienia skargi do organu nadzorczego, którym jest Prezes Urzędu Ochrony Danych Osobowych;
     8) odbiorcami danych osobowych mogą być podmioty współpracujące z Bankiem, w szczególności w zakresie usług IT, prawnych, doradczych, audytowych, marketingowych oraz 
         podmioty zarządzające międzybankowymi bazami wymiany danych, w tym danych dotyczących nieruchomości, a także podmioty uprawnione do otrzymania danych na 
         podstawie obowiązujących przepisów prawa.</t>
  </si>
  <si>
    <t>4. Bank, na podstawie art. 105 ust. 1 pkt 1c i ust. 4 ustawy Prawo bankowe, może przekazać dane osobowe w celu realizacji ustawowo określonych uprawnień i obowiązków Banku związanych z wykonywaniem czynności bankowych do Systemu Bankowy Rejestr, którego administratorem danych jest Związek Banków Polskich (ZBP) z siedzibą w Warszawie. 
5. Jeżeli dłużnik jest konsumentem, Bank na podstawie art. 105 ust. 4b ustawy Prawo bankowe może udostępnić biurom informacji gospodarczej, działającym na podstawie ustawy z dnia 9 kwietnia 2010 r. o udostępnianiu informacji gospodarczych i wymianie danych gospodarczych, dane o jego zobowiązaniach powstałych z tytułu umowy kredytu i ustanowionych Zabezpieczeń. Informacje mogą być przekazane, jeżeli zostaną spełnione następujące warunki:
     1) łączna kwota wymagalnych zobowiązań wynosi co najmniej 200 PLN oraz są one wymagalne od co najmniej 30 dni;
     2) upłynął co najmniej miesiąc od wysłania albo doręczenia do rąk własnych wezwania do zapłaty, zawierającego ostrzeżenie o zamiarze przekazania danych do biura, z podaniem 
          firmy i adresu siedziby tego biura. Bank wysyła wezwanie listem poleconym albo doręcza do rąk własnych, na adres do doręczeń wskazany przez dłużnika, a jeżeli nie wskazał 
          takiego adresu – na adres zamieszkania dłużnika albo na adres do doręczeń elektronicznych wpisany do bazy adresów elektronicznych;
     3) nie upłynęło 6 lat od dnia wymagalności zobowiązania lub nie upłynęło 6 lat od dnia stwierdzenia roszczenia w przypadku roszczeń stwierdzonych prawomocnym orzeczeniem 
          sądu lub innego organu powołanego do rozpoznawania spraw danego rodzaju albo orzeczeniem sądu polubownego, jak również roszczeń stwierdzonych ugodą zawartą przed 
          sądem albo sądem polubownym albo ugodą zawartą przed mediatorem i zatwierdzoną przez sąd. 
6. Jeżeli dłużnik nie jest konsumentem, Bank na podstawie art. 105 ust. 4b ustawy Prawo bankowe może udostępnić biurom informacji gospodarczej, działającym na podstawie ustawy z dnia 9 kwietnia 2010 r. o udostępnianiu informacji gospodarczych i wymianie danych gospodarczych, dane o jego zobowiązaniach powstałych z tytułu umowy kredytu i ustanowionych Zabezpieczeń. Informacje mogą być przekazane, jeżeli zostaną spełnione następujące warunki:
     1) łączna kwota wymagalnych zobowiązań dłużnika wobec wierzyciela wynosi co najmniej 500 PLN oraz są one wymagalne od co najmniej 30 dni;
     2) upłynął co najmniej miesiąc od wysłania albo doręczenia do rąk własnych wezwania do zapłaty, zawierającego ostrzeżenie o zamiarze przekazania danych do biura, z podaniem 
          firmy i adresu siedziby tego biura. Bank wysyła wezwanie listem poleconym albo doręcza do rąk własnych, na adres do doręczeń wskazany przez dłużnika, a jeżeli nie wskazał 
          takiego adresu – na adres siedziby dłużnika lub miejsca wykonywania działalności gospodarczej albo na adres do doręczeń elektronicznych wpisany do bazy adresów 
          elektronicznych. 
7. Wnioskodawca zobowiązuje się do przekazania osobom, których dane osobowe zostały udostępnione Bankowi w związku ze złożeniem wniosku o udzielenie kredytu, zawarciem i realizacją umowy kredytu oraz ustanowionych Zabezpieczeń, informacji o których mowa w art. 14 RODO, w zakresie wskazanym w ust. 1 do 3 oraz w zakresie wskazanym w poniższej klauzuli ZBP dla Systemu Bankowy Rejestr.</t>
  </si>
  <si>
    <t>Klauzula informacyjna ZBP dla Systemu Bankowy Rejestr
Zgodnie z art. 14 Rozporządzenia Parlamentu Europejskiego i Rady (UE) 2016/679 z dnia 27 kwietnia 2016 r. w sprawie ochrony osób fizycznych w związku z przetwarzaniem danych osobowych i w sprawie swobodnego przepływu takich danych oraz uchylenia dyrektywy 95/46/WE (zwane dalej „RODO”) – działając z upoważnienia Związku Banków Polskich - BGK informuje, że:
1. Administratorem danych zbioru danych osobowych BANKOWY REJESTR jest Związek Banków Polskich z siedzibą w Warszawie (zwany dalej – „ZBP”) ul. Kruczkowskiego 8, 00-380 Warszawa, dane kontaktowe: Biuro Obsługi Klienta, 00-380 Warszawa, ul. Kruczkowskiego 8 (zwane „BOK”), adres e-mail: kontakt@zbp.pl;
2. W ZBP wyznaczony jest inspektor ochrony danych, z którym można skontaktować się poprzez e-mail: iod@zbp.pl lub pisemnie na adres BOK wskazany w pkt 1 (z inspektorem danych osobowych można skontaktować się we wszystkich sprawach dotyczących przetwarzania danych osobowych oraz korzystania z praw związanych z przetwarzaniem danych);
3. Dane osobowe będą przetwarzane:
     1) na podstawie art. 6 ust. 1 lit. c) RODO w celu oceny Pani/Pana zdolności kredytowej i analizy ryzyka kredytowego (podstawą prawną przetwarzania danych osobowych są 
          przepisy Prawa bankowego), oraz
     2) na podstawie art. 6 ust. 1 lit. f) RODO w celu rozpatrywania Pani/Pana potencjalnych reklamacji i zgłoszonych roszczeń – podstawą prawną w tym przypadku jest prawnie 
          uzasadniony interes ZBP, jako administratora danych, polegający na rozpatrzeniu zgłoszenia będącego przedmiotem reklamacji oraz obrony przed potencjalnymi roszczeniami;
4. Zakres danych osobowych przetwarzanych w tym zbiorze obejmuje Pani/Pana: imię i nazwisko, serię i numer dokumentu tożsamości, numer PESEL, adres zamieszkania;
5. Odbiorcami danych osobowych gromadzonych w zbiorze danych BANKOWY REJESTR są uczestniczące w wymianie informacji za pośrednictwem BANKOWEGO REJESTRU podmioty wymienione w art. 105 ust. 4 i 4d Prawa bankowego, tj. banki krajowe i oddziały banków zagranicznych, instytucje kredytowe i ich oddziały, inne instytucje ustawowo upoważnione do udzielania kredytów, biura informacji gospodarczej, instytucje finansowe będące podmiotami zależnymi od banków w rozumieniu ustawy - Prawo bankowe oraz instytucje pożyczkowe i podmioty, o których mowa w art. 59d ustawy z dnia 12 maja 2011 r. o kredycie konsumenckim;
6. Dane osobowe będą przetwarzane:
     1) dla celów dokonywania oceny zdolności kredytowej i analizy ryzyka kredytowego - przez okres pięciu lat od daty wygaśnięcia zobowiązania wynikającego z umowy zawartej z 
          Uczestnikiem BANKOWEGO REJESTRU (po spełnieniu warunków, o których mowa w art. 105a ust. 3 Prawa bankowego), a w przypadku braku wygaśnięcia zobowiązania przez 
          okres 10 lat od daty przekazania danych osobowych do BANKOWEGO REJESTRU, oraz
     2) dla celów rozpatrywania Pani/Pana reklamacji i zgłoszonych roszczeń – do momentu przedawnienia Pani/Pana potencjalnych roszczeń wynikających z umowy lub z innego 
          tytułu;
7. Przysługuje Pani/Panu prawo dostępu do treści swoich danych oraz prawo żądania ich sprostowania, usunięcia oraz ograniczenia przetwarzania; w zakresie, w jakim podstawą przetwarzania Pani/Pana danych osobowych jest przesłanka prawnie uzasadnionego interesu administratora, przysługuje Pani/Panu prawo wniesienia sprzeciwu wobec przetwarzania Pani/Pana danych osobowych;
8. Przysługuje Pani/Panu prawo wniesienia skargi do organu nadzorczego zajmującego się ochroną danych osobowych, gdy uzna Pani/Pan, iż przetwarzanie danych osobowych Pani/Pana dotyczących narusza przepisy RODO;
9. Źródłem, z którego przekazano dane osobowe do zbioru danych BANKOWY REJESTR jest Bank Gospodarstwa Krajowego.</t>
  </si>
  <si>
    <t>wskaźnik długu</t>
  </si>
  <si>
    <t>X. Oświadczenie w sprawie wniosku, wkładu własnego i środków zainwestowanych w realizację inwestycji</t>
  </si>
  <si>
    <t>XI. Oświadczenia w sprawie prowadzonej inwestycji oraz standardu wykończenia i wyposażenia lokali mieszkalnych</t>
  </si>
  <si>
    <r>
      <t xml:space="preserve">XII. </t>
    </r>
    <r>
      <rPr>
        <b/>
        <sz val="11"/>
        <color theme="1"/>
        <rFont val="Calibri"/>
        <family val="2"/>
        <charset val="238"/>
        <scheme val="minor"/>
      </rPr>
      <t>Oświadczenia w sprawie zgody na przekazywanie informacji i publikację zdjęć/danych dotyczących inwestycji</t>
    </r>
  </si>
  <si>
    <t>XIII. Klauzula informacyjna dotycząca przetwarzania danych osobowych</t>
  </si>
  <si>
    <t>XIV. Załączniki do wniosku</t>
  </si>
  <si>
    <t>XV. Adnotacje Banku</t>
  </si>
  <si>
    <t>zgodnie z przepisami ustawy z dnia 26 października 1995 r. o społecznych formach rozwoju mieszkalnictwa (Dz. U. z 2025 r. poz. 1273, z 2026 r. poz. 39) zwanej dalej Ustawą</t>
  </si>
  <si>
    <t>imię i nazwisko drugiej osoby do kontaktu ws. wniosku (opcjonalnie)</t>
  </si>
  <si>
    <t>*Proszę podać wartość w zaokrągleniu do pełnych tysięcy złotych.</t>
  </si>
  <si>
    <r>
      <t xml:space="preserve">Wnioskowany okres finansowania (tj. okres od dnia podpisania umowy kredytu do dnia ostatecznej jego spłaty) </t>
    </r>
    <r>
      <rPr>
        <b/>
        <sz val="9"/>
        <color theme="1"/>
        <rFont val="Calibri"/>
        <family val="2"/>
        <scheme val="minor"/>
      </rPr>
      <t>w miesiącach</t>
    </r>
  </si>
  <si>
    <r>
      <rPr>
        <b/>
        <sz val="6"/>
        <rFont val="Calibri"/>
        <family val="2"/>
        <charset val="238"/>
        <scheme val="minor"/>
      </rPr>
      <t xml:space="preserve">Objaśnienia:
</t>
    </r>
    <r>
      <rPr>
        <sz val="6"/>
        <rFont val="Calibri"/>
        <family val="2"/>
        <charset val="238"/>
        <scheme val="minor"/>
      </rPr>
      <t xml:space="preserve">
Zgodnie z ustawą z dnia 21 czerwca 2001 r. o ochronie praw lokatorów, mieszkaniowym zasobie gminy i o zmianie K.C. </t>
    </r>
    <r>
      <rPr>
        <b/>
        <sz val="6"/>
        <color rgb="FFFF0000"/>
        <rFont val="Calibri"/>
        <family val="2"/>
        <charset val="238"/>
        <scheme val="minor"/>
      </rPr>
      <t xml:space="preserve">powierzchnia użytkowa lokalu </t>
    </r>
    <r>
      <rPr>
        <sz val="6"/>
        <rFont val="Calibri"/>
        <family val="2"/>
        <charset val="238"/>
        <scheme val="minor"/>
      </rPr>
      <t xml:space="preserve">(w tym również powierzchnia pomieszczenia służącego do przechowywania żywności ubrań i innych przedmiotów – w przypadku jego usytuowania w obrysie lokalu mieszkalnego) wyliczana jest </t>
    </r>
    <r>
      <rPr>
        <b/>
        <sz val="6"/>
        <rFont val="Calibri"/>
        <family val="2"/>
        <charset val="238"/>
        <scheme val="minor"/>
      </rPr>
      <t>w świetle wyprawionych ścian</t>
    </r>
    <r>
      <rPr>
        <sz val="6"/>
        <rFont val="Calibri"/>
        <family val="2"/>
        <charset val="238"/>
        <scheme val="minor"/>
      </rPr>
      <t xml:space="preserve">, przy czym:
- przy wysokości większej od 2,20 m zalicza się 100% powierzchni,
- od wysokości 1,40 do 2,20 m zalicza się 50% powierzchni,
- przy wysokości mniejszej niż 1,40 m pomija się powierzchnię całkowicie.
</t>
    </r>
    <r>
      <rPr>
        <b/>
        <sz val="6"/>
        <color rgb="FFFF0000"/>
        <rFont val="Calibri"/>
        <family val="2"/>
        <charset val="238"/>
        <scheme val="minor"/>
      </rPr>
      <t>Powierzchnia użytkowa budynku</t>
    </r>
    <r>
      <rPr>
        <sz val="6"/>
        <rFont val="Calibri"/>
        <family val="2"/>
        <charset val="238"/>
        <scheme val="minor"/>
      </rPr>
      <t xml:space="preserve"> jest rozumiana jako suma powierzchni lokali mieszkalnych i lokali użytkowych. Do lokali użytkowych zaliczamy:
- lokale usługowe (handlowe, biurowe itp.), 
- garaż wielostanowiskowy (miejsca postojowe wraz z komunikacją),
- indywidualne garaże,
</t>
    </r>
    <r>
      <rPr>
        <b/>
        <sz val="6"/>
        <color rgb="FFFF0000"/>
        <rFont val="Calibri"/>
        <family val="2"/>
        <charset val="238"/>
        <scheme val="minor"/>
      </rPr>
      <t>Powierzchnia netto budynku</t>
    </r>
    <r>
      <rPr>
        <sz val="6"/>
        <rFont val="Calibri"/>
        <family val="2"/>
        <charset val="238"/>
        <scheme val="minor"/>
      </rPr>
      <t xml:space="preserve"> jest rozumiana jako suma wszystkich powierzchni w budynku obejmująca:
- sumę powierzchni użytkowych budynku (liczonej jak wyżej),
- komunikację poziomą i pionową,
- pomieszczenia techniczne (np. hydrofornia, kotłownia, węzeł cieplny itp.),
- pomieszczenia wspólne (np. na przechowywanie wózków dziecięcych, suszarnie),
- pomieszczenia przynależne do lokali,
- powierzchnie przeznaczone do zaspokajania potrzeb osób starszych.
</t>
    </r>
    <r>
      <rPr>
        <b/>
        <sz val="6"/>
        <color rgb="FFFF0000"/>
        <rFont val="Calibri"/>
        <family val="2"/>
        <charset val="238"/>
        <scheme val="minor"/>
      </rPr>
      <t>Pomieszczenie przynależne do lokalu</t>
    </r>
    <r>
      <rPr>
        <sz val="6"/>
        <rFont val="Calibri"/>
        <family val="2"/>
        <charset val="238"/>
        <scheme val="minor"/>
      </rPr>
      <t xml:space="preserve"> - pomieszczenie, które służy do wyłącznego użytku władającego danym lokalem mieszkalnym lub użytkowym, usytuowane poza lokalem, w tym również służące do przechowywania żywności, ubrań i innych przedmiotów.
</t>
    </r>
  </si>
  <si>
    <t>*Zgodnie z definicją z § 3 ust. 2 Rozporządzenia.</t>
  </si>
  <si>
    <t>*Kwota rezerwy może zostać uwzględniona w kosztach inwestycji z zastrzeżeniem, że nie powinna przekroczyć 5% tych kosztów.</t>
  </si>
  <si>
    <t>wartość gruntu (aport/zakup/wartość księgowa/wartość z operatu*)</t>
  </si>
  <si>
    <t>Czy inwestycja będzie współfinansowana z wykorzystaniem finansowego wsparcia (grantu) z Funduszu Dopłat?</t>
  </si>
  <si>
    <t>Czy inwestycja jest współfinansowana z wykorzystaniem wsparcia z Rządowego Funduszu Rozwoju Mieszkalnictwa?</t>
  </si>
  <si>
    <t>umowa, o której mowa w art. 15a ust. 3 Ustawy (załącznik wymagany w przypadku towarzystw budownictwa społecznego lub społecznych inicjatyw mieszkaniowych, w których gmina lub gminy dysponują odpowiednio ponad 50% głosów na zgromadzeniu wspólników lub na walnym zgromadzeniu, oraz spółek gminnych)</t>
  </si>
  <si>
    <t>prognoza bilansu i rachunku zysków i strat sporządzona do roku następującego po roku, w którym jest planowane zakończenie realizacji inwestycji, wraz z zestawem informacji niezbędnych do dokonania wstępnej oceny finansowej sporządzonym na formularzu udostępnionym przez Bank (załącznik wymagany w przypadku Wnioskodawców, którzy na dzień złożenia wniosku nie osiągają przychodów z prowadzonej działalności podstawowej za co najmniej jeden pełny rok obrotowy)</t>
  </si>
  <si>
    <t>1. Oświadczam/-my, że w związku z wnioskowanym finansowaniem zwrotnym udzielanym na preferencyjnych warunkach wynikających z Ustawy wyrażam/-my zgodę na przekazywanie przez Bank informacji o planowanej/ realizowanej inwestycji oraz wsparciu w postaci kredytu preferencyjnego oraz instrumentów bezzwrotnych finansowanych ze środków budżetu państwa, a także innych informacji objętych tajemnicą bankową w związku z wnioskowanym finansowaniem zwrotnym do ministra właściwego do spraw budownictwa, zagospodarowania przestrzennego i mieszkalnictwa, ministra właściwego do spraw rozwoju regionalnego oraz ministra właściwego do spraw finansów publicznych.</t>
  </si>
  <si>
    <t xml:space="preserve">4.	Oświadczam/-my, że lokale mieszkalne powstałe przy wykorzystaniu finansowania zwrotnego wyposażone będą zgodnie z wymogami zawartymi w § 15 Rozporządzenia oraz przekazywane będą najemcom/lokatorom do użytkowania w stanie umożliwiającym zamieszkanie bez konieczności ponoszenia dodatkowych kosztów robót związanych z wykończeniem lokalu. </t>
  </si>
  <si>
    <t>3.	Oświadczam/-my, że jesteśmy świadomi, iż zgodnie z art. 47 ustawy Prawo Budowalne (Dz. U. z 2025 r. poz. 418 z późn. zm.) inwestor jest zobowiązany dokonać uzgodnień dotyczących wykorzystania na cele budowlane sąsiednich nieruchomości (niestanowiących zabezpieczenia spłaty kredytu), na których będą prowadzone prace budowlane przy realizacji inwestycji.</t>
  </si>
  <si>
    <t xml:space="preserve">Czy planowane do wykonania budynki objęte wnioskiem, po wybudowaniu spełniać będą wymagania dotyczące wysokości wskaźnika rocznego zapotrzebowania na nieodnawialną energię pierwotną EP [kWh/(m²·rok)], obliczonej zgodnie ze wzorem, o którym mowa w § 329 ust. 1 lub 3 rozporządzenia Ministra Infrastruktury i Budownictwa z dnia 12 kwietnia 2002 r. w sprawie warunków technicznych, jakim powinny odpowiadać budynki i ich usytuowanie (Dz. U. z 2022 r. poz. 1225 z późn. zm.)? </t>
  </si>
  <si>
    <t>Czy inwestycja znajduje się na terenie lub przylega do terenu Natura 2000?</t>
  </si>
  <si>
    <r>
      <rPr>
        <b/>
        <sz val="6"/>
        <rFont val="Calibri"/>
        <family val="2"/>
        <charset val="238"/>
        <scheme val="minor"/>
      </rPr>
      <t xml:space="preserve">Objaśnienia:
</t>
    </r>
    <r>
      <rPr>
        <sz val="6"/>
        <rFont val="Calibri"/>
        <family val="2"/>
        <charset val="238"/>
        <scheme val="minor"/>
      </rPr>
      <t xml:space="preserve">
</t>
    </r>
    <r>
      <rPr>
        <vertAlign val="superscript"/>
        <sz val="6"/>
        <rFont val="Calibri"/>
        <family val="2"/>
        <charset val="238"/>
        <scheme val="minor"/>
      </rPr>
      <t>1</t>
    </r>
    <r>
      <rPr>
        <sz val="6"/>
        <rFont val="Calibri"/>
        <family val="2"/>
        <charset val="238"/>
        <scheme val="minor"/>
      </rPr>
      <t xml:space="preserve"> partycypacje i umorzenia kredytu i inne środki pieniężne otrzymane na finansowanie budowy środka trwałego, rozliczane w czasie;
</t>
    </r>
    <r>
      <rPr>
        <vertAlign val="superscript"/>
        <sz val="6"/>
        <rFont val="Calibri"/>
        <family val="2"/>
        <charset val="238"/>
        <scheme val="minor"/>
      </rPr>
      <t xml:space="preserve">2 </t>
    </r>
    <r>
      <rPr>
        <sz val="6"/>
        <rFont val="Calibri"/>
        <family val="2"/>
        <charset val="238"/>
        <scheme val="minor"/>
      </rPr>
      <t xml:space="preserve">m. in. zadłużenie z tytułu kredytów, pożyczek oraz innych zobowiązań  
</t>
    </r>
    <r>
      <rPr>
        <vertAlign val="superscript"/>
        <sz val="6"/>
        <rFont val="Calibri"/>
        <family val="2"/>
        <charset val="238"/>
        <scheme val="minor"/>
      </rPr>
      <t>3</t>
    </r>
    <r>
      <rPr>
        <sz val="6"/>
        <rFont val="Calibri"/>
        <family val="2"/>
        <charset val="238"/>
        <scheme val="minor"/>
      </rPr>
      <t xml:space="preserve"> o okresie spłaty do 12 m-cy z wyłączeniem:
     - przeterminowanych powyżej 12 m-cy,
     - dochodzonych na drodze sądowej;
</t>
    </r>
    <r>
      <rPr>
        <vertAlign val="superscript"/>
        <sz val="6"/>
        <rFont val="Calibri"/>
        <family val="2"/>
        <charset val="238"/>
        <scheme val="minor"/>
      </rPr>
      <t>4</t>
    </r>
    <r>
      <rPr>
        <sz val="6"/>
        <rFont val="Calibri"/>
        <family val="2"/>
        <charset val="238"/>
        <scheme val="minor"/>
      </rPr>
      <t xml:space="preserve"> o okresie wymagalności do 12 m-cy:
pomniejszone o: 
     - zobowiązania wobec generalnego wykonawcy, które sfinansowane zostaną kredytem długoterminowym nie później niż w ciągu
       12 m-cy od daty sprawozdania finansowego, na podstawie którego została wypełniona tabela;
     - zobowiązania z tyt. zwiększenia kapitału podstawowego, który nie został jeszcze zarejestrowany;
powiększone o:
     - część zobowiązań długoterminowych, które stają się wymagalne w ciągu 12 m-cy od dnia bilansowego a nie zostały przeniesione do
       zobowiązań krótkoterminowych
</t>
    </r>
    <r>
      <rPr>
        <vertAlign val="superscript"/>
        <sz val="6"/>
        <rFont val="Calibri"/>
        <family val="2"/>
        <charset val="238"/>
        <scheme val="minor"/>
      </rPr>
      <t>5</t>
    </r>
    <r>
      <rPr>
        <sz val="6"/>
        <rFont val="Calibri"/>
        <family val="2"/>
        <charset val="238"/>
        <scheme val="minor"/>
      </rPr>
      <t xml:space="preserve"> w tym:
     - bezzwrotne – mające charakter rozliczeń międzyokresowych przychodów (ewidencjonowane jako rozliczenia międzyokresowe)
     - zwrotne – mające charakter zobowiązań długoterminowych (ewidencjonowane jako zobowiązania długoterminowe)
</t>
    </r>
  </si>
  <si>
    <t>Rachunek, na jaki będą wpływały czynsze/ opłaty z części inwestycji objętej finansowaniem zwrotnym, do którego BGK będzie posiadał pełnomocnictwo lub upoważnienie:</t>
  </si>
  <si>
    <t>W przypadku udzielenia kredytu warunkiem wypłaty transz jest spełnianie warunków w zawartych już umowach kredytowych.</t>
  </si>
  <si>
    <t>oświadczenie, że inwestycja zostanie rozpoczęta niepóźniej niż w okresie 3 lat od złożenia wniosku</t>
  </si>
  <si>
    <t xml:space="preserve"> *Zgodnie z § 4 ust. 1 rozporządzenia Rady Ministrów z dnia 20 października 2015 r. w sprawie warunków i trybu finansowania zwrotnego w ramach realizacji przez Bank Gospodarstwa Krajowego rządowego programu popierania budownictwa mieszkaniowego oraz minimalnych wymagań dotyczących lokali powstałych przy udziale tego finansowania (Dz. U. z 2021 r. poz. 766 z późn. zm.) zwanego dalej Rozporządzeniem, wniosek o udzielenie finansowania zwrotnego oraz załączniki do wniosku są składane w Banku za pomocą środków komunikacji elektronicznej w sposób określony przez Bank. Zgodnie z § 4 ust. 5 Rozporządzenia, za datę złożenia wniosku oraz załączników do wniosku uznaje się datę skutecznego wysłania wniosku wraz z dokumentami dołączonymi do wniosku na przeznaczony do tego adres poczty elektronicznej Banku podany na stronie internetowej Banku.</t>
  </si>
  <si>
    <t>Czy została podjęta uchwała w sprawie zgody na zaciągnięcie kredytu?</t>
  </si>
  <si>
    <t>informacja o należnościach oraz przychodach z tytułu czynszu i opłat eksploatacyjnych w zasobach własnych kredytobiorcy oraz terminowości regulowania tych należności, a także liczbie lokali nieobjętych obowiązującymi umowami najmu lub umowami o ustanowienie spółdzielczego lokatorskiego prawa do lokalu mieszkalnego lub umowami o ustanowienie spółdzielczego własnościowego prawa do lokalu w tych zasobach według stanu na 31 grudnia roku poprzedzającego rok, w którym składany jest wniosek, sporządzona na formularzu udostępnionym przez Bank</t>
  </si>
  <si>
    <t>niespełnione wskaźniki finansowe zgodne z definicją Banku (wskaźniki liczone poniżej )– za ostatni rok obrotowy i wg stanu na 30 czerwca roku, w którym składany jest wniosek kredytowy (w przypadku wniosków składanych w edycji jesiennej), za dwa ostatnie lata obrotowe (w przypadku wniosków składanych w edycji wiosennej)</t>
  </si>
  <si>
    <t>niespełnione wymogi kapitałowe (wskaźniki nr 1 i 2) - wg stanu za ostatni rok obrachunkowy</t>
  </si>
  <si>
    <t xml:space="preserve">Nie występują/występują kryteria wykluczające, wiarygodność została oceniona pozytywnie/negatywnie. </t>
  </si>
  <si>
    <t>wypowiedzenie któremukolwiek podmiotowi powiązanemu kapitałowo lub organizacyjnie z klientem umowy przez Bank lub inną instytucję finansową.</t>
  </si>
  <si>
    <t>na rachunku klienta w BGK lub w innym banku występują zajęcia egzekucyjne lub zabezpieczające przyszłe roszczenia przekraczające kwotę 3000 zł.</t>
  </si>
  <si>
    <t>w okresie ostatnich 12 miesięcy wystąpiło opóźnienie w spłacie zobowiązań klienta wobec BGK trwające dłużej niż 90 dni i przekraczające kwotę 3000 zł (nie dotyczy opóźnień z winy Banku).</t>
  </si>
  <si>
    <t>brak skonsolidowanego sprawozdania finansowego grupy za ostatni rok obrotowy – w przypadku spółki dominującej w grupie, o ile spółka dominująca jest zobowiązana do sporządzania skonsolidowanego sprawozdania finansowego grupy zgodnie z ustawą o rachunkowości.</t>
  </si>
  <si>
    <t>oświadczenie o zainteresowaniu inwestycją (czy zostały przeprowadzone badania popytu, czy były zbierane ankiety) oraz że przyszli najemcy lokali mieszkalnych zostali poinformowani o planowanej stawce czynszu i planowanej wysokości partycypacji w kosztach budowy lokalu</t>
  </si>
  <si>
    <t>Czy została podjęta uchwała w sprawie planowanej stawki czynszu/opłaty eksploatacyjnej?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</si>
</sst>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0.00\ &quot;zł&quot;;\-#,##0.00\ &quot;zł&quot;"/>
    <numFmt numFmtId="164" formatCode="#,##0.00\ &quot;zł&quot;"/>
    <numFmt numFmtId="165" formatCode="00\-000"/>
    <numFmt numFmtId="166" formatCode="#,##0\ &quot;zł&quot;"/>
    <numFmt numFmtId="167" formatCode="_-* #,##0.00\ _z_ł_-;\-* #,##0.00\ _z_ł_-;_-* &quot;-&quot;??\ _z_ł_-;_-@_-"/>
    <numFmt numFmtId="168" formatCode="0.0000%"/>
    <numFmt numFmtId="169" formatCode="0.0000"/>
  </numFmts>
  <fonts count="83"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b/>
      <sz val="11"/>
      <color theme="1"/>
      <name val="Calibri"/>
      <family val="2"/>
      <charset val="238"/>
      <scheme val="minor"/>
    </font>
    <font>
      <sz val="6"/>
      <color theme="1"/>
      <name val="Calibri"/>
      <family val="2"/>
      <scheme val="minor"/>
    </font>
    <font>
      <u/>
      <sz val="11"/>
      <color theme="10"/>
      <name val="Calibri"/>
      <family val="2"/>
      <scheme val="minor"/>
    </font>
    <font>
      <sz val="11"/>
      <color rgb="FFFFFF00"/>
      <name val="Calibri"/>
      <family val="2"/>
      <scheme val="minor"/>
    </font>
    <font>
      <b/>
      <sz val="6"/>
      <color theme="1"/>
      <name val="Calibri"/>
      <family val="2"/>
      <charset val="238"/>
      <scheme val="minor"/>
    </font>
    <font>
      <sz val="6"/>
      <color theme="1"/>
      <name val="Calibri"/>
      <family val="2"/>
      <charset val="238"/>
      <scheme val="minor"/>
    </font>
    <font>
      <sz val="9"/>
      <color theme="1"/>
      <name val="Calibri"/>
      <family val="2"/>
      <charset val="238"/>
      <scheme val="minor"/>
    </font>
    <font>
      <b/>
      <sz val="9"/>
      <color theme="1"/>
      <name val="Calibri"/>
      <family val="2"/>
      <charset val="238"/>
      <scheme val="minor"/>
    </font>
    <font>
      <sz val="9"/>
      <color theme="1"/>
      <name val="Calibri"/>
      <family val="2"/>
      <scheme val="minor"/>
    </font>
    <font>
      <b/>
      <sz val="6"/>
      <color rgb="FFFF0000"/>
      <name val="Calibri"/>
      <family val="2"/>
      <charset val="238"/>
      <scheme val="minor"/>
    </font>
    <font>
      <b/>
      <sz val="6"/>
      <name val="Calibri"/>
      <family val="2"/>
      <charset val="238"/>
      <scheme val="minor"/>
    </font>
    <font>
      <b/>
      <sz val="9"/>
      <color theme="1"/>
      <name val="Calibri"/>
      <family val="2"/>
      <scheme val="minor"/>
    </font>
    <font>
      <sz val="4"/>
      <color theme="1"/>
      <name val="Calibri"/>
      <family val="2"/>
      <scheme val="minor"/>
    </font>
    <font>
      <b/>
      <sz val="4"/>
      <color theme="1"/>
      <name val="Calibri"/>
      <family val="2"/>
      <scheme val="minor"/>
    </font>
    <font>
      <vertAlign val="superscript"/>
      <sz val="9"/>
      <color theme="1"/>
      <name val="Calibri"/>
      <family val="2"/>
      <scheme val="minor"/>
    </font>
    <font>
      <sz val="9"/>
      <color theme="0"/>
      <name val="Calibri"/>
      <family val="2"/>
      <scheme val="minor"/>
    </font>
    <font>
      <sz val="11"/>
      <color theme="0"/>
      <name val="Calibri"/>
      <family val="2"/>
      <scheme val="minor"/>
    </font>
    <font>
      <sz val="10"/>
      <name val="Arial"/>
      <family val="2"/>
      <charset val="238"/>
    </font>
    <font>
      <sz val="6"/>
      <name val="Calibri"/>
      <family val="2"/>
      <charset val="238"/>
      <scheme val="minor"/>
    </font>
    <font>
      <sz val="6"/>
      <name val="Times New Roman"/>
      <family val="2"/>
      <charset val="238"/>
    </font>
    <font>
      <sz val="6"/>
      <color theme="1"/>
      <name val="Times New Roman"/>
      <family val="2"/>
      <charset val="238"/>
    </font>
    <font>
      <b/>
      <sz val="4"/>
      <color theme="1"/>
      <name val="Calibri"/>
      <family val="2"/>
      <charset val="238"/>
      <scheme val="minor"/>
    </font>
    <font>
      <sz val="4"/>
      <color theme="1"/>
      <name val="Calibri"/>
      <family val="2"/>
      <charset val="238"/>
      <scheme val="minor"/>
    </font>
    <font>
      <vertAlign val="superscript"/>
      <sz val="9"/>
      <color theme="1"/>
      <name val="Calibri"/>
      <family val="2"/>
      <charset val="238"/>
      <scheme val="minor"/>
    </font>
    <font>
      <vertAlign val="superscript"/>
      <sz val="6"/>
      <name val="Calibri"/>
      <family val="2"/>
      <charset val="238"/>
      <scheme val="minor"/>
    </font>
    <font>
      <sz val="6"/>
      <color rgb="FFFF0000"/>
      <name val="Calibri"/>
      <family val="2"/>
      <charset val="238"/>
      <scheme val="minor"/>
    </font>
    <font>
      <sz val="8"/>
      <color theme="1"/>
      <name val="Calibri"/>
      <family val="2"/>
      <scheme val="minor"/>
    </font>
    <font>
      <sz val="8"/>
      <color theme="1"/>
      <name val="Calibri"/>
      <family val="2"/>
      <charset val="238"/>
      <scheme val="minor"/>
    </font>
    <font>
      <sz val="9"/>
      <color rgb="FFFF0000"/>
      <name val="Calibri"/>
      <family val="2"/>
      <scheme val="minor"/>
    </font>
    <font>
      <b/>
      <sz val="8"/>
      <color theme="1"/>
      <name val="Calibri"/>
      <family val="2"/>
      <charset val="238"/>
      <scheme val="minor"/>
    </font>
    <font>
      <sz val="8"/>
      <color rgb="FFFF0000"/>
      <name val="Calibri"/>
      <family val="2"/>
      <charset val="238"/>
      <scheme val="minor"/>
    </font>
    <font>
      <sz val="9"/>
      <color rgb="FFFF0000"/>
      <name val="Calibri"/>
      <family val="2"/>
      <charset val="238"/>
      <scheme val="minor"/>
    </font>
    <font>
      <sz val="4"/>
      <color rgb="FFFF0000"/>
      <name val="Calibri"/>
      <family val="2"/>
      <scheme val="minor"/>
    </font>
    <font>
      <sz val="6"/>
      <name val="Calibri"/>
      <family val="2"/>
      <scheme val="minor"/>
    </font>
    <font>
      <b/>
      <sz val="14"/>
      <color theme="1"/>
      <name val="Calibri"/>
      <family val="2"/>
      <charset val="238"/>
      <scheme val="minor"/>
    </font>
    <font>
      <b/>
      <sz val="6"/>
      <color theme="1"/>
      <name val="Calibri"/>
      <family val="2"/>
      <scheme val="minor"/>
    </font>
    <font>
      <b/>
      <sz val="7"/>
      <color theme="1"/>
      <name val="Calibri"/>
      <family val="2"/>
      <scheme val="minor"/>
    </font>
    <font>
      <sz val="7"/>
      <color theme="1"/>
      <name val="Calibri"/>
      <family val="2"/>
      <scheme val="minor"/>
    </font>
    <font>
      <b/>
      <sz val="7"/>
      <color theme="1"/>
      <name val="Calibri"/>
      <family val="2"/>
      <charset val="238"/>
      <scheme val="minor"/>
    </font>
    <font>
      <sz val="5"/>
      <color theme="1"/>
      <name val="Calibri"/>
      <family val="2"/>
      <scheme val="minor"/>
    </font>
    <font>
      <vertAlign val="superscript"/>
      <sz val="5"/>
      <color theme="1"/>
      <name val="Calibri"/>
      <family val="2"/>
      <scheme val="minor"/>
    </font>
    <font>
      <sz val="9"/>
      <name val="Calibri"/>
      <family val="2"/>
      <charset val="238"/>
      <scheme val="minor"/>
    </font>
    <font>
      <sz val="11"/>
      <color theme="1"/>
      <name val="Calibri"/>
      <family val="2"/>
      <scheme val="minor"/>
    </font>
    <font>
      <sz val="9"/>
      <name val="Calibri"/>
      <family val="2"/>
      <scheme val="minor"/>
    </font>
    <font>
      <sz val="11"/>
      <name val="Calibri"/>
      <family val="2"/>
      <charset val="238"/>
      <scheme val="minor"/>
    </font>
    <font>
      <b/>
      <sz val="9"/>
      <name val="Calibri"/>
      <family val="2"/>
      <charset val="238"/>
      <scheme val="minor"/>
    </font>
    <font>
      <b/>
      <sz val="16"/>
      <name val="Calibri"/>
      <family val="2"/>
      <charset val="238"/>
      <scheme val="minor"/>
    </font>
    <font>
      <b/>
      <sz val="12"/>
      <color theme="1"/>
      <name val="Calibri"/>
      <family val="2"/>
      <charset val="238"/>
      <scheme val="minor"/>
    </font>
    <font>
      <b/>
      <sz val="16"/>
      <color theme="1"/>
      <name val="Calibri"/>
      <family val="2"/>
      <charset val="238"/>
      <scheme val="minor"/>
    </font>
    <font>
      <sz val="11"/>
      <color rgb="FF000000"/>
      <name val="Calibri"/>
      <family val="2"/>
      <charset val="238"/>
      <scheme val="minor"/>
    </font>
    <font>
      <sz val="12"/>
      <color theme="1"/>
      <name val="Calibri"/>
      <family val="2"/>
      <charset val="238"/>
      <scheme val="minor"/>
    </font>
    <font>
      <b/>
      <sz val="11"/>
      <name val="Calibri"/>
      <family val="2"/>
      <charset val="238"/>
      <scheme val="minor"/>
    </font>
    <font>
      <u/>
      <sz val="11"/>
      <color theme="10"/>
      <name val="Calibri"/>
      <family val="2"/>
      <charset val="238"/>
      <scheme val="minor"/>
    </font>
    <font>
      <i/>
      <sz val="11"/>
      <color theme="1"/>
      <name val="Calibri"/>
      <family val="2"/>
      <charset val="238"/>
      <scheme val="minor"/>
    </font>
    <font>
      <sz val="6"/>
      <color rgb="FFFF0000"/>
      <name val="Calibri"/>
      <family val="2"/>
      <scheme val="minor"/>
    </font>
    <font>
      <b/>
      <sz val="9"/>
      <color rgb="FFFF0000"/>
      <name val="Calibri"/>
      <family val="2"/>
      <scheme val="minor"/>
    </font>
    <font>
      <sz val="11"/>
      <name val="Calibri"/>
      <family val="2"/>
      <scheme val="minor"/>
    </font>
    <font>
      <sz val="7"/>
      <name val="Calibri"/>
      <family val="2"/>
      <charset val="238"/>
      <scheme val="minor"/>
    </font>
    <font>
      <b/>
      <sz val="7"/>
      <name val="Calibri"/>
      <family val="2"/>
      <charset val="238"/>
      <scheme val="minor"/>
    </font>
    <font>
      <vertAlign val="superscript"/>
      <sz val="9"/>
      <name val="Calibri"/>
      <family val="2"/>
      <charset val="238"/>
      <scheme val="minor"/>
    </font>
    <font>
      <sz val="8"/>
      <name val="Calibri"/>
      <family val="2"/>
      <charset val="238"/>
      <scheme val="minor"/>
    </font>
    <font>
      <b/>
      <sz val="8"/>
      <name val="Calibri"/>
      <family val="2"/>
      <charset val="238"/>
      <scheme val="minor"/>
    </font>
    <font>
      <sz val="4"/>
      <name val="Calibri"/>
      <family val="2"/>
      <scheme val="minor"/>
    </font>
    <font>
      <vertAlign val="superscript"/>
      <sz val="9"/>
      <name val="Calibri"/>
      <family val="2"/>
      <scheme val="minor"/>
    </font>
    <font>
      <b/>
      <vertAlign val="superscript"/>
      <sz val="6"/>
      <name val="Calibri"/>
      <family val="2"/>
      <charset val="238"/>
      <scheme val="minor"/>
    </font>
    <font>
      <u/>
      <sz val="9"/>
      <color theme="10"/>
      <name val="Calibri"/>
      <family val="2"/>
      <scheme val="minor"/>
    </font>
    <font>
      <b/>
      <sz val="11"/>
      <color rgb="FF000000"/>
      <name val="Calibri"/>
      <family val="2"/>
      <charset val="238"/>
    </font>
    <font>
      <sz val="9.5"/>
      <name val="Calibri"/>
      <family val="2"/>
      <charset val="238"/>
      <scheme val="minor"/>
    </font>
  </fonts>
  <fills count="7">
    <fill>
      <patternFill patternType="none"/>
    </fill>
    <fill>
      <patternFill patternType="gray125"/>
    </fill>
    <fill>
      <patternFill patternType="solid">
        <fgColor theme="0"/>
        <bgColor indexed="64"/>
      </patternFill>
    </fill>
    <fill>
      <patternFill patternType="lightTrellis"/>
    </fill>
    <fill>
      <patternFill patternType="solid">
        <fgColor rgb="FFFFFF00"/>
        <bgColor indexed="64"/>
      </patternFill>
    </fill>
    <fill>
      <patternFill patternType="solid">
        <fgColor rgb="FFFFFFCC"/>
        <bgColor indexed="64"/>
      </patternFill>
    </fill>
    <fill>
      <patternFill patternType="solid">
        <fgColor rgb="FF92D050"/>
        <bgColor indexed="64"/>
      </patternFill>
    </fill>
  </fills>
  <borders count="57">
    <border>
      <left/>
      <right/>
      <top/>
      <bottom/>
      <diagonal/>
    </border>
    <border>
      <left/>
      <right/>
      <top style="hair">
        <color indexed="64"/>
      </top>
      <bottom/>
      <diagonal/>
    </border>
    <border>
      <left/>
      <right/>
      <top/>
      <bottom style="hair">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auto="1"/>
      </left>
      <right style="thin">
        <color auto="1"/>
      </right>
      <top/>
      <bottom style="thin">
        <color auto="1"/>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s>
  <cellStyleXfs count="8">
    <xf numFmtId="0" fontId="0" fillId="0" borderId="0"/>
    <xf numFmtId="0" fontId="17" fillId="0" borderId="0" applyNumberFormat="0" applyFill="0" applyBorder="0" applyAlignment="0" applyProtection="0"/>
    <xf numFmtId="0" fontId="32" fillId="0" borderId="0"/>
    <xf numFmtId="9" fontId="57" fillId="0" borderId="0" applyFont="0" applyFill="0" applyBorder="0" applyAlignment="0" applyProtection="0"/>
    <xf numFmtId="0" fontId="9" fillId="0" borderId="0"/>
    <xf numFmtId="9" fontId="9" fillId="0" borderId="0" applyFont="0" applyFill="0" applyBorder="0" applyAlignment="0" applyProtection="0"/>
    <xf numFmtId="0" fontId="67" fillId="0" borderId="0" applyNumberFormat="0" applyFill="0" applyBorder="0" applyAlignment="0" applyProtection="0"/>
    <xf numFmtId="167" fontId="9" fillId="0" borderId="0" applyFont="0" applyFill="0" applyBorder="0" applyAlignment="0" applyProtection="0"/>
  </cellStyleXfs>
  <cellXfs count="811">
    <xf numFmtId="0" fontId="0" fillId="0" borderId="0" xfId="0"/>
    <xf numFmtId="0" fontId="14" fillId="0" borderId="0" xfId="0" applyFont="1"/>
    <xf numFmtId="0" fontId="0" fillId="4" borderId="0" xfId="0" applyFill="1"/>
    <xf numFmtId="0" fontId="0" fillId="0" borderId="0" xfId="0" applyAlignment="1">
      <alignment wrapText="1"/>
    </xf>
    <xf numFmtId="0" fontId="12" fillId="0" borderId="0" xfId="0" applyFont="1" applyAlignment="1">
      <alignment wrapText="1"/>
    </xf>
    <xf numFmtId="0" fontId="0" fillId="2" borderId="0" xfId="0" applyFill="1"/>
    <xf numFmtId="0" fontId="27" fillId="2" borderId="0" xfId="0" applyFont="1" applyFill="1"/>
    <xf numFmtId="0" fontId="27" fillId="0" borderId="0" xfId="0" applyFont="1"/>
    <xf numFmtId="0" fontId="23" fillId="2" borderId="0" xfId="0" applyFont="1" applyFill="1"/>
    <xf numFmtId="0" fontId="23" fillId="0" borderId="0" xfId="0" applyFont="1"/>
    <xf numFmtId="0" fontId="16" fillId="2" borderId="0" xfId="0" applyFont="1" applyFill="1"/>
    <xf numFmtId="0" fontId="16" fillId="0" borderId="0" xfId="0" applyFont="1"/>
    <xf numFmtId="0" fontId="27" fillId="2" borderId="0" xfId="0" applyFont="1" applyFill="1" applyAlignment="1">
      <alignment horizontal="center"/>
    </xf>
    <xf numFmtId="0" fontId="16" fillId="2" borderId="0" xfId="0" applyFont="1" applyFill="1" applyAlignment="1">
      <alignment horizontal="center"/>
    </xf>
    <xf numFmtId="0" fontId="16" fillId="0" borderId="0" xfId="0" applyFont="1" applyAlignment="1">
      <alignment horizontal="center"/>
    </xf>
    <xf numFmtId="0" fontId="23" fillId="0" borderId="0" xfId="0" applyFont="1" applyAlignment="1">
      <alignment horizontal="center"/>
    </xf>
    <xf numFmtId="0" fontId="16" fillId="2" borderId="0" xfId="0" applyFont="1" applyFill="1" applyAlignment="1">
      <alignment horizontal="center" vertical="top"/>
    </xf>
    <xf numFmtId="0" fontId="16" fillId="0" borderId="0" xfId="0" applyFont="1" applyAlignment="1">
      <alignment horizontal="center" vertical="top"/>
    </xf>
    <xf numFmtId="0" fontId="22" fillId="2" borderId="0" xfId="0" applyFont="1" applyFill="1" applyAlignment="1">
      <alignment horizontal="left"/>
    </xf>
    <xf numFmtId="0" fontId="21" fillId="2" borderId="0" xfId="0" applyFont="1" applyFill="1"/>
    <xf numFmtId="0" fontId="21" fillId="0" borderId="0" xfId="0" applyFont="1"/>
    <xf numFmtId="10" fontId="21" fillId="2" borderId="0" xfId="0" applyNumberFormat="1" applyFont="1" applyFill="1"/>
    <xf numFmtId="0" fontId="19" fillId="2" borderId="0" xfId="0" applyFont="1" applyFill="1"/>
    <xf numFmtId="0" fontId="20" fillId="0" borderId="0" xfId="0" applyFont="1"/>
    <xf numFmtId="0" fontId="28" fillId="0" borderId="0" xfId="0" applyFont="1"/>
    <xf numFmtId="0" fontId="23" fillId="2" borderId="9" xfId="0" applyFont="1" applyFill="1" applyBorder="1"/>
    <xf numFmtId="0" fontId="26" fillId="0" borderId="0" xfId="0" applyFont="1"/>
    <xf numFmtId="0" fontId="23" fillId="2" borderId="0" xfId="0" applyFont="1" applyFill="1" applyAlignment="1">
      <alignment horizontal="center"/>
    </xf>
    <xf numFmtId="0" fontId="22" fillId="2" borderId="0" xfId="0" applyFont="1" applyFill="1"/>
    <xf numFmtId="0" fontId="22" fillId="0" borderId="0" xfId="0" applyFont="1"/>
    <xf numFmtId="0" fontId="27" fillId="2" borderId="16" xfId="0" applyFont="1" applyFill="1" applyBorder="1" applyAlignment="1">
      <alignment horizontal="left"/>
    </xf>
    <xf numFmtId="0" fontId="27" fillId="2" borderId="16" xfId="0" applyFont="1" applyFill="1" applyBorder="1" applyAlignment="1">
      <alignment horizontal="center"/>
    </xf>
    <xf numFmtId="0" fontId="27" fillId="2" borderId="16" xfId="0" applyFont="1" applyFill="1" applyBorder="1"/>
    <xf numFmtId="0" fontId="28" fillId="2" borderId="16" xfId="0" applyFont="1" applyFill="1" applyBorder="1"/>
    <xf numFmtId="0" fontId="27" fillId="2" borderId="0" xfId="0" applyFont="1" applyFill="1" applyAlignment="1">
      <alignment horizontal="left"/>
    </xf>
    <xf numFmtId="4" fontId="27" fillId="2" borderId="0" xfId="0" applyNumberFormat="1" applyFont="1" applyFill="1" applyAlignment="1">
      <alignment horizontal="center"/>
    </xf>
    <xf numFmtId="0" fontId="19" fillId="2" borderId="0" xfId="0" applyFont="1" applyFill="1" applyAlignment="1">
      <alignment horizontal="left"/>
    </xf>
    <xf numFmtId="0" fontId="19" fillId="0" borderId="0" xfId="0" applyFont="1"/>
    <xf numFmtId="0" fontId="37" fillId="2" borderId="0" xfId="0" applyFont="1" applyFill="1"/>
    <xf numFmtId="0" fontId="37" fillId="2" borderId="0" xfId="0" applyFont="1" applyFill="1" applyAlignment="1">
      <alignment horizontal="left"/>
    </xf>
    <xf numFmtId="164" fontId="37" fillId="2" borderId="0" xfId="0" applyNumberFormat="1" applyFont="1" applyFill="1" applyAlignment="1">
      <alignment horizontal="right" vertical="center"/>
    </xf>
    <xf numFmtId="0" fontId="37" fillId="2" borderId="0" xfId="0" applyFont="1" applyFill="1" applyAlignment="1">
      <alignment horizontal="right" vertical="center"/>
    </xf>
    <xf numFmtId="0" fontId="21" fillId="2" borderId="0" xfId="0" applyFont="1" applyFill="1" applyAlignment="1">
      <alignment horizontal="center" vertical="center"/>
    </xf>
    <xf numFmtId="0" fontId="21" fillId="0" borderId="0" xfId="0" applyFont="1" applyAlignment="1">
      <alignment horizontal="center" vertical="center"/>
    </xf>
    <xf numFmtId="0" fontId="36" fillId="2" borderId="0" xfId="0" applyFont="1" applyFill="1"/>
    <xf numFmtId="0" fontId="36" fillId="2" borderId="0" xfId="0" applyFont="1" applyFill="1" applyAlignment="1">
      <alignment horizontal="left"/>
    </xf>
    <xf numFmtId="0" fontId="36" fillId="0" borderId="0" xfId="0" applyFont="1"/>
    <xf numFmtId="0" fontId="23" fillId="2" borderId="0" xfId="0" applyFont="1" applyFill="1" applyAlignment="1">
      <alignment wrapText="1"/>
    </xf>
    <xf numFmtId="0" fontId="32" fillId="0" borderId="0" xfId="2"/>
    <xf numFmtId="0" fontId="11" fillId="0" borderId="0" xfId="0" applyFont="1"/>
    <xf numFmtId="0" fontId="42" fillId="0" borderId="0" xfId="0" applyFont="1"/>
    <xf numFmtId="0" fontId="24" fillId="2" borderId="0" xfId="0" applyFont="1" applyFill="1"/>
    <xf numFmtId="0" fontId="40" fillId="0" borderId="0" xfId="0" applyFont="1"/>
    <xf numFmtId="0" fontId="41" fillId="2" borderId="0" xfId="0" applyFont="1" applyFill="1"/>
    <xf numFmtId="0" fontId="41" fillId="0" borderId="0" xfId="0" applyFont="1"/>
    <xf numFmtId="0" fontId="20" fillId="2" borderId="0" xfId="0" applyFont="1" applyFill="1"/>
    <xf numFmtId="0" fontId="47" fillId="2" borderId="0" xfId="0" applyFont="1" applyFill="1"/>
    <xf numFmtId="0" fontId="49" fillId="0" borderId="0" xfId="0" applyFont="1"/>
    <xf numFmtId="49" fontId="0" fillId="0" borderId="0" xfId="0" applyNumberFormat="1"/>
    <xf numFmtId="0" fontId="0" fillId="2" borderId="0" xfId="0" applyFill="1" applyAlignment="1">
      <alignment horizontal="center" vertical="top"/>
    </xf>
    <xf numFmtId="0" fontId="43" fillId="0" borderId="0" xfId="0" applyFont="1" applyAlignment="1">
      <alignment vertical="top" wrapText="1"/>
    </xf>
    <xf numFmtId="0" fontId="0" fillId="0" borderId="0" xfId="0" applyAlignment="1">
      <alignment vertical="top" wrapText="1"/>
    </xf>
    <xf numFmtId="164" fontId="22" fillId="2" borderId="0" xfId="0" applyNumberFormat="1" applyFont="1" applyFill="1"/>
    <xf numFmtId="0" fontId="15" fillId="2" borderId="0" xfId="0" applyFont="1" applyFill="1" applyAlignment="1">
      <alignment horizontal="left"/>
    </xf>
    <xf numFmtId="0" fontId="15" fillId="2" borderId="24" xfId="0" applyFont="1" applyFill="1" applyBorder="1" applyAlignment="1">
      <alignment horizontal="left"/>
    </xf>
    <xf numFmtId="0" fontId="15" fillId="2" borderId="24" xfId="0" applyFont="1" applyFill="1" applyBorder="1"/>
    <xf numFmtId="0" fontId="15" fillId="2" borderId="25" xfId="0" applyFont="1" applyFill="1" applyBorder="1"/>
    <xf numFmtId="0" fontId="23" fillId="2" borderId="0" xfId="0" applyFont="1" applyFill="1" applyAlignment="1">
      <alignment horizontal="center" wrapText="1"/>
    </xf>
    <xf numFmtId="0" fontId="43" fillId="0" borderId="0" xfId="0" applyFont="1" applyAlignment="1">
      <alignment horizontal="center" vertical="top" wrapText="1"/>
    </xf>
    <xf numFmtId="0" fontId="23" fillId="0" borderId="0" xfId="0" applyFont="1" applyAlignment="1">
      <alignment vertical="top" wrapText="1"/>
    </xf>
    <xf numFmtId="0" fontId="15" fillId="2" borderId="26" xfId="0" applyFont="1" applyFill="1" applyBorder="1"/>
    <xf numFmtId="0" fontId="15" fillId="2" borderId="27" xfId="0" applyFont="1" applyFill="1" applyBorder="1"/>
    <xf numFmtId="0" fontId="0" fillId="0" borderId="24" xfId="0" applyBorder="1"/>
    <xf numFmtId="0" fontId="46" fillId="0" borderId="0" xfId="0" applyFont="1" applyAlignment="1">
      <alignment horizontal="left" vertical="center" wrapText="1"/>
    </xf>
    <xf numFmtId="0" fontId="21" fillId="0" borderId="0" xfId="0" applyFont="1" applyAlignment="1">
      <alignment horizontal="left" vertical="center" wrapText="1"/>
    </xf>
    <xf numFmtId="0" fontId="43" fillId="0" borderId="0" xfId="0" applyFont="1" applyAlignment="1">
      <alignment horizontal="left" vertical="center" wrapText="1"/>
    </xf>
    <xf numFmtId="0" fontId="23" fillId="2" borderId="0" xfId="0" applyFont="1" applyFill="1" applyAlignment="1">
      <alignment horizontal="left" wrapText="1"/>
    </xf>
    <xf numFmtId="0" fontId="15" fillId="2" borderId="29" xfId="0" applyFont="1" applyFill="1" applyBorder="1"/>
    <xf numFmtId="0" fontId="46" fillId="0" borderId="0" xfId="0" applyFont="1" applyAlignment="1">
      <alignment vertical="center" wrapText="1"/>
    </xf>
    <xf numFmtId="0" fontId="27" fillId="2" borderId="0" xfId="0" applyFont="1" applyFill="1" applyAlignment="1">
      <alignment horizontal="right"/>
    </xf>
    <xf numFmtId="0" fontId="43" fillId="0" borderId="0" xfId="0" applyFont="1" applyAlignment="1">
      <alignment vertical="center" wrapText="1"/>
    </xf>
    <xf numFmtId="0" fontId="21" fillId="2" borderId="0" xfId="0" applyFont="1" applyFill="1" applyAlignment="1">
      <alignment horizontal="left"/>
    </xf>
    <xf numFmtId="0" fontId="48" fillId="0" borderId="0" xfId="0" applyFont="1" applyAlignment="1">
      <alignment vertical="top" wrapText="1"/>
    </xf>
    <xf numFmtId="0" fontId="44" fillId="2" borderId="0" xfId="0" applyFont="1" applyFill="1"/>
    <xf numFmtId="0" fontId="20" fillId="2" borderId="0" xfId="0" quotePrefix="1" applyFont="1" applyFill="1"/>
    <xf numFmtId="7" fontId="20" fillId="2" borderId="0" xfId="0" applyNumberFormat="1" applyFont="1" applyFill="1"/>
    <xf numFmtId="0" fontId="22" fillId="2" borderId="0" xfId="0" applyFont="1" applyFill="1" applyAlignment="1">
      <alignment horizontal="center"/>
    </xf>
    <xf numFmtId="164" fontId="44" fillId="0" borderId="0" xfId="0" applyNumberFormat="1" applyFont="1" applyAlignment="1">
      <alignment horizontal="right"/>
    </xf>
    <xf numFmtId="10" fontId="44" fillId="0" borderId="0" xfId="0" applyNumberFormat="1" applyFont="1" applyAlignment="1">
      <alignment horizontal="right"/>
    </xf>
    <xf numFmtId="164" fontId="22" fillId="0" borderId="0" xfId="0" applyNumberFormat="1" applyFont="1" applyAlignment="1">
      <alignment horizontal="right"/>
    </xf>
    <xf numFmtId="0" fontId="16" fillId="0" borderId="0" xfId="0" applyFont="1" applyAlignment="1">
      <alignment vertical="top" wrapText="1"/>
    </xf>
    <xf numFmtId="0" fontId="16" fillId="0" borderId="0" xfId="0" applyFont="1" applyAlignment="1">
      <alignment vertical="top"/>
    </xf>
    <xf numFmtId="0" fontId="43" fillId="0" borderId="0" xfId="0" applyFont="1" applyAlignment="1">
      <alignment horizontal="center" vertical="center" wrapText="1"/>
    </xf>
    <xf numFmtId="0" fontId="23" fillId="2" borderId="0" xfId="0" applyFont="1" applyFill="1" applyAlignment="1">
      <alignment horizontal="left" vertical="top" wrapText="1"/>
    </xf>
    <xf numFmtId="164" fontId="23" fillId="0" borderId="0" xfId="0" applyNumberFormat="1" applyFont="1" applyAlignment="1" applyProtection="1">
      <alignment horizontal="center" vertical="center" wrapText="1"/>
      <protection locked="0"/>
    </xf>
    <xf numFmtId="0" fontId="46" fillId="0" borderId="0" xfId="0" applyFont="1" applyAlignment="1">
      <alignment vertical="top" wrapText="1"/>
    </xf>
    <xf numFmtId="0" fontId="20" fillId="2" borderId="0" xfId="0" applyFont="1" applyFill="1" applyAlignment="1">
      <alignment horizontal="left"/>
    </xf>
    <xf numFmtId="0" fontId="23" fillId="0" borderId="0" xfId="0" applyFont="1" applyProtection="1">
      <protection locked="0"/>
    </xf>
    <xf numFmtId="0" fontId="43" fillId="0" borderId="0" xfId="0" applyFont="1" applyAlignment="1">
      <alignment horizontal="left" vertical="top" wrapText="1"/>
    </xf>
    <xf numFmtId="0" fontId="23" fillId="2" borderId="0" xfId="0" applyFont="1" applyFill="1" applyAlignment="1">
      <alignment vertical="center"/>
    </xf>
    <xf numFmtId="0" fontId="23" fillId="2" borderId="0" xfId="0" applyFont="1" applyFill="1" applyAlignment="1">
      <alignment horizontal="left" vertical="center"/>
    </xf>
    <xf numFmtId="0" fontId="23" fillId="0" borderId="0" xfId="0" applyFont="1" applyAlignment="1">
      <alignment vertical="center"/>
    </xf>
    <xf numFmtId="0" fontId="25" fillId="0" borderId="0" xfId="0" applyFont="1" applyAlignment="1">
      <alignment horizontal="left"/>
    </xf>
    <xf numFmtId="0" fontId="16" fillId="2" borderId="0" xfId="0" applyFont="1" applyFill="1" applyAlignment="1">
      <alignment horizontal="left" vertical="top" wrapText="1"/>
    </xf>
    <xf numFmtId="0" fontId="23" fillId="0" borderId="0" xfId="0" applyFont="1" applyAlignment="1">
      <alignment wrapText="1"/>
    </xf>
    <xf numFmtId="3" fontId="23" fillId="0" borderId="0" xfId="0" applyNumberFormat="1" applyFont="1" applyAlignment="1" applyProtection="1">
      <alignment horizontal="right" vertical="center" wrapText="1"/>
      <protection locked="0"/>
    </xf>
    <xf numFmtId="0" fontId="9" fillId="0" borderId="0" xfId="4"/>
    <xf numFmtId="0" fontId="9" fillId="0" borderId="0" xfId="4" applyAlignment="1">
      <alignment horizontal="center"/>
    </xf>
    <xf numFmtId="4" fontId="9" fillId="0" borderId="0" xfId="4" applyNumberFormat="1"/>
    <xf numFmtId="0" fontId="9" fillId="0" borderId="30" xfId="4" applyBorder="1"/>
    <xf numFmtId="0" fontId="9" fillId="0" borderId="38" xfId="4" applyBorder="1" applyAlignment="1">
      <alignment horizontal="center" vertical="center"/>
    </xf>
    <xf numFmtId="0" fontId="9" fillId="0" borderId="32" xfId="4" applyBorder="1"/>
    <xf numFmtId="0" fontId="9" fillId="0" borderId="42" xfId="4" applyBorder="1"/>
    <xf numFmtId="0" fontId="9" fillId="0" borderId="3" xfId="4" applyBorder="1" applyAlignment="1">
      <alignment horizontal="center" vertical="center"/>
    </xf>
    <xf numFmtId="0" fontId="9" fillId="0" borderId="43" xfId="4" applyBorder="1"/>
    <xf numFmtId="0" fontId="9" fillId="0" borderId="34" xfId="4" applyBorder="1"/>
    <xf numFmtId="0" fontId="9" fillId="0" borderId="46" xfId="4" applyBorder="1" applyAlignment="1">
      <alignment horizontal="center" vertical="center"/>
    </xf>
    <xf numFmtId="0" fontId="9" fillId="0" borderId="36" xfId="4" applyBorder="1"/>
    <xf numFmtId="0" fontId="9" fillId="0" borderId="0" xfId="4" applyAlignment="1">
      <alignment horizontal="center" vertical="center"/>
    </xf>
    <xf numFmtId="0" fontId="9" fillId="0" borderId="0" xfId="4" applyAlignment="1">
      <alignment horizontal="left" vertical="center" wrapText="1"/>
    </xf>
    <xf numFmtId="2" fontId="9" fillId="0" borderId="0" xfId="4" applyNumberFormat="1"/>
    <xf numFmtId="0" fontId="15" fillId="0" borderId="0" xfId="4" applyFont="1" applyAlignment="1">
      <alignment horizontal="center"/>
    </xf>
    <xf numFmtId="0" fontId="9" fillId="0" borderId="0" xfId="4" applyAlignment="1">
      <alignment horizontal="left" vertical="center"/>
    </xf>
    <xf numFmtId="0" fontId="49" fillId="0" borderId="0" xfId="4" applyFont="1" applyAlignment="1">
      <alignment vertical="center" textRotation="90" wrapText="1"/>
    </xf>
    <xf numFmtId="0" fontId="59" fillId="0" borderId="0" xfId="4" applyFont="1" applyAlignment="1">
      <alignment horizontal="left" vertical="center" wrapText="1"/>
    </xf>
    <xf numFmtId="0" fontId="15" fillId="0" borderId="0" xfId="4" applyFont="1"/>
    <xf numFmtId="4" fontId="9" fillId="0" borderId="0" xfId="4" applyNumberFormat="1" applyAlignment="1">
      <alignment horizontal="center" vertical="center"/>
    </xf>
    <xf numFmtId="4" fontId="59" fillId="0" borderId="0" xfId="4" applyNumberFormat="1" applyFont="1" applyAlignment="1">
      <alignment horizontal="center" vertical="center"/>
    </xf>
    <xf numFmtId="4" fontId="9" fillId="0" borderId="0" xfId="4" applyNumberFormat="1" applyAlignment="1">
      <alignment vertical="center"/>
    </xf>
    <xf numFmtId="0" fontId="9" fillId="0" borderId="0" xfId="4" applyAlignment="1">
      <alignment vertical="center"/>
    </xf>
    <xf numFmtId="2" fontId="9" fillId="0" borderId="0" xfId="4" applyNumberFormat="1" applyAlignment="1">
      <alignment vertical="center"/>
    </xf>
    <xf numFmtId="0" fontId="9" fillId="0" borderId="43" xfId="4" applyBorder="1" applyAlignment="1">
      <alignment horizontal="center" vertical="center"/>
    </xf>
    <xf numFmtId="0" fontId="9" fillId="0" borderId="31" xfId="4" applyBorder="1" applyAlignment="1">
      <alignment vertical="center"/>
    </xf>
    <xf numFmtId="0" fontId="9" fillId="0" borderId="32" xfId="4" applyBorder="1" applyAlignment="1">
      <alignment horizontal="center" vertical="center"/>
    </xf>
    <xf numFmtId="0" fontId="9" fillId="0" borderId="35" xfId="4" applyBorder="1" applyAlignment="1">
      <alignment vertical="center"/>
    </xf>
    <xf numFmtId="0" fontId="9" fillId="0" borderId="36" xfId="4" applyBorder="1" applyAlignment="1">
      <alignment horizontal="center" vertical="center"/>
    </xf>
    <xf numFmtId="0" fontId="9" fillId="0" borderId="38" xfId="4" applyBorder="1" applyAlignment="1">
      <alignment horizontal="center" vertical="center" wrapText="1"/>
    </xf>
    <xf numFmtId="0" fontId="9" fillId="0" borderId="3" xfId="4" applyBorder="1" applyAlignment="1">
      <alignment horizontal="center" vertical="center" wrapText="1"/>
    </xf>
    <xf numFmtId="0" fontId="9" fillId="0" borderId="46" xfId="4" applyBorder="1" applyAlignment="1">
      <alignment horizontal="center" vertical="center" wrapText="1"/>
    </xf>
    <xf numFmtId="0" fontId="9" fillId="0" borderId="0" xfId="4" applyAlignment="1">
      <alignment vertical="top" wrapText="1"/>
    </xf>
    <xf numFmtId="0" fontId="49" fillId="0" borderId="0" xfId="4" applyFont="1" applyAlignment="1">
      <alignment horizontal="center" vertical="center" textRotation="90" wrapText="1"/>
    </xf>
    <xf numFmtId="0" fontId="15" fillId="0" borderId="33" xfId="4" applyFont="1" applyBorder="1" applyAlignment="1">
      <alignment horizontal="center" vertical="center" wrapText="1"/>
    </xf>
    <xf numFmtId="0" fontId="15" fillId="0" borderId="48" xfId="4" applyFont="1" applyBorder="1" applyAlignment="1">
      <alignment horizontal="center" vertical="center" wrapText="1"/>
    </xf>
    <xf numFmtId="0" fontId="67" fillId="0" borderId="43" xfId="6" applyBorder="1"/>
    <xf numFmtId="0" fontId="15" fillId="0" borderId="46" xfId="4" applyFont="1" applyBorder="1" applyAlignment="1">
      <alignment horizontal="center" vertical="center" wrapText="1"/>
    </xf>
    <xf numFmtId="49" fontId="62" fillId="0" borderId="47" xfId="4" applyNumberFormat="1" applyFont="1" applyBorder="1" applyAlignment="1">
      <alignment horizontal="center" vertical="center" wrapText="1"/>
    </xf>
    <xf numFmtId="49" fontId="62" fillId="0" borderId="33" xfId="4" applyNumberFormat="1" applyFont="1" applyBorder="1" applyAlignment="1">
      <alignment horizontal="center" vertical="center" wrapText="1"/>
    </xf>
    <xf numFmtId="0" fontId="68" fillId="0" borderId="0" xfId="4" applyFont="1" applyAlignment="1" applyProtection="1">
      <alignment vertical="top" wrapText="1"/>
      <protection locked="0"/>
    </xf>
    <xf numFmtId="0" fontId="9" fillId="0" borderId="0" xfId="4" applyAlignment="1" applyProtection="1">
      <alignment vertical="top" wrapText="1"/>
      <protection locked="0"/>
    </xf>
    <xf numFmtId="0" fontId="9" fillId="0" borderId="0" xfId="4" applyProtection="1">
      <protection locked="0"/>
    </xf>
    <xf numFmtId="0" fontId="65" fillId="0" borderId="0" xfId="4" applyFont="1" applyAlignment="1">
      <alignment horizontal="left" vertical="center"/>
    </xf>
    <xf numFmtId="0" fontId="67" fillId="0" borderId="32" xfId="6" applyBorder="1"/>
    <xf numFmtId="0" fontId="65" fillId="0" borderId="30" xfId="4" applyFont="1" applyBorder="1" applyAlignment="1">
      <alignment horizontal="left" vertical="center"/>
    </xf>
    <xf numFmtId="0" fontId="65" fillId="0" borderId="32" xfId="4" applyFont="1" applyBorder="1" applyAlignment="1">
      <alignment horizontal="left" vertical="center"/>
    </xf>
    <xf numFmtId="0" fontId="65" fillId="0" borderId="42" xfId="4" applyFont="1" applyBorder="1" applyAlignment="1">
      <alignment horizontal="left" vertical="center"/>
    </xf>
    <xf numFmtId="0" fontId="65" fillId="0" borderId="43" xfId="4" applyFont="1" applyBorder="1" applyAlignment="1">
      <alignment horizontal="left" vertical="center"/>
    </xf>
    <xf numFmtId="0" fontId="65" fillId="0" borderId="34" xfId="4" applyFont="1" applyBorder="1" applyAlignment="1">
      <alignment horizontal="left" vertical="center"/>
    </xf>
    <xf numFmtId="0" fontId="65" fillId="0" borderId="36" xfId="4" applyFont="1" applyBorder="1" applyAlignment="1">
      <alignment horizontal="left" vertical="center"/>
    </xf>
    <xf numFmtId="0" fontId="9" fillId="0" borderId="53" xfId="4" applyBorder="1" applyAlignment="1">
      <alignment vertical="center"/>
    </xf>
    <xf numFmtId="0" fontId="9" fillId="0" borderId="54" xfId="4" applyBorder="1" applyAlignment="1">
      <alignment horizontal="center" vertical="center" wrapText="1"/>
    </xf>
    <xf numFmtId="0" fontId="9" fillId="0" borderId="55" xfId="4" applyBorder="1" applyAlignment="1">
      <alignment horizontal="center" vertical="center"/>
    </xf>
    <xf numFmtId="0" fontId="41" fillId="0" borderId="0" xfId="0" applyFont="1" applyAlignment="1">
      <alignment vertical="center"/>
    </xf>
    <xf numFmtId="0" fontId="49" fillId="0" borderId="52" xfId="4" applyFont="1" applyBorder="1" applyAlignment="1">
      <alignment horizontal="center" vertical="center" textRotation="90" wrapText="1"/>
    </xf>
    <xf numFmtId="0" fontId="9" fillId="0" borderId="38" xfId="4" applyBorder="1" applyAlignment="1" applyProtection="1">
      <alignment horizontal="center" vertical="center"/>
      <protection locked="0"/>
    </xf>
    <xf numFmtId="0" fontId="9" fillId="0" borderId="3" xfId="4" applyBorder="1" applyAlignment="1" applyProtection="1">
      <alignment horizontal="center" vertical="center"/>
      <protection locked="0"/>
    </xf>
    <xf numFmtId="0" fontId="7" fillId="0" borderId="3" xfId="4" applyFont="1" applyBorder="1" applyAlignment="1" applyProtection="1">
      <alignment horizontal="center" vertical="center"/>
      <protection locked="0"/>
    </xf>
    <xf numFmtId="0" fontId="9" fillId="0" borderId="46" xfId="4" applyBorder="1" applyAlignment="1" applyProtection="1">
      <alignment horizontal="center" vertical="center"/>
      <protection locked="0"/>
    </xf>
    <xf numFmtId="0" fontId="15" fillId="2" borderId="0" xfId="0" applyFont="1" applyFill="1" applyAlignment="1">
      <alignment horizontal="left" vertical="center"/>
    </xf>
    <xf numFmtId="0" fontId="23" fillId="2" borderId="0" xfId="0" applyFont="1" applyFill="1" applyAlignment="1">
      <alignment horizontal="left" vertical="center" wrapText="1"/>
    </xf>
    <xf numFmtId="0" fontId="41" fillId="2" borderId="0" xfId="0" applyFont="1" applyFill="1" applyAlignment="1">
      <alignment vertical="center"/>
    </xf>
    <xf numFmtId="0" fontId="27" fillId="0" borderId="0" xfId="0" applyFont="1" applyAlignment="1">
      <alignment vertical="center"/>
    </xf>
    <xf numFmtId="0" fontId="27" fillId="2" borderId="0" xfId="0" applyFont="1" applyFill="1" applyAlignment="1">
      <alignment vertical="center"/>
    </xf>
    <xf numFmtId="0" fontId="43" fillId="0" borderId="0" xfId="0" applyFont="1"/>
    <xf numFmtId="0" fontId="69" fillId="0" borderId="0" xfId="0" applyFont="1"/>
    <xf numFmtId="0" fontId="70" fillId="0" borderId="0" xfId="0" applyFont="1"/>
    <xf numFmtId="0" fontId="71" fillId="2" borderId="0" xfId="0" applyFont="1" applyFill="1"/>
    <xf numFmtId="0" fontId="77" fillId="2" borderId="0" xfId="0" applyFont="1" applyFill="1"/>
    <xf numFmtId="0" fontId="44" fillId="2" borderId="0" xfId="0" applyFont="1" applyFill="1" applyAlignment="1">
      <alignment horizontal="center"/>
    </xf>
    <xf numFmtId="0" fontId="72" fillId="2" borderId="0" xfId="0" applyFont="1" applyFill="1" applyAlignment="1">
      <alignment horizontal="center"/>
    </xf>
    <xf numFmtId="0" fontId="44" fillId="2" borderId="0" xfId="0" applyFont="1" applyFill="1" applyAlignment="1">
      <alignment vertical="top"/>
    </xf>
    <xf numFmtId="0" fontId="42" fillId="0" borderId="0" xfId="0" applyFont="1" applyAlignment="1">
      <alignment vertical="top"/>
    </xf>
    <xf numFmtId="0" fontId="0" fillId="0" borderId="0" xfId="0" quotePrefix="1"/>
    <xf numFmtId="0" fontId="15" fillId="0" borderId="0" xfId="0" applyFont="1"/>
    <xf numFmtId="0" fontId="59" fillId="0" borderId="0" xfId="0" applyFont="1" applyAlignment="1">
      <alignment vertical="center" wrapText="1"/>
    </xf>
    <xf numFmtId="0" fontId="16" fillId="0" borderId="0" xfId="0" applyFont="1" applyAlignment="1">
      <alignment horizontal="left" wrapText="1"/>
    </xf>
    <xf numFmtId="0" fontId="66" fillId="2" borderId="0" xfId="0" applyFont="1" applyFill="1" applyAlignment="1">
      <alignment horizontal="left"/>
    </xf>
    <xf numFmtId="0" fontId="56" fillId="0" borderId="0" xfId="0" applyFont="1" applyAlignment="1">
      <alignment horizontal="left" vertical="center" wrapText="1"/>
    </xf>
    <xf numFmtId="0" fontId="3" fillId="0" borderId="0" xfId="0" applyFont="1"/>
    <xf numFmtId="0" fontId="23" fillId="0" borderId="0" xfId="0" applyFont="1" applyAlignment="1">
      <alignment horizontal="left" vertical="top" wrapText="1"/>
    </xf>
    <xf numFmtId="168" fontId="66" fillId="0" borderId="38" xfId="5" applyNumberFormat="1" applyFont="1" applyFill="1" applyBorder="1" applyAlignment="1">
      <alignment vertical="center"/>
    </xf>
    <xf numFmtId="168" fontId="66" fillId="0" borderId="3" xfId="5" applyNumberFormat="1" applyFont="1" applyFill="1" applyBorder="1" applyAlignment="1">
      <alignment vertical="center"/>
    </xf>
    <xf numFmtId="169" fontId="66" fillId="0" borderId="3" xfId="5" applyNumberFormat="1" applyFont="1" applyFill="1" applyBorder="1" applyAlignment="1">
      <alignment vertical="center"/>
    </xf>
    <xf numFmtId="168" fontId="66" fillId="0" borderId="46" xfId="5" applyNumberFormat="1" applyFont="1" applyFill="1" applyBorder="1" applyAlignment="1">
      <alignment vertical="center"/>
    </xf>
    <xf numFmtId="169" fontId="66" fillId="0" borderId="38" xfId="4" applyNumberFormat="1" applyFont="1" applyBorder="1" applyAlignment="1">
      <alignment horizontal="center" vertical="center"/>
    </xf>
    <xf numFmtId="169" fontId="15" fillId="0" borderId="3" xfId="4" applyNumberFormat="1" applyFont="1" applyBorder="1" applyAlignment="1">
      <alignment horizontal="center" vertical="center"/>
    </xf>
    <xf numFmtId="169" fontId="66" fillId="0" borderId="3" xfId="4" applyNumberFormat="1" applyFont="1" applyBorder="1" applyAlignment="1">
      <alignment horizontal="center" vertical="center"/>
    </xf>
    <xf numFmtId="169" fontId="66" fillId="0" borderId="46" xfId="4" applyNumberFormat="1" applyFont="1" applyBorder="1" applyAlignment="1">
      <alignment horizontal="center" vertical="center"/>
    </xf>
    <xf numFmtId="169" fontId="15" fillId="0" borderId="38" xfId="4" applyNumberFormat="1" applyFont="1" applyBorder="1" applyAlignment="1">
      <alignment horizontal="center" vertical="center"/>
    </xf>
    <xf numFmtId="169" fontId="66" fillId="0" borderId="56" xfId="4" applyNumberFormat="1" applyFont="1" applyBorder="1" applyAlignment="1">
      <alignment horizontal="center" vertical="center"/>
    </xf>
    <xf numFmtId="168" fontId="66" fillId="0" borderId="54" xfId="5" applyNumberFormat="1" applyFont="1" applyFill="1" applyBorder="1" applyAlignment="1">
      <alignment vertical="center"/>
    </xf>
    <xf numFmtId="169" fontId="66" fillId="0" borderId="38" xfId="5" applyNumberFormat="1" applyFont="1" applyFill="1" applyBorder="1" applyAlignment="1">
      <alignment vertical="center"/>
    </xf>
    <xf numFmtId="0" fontId="33" fillId="2" borderId="0" xfId="0" applyFont="1" applyFill="1" applyAlignment="1">
      <alignment vertical="top" wrapText="1"/>
    </xf>
    <xf numFmtId="0" fontId="76" fillId="2" borderId="0" xfId="0" applyFont="1" applyFill="1" applyAlignment="1">
      <alignment horizontal="left" vertical="top" wrapText="1"/>
    </xf>
    <xf numFmtId="0" fontId="43" fillId="0" borderId="0" xfId="0" applyFont="1" applyAlignment="1">
      <alignment vertical="center" wrapText="1"/>
    </xf>
    <xf numFmtId="0" fontId="21" fillId="2" borderId="0" xfId="0" applyFont="1" applyFill="1" applyAlignment="1">
      <alignment horizontal="left" vertical="top" wrapText="1"/>
    </xf>
    <xf numFmtId="0" fontId="21" fillId="2" borderId="0" xfId="0" applyFont="1" applyFill="1" applyAlignment="1">
      <alignment horizontal="left" vertical="top"/>
    </xf>
    <xf numFmtId="0" fontId="15" fillId="2" borderId="0" xfId="0" applyFont="1" applyFill="1" applyAlignment="1">
      <alignment horizontal="left" vertical="center"/>
    </xf>
    <xf numFmtId="0" fontId="23" fillId="2" borderId="3" xfId="0" applyFont="1" applyFill="1" applyBorder="1" applyAlignment="1">
      <alignment horizontal="left"/>
    </xf>
    <xf numFmtId="0" fontId="43" fillId="0" borderId="0" xfId="0" applyFont="1" applyAlignment="1">
      <alignment horizontal="left" vertical="center" wrapText="1"/>
    </xf>
    <xf numFmtId="0" fontId="56" fillId="2" borderId="0" xfId="0" applyFont="1" applyFill="1" applyAlignment="1">
      <alignment horizontal="left" vertical="center" wrapText="1"/>
    </xf>
    <xf numFmtId="0" fontId="59" fillId="0" borderId="0" xfId="0" applyFont="1" applyAlignment="1">
      <alignment vertical="center" wrapText="1"/>
    </xf>
    <xf numFmtId="0" fontId="56" fillId="0" borderId="0" xfId="0" applyFont="1" applyAlignment="1">
      <alignment horizontal="left" vertical="center" wrapText="1"/>
    </xf>
    <xf numFmtId="0" fontId="21" fillId="2" borderId="0" xfId="0" applyFont="1" applyFill="1" applyAlignment="1">
      <alignment horizontal="left" vertical="center" wrapText="1"/>
    </xf>
    <xf numFmtId="0" fontId="46" fillId="0" borderId="0" xfId="0" applyFont="1" applyAlignment="1">
      <alignment vertical="center" wrapText="1"/>
    </xf>
    <xf numFmtId="0" fontId="21" fillId="0" borderId="0" xfId="0" applyFont="1" applyAlignment="1">
      <alignment vertical="center" wrapText="1"/>
    </xf>
    <xf numFmtId="0" fontId="23" fillId="0" borderId="0" xfId="0" applyFont="1" applyAlignment="1">
      <alignment horizontal="right" vertical="center"/>
    </xf>
    <xf numFmtId="0" fontId="0" fillId="0" borderId="0" xfId="0" applyAlignment="1">
      <alignment horizontal="right" vertical="center"/>
    </xf>
    <xf numFmtId="0" fontId="58" fillId="0" borderId="0" xfId="0" applyFont="1" applyAlignment="1">
      <alignment vertical="center" wrapText="1"/>
    </xf>
    <xf numFmtId="14" fontId="23" fillId="2" borderId="6" xfId="0" applyNumberFormat="1" applyFont="1" applyFill="1" applyBorder="1" applyAlignment="1" applyProtection="1">
      <alignment horizontal="center" vertical="center"/>
      <protection locked="0"/>
    </xf>
    <xf numFmtId="0" fontId="23" fillId="2" borderId="7" xfId="0" applyFont="1" applyFill="1" applyBorder="1" applyAlignment="1" applyProtection="1">
      <alignment horizontal="center" vertical="center"/>
      <protection locked="0"/>
    </xf>
    <xf numFmtId="0" fontId="23" fillId="2" borderId="8" xfId="0" applyFont="1" applyFill="1" applyBorder="1" applyAlignment="1" applyProtection="1">
      <alignment horizontal="center" vertical="center"/>
      <protection locked="0"/>
    </xf>
    <xf numFmtId="0" fontId="12" fillId="2" borderId="11" xfId="0" applyFont="1" applyFill="1" applyBorder="1"/>
    <xf numFmtId="0" fontId="12" fillId="2" borderId="10" xfId="0" applyFont="1" applyFill="1" applyBorder="1"/>
    <xf numFmtId="0" fontId="12" fillId="2" borderId="4" xfId="0" applyFont="1" applyFill="1" applyBorder="1"/>
    <xf numFmtId="0" fontId="12" fillId="2" borderId="9" xfId="0" applyFont="1" applyFill="1" applyBorder="1"/>
    <xf numFmtId="0" fontId="12" fillId="2" borderId="0" xfId="0" applyFont="1" applyFill="1"/>
    <xf numFmtId="0" fontId="12" fillId="2" borderId="17" xfId="0" applyFont="1" applyFill="1" applyBorder="1"/>
    <xf numFmtId="0" fontId="12" fillId="2" borderId="15" xfId="0" applyFont="1" applyFill="1" applyBorder="1"/>
    <xf numFmtId="0" fontId="12" fillId="2" borderId="16" xfId="0" applyFont="1" applyFill="1" applyBorder="1"/>
    <xf numFmtId="0" fontId="12" fillId="2" borderId="5" xfId="0" applyFont="1" applyFill="1" applyBorder="1"/>
    <xf numFmtId="0" fontId="41" fillId="2" borderId="10" xfId="0" applyFont="1" applyFill="1" applyBorder="1" applyAlignment="1">
      <alignment horizontal="center" vertical="top"/>
    </xf>
    <xf numFmtId="0" fontId="41" fillId="2" borderId="10" xfId="0" applyFont="1" applyFill="1" applyBorder="1" applyAlignment="1">
      <alignment vertical="top"/>
    </xf>
    <xf numFmtId="0" fontId="16" fillId="2" borderId="10" xfId="0" applyFont="1" applyFill="1" applyBorder="1" applyAlignment="1">
      <alignment horizontal="center"/>
    </xf>
    <xf numFmtId="0" fontId="27" fillId="2" borderId="11" xfId="0" applyFont="1" applyFill="1" applyBorder="1" applyAlignment="1">
      <alignment horizontal="center"/>
    </xf>
    <xf numFmtId="0" fontId="27" fillId="2" borderId="10" xfId="0" applyFont="1" applyFill="1" applyBorder="1" applyAlignment="1">
      <alignment horizontal="center"/>
    </xf>
    <xf numFmtId="0" fontId="27" fillId="2" borderId="4" xfId="0" applyFont="1" applyFill="1" applyBorder="1" applyAlignment="1">
      <alignment horizontal="center"/>
    </xf>
    <xf numFmtId="0" fontId="27" fillId="2" borderId="9" xfId="0" applyFont="1" applyFill="1" applyBorder="1" applyAlignment="1">
      <alignment horizontal="center"/>
    </xf>
    <xf numFmtId="0" fontId="27" fillId="2" borderId="0" xfId="0" applyFont="1" applyFill="1" applyAlignment="1">
      <alignment horizontal="center"/>
    </xf>
    <xf numFmtId="0" fontId="27" fillId="2" borderId="17" xfId="0" applyFont="1" applyFill="1" applyBorder="1" applyAlignment="1">
      <alignment horizontal="center"/>
    </xf>
    <xf numFmtId="0" fontId="27" fillId="2" borderId="15" xfId="0" applyFont="1" applyFill="1" applyBorder="1" applyAlignment="1">
      <alignment horizontal="center"/>
    </xf>
    <xf numFmtId="0" fontId="27" fillId="2" borderId="16" xfId="0" applyFont="1" applyFill="1" applyBorder="1" applyAlignment="1">
      <alignment horizontal="center"/>
    </xf>
    <xf numFmtId="0" fontId="27" fillId="2" borderId="5" xfId="0" applyFont="1" applyFill="1" applyBorder="1" applyAlignment="1">
      <alignment horizontal="center"/>
    </xf>
    <xf numFmtId="0" fontId="23" fillId="0" borderId="3" xfId="0" applyFont="1" applyBorder="1" applyAlignment="1">
      <alignment horizontal="right" vertical="center"/>
    </xf>
    <xf numFmtId="0" fontId="0" fillId="0" borderId="3" xfId="0" applyBorder="1" applyAlignment="1">
      <alignment horizontal="right" vertical="center"/>
    </xf>
    <xf numFmtId="0" fontId="23" fillId="0" borderId="6" xfId="0" applyFont="1" applyBorder="1" applyAlignment="1">
      <alignment vertical="center" wrapText="1"/>
    </xf>
    <xf numFmtId="0" fontId="23" fillId="0" borderId="7" xfId="0" applyFont="1" applyBorder="1" applyAlignment="1">
      <alignment vertical="center" wrapText="1"/>
    </xf>
    <xf numFmtId="0" fontId="23" fillId="0" borderId="8" xfId="0" applyFont="1" applyBorder="1" applyAlignment="1">
      <alignment vertical="center" wrapText="1"/>
    </xf>
    <xf numFmtId="0" fontId="23" fillId="2" borderId="6" xfId="0" applyFont="1" applyFill="1" applyBorder="1" applyAlignment="1" applyProtection="1">
      <alignment vertical="center" wrapText="1"/>
      <protection locked="0"/>
    </xf>
    <xf numFmtId="0" fontId="23" fillId="2" borderId="7" xfId="0" applyFont="1" applyFill="1" applyBorder="1" applyAlignment="1" applyProtection="1">
      <alignment vertical="center" wrapText="1"/>
      <protection locked="0"/>
    </xf>
    <xf numFmtId="0" fontId="23" fillId="2" borderId="8" xfId="0" applyFont="1" applyFill="1" applyBorder="1" applyAlignment="1" applyProtection="1">
      <alignment vertical="center" wrapText="1"/>
      <protection locked="0"/>
    </xf>
    <xf numFmtId="0" fontId="23" fillId="0" borderId="11" xfId="0" applyFont="1" applyBorder="1" applyAlignment="1">
      <alignment horizontal="right" vertical="center"/>
    </xf>
    <xf numFmtId="0" fontId="0" fillId="0" borderId="4" xfId="0" applyBorder="1" applyAlignment="1">
      <alignment horizontal="right" vertical="center"/>
    </xf>
    <xf numFmtId="0" fontId="23" fillId="0" borderId="11" xfId="0" applyFont="1" applyBorder="1" applyAlignment="1" applyProtection="1">
      <alignment vertical="center" wrapText="1"/>
      <protection locked="0"/>
    </xf>
    <xf numFmtId="0" fontId="23" fillId="0" borderId="10" xfId="0" applyFont="1" applyBorder="1" applyAlignment="1" applyProtection="1">
      <alignment vertical="center" wrapText="1"/>
      <protection locked="0"/>
    </xf>
    <xf numFmtId="0" fontId="23" fillId="0" borderId="4" xfId="0" applyFont="1" applyBorder="1" applyAlignment="1" applyProtection="1">
      <alignment vertical="center" wrapText="1"/>
      <protection locked="0"/>
    </xf>
    <xf numFmtId="0" fontId="58" fillId="0" borderId="6" xfId="0" applyFont="1" applyBorder="1" applyAlignment="1">
      <alignment vertical="center" wrapText="1"/>
    </xf>
    <xf numFmtId="0" fontId="58" fillId="0" borderId="7" xfId="0" applyFont="1" applyBorder="1" applyAlignment="1">
      <alignment vertical="center" wrapText="1"/>
    </xf>
    <xf numFmtId="0" fontId="58" fillId="0" borderId="8" xfId="0" applyFont="1" applyBorder="1" applyAlignment="1">
      <alignment vertical="center" wrapText="1"/>
    </xf>
    <xf numFmtId="0" fontId="23" fillId="0" borderId="3" xfId="0" applyFont="1" applyBorder="1" applyAlignment="1">
      <alignment vertical="center" wrapText="1"/>
    </xf>
    <xf numFmtId="0" fontId="23" fillId="0" borderId="0" xfId="0" applyFont="1" applyAlignment="1">
      <alignment vertical="center" wrapText="1"/>
    </xf>
    <xf numFmtId="49" fontId="20" fillId="0" borderId="3" xfId="0" applyNumberFormat="1" applyFont="1" applyBorder="1" applyAlignment="1" applyProtection="1">
      <alignment horizontal="right"/>
      <protection locked="0"/>
    </xf>
    <xf numFmtId="0" fontId="15" fillId="2" borderId="0" xfId="0" applyFont="1" applyFill="1" applyAlignment="1">
      <alignment horizontal="left"/>
    </xf>
    <xf numFmtId="0" fontId="23" fillId="2" borderId="6" xfId="0" applyFont="1" applyFill="1" applyBorder="1" applyAlignment="1">
      <alignment horizontal="left" vertical="center" wrapText="1"/>
    </xf>
    <xf numFmtId="0" fontId="23" fillId="2" borderId="7" xfId="0" applyFont="1" applyFill="1" applyBorder="1" applyAlignment="1">
      <alignment horizontal="left" vertical="center" wrapText="1"/>
    </xf>
    <xf numFmtId="0" fontId="23" fillId="2" borderId="8" xfId="0" applyFont="1" applyFill="1" applyBorder="1" applyAlignment="1">
      <alignment horizontal="left" vertical="center" wrapText="1"/>
    </xf>
    <xf numFmtId="0" fontId="23" fillId="2" borderId="6" xfId="0" applyFont="1" applyFill="1" applyBorder="1" applyAlignment="1" applyProtection="1">
      <alignment horizontal="center" vertical="center"/>
      <protection locked="0"/>
    </xf>
    <xf numFmtId="0" fontId="23" fillId="0" borderId="6" xfId="0" applyFont="1" applyBorder="1" applyAlignment="1">
      <alignment horizontal="right" vertical="center"/>
    </xf>
    <xf numFmtId="0" fontId="0" fillId="0" borderId="8" xfId="0" applyBorder="1" applyAlignment="1">
      <alignment horizontal="right" vertical="center"/>
    </xf>
    <xf numFmtId="0" fontId="66" fillId="2" borderId="0" xfId="0" applyFont="1" applyFill="1" applyAlignment="1">
      <alignment horizontal="left"/>
    </xf>
    <xf numFmtId="0" fontId="23" fillId="2" borderId="0" xfId="0" applyFont="1" applyFill="1" applyAlignment="1">
      <alignment horizontal="left" vertical="top" wrapText="1"/>
    </xf>
    <xf numFmtId="0" fontId="58" fillId="2" borderId="0" xfId="0" applyFont="1" applyFill="1" applyAlignment="1">
      <alignment horizontal="left" vertical="center" wrapText="1"/>
    </xf>
    <xf numFmtId="164" fontId="23" fillId="0" borderId="6" xfId="0" applyNumberFormat="1" applyFont="1" applyBorder="1" applyAlignment="1" applyProtection="1">
      <alignment horizontal="center" vertical="center" wrapText="1"/>
      <protection locked="0"/>
    </xf>
    <xf numFmtId="164" fontId="23" fillId="0" borderId="7" xfId="0" applyNumberFormat="1" applyFont="1" applyBorder="1" applyAlignment="1" applyProtection="1">
      <alignment horizontal="center" vertical="center" wrapText="1"/>
      <protection locked="0"/>
    </xf>
    <xf numFmtId="164" fontId="23" fillId="0" borderId="8" xfId="0" applyNumberFormat="1" applyFont="1" applyBorder="1" applyAlignment="1" applyProtection="1">
      <alignment horizontal="center" vertical="center" wrapText="1"/>
      <protection locked="0"/>
    </xf>
    <xf numFmtId="164" fontId="23" fillId="0" borderId="10" xfId="0" applyNumberFormat="1" applyFont="1" applyBorder="1" applyAlignment="1" applyProtection="1">
      <alignment horizontal="center" vertical="center" wrapText="1"/>
      <protection locked="0"/>
    </xf>
    <xf numFmtId="164" fontId="16" fillId="0" borderId="6" xfId="0" applyNumberFormat="1" applyFont="1" applyBorder="1" applyAlignment="1" applyProtection="1">
      <alignment horizontal="center" vertical="center"/>
      <protection locked="0"/>
    </xf>
    <xf numFmtId="164" fontId="16" fillId="0" borderId="7" xfId="0" applyNumberFormat="1" applyFont="1" applyBorder="1" applyAlignment="1" applyProtection="1">
      <alignment horizontal="center" vertical="center"/>
      <protection locked="0"/>
    </xf>
    <xf numFmtId="164" fontId="16" fillId="0" borderId="8" xfId="0" applyNumberFormat="1" applyFont="1" applyBorder="1" applyAlignment="1" applyProtection="1">
      <alignment horizontal="center" vertical="center"/>
      <protection locked="0"/>
    </xf>
    <xf numFmtId="0" fontId="23" fillId="2" borderId="7" xfId="0" applyFont="1" applyFill="1" applyBorder="1" applyAlignment="1">
      <alignment horizontal="left" vertical="top" wrapText="1"/>
    </xf>
    <xf numFmtId="0" fontId="23" fillId="0" borderId="0" xfId="0" applyFont="1" applyAlignment="1">
      <alignment vertical="center"/>
    </xf>
    <xf numFmtId="0" fontId="0" fillId="0" borderId="0" xfId="0" applyAlignment="1">
      <alignment vertical="center"/>
    </xf>
    <xf numFmtId="164" fontId="16" fillId="0" borderId="0" xfId="0" applyNumberFormat="1" applyFont="1" applyAlignment="1" applyProtection="1">
      <alignment horizontal="center" vertical="center"/>
      <protection locked="0"/>
    </xf>
    <xf numFmtId="0" fontId="58" fillId="2" borderId="3" xfId="0" applyFont="1" applyFill="1" applyBorder="1"/>
    <xf numFmtId="0" fontId="71" fillId="2" borderId="3" xfId="0" applyFont="1" applyFill="1" applyBorder="1"/>
    <xf numFmtId="0" fontId="23" fillId="2" borderId="3" xfId="0" applyFont="1" applyFill="1" applyBorder="1"/>
    <xf numFmtId="0" fontId="0" fillId="2" borderId="3" xfId="0" applyFill="1" applyBorder="1"/>
    <xf numFmtId="3" fontId="16" fillId="0" borderId="6" xfId="0" applyNumberFormat="1" applyFont="1" applyBorder="1" applyAlignment="1" applyProtection="1">
      <alignment horizontal="center" vertical="center"/>
      <protection locked="0"/>
    </xf>
    <xf numFmtId="3" fontId="16" fillId="0" borderId="7" xfId="0" applyNumberFormat="1" applyFont="1" applyBorder="1" applyAlignment="1" applyProtection="1">
      <alignment horizontal="center" vertical="center"/>
      <protection locked="0"/>
    </xf>
    <xf numFmtId="3" fontId="16" fillId="0" borderId="8" xfId="0" applyNumberFormat="1" applyFont="1" applyBorder="1" applyAlignment="1" applyProtection="1">
      <alignment horizontal="center" vertical="center"/>
      <protection locked="0"/>
    </xf>
    <xf numFmtId="0" fontId="19" fillId="2" borderId="3" xfId="0" applyFont="1" applyFill="1" applyBorder="1" applyAlignment="1">
      <alignment horizontal="center"/>
    </xf>
    <xf numFmtId="1" fontId="20" fillId="0" borderId="3" xfId="0" applyNumberFormat="1" applyFont="1" applyBorder="1" applyAlignment="1" applyProtection="1">
      <alignment horizontal="right"/>
      <protection locked="0"/>
    </xf>
    <xf numFmtId="164" fontId="21" fillId="2" borderId="6" xfId="0" applyNumberFormat="1" applyFont="1" applyFill="1" applyBorder="1" applyAlignment="1" applyProtection="1">
      <alignment horizontal="right"/>
      <protection locked="0"/>
    </xf>
    <xf numFmtId="164" fontId="21" fillId="2" borderId="7" xfId="0" applyNumberFormat="1" applyFont="1" applyFill="1" applyBorder="1" applyAlignment="1" applyProtection="1">
      <alignment horizontal="right"/>
      <protection locked="0"/>
    </xf>
    <xf numFmtId="164" fontId="21" fillId="2" borderId="8" xfId="0" applyNumberFormat="1" applyFont="1" applyFill="1" applyBorder="1" applyAlignment="1" applyProtection="1">
      <alignment horizontal="right"/>
      <protection locked="0"/>
    </xf>
    <xf numFmtId="0" fontId="19" fillId="2" borderId="6" xfId="0" applyFont="1" applyFill="1" applyBorder="1" applyAlignment="1">
      <alignment horizontal="center"/>
    </xf>
    <xf numFmtId="0" fontId="19" fillId="2" borderId="8" xfId="0" applyFont="1" applyFill="1" applyBorder="1" applyAlignment="1">
      <alignment horizontal="center"/>
    </xf>
    <xf numFmtId="14" fontId="48" fillId="2" borderId="6" xfId="0" applyNumberFormat="1" applyFont="1" applyFill="1" applyBorder="1" applyAlignment="1">
      <alignment horizontal="center" vertical="center"/>
    </xf>
    <xf numFmtId="14" fontId="48" fillId="2" borderId="7" xfId="0" applyNumberFormat="1" applyFont="1" applyFill="1" applyBorder="1" applyAlignment="1">
      <alignment horizontal="center" vertical="center"/>
    </xf>
    <xf numFmtId="14" fontId="48" fillId="2" borderId="8" xfId="0" applyNumberFormat="1" applyFont="1" applyFill="1" applyBorder="1" applyAlignment="1">
      <alignment horizontal="center" vertical="center"/>
    </xf>
    <xf numFmtId="0" fontId="23" fillId="0" borderId="3" xfId="0" applyFont="1" applyBorder="1" applyAlignment="1" applyProtection="1">
      <alignment horizontal="center" vertical="center"/>
      <protection locked="0"/>
    </xf>
    <xf numFmtId="0" fontId="23" fillId="2" borderId="3" xfId="0" applyFont="1" applyFill="1" applyBorder="1" applyAlignment="1">
      <alignment horizontal="center"/>
    </xf>
    <xf numFmtId="0" fontId="43" fillId="0" borderId="0" xfId="0" applyFont="1" applyAlignment="1">
      <alignment horizontal="left" vertical="top" wrapText="1"/>
    </xf>
    <xf numFmtId="0" fontId="58" fillId="2" borderId="0" xfId="0" quotePrefix="1" applyFont="1" applyFill="1" applyAlignment="1">
      <alignment horizontal="left" vertical="top" wrapText="1"/>
    </xf>
    <xf numFmtId="0" fontId="21" fillId="2" borderId="15" xfId="0" applyFont="1" applyFill="1" applyBorder="1" applyAlignment="1">
      <alignment horizontal="left" vertical="center" wrapText="1"/>
    </xf>
    <xf numFmtId="0" fontId="21" fillId="2" borderId="16" xfId="0" applyFont="1" applyFill="1" applyBorder="1" applyAlignment="1">
      <alignment horizontal="left" vertical="center" wrapText="1"/>
    </xf>
    <xf numFmtId="0" fontId="21" fillId="2" borderId="5" xfId="0" applyFont="1" applyFill="1" applyBorder="1" applyAlignment="1">
      <alignment horizontal="left" vertical="center" wrapText="1"/>
    </xf>
    <xf numFmtId="0" fontId="33" fillId="2" borderId="0" xfId="0" applyFont="1" applyFill="1" applyAlignment="1">
      <alignment horizontal="left" vertical="top" wrapText="1"/>
    </xf>
    <xf numFmtId="0" fontId="19" fillId="2" borderId="6" xfId="0" applyFont="1" applyFill="1" applyBorder="1" applyAlignment="1">
      <alignment horizontal="center" vertical="center" wrapText="1"/>
    </xf>
    <xf numFmtId="0" fontId="19" fillId="2" borderId="7" xfId="0" applyFont="1" applyFill="1" applyBorder="1" applyAlignment="1">
      <alignment horizontal="center" vertical="center" wrapText="1"/>
    </xf>
    <xf numFmtId="0" fontId="19" fillId="2" borderId="8" xfId="0" applyFont="1" applyFill="1" applyBorder="1" applyAlignment="1">
      <alignment horizontal="center" vertical="center" wrapText="1"/>
    </xf>
    <xf numFmtId="0" fontId="23" fillId="0" borderId="3" xfId="0" applyFont="1" applyBorder="1"/>
    <xf numFmtId="0" fontId="0" fillId="0" borderId="3" xfId="0" applyBorder="1"/>
    <xf numFmtId="0" fontId="23" fillId="2" borderId="6" xfId="0" applyFont="1" applyFill="1" applyBorder="1" applyAlignment="1">
      <alignment horizontal="left" wrapText="1"/>
    </xf>
    <xf numFmtId="0" fontId="23" fillId="2" borderId="7" xfId="0" applyFont="1" applyFill="1" applyBorder="1" applyAlignment="1">
      <alignment horizontal="left" wrapText="1"/>
    </xf>
    <xf numFmtId="0" fontId="23" fillId="2" borderId="8" xfId="0" applyFont="1" applyFill="1" applyBorder="1" applyAlignment="1">
      <alignment horizontal="left" wrapText="1"/>
    </xf>
    <xf numFmtId="0" fontId="58" fillId="0" borderId="3" xfId="0" applyFont="1" applyBorder="1" applyAlignment="1">
      <alignment horizontal="left" vertical="top" wrapText="1"/>
    </xf>
    <xf numFmtId="0" fontId="58" fillId="2" borderId="0" xfId="0" quotePrefix="1" applyFont="1" applyFill="1" applyAlignment="1" applyProtection="1">
      <alignment horizontal="left" vertical="center" wrapText="1"/>
      <protection locked="0"/>
    </xf>
    <xf numFmtId="2" fontId="23" fillId="0" borderId="6" xfId="0" applyNumberFormat="1" applyFont="1" applyBorder="1" applyAlignment="1" applyProtection="1">
      <alignment horizontal="center" vertical="center" wrapText="1"/>
      <protection locked="0"/>
    </xf>
    <xf numFmtId="2" fontId="23" fillId="0" borderId="7" xfId="0" applyNumberFormat="1" applyFont="1" applyBorder="1" applyAlignment="1" applyProtection="1">
      <alignment horizontal="center" vertical="center" wrapText="1"/>
      <protection locked="0"/>
    </xf>
    <xf numFmtId="2" fontId="23" fillId="0" borderId="8" xfId="0" applyNumberFormat="1" applyFont="1" applyBorder="1" applyAlignment="1" applyProtection="1">
      <alignment horizontal="center" vertical="center" wrapText="1"/>
      <protection locked="0"/>
    </xf>
    <xf numFmtId="0" fontId="16" fillId="2" borderId="10" xfId="0" applyFont="1" applyFill="1" applyBorder="1" applyAlignment="1">
      <alignment horizontal="left" vertical="top" wrapText="1"/>
    </xf>
    <xf numFmtId="0" fontId="23" fillId="0" borderId="0" xfId="0" applyFont="1" applyAlignment="1">
      <alignment vertical="top" wrapText="1"/>
    </xf>
    <xf numFmtId="0" fontId="0" fillId="0" borderId="0" xfId="0" applyAlignment="1">
      <alignment vertical="top" wrapText="1"/>
    </xf>
    <xf numFmtId="0" fontId="58" fillId="0" borderId="3" xfId="0" applyFont="1" applyBorder="1" applyAlignment="1">
      <alignment horizontal="left" vertical="center" wrapText="1"/>
    </xf>
    <xf numFmtId="0" fontId="58" fillId="0" borderId="3" xfId="0" applyFont="1" applyBorder="1"/>
    <xf numFmtId="0" fontId="71" fillId="0" borderId="3" xfId="0" applyFont="1" applyBorder="1"/>
    <xf numFmtId="0" fontId="23" fillId="2" borderId="6" xfId="0" applyFont="1" applyFill="1" applyBorder="1" applyAlignment="1">
      <alignment horizontal="left"/>
    </xf>
    <xf numFmtId="0" fontId="23" fillId="2" borderId="7" xfId="0" applyFont="1" applyFill="1" applyBorder="1" applyAlignment="1">
      <alignment horizontal="left"/>
    </xf>
    <xf numFmtId="0" fontId="23" fillId="2" borderId="8" xfId="0" applyFont="1" applyFill="1" applyBorder="1" applyAlignment="1">
      <alignment horizontal="left"/>
    </xf>
    <xf numFmtId="0" fontId="25" fillId="0" borderId="0" xfId="0" applyFont="1" applyAlignment="1">
      <alignment horizontal="left" vertical="top" wrapText="1"/>
    </xf>
    <xf numFmtId="0" fontId="25" fillId="0" borderId="0" xfId="0" applyFont="1" applyAlignment="1">
      <alignment horizontal="left" vertical="top"/>
    </xf>
    <xf numFmtId="0" fontId="56" fillId="0" borderId="6" xfId="0" applyFont="1" applyBorder="1" applyAlignment="1">
      <alignment horizontal="left" wrapText="1"/>
    </xf>
    <xf numFmtId="0" fontId="56" fillId="0" borderId="7" xfId="0" applyFont="1" applyBorder="1" applyAlignment="1">
      <alignment horizontal="left" wrapText="1"/>
    </xf>
    <xf numFmtId="10" fontId="42" fillId="5" borderId="3" xfId="0" applyNumberFormat="1" applyFont="1" applyFill="1" applyBorder="1" applyAlignment="1">
      <alignment horizontal="right"/>
    </xf>
    <xf numFmtId="0" fontId="53" fillId="0" borderId="3" xfId="0" applyFont="1" applyBorder="1" applyAlignment="1">
      <alignment horizontal="center" vertical="center" wrapText="1"/>
    </xf>
    <xf numFmtId="2" fontId="33" fillId="5" borderId="3" xfId="0" applyNumberFormat="1" applyFont="1" applyFill="1" applyBorder="1" applyAlignment="1">
      <alignment horizontal="right"/>
    </xf>
    <xf numFmtId="2" fontId="20" fillId="5" borderId="3" xfId="0" applyNumberFormat="1" applyFont="1" applyFill="1" applyBorder="1" applyAlignment="1">
      <alignment horizontal="right"/>
    </xf>
    <xf numFmtId="7" fontId="22" fillId="5" borderId="6" xfId="0" applyNumberFormat="1" applyFont="1" applyFill="1" applyBorder="1" applyAlignment="1">
      <alignment horizontal="right"/>
    </xf>
    <xf numFmtId="7" fontId="22" fillId="5" borderId="7" xfId="0" applyNumberFormat="1" applyFont="1" applyFill="1" applyBorder="1" applyAlignment="1">
      <alignment horizontal="right"/>
    </xf>
    <xf numFmtId="7" fontId="22" fillId="5" borderId="8" xfId="0" applyNumberFormat="1" applyFont="1" applyFill="1" applyBorder="1" applyAlignment="1">
      <alignment horizontal="right"/>
    </xf>
    <xf numFmtId="0" fontId="60" fillId="2" borderId="3" xfId="0" applyFont="1" applyFill="1" applyBorder="1" applyAlignment="1">
      <alignment horizontal="center"/>
    </xf>
    <xf numFmtId="0" fontId="21" fillId="2" borderId="3" xfId="0" applyFont="1" applyFill="1" applyBorder="1" applyAlignment="1">
      <alignment horizontal="left" wrapText="1" indent="1"/>
    </xf>
    <xf numFmtId="3" fontId="23" fillId="0" borderId="6" xfId="0" applyNumberFormat="1" applyFont="1" applyBorder="1" applyAlignment="1" applyProtection="1">
      <alignment horizontal="right" vertical="center" wrapText="1"/>
      <protection locked="0"/>
    </xf>
    <xf numFmtId="3" fontId="23" fillId="0" borderId="7" xfId="0" applyNumberFormat="1" applyFont="1" applyBorder="1" applyAlignment="1" applyProtection="1">
      <alignment horizontal="right" vertical="center" wrapText="1"/>
      <protection locked="0"/>
    </xf>
    <xf numFmtId="3" fontId="23" fillId="0" borderId="8" xfId="0" applyNumberFormat="1" applyFont="1" applyBorder="1" applyAlignment="1" applyProtection="1">
      <alignment horizontal="right" vertical="center" wrapText="1"/>
      <protection locked="0"/>
    </xf>
    <xf numFmtId="164" fontId="22" fillId="5" borderId="6" xfId="0" applyNumberFormat="1" applyFont="1" applyFill="1" applyBorder="1" applyAlignment="1">
      <alignment horizontal="right"/>
    </xf>
    <xf numFmtId="164" fontId="22" fillId="5" borderId="7" xfId="0" applyNumberFormat="1" applyFont="1" applyFill="1" applyBorder="1" applyAlignment="1">
      <alignment horizontal="right"/>
    </xf>
    <xf numFmtId="164" fontId="22" fillId="5" borderId="8" xfId="0" applyNumberFormat="1" applyFont="1" applyFill="1" applyBorder="1" applyAlignment="1">
      <alignment horizontal="right"/>
    </xf>
    <xf numFmtId="164" fontId="42" fillId="0" borderId="3" xfId="0" applyNumberFormat="1" applyFont="1" applyBorder="1" applyAlignment="1" applyProtection="1">
      <alignment horizontal="right"/>
      <protection locked="0"/>
    </xf>
    <xf numFmtId="164" fontId="33" fillId="3" borderId="3" xfId="0" applyNumberFormat="1" applyFont="1" applyFill="1" applyBorder="1" applyAlignment="1">
      <alignment horizontal="right"/>
    </xf>
    <xf numFmtId="2" fontId="33" fillId="3" borderId="6" xfId="0" applyNumberFormat="1" applyFont="1" applyFill="1" applyBorder="1" applyAlignment="1">
      <alignment horizontal="right"/>
    </xf>
    <xf numFmtId="2" fontId="33" fillId="3" borderId="7" xfId="0" applyNumberFormat="1" applyFont="1" applyFill="1" applyBorder="1" applyAlignment="1">
      <alignment horizontal="right"/>
    </xf>
    <xf numFmtId="2" fontId="33" fillId="3" borderId="8" xfId="0" applyNumberFormat="1" applyFont="1" applyFill="1" applyBorder="1" applyAlignment="1">
      <alignment horizontal="right"/>
    </xf>
    <xf numFmtId="0" fontId="56" fillId="0" borderId="6" xfId="0" applyFont="1" applyBorder="1" applyAlignment="1">
      <alignment horizontal="left"/>
    </xf>
    <xf numFmtId="0" fontId="56" fillId="0" borderId="7" xfId="0" applyFont="1" applyBorder="1" applyAlignment="1">
      <alignment horizontal="left"/>
    </xf>
    <xf numFmtId="0" fontId="21" fillId="2" borderId="6" xfId="0" applyFont="1" applyFill="1" applyBorder="1" applyAlignment="1">
      <alignment horizontal="center"/>
    </xf>
    <xf numFmtId="0" fontId="21" fillId="2" borderId="7" xfId="0" applyFont="1" applyFill="1" applyBorder="1" applyAlignment="1">
      <alignment horizontal="center"/>
    </xf>
    <xf numFmtId="0" fontId="21" fillId="2" borderId="7"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4" fontId="75" fillId="0" borderId="3" xfId="0" applyNumberFormat="1" applyFont="1" applyBorder="1" applyAlignment="1" applyProtection="1">
      <alignment horizontal="right"/>
      <protection locked="0"/>
    </xf>
    <xf numFmtId="164" fontId="75" fillId="2" borderId="3" xfId="0" applyNumberFormat="1" applyFont="1" applyFill="1" applyBorder="1" applyProtection="1">
      <protection locked="0"/>
    </xf>
    <xf numFmtId="0" fontId="56" fillId="2" borderId="3" xfId="0" applyFont="1" applyFill="1" applyBorder="1" applyAlignment="1">
      <alignment horizontal="left" wrapText="1"/>
    </xf>
    <xf numFmtId="0" fontId="60" fillId="0" borderId="11" xfId="0" applyFont="1" applyBorder="1" applyAlignment="1">
      <alignment horizontal="center" vertical="center" wrapText="1"/>
    </xf>
    <xf numFmtId="0" fontId="60" fillId="0" borderId="10" xfId="0" applyFont="1" applyBorder="1" applyAlignment="1">
      <alignment horizontal="center" vertical="center" wrapText="1"/>
    </xf>
    <xf numFmtId="0" fontId="60" fillId="0" borderId="15" xfId="0" applyFont="1" applyBorder="1" applyAlignment="1">
      <alignment horizontal="center" vertical="center" wrapText="1"/>
    </xf>
    <xf numFmtId="0" fontId="60" fillId="0" borderId="16" xfId="0" applyFont="1" applyBorder="1" applyAlignment="1">
      <alignment horizontal="center" vertical="center" wrapText="1"/>
    </xf>
    <xf numFmtId="7" fontId="16" fillId="0" borderId="3" xfId="0" applyNumberFormat="1" applyFont="1" applyBorder="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6" fillId="0" borderId="7" xfId="0" applyFont="1" applyBorder="1" applyAlignment="1" applyProtection="1">
      <alignment horizontal="center" vertical="center"/>
      <protection locked="0"/>
    </xf>
    <xf numFmtId="0" fontId="16" fillId="0" borderId="8" xfId="0" applyFont="1" applyBorder="1" applyAlignment="1" applyProtection="1">
      <alignment horizontal="center" vertical="center"/>
      <protection locked="0"/>
    </xf>
    <xf numFmtId="0" fontId="23" fillId="2" borderId="10" xfId="0" applyFont="1" applyFill="1" applyBorder="1" applyAlignment="1">
      <alignment horizontal="left" vertical="top" wrapText="1"/>
    </xf>
    <xf numFmtId="0" fontId="23" fillId="0" borderId="3" xfId="0" applyFont="1" applyBorder="1" applyAlignment="1">
      <alignment vertical="top" wrapText="1"/>
    </xf>
    <xf numFmtId="0" fontId="0" fillId="0" borderId="3" xfId="0" applyBorder="1" applyAlignment="1">
      <alignment vertical="top" wrapText="1"/>
    </xf>
    <xf numFmtId="3" fontId="23" fillId="0" borderId="3" xfId="0" applyNumberFormat="1" applyFont="1" applyBorder="1" applyAlignment="1" applyProtection="1">
      <alignment horizontal="right" vertical="center" wrapText="1"/>
      <protection locked="0"/>
    </xf>
    <xf numFmtId="0" fontId="76" fillId="0" borderId="3" xfId="0" applyFont="1" applyBorder="1" applyAlignment="1">
      <alignment horizontal="center" vertical="center" wrapText="1"/>
    </xf>
    <xf numFmtId="0" fontId="73" fillId="0" borderId="3" xfId="0" applyFont="1" applyBorder="1" applyAlignment="1">
      <alignment horizontal="center" vertical="center" wrapText="1"/>
    </xf>
    <xf numFmtId="0" fontId="44" fillId="0" borderId="3" xfId="0" applyFont="1" applyBorder="1" applyAlignment="1">
      <alignment horizontal="center" vertical="center" wrapText="1"/>
    </xf>
    <xf numFmtId="164" fontId="60" fillId="5" borderId="6" xfId="0" applyNumberFormat="1" applyFont="1" applyFill="1" applyBorder="1" applyAlignment="1">
      <alignment horizontal="right"/>
    </xf>
    <xf numFmtId="164" fontId="60" fillId="5" borderId="7" xfId="0" applyNumberFormat="1" applyFont="1" applyFill="1" applyBorder="1" applyAlignment="1">
      <alignment horizontal="right"/>
    </xf>
    <xf numFmtId="164" fontId="60" fillId="5" borderId="8" xfId="0" applyNumberFormat="1" applyFont="1" applyFill="1" applyBorder="1" applyAlignment="1">
      <alignment horizontal="right"/>
    </xf>
    <xf numFmtId="0" fontId="21" fillId="2" borderId="3" xfId="0" applyFont="1" applyFill="1" applyBorder="1" applyAlignment="1">
      <alignment horizontal="left"/>
    </xf>
    <xf numFmtId="164" fontId="42" fillId="5" borderId="3" xfId="0" applyNumberFormat="1" applyFont="1" applyFill="1" applyBorder="1" applyAlignment="1">
      <alignment horizontal="right"/>
    </xf>
    <xf numFmtId="0" fontId="56" fillId="0" borderId="3" xfId="0" applyFont="1" applyBorder="1" applyAlignment="1" applyProtection="1">
      <alignment horizontal="left" wrapText="1" indent="1"/>
      <protection locked="0"/>
    </xf>
    <xf numFmtId="10" fontId="22" fillId="5" borderId="3" xfId="0" applyNumberFormat="1" applyFont="1" applyFill="1" applyBorder="1" applyAlignment="1">
      <alignment horizontal="right"/>
    </xf>
    <xf numFmtId="10" fontId="44" fillId="5" borderId="3" xfId="0" applyNumberFormat="1" applyFont="1" applyFill="1" applyBorder="1" applyAlignment="1">
      <alignment horizontal="right"/>
    </xf>
    <xf numFmtId="164" fontId="44" fillId="5" borderId="3" xfId="0" applyNumberFormat="1" applyFont="1" applyFill="1" applyBorder="1" applyAlignment="1">
      <alignment horizontal="right"/>
    </xf>
    <xf numFmtId="0" fontId="21" fillId="2" borderId="3" xfId="0" applyFont="1" applyFill="1" applyBorder="1" applyAlignment="1">
      <alignment horizontal="left" indent="1"/>
    </xf>
    <xf numFmtId="0" fontId="21" fillId="0" borderId="3" xfId="0" applyFont="1" applyBorder="1" applyAlignment="1">
      <alignment horizontal="left" indent="1"/>
    </xf>
    <xf numFmtId="4" fontId="21" fillId="0" borderId="6" xfId="0" applyNumberFormat="1" applyFont="1" applyBorder="1" applyAlignment="1" applyProtection="1">
      <alignment horizontal="right"/>
      <protection locked="0"/>
    </xf>
    <xf numFmtId="4" fontId="21" fillId="0" borderId="7" xfId="0" applyNumberFormat="1" applyFont="1" applyBorder="1" applyAlignment="1" applyProtection="1">
      <alignment horizontal="right"/>
      <protection locked="0"/>
    </xf>
    <xf numFmtId="4" fontId="21" fillId="0" borderId="8" xfId="0" applyNumberFormat="1" applyFont="1" applyBorder="1" applyAlignment="1" applyProtection="1">
      <alignment horizontal="right"/>
      <protection locked="0"/>
    </xf>
    <xf numFmtId="0" fontId="21" fillId="2" borderId="3" xfId="0" applyFont="1" applyFill="1" applyBorder="1" applyAlignment="1">
      <alignment horizontal="left" vertical="center" indent="2"/>
    </xf>
    <xf numFmtId="14" fontId="21" fillId="2" borderId="3" xfId="0" applyNumberFormat="1" applyFont="1" applyFill="1" applyBorder="1" applyAlignment="1" applyProtection="1">
      <alignment horizontal="left"/>
      <protection locked="0"/>
    </xf>
    <xf numFmtId="14" fontId="13" fillId="0" borderId="3" xfId="0" applyNumberFormat="1" applyFont="1" applyBorder="1" applyAlignment="1" applyProtection="1">
      <alignment horizontal="left"/>
      <protection locked="0"/>
    </xf>
    <xf numFmtId="0" fontId="21" fillId="2" borderId="6" xfId="0" applyFont="1" applyFill="1"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21" fillId="2" borderId="6" xfId="0" applyFont="1" applyFill="1" applyBorder="1" applyAlignment="1" applyProtection="1">
      <alignment horizontal="center"/>
      <protection locked="0"/>
    </xf>
    <xf numFmtId="164" fontId="75" fillId="5" borderId="3" xfId="0" applyNumberFormat="1" applyFont="1" applyFill="1" applyBorder="1"/>
    <xf numFmtId="0" fontId="23" fillId="2" borderId="3" xfId="0" applyFont="1" applyFill="1" applyBorder="1" applyAlignment="1">
      <alignment horizontal="left" wrapText="1"/>
    </xf>
    <xf numFmtId="0" fontId="23" fillId="0" borderId="0" xfId="0" applyFont="1" applyAlignment="1">
      <alignment horizontal="left" vertical="top" wrapText="1"/>
    </xf>
    <xf numFmtId="10" fontId="16" fillId="0" borderId="0" xfId="3" applyNumberFormat="1" applyFont="1" applyBorder="1" applyAlignment="1" applyProtection="1">
      <alignment horizontal="center" vertical="center"/>
      <protection locked="0"/>
    </xf>
    <xf numFmtId="0" fontId="23" fillId="2" borderId="3" xfId="0" applyFont="1" applyFill="1" applyBorder="1" applyAlignment="1">
      <alignment vertical="top" wrapText="1"/>
    </xf>
    <xf numFmtId="0" fontId="0" fillId="2" borderId="3" xfId="0" applyFill="1" applyBorder="1" applyAlignment="1">
      <alignment vertical="top" wrapText="1"/>
    </xf>
    <xf numFmtId="2" fontId="20" fillId="0" borderId="3" xfId="0" applyNumberFormat="1" applyFont="1" applyBorder="1" applyAlignment="1" applyProtection="1">
      <alignment horizontal="right"/>
      <protection locked="0"/>
    </xf>
    <xf numFmtId="14" fontId="23" fillId="0" borderId="15" xfId="0" applyNumberFormat="1" applyFont="1" applyBorder="1" applyAlignment="1" applyProtection="1">
      <alignment horizontal="center" vertical="center" wrapText="1"/>
      <protection locked="0"/>
    </xf>
    <xf numFmtId="14" fontId="23" fillId="0" borderId="16" xfId="0" applyNumberFormat="1" applyFont="1" applyBorder="1" applyAlignment="1" applyProtection="1">
      <alignment horizontal="center" vertical="center" wrapText="1"/>
      <protection locked="0"/>
    </xf>
    <xf numFmtId="14" fontId="23" fillId="0" borderId="5" xfId="0" applyNumberFormat="1" applyFont="1" applyBorder="1" applyAlignment="1" applyProtection="1">
      <alignment horizontal="center" vertical="center" wrapText="1"/>
      <protection locked="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3" xfId="0" applyFont="1" applyBorder="1" applyAlignment="1">
      <alignment horizontal="center" vertical="center" wrapText="1"/>
    </xf>
    <xf numFmtId="164" fontId="23" fillId="0" borderId="6" xfId="0" applyNumberFormat="1" applyFont="1" applyBorder="1" applyAlignment="1" applyProtection="1">
      <alignment horizontal="right" vertical="center" wrapText="1"/>
      <protection locked="0"/>
    </xf>
    <xf numFmtId="164" fontId="23" fillId="0" borderId="7" xfId="0" applyNumberFormat="1" applyFont="1" applyBorder="1" applyAlignment="1" applyProtection="1">
      <alignment horizontal="right" vertical="center" wrapText="1"/>
      <protection locked="0"/>
    </xf>
    <xf numFmtId="164" fontId="23" fillId="0" borderId="8" xfId="0" applyNumberFormat="1" applyFont="1" applyBorder="1" applyAlignment="1" applyProtection="1">
      <alignment horizontal="right" vertical="center" wrapText="1"/>
      <protection locked="0"/>
    </xf>
    <xf numFmtId="164" fontId="44" fillId="5" borderId="6" xfId="0" applyNumberFormat="1" applyFont="1" applyFill="1" applyBorder="1" applyAlignment="1">
      <alignment horizontal="right"/>
    </xf>
    <xf numFmtId="164" fontId="44" fillId="5" borderId="7" xfId="0" applyNumberFormat="1" applyFont="1" applyFill="1" applyBorder="1" applyAlignment="1">
      <alignment horizontal="right"/>
    </xf>
    <xf numFmtId="164" fontId="44" fillId="5" borderId="8" xfId="0" applyNumberFormat="1" applyFont="1" applyFill="1" applyBorder="1" applyAlignment="1">
      <alignment horizontal="right"/>
    </xf>
    <xf numFmtId="0" fontId="58" fillId="0" borderId="6" xfId="0" applyFont="1" applyBorder="1" applyAlignment="1">
      <alignment vertical="top" wrapText="1"/>
    </xf>
    <xf numFmtId="0" fontId="71" fillId="0" borderId="7" xfId="0" applyFont="1" applyBorder="1" applyAlignment="1">
      <alignment vertical="top"/>
    </xf>
    <xf numFmtId="0" fontId="71" fillId="0" borderId="8" xfId="0" applyFont="1" applyBorder="1" applyAlignment="1">
      <alignment vertical="top"/>
    </xf>
    <xf numFmtId="0" fontId="19" fillId="2" borderId="10" xfId="0" applyFont="1" applyFill="1" applyBorder="1" applyAlignment="1">
      <alignment horizontal="left" vertical="top"/>
    </xf>
    <xf numFmtId="0" fontId="23" fillId="0" borderId="3" xfId="0" applyFont="1" applyBorder="1" applyAlignment="1" applyProtection="1">
      <alignment horizontal="right" vertical="center" wrapText="1"/>
      <protection locked="0"/>
    </xf>
    <xf numFmtId="0" fontId="0" fillId="0" borderId="3" xfId="0" applyBorder="1" applyAlignment="1">
      <alignment vertical="top"/>
    </xf>
    <xf numFmtId="0" fontId="23" fillId="0" borderId="6" xfId="0" applyFont="1" applyBorder="1" applyAlignment="1">
      <alignment vertical="top" wrapText="1"/>
    </xf>
    <xf numFmtId="0" fontId="0" fillId="0" borderId="7" xfId="0" applyBorder="1" applyAlignment="1">
      <alignment vertical="top" wrapText="1"/>
    </xf>
    <xf numFmtId="0" fontId="0" fillId="0" borderId="8" xfId="0" applyBorder="1" applyAlignment="1">
      <alignment vertical="top" wrapText="1"/>
    </xf>
    <xf numFmtId="164" fontId="23" fillId="0" borderId="6" xfId="0" applyNumberFormat="1" applyFont="1" applyBorder="1" applyAlignment="1" applyProtection="1">
      <alignment horizontal="right" vertical="center"/>
      <protection locked="0"/>
    </xf>
    <xf numFmtId="164" fontId="23" fillId="0" borderId="7" xfId="0" applyNumberFormat="1" applyFont="1" applyBorder="1" applyAlignment="1" applyProtection="1">
      <alignment horizontal="right" vertical="center"/>
      <protection locked="0"/>
    </xf>
    <xf numFmtId="164" fontId="23" fillId="0" borderId="8" xfId="0" applyNumberFormat="1" applyFont="1" applyBorder="1" applyAlignment="1" applyProtection="1">
      <alignment horizontal="right" vertical="center"/>
      <protection locked="0"/>
    </xf>
    <xf numFmtId="0" fontId="22" fillId="0" borderId="3" xfId="0" applyFont="1" applyBorder="1" applyAlignment="1">
      <alignment horizontal="center" vertical="center" wrapText="1"/>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8" xfId="0" applyFont="1" applyBorder="1" applyAlignment="1">
      <alignment horizontal="center" vertical="center" wrapText="1"/>
    </xf>
    <xf numFmtId="0" fontId="23" fillId="0" borderId="7" xfId="0" applyFont="1" applyBorder="1" applyAlignment="1">
      <alignment vertical="top" wrapText="1"/>
    </xf>
    <xf numFmtId="0" fontId="23" fillId="0" borderId="8" xfId="0" applyFont="1" applyBorder="1" applyAlignment="1">
      <alignment vertical="top" wrapText="1"/>
    </xf>
    <xf numFmtId="0" fontId="22" fillId="2" borderId="6" xfId="0" applyFont="1" applyFill="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22" fillId="0" borderId="11" xfId="0" applyFont="1" applyBorder="1" applyAlignment="1">
      <alignment horizontal="center" vertical="center"/>
    </xf>
    <xf numFmtId="0" fontId="22" fillId="0" borderId="10" xfId="0" applyFont="1" applyBorder="1" applyAlignment="1">
      <alignment horizontal="center" vertical="center"/>
    </xf>
    <xf numFmtId="0" fontId="22" fillId="0" borderId="4" xfId="0" applyFont="1" applyBorder="1" applyAlignment="1">
      <alignment horizontal="center" vertical="center"/>
    </xf>
    <xf numFmtId="0" fontId="22" fillId="0" borderId="15" xfId="0" applyFont="1" applyBorder="1" applyAlignment="1">
      <alignment horizontal="center" vertical="center"/>
    </xf>
    <xf numFmtId="0" fontId="22" fillId="0" borderId="16" xfId="0" applyFont="1" applyBorder="1" applyAlignment="1">
      <alignment horizontal="center" vertical="center"/>
    </xf>
    <xf numFmtId="0" fontId="22" fillId="0" borderId="5" xfId="0" applyFont="1" applyBorder="1" applyAlignment="1">
      <alignment horizontal="center" vertical="center"/>
    </xf>
    <xf numFmtId="0" fontId="53" fillId="0" borderId="6" xfId="0" applyFont="1" applyBorder="1" applyAlignment="1">
      <alignment horizontal="center" vertical="center" wrapText="1"/>
    </xf>
    <xf numFmtId="0" fontId="53" fillId="0" borderId="7" xfId="0" applyFont="1" applyBorder="1" applyAlignment="1">
      <alignment horizontal="center" vertical="center" wrapText="1"/>
    </xf>
    <xf numFmtId="0" fontId="53" fillId="0" borderId="8" xfId="0" applyFont="1" applyBorder="1" applyAlignment="1">
      <alignment horizontal="center" vertical="center" wrapText="1"/>
    </xf>
    <xf numFmtId="0" fontId="23" fillId="0" borderId="6"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alignment horizontal="left" vertical="top" wrapText="1"/>
    </xf>
    <xf numFmtId="10" fontId="19" fillId="5" borderId="3" xfId="0" applyNumberFormat="1" applyFont="1" applyFill="1" applyBorder="1" applyAlignment="1">
      <alignment horizontal="right" vertical="center"/>
    </xf>
    <xf numFmtId="0" fontId="25" fillId="2" borderId="10" xfId="0" applyFont="1" applyFill="1" applyBorder="1" applyAlignment="1">
      <alignment horizontal="left" wrapText="1"/>
    </xf>
    <xf numFmtId="164" fontId="76" fillId="5" borderId="3" xfId="0" applyNumberFormat="1" applyFont="1" applyFill="1" applyBorder="1" applyAlignment="1">
      <alignment horizontal="right"/>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8" xfId="0" applyFont="1" applyBorder="1" applyAlignment="1">
      <alignment horizontal="center" vertical="center" wrapText="1"/>
    </xf>
    <xf numFmtId="0" fontId="22" fillId="2" borderId="3" xfId="0" applyFont="1" applyFill="1" applyBorder="1" applyAlignment="1">
      <alignment horizontal="center" vertical="center"/>
    </xf>
    <xf numFmtId="14" fontId="23" fillId="0" borderId="0" xfId="0" applyNumberFormat="1" applyFont="1" applyAlignment="1" applyProtection="1">
      <alignment horizontal="right" vertical="center" wrapText="1"/>
      <protection locked="0"/>
    </xf>
    <xf numFmtId="0" fontId="60" fillId="0" borderId="6" xfId="0" applyFont="1" applyBorder="1" applyAlignment="1">
      <alignment horizontal="left"/>
    </xf>
    <xf numFmtId="0" fontId="60" fillId="0" borderId="7" xfId="0" applyFont="1" applyBorder="1" applyAlignment="1">
      <alignment horizontal="left"/>
    </xf>
    <xf numFmtId="2" fontId="20" fillId="3" borderId="3" xfId="0" applyNumberFormat="1" applyFont="1" applyFill="1" applyBorder="1" applyAlignment="1">
      <alignment horizontal="right"/>
    </xf>
    <xf numFmtId="164" fontId="20" fillId="3" borderId="3" xfId="0" applyNumberFormat="1" applyFont="1" applyFill="1" applyBorder="1" applyAlignment="1">
      <alignment horizontal="right"/>
    </xf>
    <xf numFmtId="164" fontId="76" fillId="5" borderId="6" xfId="0" applyNumberFormat="1" applyFont="1" applyFill="1" applyBorder="1" applyAlignment="1">
      <alignment horizontal="right"/>
    </xf>
    <xf numFmtId="164" fontId="76" fillId="5" borderId="7" xfId="0" applyNumberFormat="1" applyFont="1" applyFill="1" applyBorder="1" applyAlignment="1">
      <alignment horizontal="right"/>
    </xf>
    <xf numFmtId="164" fontId="76" fillId="5" borderId="8" xfId="0" applyNumberFormat="1" applyFont="1" applyFill="1" applyBorder="1" applyAlignment="1">
      <alignment horizontal="right"/>
    </xf>
    <xf numFmtId="0" fontId="72" fillId="0" borderId="6" xfId="0" applyFont="1" applyBorder="1" applyAlignment="1">
      <alignment horizontal="left" vertical="center" wrapText="1"/>
    </xf>
    <xf numFmtId="0" fontId="72" fillId="0" borderId="7" xfId="0" applyFont="1" applyBorder="1" applyAlignment="1">
      <alignment horizontal="left" vertical="center" wrapText="1"/>
    </xf>
    <xf numFmtId="0" fontId="72" fillId="0" borderId="8" xfId="0" applyFont="1" applyBorder="1" applyAlignment="1">
      <alignment horizontal="left" vertical="center" wrapText="1"/>
    </xf>
    <xf numFmtId="0" fontId="56" fillId="2" borderId="6" xfId="0" applyFont="1" applyFill="1" applyBorder="1" applyAlignment="1">
      <alignment horizontal="left" wrapText="1"/>
    </xf>
    <xf numFmtId="0" fontId="56" fillId="2" borderId="7" xfId="0" applyFont="1" applyFill="1" applyBorder="1" applyAlignment="1">
      <alignment horizontal="left" wrapText="1"/>
    </xf>
    <xf numFmtId="0" fontId="56" fillId="2" borderId="8" xfId="0" applyFont="1" applyFill="1" applyBorder="1" applyAlignment="1">
      <alignment horizontal="left" wrapText="1"/>
    </xf>
    <xf numFmtId="0" fontId="60" fillId="0" borderId="6" xfId="0" applyFont="1" applyBorder="1" applyAlignment="1">
      <alignment horizontal="center" vertical="center"/>
    </xf>
    <xf numFmtId="0" fontId="60" fillId="0" borderId="7" xfId="0" applyFont="1" applyBorder="1" applyAlignment="1">
      <alignment horizontal="center" vertical="center"/>
    </xf>
    <xf numFmtId="0" fontId="60" fillId="0" borderId="8" xfId="0" applyFont="1" applyBorder="1" applyAlignment="1">
      <alignment horizontal="center" vertical="center"/>
    </xf>
    <xf numFmtId="0" fontId="53" fillId="2" borderId="3" xfId="0" applyFont="1" applyFill="1" applyBorder="1" applyAlignment="1">
      <alignment horizontal="center" vertical="center" wrapText="1"/>
    </xf>
    <xf numFmtId="0" fontId="56" fillId="0" borderId="3" xfId="0" applyFont="1" applyBorder="1" applyAlignment="1">
      <alignment horizontal="left" wrapText="1"/>
    </xf>
    <xf numFmtId="0" fontId="60" fillId="0" borderId="6" xfId="0" applyFont="1" applyBorder="1" applyAlignment="1">
      <alignment horizontal="center" vertical="center" wrapText="1"/>
    </xf>
    <xf numFmtId="0" fontId="60" fillId="0" borderId="7" xfId="0" applyFont="1" applyBorder="1" applyAlignment="1">
      <alignment horizontal="center" vertical="center" wrapText="1"/>
    </xf>
    <xf numFmtId="0" fontId="22" fillId="0" borderId="3" xfId="0" applyFont="1" applyBorder="1" applyAlignment="1">
      <alignment horizontal="center" vertical="center"/>
    </xf>
    <xf numFmtId="1" fontId="42" fillId="3" borderId="3" xfId="0" applyNumberFormat="1" applyFont="1" applyFill="1" applyBorder="1" applyAlignment="1">
      <alignment horizontal="right" wrapText="1"/>
    </xf>
    <xf numFmtId="0" fontId="73" fillId="2" borderId="3" xfId="0" applyFont="1" applyFill="1" applyBorder="1" applyAlignment="1">
      <alignment horizontal="center" vertical="center" wrapText="1"/>
    </xf>
    <xf numFmtId="14" fontId="23" fillId="0" borderId="6" xfId="0" applyNumberFormat="1" applyFont="1" applyBorder="1" applyAlignment="1" applyProtection="1">
      <alignment horizontal="right" vertical="center" wrapText="1"/>
      <protection locked="0"/>
    </xf>
    <xf numFmtId="14" fontId="23" fillId="0" borderId="7" xfId="0" applyNumberFormat="1" applyFont="1" applyBorder="1" applyAlignment="1" applyProtection="1">
      <alignment horizontal="right" vertical="center" wrapText="1"/>
      <protection locked="0"/>
    </xf>
    <xf numFmtId="14" fontId="23" fillId="0" borderId="8" xfId="0" applyNumberFormat="1" applyFont="1" applyBorder="1" applyAlignment="1" applyProtection="1">
      <alignment horizontal="right" vertical="center" wrapText="1"/>
      <protection locked="0"/>
    </xf>
    <xf numFmtId="10" fontId="44" fillId="5" borderId="6" xfId="0" applyNumberFormat="1" applyFont="1" applyFill="1" applyBorder="1" applyAlignment="1">
      <alignment horizontal="right"/>
    </xf>
    <xf numFmtId="10" fontId="44" fillId="5" borderId="7" xfId="0" applyNumberFormat="1" applyFont="1" applyFill="1" applyBorder="1" applyAlignment="1">
      <alignment horizontal="right"/>
    </xf>
    <xf numFmtId="10" fontId="44" fillId="5" borderId="8" xfId="0" applyNumberFormat="1" applyFont="1" applyFill="1" applyBorder="1" applyAlignment="1">
      <alignment horizontal="right"/>
    </xf>
    <xf numFmtId="0" fontId="23" fillId="2" borderId="3" xfId="0" applyFont="1" applyFill="1" applyBorder="1" applyAlignment="1">
      <alignment horizontal="left" vertical="top" wrapText="1"/>
    </xf>
    <xf numFmtId="0" fontId="26" fillId="0" borderId="11" xfId="0" applyFont="1" applyBorder="1" applyAlignment="1">
      <alignment horizontal="center" vertical="center"/>
    </xf>
    <xf numFmtId="0" fontId="26" fillId="0" borderId="10" xfId="0" applyFont="1" applyBorder="1" applyAlignment="1">
      <alignment horizontal="center" vertical="center"/>
    </xf>
    <xf numFmtId="0" fontId="26" fillId="0" borderId="4" xfId="0" applyFont="1" applyBorder="1" applyAlignment="1">
      <alignment horizontal="center" vertical="center"/>
    </xf>
    <xf numFmtId="0" fontId="26" fillId="0" borderId="15" xfId="0" applyFont="1" applyBorder="1" applyAlignment="1">
      <alignment horizontal="center" vertical="center"/>
    </xf>
    <xf numFmtId="0" fontId="26" fillId="0" borderId="16" xfId="0" applyFont="1" applyBorder="1" applyAlignment="1">
      <alignment horizontal="center" vertical="center"/>
    </xf>
    <xf numFmtId="0" fontId="26" fillId="0" borderId="5" xfId="0" applyFont="1" applyBorder="1" applyAlignment="1">
      <alignment horizontal="center" vertical="center"/>
    </xf>
    <xf numFmtId="0" fontId="58" fillId="0" borderId="6" xfId="0" applyFont="1" applyBorder="1" applyAlignment="1">
      <alignment horizontal="left"/>
    </xf>
    <xf numFmtId="0" fontId="58" fillId="0" borderId="7" xfId="0" applyFont="1" applyBorder="1" applyAlignment="1">
      <alignment horizontal="left"/>
    </xf>
    <xf numFmtId="0" fontId="58" fillId="0" borderId="8" xfId="0" applyFont="1" applyBorder="1" applyAlignment="1">
      <alignment horizontal="left"/>
    </xf>
    <xf numFmtId="0" fontId="23" fillId="0" borderId="6" xfId="0" applyFont="1" applyBorder="1" applyAlignment="1">
      <alignment horizontal="left"/>
    </xf>
    <xf numFmtId="0" fontId="23" fillId="0" borderId="7" xfId="0" applyFont="1" applyBorder="1" applyAlignment="1">
      <alignment horizontal="left"/>
    </xf>
    <xf numFmtId="0" fontId="23" fillId="0" borderId="8" xfId="0" applyFont="1" applyBorder="1" applyAlignment="1">
      <alignment horizontal="left"/>
    </xf>
    <xf numFmtId="3" fontId="22" fillId="5" borderId="3" xfId="0" applyNumberFormat="1" applyFont="1" applyFill="1" applyBorder="1" applyAlignment="1">
      <alignment horizontal="right"/>
    </xf>
    <xf numFmtId="0" fontId="58" fillId="2" borderId="3" xfId="0" applyFont="1" applyFill="1" applyBorder="1" applyAlignment="1">
      <alignment horizontal="left" vertical="top" wrapText="1"/>
    </xf>
    <xf numFmtId="1" fontId="23" fillId="0" borderId="3" xfId="0" applyNumberFormat="1" applyFont="1" applyBorder="1" applyAlignment="1" applyProtection="1">
      <alignment horizontal="right"/>
      <protection locked="0"/>
    </xf>
    <xf numFmtId="0" fontId="22" fillId="2" borderId="6" xfId="0" applyFont="1" applyFill="1" applyBorder="1" applyAlignment="1">
      <alignment horizontal="center"/>
    </xf>
    <xf numFmtId="0" fontId="22" fillId="2" borderId="7" xfId="0" applyFont="1" applyFill="1" applyBorder="1" applyAlignment="1">
      <alignment horizontal="center"/>
    </xf>
    <xf numFmtId="0" fontId="22" fillId="2" borderId="8" xfId="0" applyFont="1" applyFill="1" applyBorder="1" applyAlignment="1">
      <alignment horizontal="center"/>
    </xf>
    <xf numFmtId="4" fontId="22" fillId="5" borderId="6" xfId="0" applyNumberFormat="1" applyFont="1" applyFill="1" applyBorder="1" applyAlignment="1">
      <alignment horizontal="right"/>
    </xf>
    <xf numFmtId="4" fontId="22" fillId="5" borderId="7" xfId="0" applyNumberFormat="1" applyFont="1" applyFill="1" applyBorder="1" applyAlignment="1">
      <alignment horizontal="right"/>
    </xf>
    <xf numFmtId="4" fontId="22" fillId="5" borderId="8" xfId="0" applyNumberFormat="1" applyFont="1" applyFill="1" applyBorder="1" applyAlignment="1">
      <alignment horizontal="right"/>
    </xf>
    <xf numFmtId="4" fontId="23" fillId="0" borderId="3" xfId="0" applyNumberFormat="1" applyFont="1" applyBorder="1" applyAlignment="1" applyProtection="1">
      <alignment horizontal="right"/>
      <protection locked="0"/>
    </xf>
    <xf numFmtId="0" fontId="16" fillId="0" borderId="3" xfId="0" applyFont="1" applyBorder="1" applyAlignment="1">
      <alignment horizontal="center" vertical="center"/>
    </xf>
    <xf numFmtId="0" fontId="33" fillId="0" borderId="0" xfId="0" applyFont="1" applyAlignment="1">
      <alignment horizontal="left" vertical="top" wrapText="1"/>
    </xf>
    <xf numFmtId="0" fontId="34" fillId="0" borderId="0" xfId="0" applyFont="1" applyAlignment="1">
      <alignment vertical="top" wrapText="1"/>
    </xf>
    <xf numFmtId="0" fontId="16" fillId="0" borderId="0" xfId="0" applyFont="1" applyAlignment="1">
      <alignment vertical="top" wrapText="1"/>
    </xf>
    <xf numFmtId="0" fontId="35" fillId="0" borderId="0" xfId="0" applyFont="1" applyAlignment="1">
      <alignment vertical="top" wrapText="1"/>
    </xf>
    <xf numFmtId="0" fontId="23" fillId="0" borderId="3" xfId="0" applyFont="1" applyBorder="1" applyAlignment="1">
      <alignment horizontal="left"/>
    </xf>
    <xf numFmtId="1" fontId="23" fillId="3" borderId="3" xfId="0" applyNumberFormat="1" applyFont="1" applyFill="1" applyBorder="1" applyAlignment="1">
      <alignment horizontal="right"/>
    </xf>
    <xf numFmtId="0" fontId="23" fillId="0" borderId="6" xfId="0" applyFont="1" applyBorder="1" applyAlignment="1" applyProtection="1">
      <alignment horizontal="right" vertical="center"/>
      <protection locked="0"/>
    </xf>
    <xf numFmtId="0" fontId="23" fillId="0" borderId="7" xfId="0" applyFont="1" applyBorder="1" applyAlignment="1" applyProtection="1">
      <alignment horizontal="right" vertical="center"/>
      <protection locked="0"/>
    </xf>
    <xf numFmtId="0" fontId="23" fillId="0" borderId="8" xfId="0" applyFont="1" applyBorder="1" applyAlignment="1" applyProtection="1">
      <alignment horizontal="right" vertical="center"/>
      <protection locked="0"/>
    </xf>
    <xf numFmtId="0" fontId="51" fillId="0" borderId="3" xfId="0" applyFont="1" applyBorder="1" applyAlignment="1">
      <alignment horizontal="center" vertical="center" wrapText="1"/>
    </xf>
    <xf numFmtId="0" fontId="51" fillId="0" borderId="3" xfId="0" applyFont="1" applyBorder="1" applyAlignment="1">
      <alignment vertical="center"/>
    </xf>
    <xf numFmtId="0" fontId="52" fillId="0" borderId="3" xfId="0" applyFont="1" applyBorder="1" applyAlignment="1">
      <alignment vertical="center"/>
    </xf>
    <xf numFmtId="4" fontId="23" fillId="0" borderId="6" xfId="0" applyNumberFormat="1" applyFont="1" applyBorder="1" applyAlignment="1" applyProtection="1">
      <alignment horizontal="right"/>
      <protection locked="0"/>
    </xf>
    <xf numFmtId="4" fontId="23" fillId="0" borderId="7" xfId="0" applyNumberFormat="1" applyFont="1" applyBorder="1" applyAlignment="1" applyProtection="1">
      <alignment horizontal="right"/>
      <protection locked="0"/>
    </xf>
    <xf numFmtId="4" fontId="23" fillId="0" borderId="8" xfId="0" applyNumberFormat="1" applyFont="1" applyBorder="1" applyAlignment="1" applyProtection="1">
      <alignment horizontal="right"/>
      <protection locked="0"/>
    </xf>
    <xf numFmtId="4" fontId="23" fillId="0" borderId="3" xfId="0" applyNumberFormat="1" applyFont="1" applyBorder="1" applyAlignment="1" applyProtection="1">
      <alignment horizontal="right" vertical="center"/>
      <protection locked="0"/>
    </xf>
    <xf numFmtId="1" fontId="22" fillId="5" borderId="3" xfId="0" applyNumberFormat="1" applyFont="1" applyFill="1" applyBorder="1" applyAlignment="1">
      <alignment horizontal="right"/>
    </xf>
    <xf numFmtId="4" fontId="23" fillId="2" borderId="3" xfId="0" applyNumberFormat="1" applyFont="1" applyFill="1" applyBorder="1" applyAlignment="1" applyProtection="1">
      <alignment horizontal="right"/>
      <protection locked="0"/>
    </xf>
    <xf numFmtId="0" fontId="56" fillId="0" borderId="8" xfId="0" applyFont="1" applyBorder="1" applyAlignment="1">
      <alignment horizontal="left" wrapText="1"/>
    </xf>
    <xf numFmtId="1" fontId="23" fillId="0" borderId="3" xfId="0" applyNumberFormat="1" applyFont="1" applyBorder="1" applyAlignment="1" applyProtection="1">
      <alignment horizontal="right" vertical="center"/>
      <protection locked="0"/>
    </xf>
    <xf numFmtId="0" fontId="54" fillId="0" borderId="3" xfId="0" applyFont="1" applyBorder="1" applyAlignment="1">
      <alignment horizontal="center" vertical="center" wrapText="1"/>
    </xf>
    <xf numFmtId="0" fontId="54" fillId="0" borderId="3" xfId="0" applyFont="1" applyBorder="1" applyAlignment="1">
      <alignment horizontal="center" vertical="center"/>
    </xf>
    <xf numFmtId="0" fontId="26" fillId="2" borderId="3" xfId="0" applyFont="1" applyFill="1" applyBorder="1" applyAlignment="1">
      <alignment horizontal="center"/>
    </xf>
    <xf numFmtId="0" fontId="0" fillId="0" borderId="3" xfId="0" applyBorder="1" applyAlignment="1">
      <alignment horizontal="center"/>
    </xf>
    <xf numFmtId="14" fontId="22" fillId="2" borderId="3" xfId="0" applyNumberFormat="1" applyFont="1" applyFill="1" applyBorder="1" applyAlignment="1">
      <alignment horizontal="center"/>
    </xf>
    <xf numFmtId="0" fontId="15" fillId="0" borderId="3" xfId="0" applyFont="1" applyBorder="1" applyAlignment="1">
      <alignment horizontal="center"/>
    </xf>
    <xf numFmtId="0" fontId="24" fillId="2" borderId="0" xfId="0" applyFont="1" applyFill="1" applyAlignment="1">
      <alignment vertical="top" wrapText="1"/>
    </xf>
    <xf numFmtId="0" fontId="23" fillId="0" borderId="3" xfId="0" applyFont="1" applyBorder="1" applyAlignment="1" applyProtection="1">
      <alignment horizontal="left"/>
      <protection locked="0"/>
    </xf>
    <xf numFmtId="0" fontId="23" fillId="2" borderId="3" xfId="0" applyFont="1" applyFill="1" applyBorder="1" applyAlignment="1" applyProtection="1">
      <alignment horizontal="center"/>
      <protection locked="0"/>
    </xf>
    <xf numFmtId="0" fontId="58" fillId="0" borderId="3" xfId="0" applyFont="1" applyBorder="1" applyAlignment="1">
      <alignment horizontal="left"/>
    </xf>
    <xf numFmtId="0" fontId="23" fillId="0" borderId="3" xfId="0" applyFont="1" applyBorder="1" applyAlignment="1">
      <alignment horizontal="left" indent="1"/>
    </xf>
    <xf numFmtId="0" fontId="19" fillId="2" borderId="0" xfId="0" applyFont="1" applyFill="1" applyAlignment="1">
      <alignment horizontal="left" vertical="top" wrapText="1"/>
    </xf>
    <xf numFmtId="4" fontId="22" fillId="5" borderId="3" xfId="0" applyNumberFormat="1" applyFont="1" applyFill="1" applyBorder="1" applyAlignment="1">
      <alignment horizontal="right"/>
    </xf>
    <xf numFmtId="1" fontId="22" fillId="5" borderId="3" xfId="0" applyNumberFormat="1" applyFont="1" applyFill="1" applyBorder="1" applyAlignment="1">
      <alignment horizontal="right" vertical="center"/>
    </xf>
    <xf numFmtId="4" fontId="22" fillId="5" borderId="6" xfId="0" applyNumberFormat="1" applyFont="1" applyFill="1" applyBorder="1" applyAlignment="1">
      <alignment horizontal="right" vertical="center"/>
    </xf>
    <xf numFmtId="4" fontId="22" fillId="5" borderId="7" xfId="0" applyNumberFormat="1" applyFont="1" applyFill="1" applyBorder="1" applyAlignment="1">
      <alignment horizontal="right" vertical="center"/>
    </xf>
    <xf numFmtId="4" fontId="22" fillId="5" borderId="8" xfId="0" applyNumberFormat="1" applyFont="1" applyFill="1" applyBorder="1" applyAlignment="1">
      <alignment horizontal="right" vertical="center"/>
    </xf>
    <xf numFmtId="4" fontId="23" fillId="5" borderId="3" xfId="0" applyNumberFormat="1" applyFont="1" applyFill="1" applyBorder="1" applyAlignment="1">
      <alignment horizontal="right"/>
    </xf>
    <xf numFmtId="0" fontId="22" fillId="0" borderId="3" xfId="0" applyFont="1" applyBorder="1" applyAlignment="1">
      <alignment horizontal="center"/>
    </xf>
    <xf numFmtId="0" fontId="22" fillId="0" borderId="3" xfId="0" applyFont="1" applyBorder="1"/>
    <xf numFmtId="0" fontId="25" fillId="0" borderId="0" xfId="0" applyFont="1" applyAlignment="1">
      <alignment horizontal="left"/>
    </xf>
    <xf numFmtId="0" fontId="19" fillId="2" borderId="0" xfId="0" applyFont="1" applyFill="1" applyAlignment="1">
      <alignment horizontal="left"/>
    </xf>
    <xf numFmtId="4" fontId="23" fillId="2" borderId="3" xfId="0" applyNumberFormat="1" applyFont="1" applyFill="1" applyBorder="1" applyAlignment="1" applyProtection="1">
      <alignment horizontal="center"/>
      <protection locked="0"/>
    </xf>
    <xf numFmtId="4" fontId="23" fillId="0" borderId="3" xfId="0" applyNumberFormat="1" applyFont="1" applyBorder="1" applyAlignment="1" applyProtection="1">
      <alignment horizontal="center"/>
      <protection locked="0"/>
    </xf>
    <xf numFmtId="0" fontId="54" fillId="0" borderId="6" xfId="0" applyFont="1" applyBorder="1" applyAlignment="1">
      <alignment horizontal="center" vertical="center" wrapText="1"/>
    </xf>
    <xf numFmtId="0" fontId="54" fillId="0" borderId="7" xfId="0" applyFont="1" applyBorder="1" applyAlignment="1">
      <alignment horizontal="center" vertical="center" wrapText="1"/>
    </xf>
    <xf numFmtId="0" fontId="54" fillId="0" borderId="8" xfId="0" applyFont="1" applyBorder="1" applyAlignment="1">
      <alignment horizontal="center" vertical="center" wrapText="1"/>
    </xf>
    <xf numFmtId="0" fontId="16" fillId="2" borderId="0" xfId="0" applyFont="1" applyFill="1" applyAlignment="1">
      <alignment horizontal="center"/>
    </xf>
    <xf numFmtId="0" fontId="16" fillId="2" borderId="0" xfId="0" applyFont="1" applyFill="1" applyAlignment="1">
      <alignment horizontal="center" vertical="top"/>
    </xf>
    <xf numFmtId="0" fontId="0" fillId="2" borderId="0" xfId="0" applyFill="1" applyAlignment="1">
      <alignment horizontal="center" vertical="top"/>
    </xf>
    <xf numFmtId="0" fontId="30" fillId="2" borderId="11" xfId="0" applyFont="1" applyFill="1" applyBorder="1"/>
    <xf numFmtId="0" fontId="31" fillId="2" borderId="10" xfId="0" applyFont="1" applyFill="1" applyBorder="1"/>
    <xf numFmtId="0" fontId="23" fillId="0" borderId="6" xfId="0" applyFont="1" applyBorder="1" applyProtection="1">
      <protection locked="0"/>
    </xf>
    <xf numFmtId="0" fontId="23" fillId="0" borderId="7" xfId="0" applyFont="1" applyBorder="1" applyProtection="1">
      <protection locked="0"/>
    </xf>
    <xf numFmtId="0" fontId="23" fillId="0" borderId="8" xfId="0" applyFont="1" applyBorder="1" applyProtection="1">
      <protection locked="0"/>
    </xf>
    <xf numFmtId="0" fontId="23" fillId="2" borderId="6" xfId="0" applyFont="1" applyFill="1" applyBorder="1" applyProtection="1">
      <protection locked="0"/>
    </xf>
    <xf numFmtId="0" fontId="23" fillId="2" borderId="7" xfId="0" applyFont="1" applyFill="1" applyBorder="1" applyProtection="1">
      <protection locked="0"/>
    </xf>
    <xf numFmtId="0" fontId="23" fillId="2" borderId="8" xfId="0" applyFont="1" applyFill="1" applyBorder="1" applyProtection="1">
      <protection locked="0"/>
    </xf>
    <xf numFmtId="0" fontId="50" fillId="2" borderId="0" xfId="0" applyFont="1" applyFill="1" applyAlignment="1">
      <alignment horizontal="left" vertical="top" wrapText="1"/>
    </xf>
    <xf numFmtId="0" fontId="50" fillId="0" borderId="0" xfId="0" applyFont="1" applyAlignment="1">
      <alignment horizontal="left" vertical="top" wrapText="1"/>
    </xf>
    <xf numFmtId="0" fontId="21" fillId="2" borderId="11" xfId="0" applyFont="1" applyFill="1" applyBorder="1" applyAlignment="1">
      <alignment horizontal="left" wrapText="1"/>
    </xf>
    <xf numFmtId="0" fontId="21" fillId="2" borderId="10" xfId="0" applyFont="1" applyFill="1" applyBorder="1" applyAlignment="1">
      <alignment horizontal="left" wrapText="1"/>
    </xf>
    <xf numFmtId="0" fontId="21" fillId="2" borderId="4" xfId="0" applyFont="1" applyFill="1" applyBorder="1" applyAlignment="1">
      <alignment horizontal="left" wrapText="1"/>
    </xf>
    <xf numFmtId="0" fontId="21" fillId="2" borderId="9" xfId="0" applyFont="1" applyFill="1" applyBorder="1" applyAlignment="1">
      <alignment horizontal="left" wrapText="1"/>
    </xf>
    <xf numFmtId="0" fontId="21" fillId="2" borderId="0" xfId="0" applyFont="1" applyFill="1" applyAlignment="1">
      <alignment horizontal="left" wrapText="1"/>
    </xf>
    <xf numFmtId="0" fontId="21" fillId="2" borderId="17" xfId="0" applyFont="1" applyFill="1" applyBorder="1" applyAlignment="1">
      <alignment horizontal="left" wrapText="1"/>
    </xf>
    <xf numFmtId="0" fontId="23" fillId="2" borderId="3" xfId="0" applyFont="1" applyFill="1" applyBorder="1" applyProtection="1">
      <protection locked="0"/>
    </xf>
    <xf numFmtId="0" fontId="0" fillId="0" borderId="7" xfId="0" applyBorder="1" applyProtection="1">
      <protection locked="0"/>
    </xf>
    <xf numFmtId="0" fontId="0" fillId="0" borderId="8" xfId="0" applyBorder="1" applyProtection="1">
      <protection locked="0"/>
    </xf>
    <xf numFmtId="49" fontId="23" fillId="2" borderId="3" xfId="0" applyNumberFormat="1" applyFont="1" applyFill="1" applyBorder="1" applyAlignment="1" applyProtection="1">
      <alignment horizontal="center"/>
      <protection locked="0"/>
    </xf>
    <xf numFmtId="164" fontId="21" fillId="2" borderId="10" xfId="0" applyNumberFormat="1" applyFont="1" applyFill="1" applyBorder="1" applyAlignment="1" applyProtection="1">
      <alignment horizontal="right" vertical="center"/>
      <protection locked="0"/>
    </xf>
    <xf numFmtId="164" fontId="21" fillId="2" borderId="4" xfId="0" applyNumberFormat="1" applyFont="1" applyFill="1" applyBorder="1" applyAlignment="1" applyProtection="1">
      <alignment horizontal="right" vertical="center"/>
      <protection locked="0"/>
    </xf>
    <xf numFmtId="164" fontId="21" fillId="2" borderId="2" xfId="0" applyNumberFormat="1" applyFont="1" applyFill="1" applyBorder="1" applyAlignment="1" applyProtection="1">
      <alignment horizontal="right" vertical="center"/>
      <protection locked="0"/>
    </xf>
    <xf numFmtId="164" fontId="21" fillId="2" borderId="12" xfId="0" applyNumberFormat="1" applyFont="1" applyFill="1" applyBorder="1" applyAlignment="1" applyProtection="1">
      <alignment horizontal="right" vertical="center"/>
      <protection locked="0"/>
    </xf>
    <xf numFmtId="0" fontId="23" fillId="5" borderId="3" xfId="0" applyFont="1" applyFill="1" applyBorder="1" applyAlignment="1">
      <alignment horizontal="center"/>
    </xf>
    <xf numFmtId="0" fontId="25" fillId="2" borderId="0" xfId="0" applyFont="1" applyFill="1" applyAlignment="1">
      <alignment vertical="top" wrapText="1"/>
    </xf>
    <xf numFmtId="0" fontId="25" fillId="2" borderId="0" xfId="0" applyFont="1" applyFill="1"/>
    <xf numFmtId="10" fontId="21" fillId="5" borderId="3" xfId="0" applyNumberFormat="1" applyFont="1" applyFill="1" applyBorder="1" applyAlignment="1">
      <alignment horizontal="right" vertical="center"/>
    </xf>
    <xf numFmtId="0" fontId="21" fillId="5" borderId="3" xfId="0" applyFont="1" applyFill="1" applyBorder="1" applyAlignment="1">
      <alignment horizontal="right" vertical="center"/>
    </xf>
    <xf numFmtId="10" fontId="21" fillId="2" borderId="0" xfId="0" applyNumberFormat="1" applyFont="1" applyFill="1"/>
    <xf numFmtId="0" fontId="21" fillId="2" borderId="0" xfId="0" applyFont="1" applyFill="1"/>
    <xf numFmtId="0" fontId="24" fillId="2" borderId="0" xfId="0" applyFont="1" applyFill="1"/>
    <xf numFmtId="0" fontId="21" fillId="2" borderId="3" xfId="0" applyFont="1" applyFill="1" applyBorder="1" applyAlignment="1">
      <alignment horizontal="left" wrapText="1"/>
    </xf>
    <xf numFmtId="0" fontId="21" fillId="2" borderId="3" xfId="0" applyFont="1" applyFill="1" applyBorder="1" applyAlignment="1">
      <alignment horizontal="left" vertical="center" wrapText="1"/>
    </xf>
    <xf numFmtId="0" fontId="23" fillId="2" borderId="11" xfId="0" applyFont="1" applyFill="1" applyBorder="1" applyAlignment="1">
      <alignment horizontal="left" vertical="center"/>
    </xf>
    <xf numFmtId="0" fontId="0" fillId="0" borderId="10" xfId="0" applyBorder="1" applyAlignment="1">
      <alignment horizontal="left" vertical="center"/>
    </xf>
    <xf numFmtId="0" fontId="0" fillId="0" borderId="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23" fillId="2" borderId="18" xfId="0" applyFont="1" applyFill="1" applyBorder="1" applyAlignment="1" applyProtection="1">
      <alignment horizontal="left" vertical="top" wrapText="1"/>
      <protection locked="0"/>
    </xf>
    <xf numFmtId="0" fontId="23" fillId="2" borderId="19" xfId="0" applyFont="1" applyFill="1" applyBorder="1" applyAlignment="1" applyProtection="1">
      <alignment horizontal="left" vertical="top" wrapText="1"/>
      <protection locked="0"/>
    </xf>
    <xf numFmtId="0" fontId="23" fillId="2" borderId="20" xfId="0" applyFont="1" applyFill="1" applyBorder="1" applyAlignment="1" applyProtection="1">
      <alignment horizontal="left" vertical="top" wrapText="1"/>
      <protection locked="0"/>
    </xf>
    <xf numFmtId="0" fontId="23" fillId="2" borderId="3" xfId="0" applyFont="1" applyFill="1" applyBorder="1" applyAlignment="1" applyProtection="1">
      <alignment horizontal="left"/>
      <protection locked="0"/>
    </xf>
    <xf numFmtId="0" fontId="0" fillId="0" borderId="3" xfId="0" applyBorder="1" applyProtection="1">
      <protection locked="0"/>
    </xf>
    <xf numFmtId="0" fontId="23" fillId="2" borderId="21" xfId="0" applyFont="1" applyFill="1" applyBorder="1" applyAlignment="1" applyProtection="1">
      <alignment horizontal="left"/>
      <protection locked="0"/>
    </xf>
    <xf numFmtId="0" fontId="23" fillId="2" borderId="22" xfId="0" applyFont="1" applyFill="1" applyBorder="1" applyAlignment="1" applyProtection="1">
      <alignment horizontal="left"/>
      <protection locked="0"/>
    </xf>
    <xf numFmtId="0" fontId="23" fillId="2" borderId="23" xfId="0" applyFont="1" applyFill="1" applyBorder="1" applyAlignment="1" applyProtection="1">
      <alignment horizontal="left"/>
      <protection locked="0"/>
    </xf>
    <xf numFmtId="0" fontId="0" fillId="2" borderId="10" xfId="0" applyFill="1" applyBorder="1" applyProtection="1">
      <protection locked="0"/>
    </xf>
    <xf numFmtId="0" fontId="23" fillId="0" borderId="3" xfId="0" applyFont="1" applyBorder="1" applyAlignment="1" applyProtection="1">
      <alignment horizontal="center"/>
      <protection locked="0"/>
    </xf>
    <xf numFmtId="49" fontId="23" fillId="2" borderId="6" xfId="0" applyNumberFormat="1" applyFont="1" applyFill="1" applyBorder="1" applyAlignment="1" applyProtection="1">
      <alignment horizontal="center"/>
      <protection locked="0"/>
    </xf>
    <xf numFmtId="49" fontId="23" fillId="2" borderId="7" xfId="0" applyNumberFormat="1" applyFont="1" applyFill="1" applyBorder="1" applyAlignment="1" applyProtection="1">
      <alignment horizontal="center"/>
      <protection locked="0"/>
    </xf>
    <xf numFmtId="49" fontId="23" fillId="2" borderId="8" xfId="0" applyNumberFormat="1" applyFont="1" applyFill="1" applyBorder="1" applyAlignment="1" applyProtection="1">
      <alignment horizontal="center"/>
      <protection locked="0"/>
    </xf>
    <xf numFmtId="0" fontId="23" fillId="0" borderId="3" xfId="0" applyFont="1" applyBorder="1" applyAlignment="1" applyProtection="1">
      <alignment vertical="center"/>
      <protection locked="0"/>
    </xf>
    <xf numFmtId="3" fontId="23" fillId="0" borderId="0" xfId="0" applyNumberFormat="1" applyFont="1" applyAlignment="1" applyProtection="1">
      <alignment horizontal="right" vertical="center" wrapText="1"/>
      <protection locked="0"/>
    </xf>
    <xf numFmtId="166" fontId="21" fillId="2" borderId="3" xfId="0" applyNumberFormat="1" applyFont="1" applyFill="1" applyBorder="1" applyAlignment="1" applyProtection="1">
      <alignment horizontal="right" vertical="center"/>
      <protection locked="0"/>
    </xf>
    <xf numFmtId="0" fontId="25" fillId="2" borderId="0" xfId="0" applyFont="1" applyFill="1" applyAlignment="1">
      <alignment horizontal="left" vertical="top" wrapText="1"/>
    </xf>
    <xf numFmtId="0" fontId="23" fillId="0" borderId="6" xfId="0" applyFont="1" applyBorder="1" applyAlignment="1" applyProtection="1">
      <alignment horizontal="left" vertical="center"/>
      <protection locked="0"/>
    </xf>
    <xf numFmtId="0" fontId="23" fillId="0" borderId="7" xfId="0" applyFont="1" applyBorder="1" applyAlignment="1" applyProtection="1">
      <alignment horizontal="left" vertical="center"/>
      <protection locked="0"/>
    </xf>
    <xf numFmtId="0" fontId="23" fillId="0" borderId="8" xfId="0" applyFont="1" applyBorder="1" applyAlignment="1" applyProtection="1">
      <alignment horizontal="left" vertical="center"/>
      <protection locked="0"/>
    </xf>
    <xf numFmtId="0" fontId="23" fillId="2" borderId="6" xfId="0" applyFont="1" applyFill="1" applyBorder="1" applyAlignment="1" applyProtection="1">
      <alignment horizontal="right"/>
      <protection locked="0"/>
    </xf>
    <xf numFmtId="0" fontId="0" fillId="0" borderId="7" xfId="0" applyBorder="1" applyAlignment="1" applyProtection="1">
      <alignment horizontal="right"/>
      <protection locked="0"/>
    </xf>
    <xf numFmtId="0" fontId="0" fillId="0" borderId="8" xfId="0" applyBorder="1" applyAlignment="1" applyProtection="1">
      <alignment horizontal="right"/>
      <protection locked="0"/>
    </xf>
    <xf numFmtId="0" fontId="21" fillId="2" borderId="13" xfId="0" applyFont="1" applyFill="1" applyBorder="1" applyAlignment="1">
      <alignment horizontal="left" vertical="top" wrapText="1" indent="1"/>
    </xf>
    <xf numFmtId="0" fontId="21" fillId="2" borderId="1" xfId="0" applyFont="1" applyFill="1" applyBorder="1" applyAlignment="1">
      <alignment horizontal="left" vertical="top" wrapText="1" indent="1"/>
    </xf>
    <xf numFmtId="0" fontId="21" fillId="2" borderId="14" xfId="0" applyFont="1" applyFill="1" applyBorder="1" applyAlignment="1">
      <alignment horizontal="left" vertical="top" wrapText="1" indent="1"/>
    </xf>
    <xf numFmtId="0" fontId="21" fillId="2" borderId="15" xfId="0" applyFont="1" applyFill="1" applyBorder="1" applyAlignment="1">
      <alignment horizontal="left" vertical="top" wrapText="1" indent="1"/>
    </xf>
    <xf numFmtId="0" fontId="21" fillId="2" borderId="16" xfId="0" applyFont="1" applyFill="1" applyBorder="1" applyAlignment="1">
      <alignment horizontal="left" vertical="top" wrapText="1" indent="1"/>
    </xf>
    <xf numFmtId="0" fontId="21" fillId="2" borderId="5" xfId="0" applyFont="1" applyFill="1" applyBorder="1" applyAlignment="1">
      <alignment horizontal="left" vertical="top" wrapText="1" indent="1"/>
    </xf>
    <xf numFmtId="164" fontId="21" fillId="2" borderId="1" xfId="0" applyNumberFormat="1" applyFont="1" applyFill="1" applyBorder="1" applyAlignment="1" applyProtection="1">
      <alignment horizontal="right" vertical="center"/>
      <protection locked="0"/>
    </xf>
    <xf numFmtId="164" fontId="21" fillId="2" borderId="14" xfId="0" applyNumberFormat="1" applyFont="1" applyFill="1" applyBorder="1" applyAlignment="1" applyProtection="1">
      <alignment horizontal="right" vertical="center"/>
      <protection locked="0"/>
    </xf>
    <xf numFmtId="164" fontId="21" fillId="2" borderId="16" xfId="0" applyNumberFormat="1" applyFont="1" applyFill="1" applyBorder="1" applyAlignment="1" applyProtection="1">
      <alignment horizontal="right" vertical="center"/>
      <protection locked="0"/>
    </xf>
    <xf numFmtId="164" fontId="21" fillId="2" borderId="5" xfId="0" applyNumberFormat="1" applyFont="1" applyFill="1" applyBorder="1" applyAlignment="1" applyProtection="1">
      <alignment horizontal="right" vertical="center"/>
      <protection locked="0"/>
    </xf>
    <xf numFmtId="0" fontId="18" fillId="0" borderId="0" xfId="0" applyFont="1"/>
    <xf numFmtId="49" fontId="23" fillId="2" borderId="3" xfId="0" applyNumberFormat="1" applyFont="1" applyFill="1" applyBorder="1" applyAlignment="1" applyProtection="1">
      <alignment horizontal="center" vertical="center"/>
      <protection locked="0"/>
    </xf>
    <xf numFmtId="0" fontId="15" fillId="2" borderId="0" xfId="0" applyFont="1" applyFill="1" applyAlignment="1">
      <alignment horizontal="center"/>
    </xf>
    <xf numFmtId="165" fontId="23" fillId="0" borderId="3" xfId="0" applyNumberFormat="1" applyFont="1" applyBorder="1" applyProtection="1">
      <protection locked="0"/>
    </xf>
    <xf numFmtId="0" fontId="16" fillId="2" borderId="0" xfId="0" applyFont="1" applyFill="1" applyAlignment="1">
      <alignment horizontal="center" wrapText="1"/>
    </xf>
    <xf numFmtId="0" fontId="23" fillId="0" borderId="3" xfId="0" applyFont="1" applyBorder="1" applyProtection="1">
      <protection locked="0"/>
    </xf>
    <xf numFmtId="0" fontId="82" fillId="2" borderId="0" xfId="0" applyFont="1" applyFill="1" applyAlignment="1">
      <alignment horizontal="center" vertical="top" wrapText="1"/>
    </xf>
    <xf numFmtId="0" fontId="82" fillId="2" borderId="0" xfId="0" applyFont="1" applyFill="1" applyAlignment="1">
      <alignment horizontal="center" vertical="top"/>
    </xf>
    <xf numFmtId="14" fontId="23" fillId="0" borderId="7" xfId="0" applyNumberFormat="1" applyFont="1" applyBorder="1" applyAlignment="1" applyProtection="1">
      <alignment horizontal="center" vertical="center"/>
      <protection locked="0"/>
    </xf>
    <xf numFmtId="14" fontId="23" fillId="0" borderId="8" xfId="0" applyNumberFormat="1" applyFont="1" applyBorder="1" applyAlignment="1" applyProtection="1">
      <alignment horizontal="center" vertical="center"/>
      <protection locked="0"/>
    </xf>
    <xf numFmtId="0" fontId="16" fillId="2" borderId="10" xfId="0" applyFont="1" applyFill="1" applyBorder="1" applyAlignment="1">
      <alignment horizontal="center" vertical="top" wrapText="1"/>
    </xf>
    <xf numFmtId="0" fontId="16" fillId="0" borderId="10" xfId="0" applyFont="1" applyBorder="1" applyAlignment="1">
      <alignment horizontal="center" vertical="top" wrapText="1"/>
    </xf>
    <xf numFmtId="0" fontId="16" fillId="0" borderId="0" xfId="0" applyFont="1" applyAlignment="1">
      <alignment wrapText="1"/>
    </xf>
    <xf numFmtId="0" fontId="23" fillId="2" borderId="3" xfId="0" applyFont="1" applyFill="1" applyBorder="1" applyAlignment="1" applyProtection="1">
      <alignment horizontal="center" vertical="center" wrapText="1"/>
      <protection locked="0"/>
    </xf>
    <xf numFmtId="0" fontId="23" fillId="0" borderId="3" xfId="0" applyFont="1" applyBorder="1" applyAlignment="1" applyProtection="1">
      <alignment horizontal="center" vertical="center" wrapText="1"/>
      <protection locked="0"/>
    </xf>
    <xf numFmtId="0" fontId="16" fillId="0" borderId="10" xfId="0" applyFont="1" applyBorder="1" applyAlignment="1">
      <alignment horizontal="center"/>
    </xf>
    <xf numFmtId="0" fontId="44" fillId="2" borderId="0" xfId="0" applyFont="1" applyFill="1" applyAlignment="1">
      <alignment horizontal="center" vertical="top"/>
    </xf>
    <xf numFmtId="0" fontId="23" fillId="0" borderId="6" xfId="0" applyFont="1" applyBorder="1" applyAlignment="1" applyProtection="1">
      <alignment horizontal="center"/>
      <protection locked="0"/>
    </xf>
    <xf numFmtId="0" fontId="23" fillId="0" borderId="7" xfId="0" applyFont="1" applyBorder="1" applyAlignment="1" applyProtection="1">
      <alignment horizontal="center"/>
      <protection locked="0"/>
    </xf>
    <xf numFmtId="0" fontId="23" fillId="0" borderId="8" xfId="0" applyFont="1" applyBorder="1" applyAlignment="1" applyProtection="1">
      <alignment horizontal="center"/>
      <protection locked="0"/>
    </xf>
    <xf numFmtId="0" fontId="76" fillId="2" borderId="0" xfId="0" applyFont="1" applyFill="1" applyAlignment="1">
      <alignment horizontal="left" vertical="top" wrapText="1"/>
    </xf>
    <xf numFmtId="0" fontId="46" fillId="0" borderId="0" xfId="0" applyFont="1" applyAlignment="1">
      <alignment vertical="top" wrapText="1"/>
    </xf>
    <xf numFmtId="0" fontId="21" fillId="0" borderId="0" xfId="0" applyFont="1" applyAlignment="1">
      <alignment vertical="top" wrapText="1"/>
    </xf>
    <xf numFmtId="0" fontId="0" fillId="0" borderId="0" xfId="0"/>
    <xf numFmtId="0" fontId="46" fillId="0" borderId="0" xfId="0" applyFont="1" applyAlignment="1">
      <alignment horizontal="left" vertical="top" wrapText="1"/>
    </xf>
    <xf numFmtId="0" fontId="45" fillId="0" borderId="0" xfId="0" applyFont="1" applyAlignment="1">
      <alignment vertical="top" wrapText="1"/>
    </xf>
    <xf numFmtId="0" fontId="10" fillId="0" borderId="0" xfId="0" applyFont="1" applyAlignment="1">
      <alignment vertical="top" wrapText="1"/>
    </xf>
    <xf numFmtId="0" fontId="46" fillId="2" borderId="0" xfId="0" applyFont="1" applyFill="1" applyAlignment="1">
      <alignment vertical="top" wrapText="1"/>
    </xf>
    <xf numFmtId="49" fontId="23" fillId="0" borderId="6" xfId="0" applyNumberFormat="1" applyFont="1" applyBorder="1" applyAlignment="1" applyProtection="1">
      <alignment horizontal="center" vertical="center"/>
      <protection locked="0"/>
    </xf>
    <xf numFmtId="49" fontId="23" fillId="0" borderId="7" xfId="0" applyNumberFormat="1" applyFont="1" applyBorder="1" applyAlignment="1" applyProtection="1">
      <alignment horizontal="center" vertical="center"/>
      <protection locked="0"/>
    </xf>
    <xf numFmtId="49" fontId="23" fillId="0" borderId="8" xfId="0" applyNumberFormat="1" applyFont="1" applyBorder="1" applyAlignment="1" applyProtection="1">
      <alignment horizontal="center" vertical="center"/>
      <protection locked="0"/>
    </xf>
    <xf numFmtId="164" fontId="21" fillId="5" borderId="3" xfId="0" applyNumberFormat="1" applyFont="1" applyFill="1" applyBorder="1" applyAlignment="1">
      <alignment horizontal="center"/>
    </xf>
    <xf numFmtId="164" fontId="23" fillId="0" borderId="3" xfId="0" applyNumberFormat="1" applyFont="1" applyBorder="1" applyAlignment="1" applyProtection="1">
      <alignment horizontal="center" vertical="center" wrapText="1"/>
      <protection locked="0"/>
    </xf>
    <xf numFmtId="0" fontId="23" fillId="2" borderId="3" xfId="0" applyFont="1" applyFill="1" applyBorder="1" applyAlignment="1" applyProtection="1">
      <alignment horizontal="center" vertical="top" wrapText="1"/>
      <protection locked="0"/>
    </xf>
    <xf numFmtId="0" fontId="46" fillId="0" borderId="0" xfId="0" applyFont="1" applyAlignment="1">
      <alignment horizontal="left" vertical="center" wrapText="1"/>
    </xf>
    <xf numFmtId="164" fontId="23" fillId="0" borderId="11" xfId="0" applyNumberFormat="1" applyFont="1" applyBorder="1" applyAlignment="1" applyProtection="1">
      <alignment horizontal="right" vertical="center" wrapText="1"/>
      <protection locked="0"/>
    </xf>
    <xf numFmtId="164" fontId="23" fillId="0" borderId="10" xfId="0" applyNumberFormat="1" applyFont="1" applyBorder="1" applyAlignment="1" applyProtection="1">
      <alignment horizontal="right" vertical="center" wrapText="1"/>
      <protection locked="0"/>
    </xf>
    <xf numFmtId="164" fontId="23" fillId="0" borderId="4" xfId="0" applyNumberFormat="1" applyFont="1" applyBorder="1" applyAlignment="1" applyProtection="1">
      <alignment horizontal="right" vertical="center" wrapText="1"/>
      <protection locked="0"/>
    </xf>
    <xf numFmtId="164" fontId="23" fillId="0" borderId="15" xfId="0" applyNumberFormat="1" applyFont="1" applyBorder="1" applyAlignment="1" applyProtection="1">
      <alignment horizontal="right" vertical="center" wrapText="1"/>
      <protection locked="0"/>
    </xf>
    <xf numFmtId="164" fontId="23" fillId="0" borderId="16" xfId="0" applyNumberFormat="1" applyFont="1" applyBorder="1" applyAlignment="1" applyProtection="1">
      <alignment horizontal="right" vertical="center" wrapText="1"/>
      <protection locked="0"/>
    </xf>
    <xf numFmtId="164" fontId="23" fillId="0" borderId="5" xfId="0" applyNumberFormat="1" applyFont="1" applyBorder="1" applyAlignment="1" applyProtection="1">
      <alignment horizontal="right" vertical="center" wrapText="1"/>
      <protection locked="0"/>
    </xf>
    <xf numFmtId="4" fontId="19" fillId="5" borderId="28" xfId="0" applyNumberFormat="1" applyFont="1" applyFill="1" applyBorder="1" applyAlignment="1">
      <alignment horizontal="right" vertical="center"/>
    </xf>
    <xf numFmtId="9" fontId="19" fillId="5" borderId="28" xfId="0" applyNumberFormat="1" applyFont="1" applyFill="1" applyBorder="1" applyAlignment="1">
      <alignment horizontal="right" vertical="center"/>
    </xf>
    <xf numFmtId="0" fontId="19" fillId="5" borderId="28" xfId="0" applyFont="1" applyFill="1" applyBorder="1" applyAlignment="1">
      <alignment horizontal="right" vertical="center"/>
    </xf>
    <xf numFmtId="0" fontId="23" fillId="2" borderId="10" xfId="0" applyFont="1" applyFill="1" applyBorder="1" applyAlignment="1" applyProtection="1">
      <alignment horizontal="left"/>
      <protection locked="0"/>
    </xf>
    <xf numFmtId="0" fontId="43" fillId="0" borderId="0" xfId="0" applyFont="1" applyAlignment="1">
      <alignment horizontal="center" vertical="top" wrapText="1"/>
    </xf>
    <xf numFmtId="0" fontId="23" fillId="2" borderId="6" xfId="0" applyFont="1" applyFill="1" applyBorder="1" applyAlignment="1">
      <alignment horizontal="center"/>
    </xf>
    <xf numFmtId="0" fontId="23" fillId="2" borderId="7" xfId="0" applyFont="1" applyFill="1" applyBorder="1" applyAlignment="1">
      <alignment horizontal="center"/>
    </xf>
    <xf numFmtId="0" fontId="23" fillId="2" borderId="8" xfId="0" applyFont="1" applyFill="1" applyBorder="1" applyAlignment="1">
      <alignment horizontal="center"/>
    </xf>
    <xf numFmtId="0" fontId="71" fillId="0" borderId="7" xfId="0" applyFont="1" applyBorder="1" applyAlignment="1">
      <alignment vertical="top" wrapText="1"/>
    </xf>
    <xf numFmtId="0" fontId="71" fillId="0" borderId="8" xfId="0" applyFont="1" applyBorder="1" applyAlignment="1">
      <alignment vertical="top" wrapText="1"/>
    </xf>
    <xf numFmtId="4" fontId="23" fillId="0" borderId="6" xfId="0" applyNumberFormat="1" applyFont="1" applyBorder="1" applyAlignment="1" applyProtection="1">
      <alignment horizontal="right" vertical="center" wrapText="1"/>
      <protection locked="0"/>
    </xf>
    <xf numFmtId="4" fontId="23" fillId="0" borderId="7" xfId="0" applyNumberFormat="1" applyFont="1" applyBorder="1" applyAlignment="1" applyProtection="1">
      <alignment horizontal="right" vertical="center" wrapText="1"/>
      <protection locked="0"/>
    </xf>
    <xf numFmtId="4" fontId="23" fillId="0" borderId="8" xfId="0" applyNumberFormat="1" applyFont="1" applyBorder="1" applyAlignment="1" applyProtection="1">
      <alignment horizontal="right" vertical="center" wrapText="1"/>
      <protection locked="0"/>
    </xf>
    <xf numFmtId="0" fontId="20" fillId="2" borderId="0" xfId="0" applyFont="1" applyFill="1" applyAlignment="1">
      <alignment horizontal="left"/>
    </xf>
    <xf numFmtId="0" fontId="21" fillId="2" borderId="6" xfId="0" applyFont="1" applyFill="1" applyBorder="1" applyAlignment="1">
      <alignment horizontal="left" vertical="center"/>
    </xf>
    <xf numFmtId="0" fontId="21" fillId="2" borderId="7" xfId="0" applyFont="1" applyFill="1" applyBorder="1" applyAlignment="1">
      <alignment horizontal="left" vertical="center"/>
    </xf>
    <xf numFmtId="0" fontId="21" fillId="2" borderId="8" xfId="0" applyFont="1" applyFill="1" applyBorder="1" applyAlignment="1">
      <alignment horizontal="left" vertical="center"/>
    </xf>
    <xf numFmtId="0" fontId="23" fillId="2" borderId="6" xfId="0" applyFont="1" applyFill="1" applyBorder="1" applyAlignment="1" applyProtection="1">
      <alignment horizontal="left" vertical="center" wrapText="1"/>
      <protection locked="0"/>
    </xf>
    <xf numFmtId="0" fontId="23" fillId="2" borderId="7" xfId="0" applyFont="1" applyFill="1" applyBorder="1" applyAlignment="1" applyProtection="1">
      <alignment horizontal="left" vertical="center" wrapText="1"/>
      <protection locked="0"/>
    </xf>
    <xf numFmtId="0" fontId="23" fillId="2" borderId="8" xfId="0" applyFont="1" applyFill="1" applyBorder="1" applyAlignment="1" applyProtection="1">
      <alignment horizontal="left" vertical="center" wrapText="1"/>
      <protection locked="0"/>
    </xf>
    <xf numFmtId="0" fontId="46" fillId="2" borderId="0" xfId="0" applyFont="1" applyFill="1" applyAlignment="1">
      <alignment horizontal="center" vertical="top" wrapText="1"/>
    </xf>
    <xf numFmtId="0" fontId="21" fillId="0" borderId="0" xfId="0" applyFont="1" applyAlignment="1">
      <alignment horizontal="left" vertical="center" wrapText="1"/>
    </xf>
    <xf numFmtId="0" fontId="23" fillId="0" borderId="33" xfId="0" applyFont="1" applyBorder="1" applyAlignment="1">
      <alignment vertical="top" wrapText="1"/>
    </xf>
    <xf numFmtId="0" fontId="0" fillId="0" borderId="33" xfId="0" applyBorder="1" applyAlignment="1">
      <alignment vertical="top" wrapText="1"/>
    </xf>
    <xf numFmtId="0" fontId="22" fillId="2" borderId="3" xfId="0" applyFont="1" applyFill="1" applyBorder="1" applyAlignment="1">
      <alignment horizontal="center"/>
    </xf>
    <xf numFmtId="0" fontId="21" fillId="0" borderId="3" xfId="0" applyFont="1" applyBorder="1" applyAlignment="1">
      <alignment horizontal="left"/>
    </xf>
    <xf numFmtId="0" fontId="80" fillId="0" borderId="16" xfId="1" applyFont="1" applyBorder="1" applyAlignment="1">
      <alignment horizontal="center" vertical="top"/>
    </xf>
    <xf numFmtId="0" fontId="23" fillId="2" borderId="3" xfId="0" applyFont="1" applyFill="1" applyBorder="1" applyAlignment="1">
      <alignment horizontal="left" vertical="center" wrapText="1"/>
    </xf>
    <xf numFmtId="0" fontId="23" fillId="2" borderId="33" xfId="0" applyFont="1" applyFill="1" applyBorder="1" applyAlignment="1">
      <alignment horizontal="left" vertical="center" wrapText="1"/>
    </xf>
    <xf numFmtId="164" fontId="23" fillId="0" borderId="33" xfId="0" applyNumberFormat="1" applyFont="1" applyBorder="1" applyAlignment="1" applyProtection="1">
      <alignment horizontal="center" vertical="center" wrapText="1"/>
      <protection locked="0"/>
    </xf>
    <xf numFmtId="14" fontId="23" fillId="0" borderId="7" xfId="0" applyNumberFormat="1" applyFont="1" applyBorder="1" applyAlignment="1" applyProtection="1">
      <alignment horizontal="center" vertical="center" wrapText="1"/>
      <protection locked="0"/>
    </xf>
    <xf numFmtId="0" fontId="23" fillId="0" borderId="10" xfId="0" applyFont="1" applyBorder="1" applyAlignment="1">
      <alignment horizontal="left" vertical="center" wrapText="1"/>
    </xf>
    <xf numFmtId="0" fontId="58" fillId="0" borderId="3" xfId="0" applyFont="1" applyBorder="1" applyAlignment="1">
      <alignment vertical="top" wrapText="1"/>
    </xf>
    <xf numFmtId="0" fontId="71" fillId="0" borderId="3" xfId="0" applyFont="1" applyBorder="1" applyAlignment="1">
      <alignment vertical="top"/>
    </xf>
    <xf numFmtId="0" fontId="16" fillId="0" borderId="0" xfId="0" applyFont="1" applyAlignment="1">
      <alignment horizontal="left" vertical="top" wrapText="1"/>
    </xf>
    <xf numFmtId="0" fontId="16" fillId="0" borderId="0" xfId="0" applyFont="1" applyAlignment="1">
      <alignment horizontal="left" vertical="top"/>
    </xf>
    <xf numFmtId="0" fontId="23" fillId="0" borderId="15" xfId="0" applyFont="1" applyBorder="1" applyAlignment="1">
      <alignment horizontal="center" vertical="center"/>
    </xf>
    <xf numFmtId="0" fontId="23" fillId="0" borderId="16" xfId="0" applyFont="1" applyBorder="1" applyAlignment="1">
      <alignment horizontal="center" vertical="center"/>
    </xf>
    <xf numFmtId="0" fontId="23" fillId="0" borderId="16" xfId="0" applyFont="1" applyBorder="1" applyAlignment="1">
      <alignment horizontal="left" vertical="center"/>
    </xf>
    <xf numFmtId="3" fontId="23" fillId="0" borderId="11" xfId="0" applyNumberFormat="1" applyFont="1" applyBorder="1" applyAlignment="1" applyProtection="1">
      <alignment horizontal="center" vertical="center" wrapText="1"/>
      <protection locked="0"/>
    </xf>
    <xf numFmtId="3" fontId="23" fillId="0" borderId="10" xfId="0" applyNumberFormat="1" applyFont="1" applyBorder="1" applyAlignment="1" applyProtection="1">
      <alignment horizontal="center" vertical="center" wrapText="1"/>
      <protection locked="0"/>
    </xf>
    <xf numFmtId="3" fontId="23" fillId="0" borderId="4" xfId="0" applyNumberFormat="1" applyFont="1" applyBorder="1" applyAlignment="1" applyProtection="1">
      <alignment horizontal="center" vertical="center" wrapText="1"/>
      <protection locked="0"/>
    </xf>
    <xf numFmtId="3" fontId="23" fillId="0" borderId="15" xfId="0" applyNumberFormat="1" applyFont="1" applyBorder="1" applyAlignment="1" applyProtection="1">
      <alignment horizontal="center" vertical="center" wrapText="1"/>
      <protection locked="0"/>
    </xf>
    <xf numFmtId="3" fontId="23" fillId="0" borderId="16" xfId="0" applyNumberFormat="1" applyFont="1" applyBorder="1" applyAlignment="1" applyProtection="1">
      <alignment horizontal="center" vertical="center" wrapText="1"/>
      <protection locked="0"/>
    </xf>
    <xf numFmtId="3" fontId="23" fillId="0" borderId="5" xfId="0" applyNumberFormat="1" applyFont="1" applyBorder="1" applyAlignment="1" applyProtection="1">
      <alignment horizontal="center" vertical="center" wrapText="1"/>
      <protection locked="0"/>
    </xf>
    <xf numFmtId="0" fontId="0" fillId="0" borderId="16" xfId="0" applyBorder="1" applyAlignment="1">
      <alignment horizontal="center" vertical="top" wrapText="1"/>
    </xf>
    <xf numFmtId="0" fontId="0" fillId="0" borderId="5" xfId="0" applyBorder="1" applyAlignment="1">
      <alignment horizontal="center" vertical="top" wrapText="1"/>
    </xf>
    <xf numFmtId="0" fontId="9" fillId="0" borderId="3" xfId="4" applyBorder="1" applyAlignment="1">
      <alignment horizontal="left" vertical="center" wrapText="1"/>
    </xf>
    <xf numFmtId="0" fontId="61" fillId="6" borderId="3" xfId="4" applyFont="1" applyFill="1" applyBorder="1" applyAlignment="1">
      <alignment horizontal="center" vertical="center" wrapText="1"/>
    </xf>
    <xf numFmtId="0" fontId="49" fillId="0" borderId="37" xfId="4" applyFont="1" applyBorder="1" applyAlignment="1">
      <alignment horizontal="center" vertical="center" textRotation="90" wrapText="1"/>
    </xf>
    <xf numFmtId="0" fontId="49" fillId="0" borderId="44" xfId="4" applyFont="1" applyBorder="1" applyAlignment="1">
      <alignment horizontal="center" vertical="center" textRotation="90" wrapText="1"/>
    </xf>
    <xf numFmtId="0" fontId="49" fillId="0" borderId="45" xfId="4" applyFont="1" applyBorder="1" applyAlignment="1">
      <alignment horizontal="center" vertical="center" textRotation="90" wrapText="1"/>
    </xf>
    <xf numFmtId="0" fontId="49" fillId="0" borderId="33" xfId="4" applyFont="1" applyBorder="1" applyAlignment="1">
      <alignment vertical="center" wrapText="1"/>
    </xf>
    <xf numFmtId="0" fontId="9" fillId="0" borderId="38" xfId="4" applyBorder="1" applyAlignment="1">
      <alignment horizontal="left" vertical="center" wrapText="1"/>
    </xf>
    <xf numFmtId="0" fontId="8" fillId="0" borderId="46" xfId="4" applyFont="1" applyBorder="1" applyAlignment="1">
      <alignment horizontal="left" vertical="center" wrapText="1"/>
    </xf>
    <xf numFmtId="0" fontId="9" fillId="0" borderId="46" xfId="4" applyBorder="1" applyAlignment="1">
      <alignment horizontal="left" vertical="center" wrapText="1"/>
    </xf>
    <xf numFmtId="0" fontId="2" fillId="0" borderId="6" xfId="4" applyFont="1" applyBorder="1" applyAlignment="1">
      <alignment horizontal="left" vertical="center" wrapText="1"/>
    </xf>
    <xf numFmtId="0" fontId="9" fillId="0" borderId="7" xfId="4" applyBorder="1" applyAlignment="1">
      <alignment horizontal="left" vertical="center" wrapText="1"/>
    </xf>
    <xf numFmtId="0" fontId="9" fillId="0" borderId="8" xfId="4" applyBorder="1" applyAlignment="1">
      <alignment horizontal="left" vertical="center" wrapText="1"/>
    </xf>
    <xf numFmtId="0" fontId="9" fillId="0" borderId="6" xfId="4" applyBorder="1" applyAlignment="1">
      <alignment horizontal="left" vertical="center" wrapText="1"/>
    </xf>
    <xf numFmtId="0" fontId="9" fillId="0" borderId="3" xfId="4" applyBorder="1" applyAlignment="1">
      <alignment horizontal="left" vertical="top" wrapText="1"/>
    </xf>
    <xf numFmtId="0" fontId="49" fillId="0" borderId="0" xfId="4" applyFont="1" applyAlignment="1">
      <alignment horizontal="center" vertical="center" textRotation="90" wrapText="1"/>
    </xf>
    <xf numFmtId="0" fontId="65" fillId="0" borderId="0" xfId="4" applyFont="1" applyAlignment="1">
      <alignment horizontal="left" vertical="center"/>
    </xf>
    <xf numFmtId="0" fontId="63" fillId="0" borderId="0" xfId="4" applyFont="1" applyAlignment="1">
      <alignment horizontal="center" vertical="center" wrapText="1"/>
    </xf>
    <xf numFmtId="0" fontId="49" fillId="0" borderId="9" xfId="4" applyFont="1" applyBorder="1" applyAlignment="1">
      <alignment vertical="center" wrapText="1"/>
    </xf>
    <xf numFmtId="0" fontId="49" fillId="0" borderId="0" xfId="4" applyFont="1" applyAlignment="1">
      <alignment vertical="center" wrapText="1"/>
    </xf>
    <xf numFmtId="0" fontId="8" fillId="0" borderId="39" xfId="4" applyFont="1" applyBorder="1" applyAlignment="1">
      <alignment horizontal="left" vertical="center" wrapText="1"/>
    </xf>
    <xf numFmtId="0" fontId="9" fillId="0" borderId="40" xfId="4" applyBorder="1" applyAlignment="1">
      <alignment horizontal="left" vertical="center" wrapText="1"/>
    </xf>
    <xf numFmtId="0" fontId="9" fillId="0" borderId="41" xfId="4" applyBorder="1" applyAlignment="1">
      <alignment horizontal="left" vertical="center" wrapText="1"/>
    </xf>
    <xf numFmtId="0" fontId="9" fillId="0" borderId="0" xfId="4" applyAlignment="1">
      <alignment horizontal="center"/>
    </xf>
    <xf numFmtId="0" fontId="64" fillId="0" borderId="6" xfId="4" applyFont="1" applyBorder="1" applyAlignment="1">
      <alignment horizontal="left" vertical="center" wrapText="1"/>
    </xf>
    <xf numFmtId="0" fontId="4" fillId="0" borderId="6" xfId="4" applyFont="1" applyBorder="1" applyAlignment="1">
      <alignment horizontal="left" vertical="center" wrapText="1"/>
    </xf>
    <xf numFmtId="0" fontId="15" fillId="0" borderId="49" xfId="4" applyFont="1" applyBorder="1" applyAlignment="1">
      <alignment horizontal="left" vertical="center" wrapText="1"/>
    </xf>
    <xf numFmtId="0" fontId="15" fillId="0" borderId="50" xfId="4" applyFont="1" applyBorder="1" applyAlignment="1">
      <alignment horizontal="left" vertical="center" wrapText="1"/>
    </xf>
    <xf numFmtId="0" fontId="9" fillId="0" borderId="51" xfId="4" applyBorder="1" applyAlignment="1">
      <alignment horizontal="left" vertical="center" wrapText="1"/>
    </xf>
    <xf numFmtId="0" fontId="15" fillId="0" borderId="6" xfId="4" applyFont="1" applyBorder="1" applyAlignment="1">
      <alignment horizontal="left" vertical="center" wrapText="1"/>
    </xf>
    <xf numFmtId="0" fontId="15" fillId="0" borderId="7" xfId="4" applyFont="1" applyBorder="1" applyAlignment="1">
      <alignment horizontal="left" vertical="center" wrapText="1"/>
    </xf>
    <xf numFmtId="0" fontId="15" fillId="0" borderId="8" xfId="4" applyFont="1" applyBorder="1" applyAlignment="1">
      <alignment horizontal="left" vertical="center" wrapText="1"/>
    </xf>
    <xf numFmtId="0" fontId="15" fillId="0" borderId="6" xfId="4" applyFont="1" applyBorder="1" applyAlignment="1">
      <alignment horizontal="left" vertical="center"/>
    </xf>
    <xf numFmtId="0" fontId="15" fillId="0" borderId="7" xfId="4" applyFont="1" applyBorder="1" applyAlignment="1">
      <alignment horizontal="left" vertical="center"/>
    </xf>
    <xf numFmtId="0" fontId="15" fillId="0" borderId="8" xfId="4" applyFont="1" applyBorder="1" applyAlignment="1">
      <alignment horizontal="left" vertical="center"/>
    </xf>
    <xf numFmtId="0" fontId="15" fillId="0" borderId="39" xfId="4" applyFont="1" applyBorder="1" applyAlignment="1">
      <alignment horizontal="left" vertical="center" wrapText="1"/>
    </xf>
    <xf numFmtId="0" fontId="15" fillId="0" borderId="40" xfId="4" applyFont="1" applyBorder="1" applyAlignment="1">
      <alignment horizontal="left" vertical="center" wrapText="1"/>
    </xf>
    <xf numFmtId="0" fontId="15" fillId="0" borderId="41" xfId="4" applyFont="1" applyBorder="1" applyAlignment="1">
      <alignment horizontal="left" vertical="center" wrapText="1"/>
    </xf>
    <xf numFmtId="0" fontId="68" fillId="0" borderId="3" xfId="4" applyFont="1" applyBorder="1" applyAlignment="1" applyProtection="1">
      <alignment horizontal="left" vertical="top" wrapText="1"/>
      <protection locked="0"/>
    </xf>
    <xf numFmtId="0" fontId="5" fillId="0" borderId="3" xfId="4" applyFont="1" applyBorder="1" applyAlignment="1" applyProtection="1">
      <alignment horizontal="left" vertical="top" wrapText="1"/>
      <protection locked="0"/>
    </xf>
    <xf numFmtId="0" fontId="9" fillId="0" borderId="3" xfId="4" applyBorder="1" applyAlignment="1" applyProtection="1">
      <alignment horizontal="left" vertical="top" wrapText="1"/>
      <protection locked="0"/>
    </xf>
    <xf numFmtId="0" fontId="2" fillId="0" borderId="0" xfId="4" applyFont="1" applyAlignment="1" applyProtection="1">
      <alignment horizontal="left" vertical="top" wrapText="1"/>
      <protection locked="0"/>
    </xf>
    <xf numFmtId="0" fontId="9" fillId="0" borderId="0" xfId="4" applyAlignment="1" applyProtection="1">
      <alignment horizontal="left" vertical="top" wrapText="1"/>
      <protection locked="0"/>
    </xf>
    <xf numFmtId="0" fontId="9" fillId="0" borderId="0" xfId="4" applyAlignment="1" applyProtection="1">
      <alignment horizontal="left" vertical="center"/>
      <protection locked="0"/>
    </xf>
    <xf numFmtId="0" fontId="6" fillId="0" borderId="54" xfId="4" applyFont="1" applyBorder="1" applyAlignment="1">
      <alignment horizontal="left" vertical="center" wrapText="1"/>
    </xf>
    <xf numFmtId="0" fontId="9" fillId="0" borderId="54" xfId="4" applyBorder="1" applyAlignment="1">
      <alignment horizontal="left" vertical="center" wrapText="1"/>
    </xf>
    <xf numFmtId="0" fontId="66" fillId="0" borderId="39" xfId="4" applyFont="1" applyBorder="1" applyAlignment="1">
      <alignment horizontal="left" vertical="center" wrapText="1"/>
    </xf>
    <xf numFmtId="0" fontId="66" fillId="0" borderId="40" xfId="4" applyFont="1" applyBorder="1" applyAlignment="1">
      <alignment horizontal="left" vertical="center" wrapText="1"/>
    </xf>
    <xf numFmtId="0" fontId="66" fillId="0" borderId="41" xfId="4" applyFont="1" applyBorder="1" applyAlignment="1">
      <alignment horizontal="left" vertical="center" wrapText="1"/>
    </xf>
    <xf numFmtId="0" fontId="66" fillId="0" borderId="6" xfId="4" applyFont="1" applyBorder="1" applyAlignment="1">
      <alignment horizontal="left" vertical="center"/>
    </xf>
    <xf numFmtId="0" fontId="66" fillId="0" borderId="7" xfId="4" applyFont="1" applyBorder="1" applyAlignment="1">
      <alignment horizontal="left" vertical="center"/>
    </xf>
    <xf numFmtId="0" fontId="66" fillId="0" borderId="8" xfId="4" applyFont="1" applyBorder="1" applyAlignment="1">
      <alignment horizontal="left" vertical="center"/>
    </xf>
    <xf numFmtId="0" fontId="66" fillId="0" borderId="6" xfId="4" applyFont="1" applyBorder="1" applyAlignment="1">
      <alignment horizontal="left" vertical="center" wrapText="1"/>
    </xf>
    <xf numFmtId="0" fontId="66" fillId="0" borderId="7" xfId="4" applyFont="1" applyBorder="1" applyAlignment="1">
      <alignment horizontal="left" vertical="center" wrapText="1"/>
    </xf>
    <xf numFmtId="0" fontId="66" fillId="0" borderId="8" xfId="4" applyFont="1" applyBorder="1" applyAlignment="1">
      <alignment horizontal="left" vertical="center" wrapText="1"/>
    </xf>
    <xf numFmtId="0" fontId="59" fillId="0" borderId="8" xfId="4" applyFont="1" applyBorder="1" applyAlignment="1">
      <alignment horizontal="left" vertical="center" wrapText="1"/>
    </xf>
    <xf numFmtId="0" fontId="66" fillId="0" borderId="49" xfId="4" applyFont="1" applyBorder="1" applyAlignment="1">
      <alignment horizontal="left" vertical="center" wrapText="1"/>
    </xf>
    <xf numFmtId="0" fontId="66" fillId="0" borderId="50" xfId="4" applyFont="1" applyBorder="1" applyAlignment="1">
      <alignment horizontal="left" vertical="center" wrapText="1"/>
    </xf>
    <xf numFmtId="0" fontId="59" fillId="0" borderId="51" xfId="4" applyFont="1" applyBorder="1" applyAlignment="1">
      <alignment horizontal="left" vertical="center" wrapText="1"/>
    </xf>
    <xf numFmtId="0" fontId="1" fillId="0" borderId="0" xfId="4" applyFont="1" applyAlignment="1" applyProtection="1">
      <alignment horizontal="left" vertical="top" wrapText="1"/>
      <protection locked="0"/>
    </xf>
    <xf numFmtId="0" fontId="59" fillId="0" borderId="41" xfId="4" applyFont="1" applyBorder="1" applyAlignment="1">
      <alignment horizontal="left" vertical="center" wrapText="1"/>
    </xf>
    <xf numFmtId="0" fontId="49" fillId="0" borderId="49" xfId="4" applyFont="1" applyBorder="1" applyAlignment="1">
      <alignment vertical="center" wrapText="1"/>
    </xf>
    <xf numFmtId="0" fontId="49" fillId="0" borderId="50" xfId="4" applyFont="1" applyBorder="1" applyAlignment="1">
      <alignment vertical="center" wrapText="1"/>
    </xf>
    <xf numFmtId="0" fontId="49" fillId="0" borderId="51" xfId="4" applyFont="1" applyBorder="1" applyAlignment="1">
      <alignment vertical="center" wrapText="1"/>
    </xf>
    <xf numFmtId="0" fontId="2" fillId="0" borderId="39" xfId="4" applyFont="1" applyBorder="1" applyAlignment="1">
      <alignment horizontal="left" vertical="center" wrapText="1"/>
    </xf>
    <xf numFmtId="0" fontId="7" fillId="0" borderId="6" xfId="4" applyFont="1" applyBorder="1" applyAlignment="1">
      <alignment horizontal="left" vertical="center" wrapText="1"/>
    </xf>
    <xf numFmtId="0" fontId="2" fillId="0" borderId="49" xfId="4" applyFont="1" applyBorder="1" applyAlignment="1">
      <alignment horizontal="left" vertical="center" wrapText="1"/>
    </xf>
    <xf numFmtId="0" fontId="7" fillId="0" borderId="50" xfId="4" applyFont="1" applyBorder="1" applyAlignment="1">
      <alignment horizontal="left" vertical="center" wrapText="1"/>
    </xf>
    <xf numFmtId="0" fontId="7" fillId="0" borderId="51" xfId="4" applyFont="1" applyBorder="1" applyAlignment="1">
      <alignment horizontal="left" vertical="center" wrapText="1"/>
    </xf>
    <xf numFmtId="0" fontId="9" fillId="0" borderId="6" xfId="4" applyBorder="1" applyAlignment="1">
      <alignment horizontal="left" vertical="top" wrapText="1"/>
    </xf>
    <xf numFmtId="0" fontId="9" fillId="0" borderId="7" xfId="4" applyBorder="1" applyAlignment="1">
      <alignment horizontal="left" vertical="top" wrapText="1"/>
    </xf>
    <xf numFmtId="0" fontId="9" fillId="0" borderId="8" xfId="4" applyBorder="1" applyAlignment="1">
      <alignment horizontal="left" vertical="top" wrapText="1"/>
    </xf>
    <xf numFmtId="0" fontId="68" fillId="0" borderId="11" xfId="4" applyFont="1" applyBorder="1" applyAlignment="1" applyProtection="1">
      <alignment horizontal="left" vertical="top" wrapText="1"/>
      <protection locked="0"/>
    </xf>
    <xf numFmtId="0" fontId="68" fillId="0" borderId="10" xfId="4" applyFont="1" applyBorder="1" applyAlignment="1" applyProtection="1">
      <alignment horizontal="left" vertical="top" wrapText="1"/>
      <protection locked="0"/>
    </xf>
    <xf numFmtId="0" fontId="68" fillId="0" borderId="4" xfId="4" applyFont="1" applyBorder="1" applyAlignment="1" applyProtection="1">
      <alignment horizontal="left" vertical="top" wrapText="1"/>
      <protection locked="0"/>
    </xf>
    <xf numFmtId="0" fontId="68" fillId="0" borderId="9" xfId="4" applyFont="1" applyBorder="1" applyAlignment="1" applyProtection="1">
      <alignment horizontal="left" vertical="top" wrapText="1"/>
      <protection locked="0"/>
    </xf>
    <xf numFmtId="0" fontId="68" fillId="0" borderId="0" xfId="4" applyFont="1" applyAlignment="1" applyProtection="1">
      <alignment horizontal="left" vertical="top" wrapText="1"/>
      <protection locked="0"/>
    </xf>
    <xf numFmtId="0" fontId="68" fillId="0" borderId="17" xfId="4" applyFont="1" applyBorder="1" applyAlignment="1" applyProtection="1">
      <alignment horizontal="left" vertical="top" wrapText="1"/>
      <protection locked="0"/>
    </xf>
    <xf numFmtId="0" fontId="68" fillId="0" borderId="15" xfId="4" applyFont="1" applyBorder="1" applyAlignment="1" applyProtection="1">
      <alignment horizontal="left" vertical="top" wrapText="1"/>
      <protection locked="0"/>
    </xf>
    <xf numFmtId="0" fontId="68" fillId="0" borderId="16" xfId="4" applyFont="1" applyBorder="1" applyAlignment="1" applyProtection="1">
      <alignment horizontal="left" vertical="top" wrapText="1"/>
      <protection locked="0"/>
    </xf>
    <xf numFmtId="0" fontId="68" fillId="0" borderId="5" xfId="4" applyFont="1" applyBorder="1" applyAlignment="1" applyProtection="1">
      <alignment horizontal="left" vertical="top" wrapText="1"/>
      <protection locked="0"/>
    </xf>
    <xf numFmtId="0" fontId="5" fillId="0" borderId="11" xfId="4" applyFont="1" applyBorder="1" applyAlignment="1" applyProtection="1">
      <alignment horizontal="left" vertical="top" wrapText="1"/>
      <protection locked="0"/>
    </xf>
    <xf numFmtId="0" fontId="9" fillId="0" borderId="10" xfId="4" applyBorder="1" applyAlignment="1" applyProtection="1">
      <alignment horizontal="left" vertical="top" wrapText="1"/>
      <protection locked="0"/>
    </xf>
    <xf numFmtId="0" fontId="9" fillId="0" borderId="4" xfId="4" applyBorder="1" applyAlignment="1" applyProtection="1">
      <alignment horizontal="left" vertical="top" wrapText="1"/>
      <protection locked="0"/>
    </xf>
    <xf numFmtId="0" fontId="9" fillId="0" borderId="9" xfId="4" applyBorder="1" applyAlignment="1" applyProtection="1">
      <alignment horizontal="left" vertical="top" wrapText="1"/>
      <protection locked="0"/>
    </xf>
    <xf numFmtId="0" fontId="9" fillId="0" borderId="17" xfId="4" applyBorder="1" applyAlignment="1" applyProtection="1">
      <alignment horizontal="left" vertical="top" wrapText="1"/>
      <protection locked="0"/>
    </xf>
    <xf numFmtId="0" fontId="9" fillId="0" borderId="15" xfId="4" applyBorder="1" applyAlignment="1" applyProtection="1">
      <alignment horizontal="left" vertical="top" wrapText="1"/>
      <protection locked="0"/>
    </xf>
    <xf numFmtId="0" fontId="9" fillId="0" borderId="16" xfId="4" applyBorder="1" applyAlignment="1" applyProtection="1">
      <alignment horizontal="left" vertical="top" wrapText="1"/>
      <protection locked="0"/>
    </xf>
    <xf numFmtId="0" fontId="9" fillId="0" borderId="5" xfId="4" applyBorder="1" applyAlignment="1" applyProtection="1">
      <alignment horizontal="left" vertical="top" wrapText="1"/>
      <protection locked="0"/>
    </xf>
  </cellXfs>
  <cellStyles count="8">
    <cellStyle name="Dziesiętny 2" xfId="7" xr:uid="{00000000-0005-0000-0000-000000000000}"/>
    <cellStyle name="Hiperłącze" xfId="1" builtinId="8"/>
    <cellStyle name="Hiperłącze 2" xfId="6" xr:uid="{00000000-0005-0000-0000-000002000000}"/>
    <cellStyle name="Normalny" xfId="0" builtinId="0"/>
    <cellStyle name="Normalny 2" xfId="2" xr:uid="{00000000-0005-0000-0000-000004000000}"/>
    <cellStyle name="Normalny 3" xfId="4" xr:uid="{00000000-0005-0000-0000-000005000000}"/>
    <cellStyle name="Procentowy" xfId="3" builtinId="5"/>
    <cellStyle name="Procentowy 2" xfId="5" xr:uid="{00000000-0005-0000-0000-000007000000}"/>
  </cellStyles>
  <dxfs count="169">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patternType="lightTrellis"/>
      </fill>
    </dxf>
    <dxf>
      <fill>
        <patternFill patternType="lightTrellis"/>
      </fill>
    </dxf>
    <dxf>
      <fill>
        <patternFill patternType="lightTrellis"/>
      </fill>
    </dxf>
    <dxf>
      <fill>
        <patternFill patternType="lightTrellis"/>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theme="0"/>
        </patternFill>
      </fill>
    </dxf>
    <dxf>
      <fill>
        <patternFill patternType="lightTrellis"/>
      </fill>
    </dxf>
    <dxf>
      <fill>
        <patternFill patternType="lightTrellis"/>
      </fill>
    </dxf>
    <dxf>
      <fill>
        <patternFill patternType="lightTrellis"/>
      </fill>
    </dxf>
    <dxf>
      <fill>
        <patternFill patternType="lightTrellis"/>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patternFill>
      </fill>
    </dxf>
    <dxf>
      <fill>
        <patternFill>
          <bgColor theme="3"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border>
        <left style="thin">
          <color auto="1"/>
        </left>
        <right style="thin">
          <color auto="1"/>
        </right>
        <top style="thin">
          <color auto="1"/>
        </top>
        <bottom style="thin">
          <color auto="1"/>
        </bottom>
        <vertical/>
        <horizontal/>
      </border>
    </dxf>
    <dxf>
      <fill>
        <patternFill>
          <bgColor theme="3" tint="0.3999450666829432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FF0000"/>
        </patternFill>
      </fill>
    </dxf>
    <dxf>
      <fill>
        <patternFill>
          <bgColor rgb="FFFFFFCC"/>
        </patternFill>
      </fill>
    </dxf>
    <dxf>
      <fill>
        <patternFill>
          <bgColor theme="3" tint="0.39994506668294322"/>
        </patternFill>
      </fill>
    </dxf>
    <dxf>
      <fill>
        <patternFill>
          <bgColor theme="3" tint="0.39994506668294322"/>
        </patternFill>
      </fill>
    </dxf>
    <dxf>
      <fill>
        <patternFill patternType="lightTrellis"/>
      </fill>
    </dxf>
    <dxf>
      <fill>
        <patternFill>
          <bgColor theme="3" tint="0.39994506668294322"/>
        </patternFill>
      </fill>
    </dxf>
    <dxf>
      <fill>
        <patternFill patternType="lightTrellis"/>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border>
        <left style="thin">
          <color auto="1"/>
        </left>
        <right style="thin">
          <color auto="1"/>
        </right>
        <top style="thin">
          <color auto="1"/>
        </top>
        <bottom style="thin">
          <color auto="1"/>
        </bottom>
        <vertical/>
        <horizontal/>
      </border>
    </dxf>
    <dxf>
      <fill>
        <patternFill>
          <bgColor theme="3" tint="0.39994506668294322"/>
        </patternFill>
      </fill>
    </dxf>
    <dxf>
      <fill>
        <patternFill>
          <bgColor theme="3" tint="0.39994506668294322"/>
        </patternFill>
      </fill>
    </dxf>
    <dxf>
      <fill>
        <patternFill>
          <bgColor theme="3" tint="0.39994506668294322"/>
        </patternFill>
      </fill>
    </dxf>
    <dxf>
      <fill>
        <patternFill patternType="lightTrellis">
          <fgColor theme="1"/>
          <bgColor auto="1"/>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ont>
        <color theme="0" tint="-0.14996795556505021"/>
      </font>
      <fill>
        <patternFill patternType="lightTrellis">
          <bgColor theme="0"/>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3" tint="0.39994506668294322"/>
        </patternFill>
      </fill>
    </dxf>
    <dxf>
      <border>
        <bottom style="thin">
          <color theme="0"/>
        </bottom>
        <vertical/>
        <horizontal/>
      </border>
    </dxf>
    <dxf>
      <fill>
        <patternFill>
          <bgColor theme="3" tint="0.39994506668294322"/>
        </patternFill>
      </fill>
    </dxf>
    <dxf>
      <fill>
        <patternFill>
          <bgColor theme="3" tint="0.39994506668294322"/>
        </patternFill>
      </fill>
    </dxf>
    <dxf>
      <font>
        <color theme="0"/>
      </font>
      <fill>
        <patternFill>
          <bgColor theme="0"/>
        </patternFill>
      </fill>
      <border>
        <left style="thin">
          <color theme="0"/>
        </left>
        <right style="thin">
          <color theme="0"/>
        </right>
        <top style="thin">
          <color theme="0"/>
        </top>
        <bottom style="thin">
          <color theme="0"/>
        </bottom>
      </border>
    </dxf>
    <dxf>
      <fill>
        <patternFill>
          <bgColor theme="3" tint="0.39994506668294322"/>
        </patternFill>
      </fill>
    </dxf>
    <dxf>
      <font>
        <color theme="0"/>
      </font>
      <fill>
        <patternFill>
          <bgColor theme="0"/>
        </patternFill>
      </fill>
      <border>
        <left style="thin">
          <color theme="0"/>
        </left>
        <right style="thin">
          <color theme="0"/>
        </right>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ill>
        <patternFill>
          <bgColor theme="3" tint="0.39994506668294322"/>
        </patternFill>
      </fill>
    </dxf>
    <dxf>
      <fill>
        <patternFill>
          <bgColor rgb="FFFF0000"/>
        </patternFill>
      </fill>
    </dxf>
    <dxf>
      <fill>
        <patternFill>
          <bgColor rgb="FFFF0000"/>
        </patternFill>
      </fill>
    </dxf>
    <dxf>
      <fill>
        <patternFill>
          <bgColor rgb="FFFF0000"/>
        </patternFill>
      </fill>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fill>
        <patternFill>
          <bgColor theme="3" tint="0.39994506668294322"/>
        </patternFill>
      </fill>
      <border>
        <left style="thin">
          <color auto="1"/>
        </left>
        <right style="thin">
          <color auto="1"/>
        </righ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style="thin">
          <color auto="1"/>
        </top>
        <bottom/>
        <vertical/>
        <horizontal/>
      </border>
    </dxf>
    <dxf>
      <fill>
        <patternFill>
          <bgColor theme="3" tint="0.39994506668294322"/>
        </patternFill>
      </fill>
    </dxf>
    <dxf>
      <font>
        <color theme="0"/>
      </font>
      <fill>
        <patternFill>
          <bgColor theme="0"/>
        </patternFill>
      </fill>
      <border>
        <left style="thin">
          <color auto="1"/>
        </left>
        <right/>
        <top style="thin">
          <color auto="1"/>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style="thin">
          <color auto="1"/>
        </left>
        <right style="thin">
          <color auto="1"/>
        </right>
        <top style="thin">
          <color auto="1"/>
        </top>
        <bottom style="thin">
          <color auto="1"/>
        </bottom>
        <vertical/>
        <horizontal/>
      </border>
    </dxf>
    <dxf>
      <fill>
        <patternFill>
          <bgColor theme="3" tint="0.39994506668294322"/>
        </patternFill>
      </fill>
    </dxf>
    <dxf>
      <font>
        <color auto="1"/>
      </font>
      <border>
        <left style="thin">
          <color auto="1"/>
        </left>
        <right style="thin">
          <color auto="1"/>
        </right>
        <top style="thin">
          <color auto="1"/>
        </top>
        <bottom style="thin">
          <color auto="1"/>
        </bottom>
        <vertical/>
        <horizontal/>
      </border>
    </dxf>
    <dxf>
      <fill>
        <patternFill>
          <bgColor rgb="FFFF0000"/>
        </patternFill>
      </fill>
    </dxf>
    <dxf>
      <font>
        <color rgb="FFFF0000"/>
      </font>
      <fill>
        <patternFill>
          <bgColor theme="0"/>
        </patternFill>
      </fill>
    </dxf>
    <dxf>
      <fill>
        <patternFill>
          <bgColor rgb="FFFF0000"/>
        </patternFill>
      </fill>
    </dxf>
    <dxf>
      <fill>
        <patternFill>
          <bgColor rgb="FFFF0000"/>
        </patternFill>
      </fill>
    </dxf>
  </dxfs>
  <tableStyles count="0" defaultTableStyle="TableStyleMedium2" defaultPivotStyle="PivotStyleMedium9"/>
  <colors>
    <mruColors>
      <color rgb="FFFFFFCC"/>
      <color rgb="FFFFCCFF"/>
      <color rgb="FFFFFFFF"/>
      <color rgb="FFCCFFC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cid:image003.png@01D9EA49.4FA1B450" TargetMode="External"/><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emf"/><Relationship Id="rId1" Type="http://schemas.openxmlformats.org/officeDocument/2006/relationships/image" Target="../media/image12.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106680</xdr:colOff>
          <xdr:row>2</xdr:row>
          <xdr:rowOff>7620</xdr:rowOff>
        </xdr:from>
        <xdr:to>
          <xdr:col>67</xdr:col>
          <xdr:colOff>22860</xdr:colOff>
          <xdr:row>4</xdr:row>
          <xdr:rowOff>114300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0" u="none" strike="noStrike" baseline="0">
                  <a:solidFill>
                    <a:srgbClr val="000000"/>
                  </a:solidFill>
                  <a:latin typeface="Calibri"/>
                  <a:ea typeface="Calibri"/>
                  <a:cs typeface="Calibri"/>
                </a:rPr>
                <a:t>Generuj plik PDF</a:t>
              </a:r>
            </a:p>
          </xdr:txBody>
        </xdr:sp>
        <xdr:clientData fPrintsWithSheet="0"/>
      </xdr:twoCellAnchor>
    </mc:Choice>
    <mc:Fallback/>
  </mc:AlternateContent>
  <xdr:twoCellAnchor editAs="oneCell">
    <xdr:from>
      <xdr:col>46</xdr:col>
      <xdr:colOff>69273</xdr:colOff>
      <xdr:row>2</xdr:row>
      <xdr:rowOff>34636</xdr:rowOff>
    </xdr:from>
    <xdr:to>
      <xdr:col>54</xdr:col>
      <xdr:colOff>92451</xdr:colOff>
      <xdr:row>8</xdr:row>
      <xdr:rowOff>2442</xdr:rowOff>
    </xdr:to>
    <xdr:pic>
      <xdr:nvPicPr>
        <xdr:cNvPr id="2" name="Obraz 1" descr="Logo BGK">
          <a:extLst>
            <a:ext uri="{FF2B5EF4-FFF2-40B4-BE49-F238E27FC236}">
              <a16:creationId xmlns:a16="http://schemas.microsoft.com/office/drawing/2014/main" id="{244D631E-311F-449D-A0BD-81111417C09F}"/>
            </a:ext>
          </a:extLst>
        </xdr:cNvPr>
        <xdr:cNvPicPr>
          <a:picLocks noChangeAspect="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7472796" y="415636"/>
          <a:ext cx="1425950" cy="117142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xdr:row>
          <xdr:rowOff>304800</xdr:rowOff>
        </xdr:from>
        <xdr:to>
          <xdr:col>24</xdr:col>
          <xdr:colOff>335280</xdr:colOff>
          <xdr:row>5</xdr:row>
          <xdr:rowOff>137160</xdr:rowOff>
        </xdr:to>
        <xdr:sp macro="" textlink="">
          <xdr:nvSpPr>
            <xdr:cNvPr id="2063" name="CommandButton1"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5</xdr:row>
          <xdr:rowOff>228600</xdr:rowOff>
        </xdr:from>
        <xdr:to>
          <xdr:col>24</xdr:col>
          <xdr:colOff>342900</xdr:colOff>
          <xdr:row>7</xdr:row>
          <xdr:rowOff>160020</xdr:rowOff>
        </xdr:to>
        <xdr:sp macro="" textlink="">
          <xdr:nvSpPr>
            <xdr:cNvPr id="2064" name="CommandButton2"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83820</xdr:colOff>
          <xdr:row>18</xdr:row>
          <xdr:rowOff>175260</xdr:rowOff>
        </xdr:from>
        <xdr:to>
          <xdr:col>22</xdr:col>
          <xdr:colOff>365760</xdr:colOff>
          <xdr:row>19</xdr:row>
          <xdr:rowOff>99060</xdr:rowOff>
        </xdr:to>
        <xdr:sp macro="" textlink="">
          <xdr:nvSpPr>
            <xdr:cNvPr id="2065" name="CommandButton3"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106680</xdr:colOff>
          <xdr:row>19</xdr:row>
          <xdr:rowOff>137160</xdr:rowOff>
        </xdr:from>
        <xdr:to>
          <xdr:col>23</xdr:col>
          <xdr:colOff>0</xdr:colOff>
          <xdr:row>22</xdr:row>
          <xdr:rowOff>22860</xdr:rowOff>
        </xdr:to>
        <xdr:sp macro="" textlink="">
          <xdr:nvSpPr>
            <xdr:cNvPr id="2067" name="CommandButton4"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xdr:row>
          <xdr:rowOff>304800</xdr:rowOff>
        </xdr:from>
        <xdr:to>
          <xdr:col>24</xdr:col>
          <xdr:colOff>266700</xdr:colOff>
          <xdr:row>4</xdr:row>
          <xdr:rowOff>464820</xdr:rowOff>
        </xdr:to>
        <xdr:sp macro="" textlink="">
          <xdr:nvSpPr>
            <xdr:cNvPr id="10241" name="CommandButton10"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4</xdr:row>
          <xdr:rowOff>571500</xdr:rowOff>
        </xdr:from>
        <xdr:to>
          <xdr:col>24</xdr:col>
          <xdr:colOff>312420</xdr:colOff>
          <xdr:row>6</xdr:row>
          <xdr:rowOff>38100</xdr:rowOff>
        </xdr:to>
        <xdr:sp macro="" textlink="">
          <xdr:nvSpPr>
            <xdr:cNvPr id="10242" name="CommandButton1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114300</xdr:colOff>
          <xdr:row>9</xdr:row>
          <xdr:rowOff>365760</xdr:rowOff>
        </xdr:from>
        <xdr:to>
          <xdr:col>23</xdr:col>
          <xdr:colOff>7620</xdr:colOff>
          <xdr:row>10</xdr:row>
          <xdr:rowOff>426720</xdr:rowOff>
        </xdr:to>
        <xdr:sp macro="" textlink="">
          <xdr:nvSpPr>
            <xdr:cNvPr id="10243" name="CommandButton13"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121920</xdr:colOff>
          <xdr:row>10</xdr:row>
          <xdr:rowOff>464820</xdr:rowOff>
        </xdr:from>
        <xdr:to>
          <xdr:col>23</xdr:col>
          <xdr:colOff>15240</xdr:colOff>
          <xdr:row>13</xdr:row>
          <xdr:rowOff>76200</xdr:rowOff>
        </xdr:to>
        <xdr:sp macro="" textlink="">
          <xdr:nvSpPr>
            <xdr:cNvPr id="10244" name="CommandButton14"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xdr:row>
          <xdr:rowOff>304800</xdr:rowOff>
        </xdr:from>
        <xdr:to>
          <xdr:col>24</xdr:col>
          <xdr:colOff>266700</xdr:colOff>
          <xdr:row>5</xdr:row>
          <xdr:rowOff>114300</xdr:rowOff>
        </xdr:to>
        <xdr:sp macro="" textlink="">
          <xdr:nvSpPr>
            <xdr:cNvPr id="11265" name="CommandButton2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5</xdr:row>
          <xdr:rowOff>228600</xdr:rowOff>
        </xdr:from>
        <xdr:to>
          <xdr:col>24</xdr:col>
          <xdr:colOff>312420</xdr:colOff>
          <xdr:row>7</xdr:row>
          <xdr:rowOff>137160</xdr:rowOff>
        </xdr:to>
        <xdr:sp macro="" textlink="">
          <xdr:nvSpPr>
            <xdr:cNvPr id="11266" name="CommandButton2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14</xdr:row>
          <xdr:rowOff>518160</xdr:rowOff>
        </xdr:from>
        <xdr:to>
          <xdr:col>22</xdr:col>
          <xdr:colOff>381000</xdr:colOff>
          <xdr:row>15</xdr:row>
          <xdr:rowOff>441960</xdr:rowOff>
        </xdr:to>
        <xdr:sp macro="" textlink="">
          <xdr:nvSpPr>
            <xdr:cNvPr id="11267" name="CommandButton2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15</xdr:row>
          <xdr:rowOff>480060</xdr:rowOff>
        </xdr:from>
        <xdr:to>
          <xdr:col>22</xdr:col>
          <xdr:colOff>381000</xdr:colOff>
          <xdr:row>17</xdr:row>
          <xdr:rowOff>213360</xdr:rowOff>
        </xdr:to>
        <xdr:sp macro="" textlink="">
          <xdr:nvSpPr>
            <xdr:cNvPr id="11268" name="CommandButton2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bgk.pl/produkty/kredyt-preferencyjny-sbc/"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ntrol" Target="../activeX/activeX6.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10.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1">
    <pageSetUpPr fitToPage="1"/>
  </sheetPr>
  <dimension ref="A1:XFD496"/>
  <sheetViews>
    <sheetView showGridLines="0" tabSelected="1" view="pageBreakPreview" zoomScale="110" zoomScaleNormal="110" zoomScaleSheetLayoutView="110" workbookViewId="0">
      <selection activeCell="A8" sqref="A8:BB8"/>
    </sheetView>
  </sheetViews>
  <sheetFormatPr defaultColWidth="1.6640625" defaultRowHeight="14.4" x14ac:dyDescent="0.3"/>
  <cols>
    <col min="1" max="1" width="1.6640625" customWidth="1"/>
    <col min="2" max="5" width="2" customWidth="1"/>
    <col min="6" max="6" width="3" customWidth="1"/>
    <col min="7" max="14" width="2" customWidth="1"/>
    <col min="15" max="15" width="17.6640625" customWidth="1"/>
    <col min="16" max="22" width="2" customWidth="1"/>
    <col min="23" max="25" width="1.6640625" customWidth="1"/>
    <col min="26" max="29" width="2.6640625" customWidth="1"/>
    <col min="30" max="33" width="1.6640625" customWidth="1"/>
    <col min="34" max="37" width="2.5546875" customWidth="1"/>
    <col min="38" max="39" width="1.6640625" customWidth="1"/>
    <col min="40" max="40" width="2" customWidth="1"/>
    <col min="41" max="43" width="1.6640625" customWidth="1"/>
    <col min="44" max="48" width="2.6640625" customWidth="1"/>
    <col min="49" max="49" width="2.33203125" customWidth="1"/>
    <col min="50" max="53" width="3" customWidth="1"/>
    <col min="54" max="54" width="1.33203125" customWidth="1"/>
    <col min="56" max="56" width="1.5546875" customWidth="1"/>
    <col min="61" max="61" width="2.6640625" bestFit="1" customWidth="1"/>
    <col min="76" max="76" width="5.33203125" customWidth="1"/>
    <col min="86" max="86" width="0.44140625" customWidth="1"/>
    <col min="87" max="91" width="1.6640625" hidden="1" customWidth="1"/>
  </cols>
  <sheetData>
    <row r="1" spans="1:16384" x14ac:dyDescent="0.3">
      <c r="A1" s="635" t="s">
        <v>5275</v>
      </c>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row>
    <row r="2" spans="1:16384" x14ac:dyDescent="0.3">
      <c r="A2" s="635" t="s">
        <v>5127</v>
      </c>
      <c r="B2" s="635"/>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5"/>
      <c r="AK2" s="635"/>
      <c r="AL2" s="635"/>
      <c r="AM2" s="635"/>
      <c r="AN2" s="635"/>
      <c r="AO2" s="635"/>
      <c r="AP2" s="635"/>
      <c r="AQ2" s="635"/>
      <c r="AR2" s="635"/>
      <c r="AS2" s="635"/>
      <c r="AT2" s="635"/>
      <c r="AU2" s="635"/>
      <c r="AV2" s="635"/>
      <c r="AW2" s="635"/>
      <c r="AX2" s="635"/>
      <c r="AY2" s="635"/>
      <c r="AZ2" s="635"/>
      <c r="BA2" s="635"/>
      <c r="BB2" s="635"/>
    </row>
    <row r="3" spans="1:16384" customFormat="1" x14ac:dyDescent="0.3">
      <c r="A3" s="175" t="s">
        <v>5620</v>
      </c>
      <c r="B3" s="175"/>
      <c r="C3" s="5"/>
      <c r="D3" s="17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row>
    <row r="4" spans="1:16384" s="9" customFormat="1" ht="23.25" customHeight="1" x14ac:dyDescent="0.25">
      <c r="A4" s="218"/>
      <c r="B4" s="643"/>
      <c r="C4" s="643"/>
      <c r="D4" s="643"/>
      <c r="E4" s="643"/>
      <c r="F4" s="644"/>
      <c r="G4" s="8"/>
      <c r="H4" s="53"/>
      <c r="I4" s="53"/>
      <c r="J4" s="53"/>
      <c r="K4" s="53"/>
      <c r="L4" s="53"/>
      <c r="M4" s="53"/>
      <c r="N4" s="53"/>
      <c r="O4" s="53"/>
      <c r="P4" s="53"/>
      <c r="Q4" s="53"/>
      <c r="R4" s="53"/>
      <c r="S4" s="53"/>
      <c r="T4" s="53"/>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row>
    <row r="5" spans="1:16384" customFormat="1" ht="15" customHeight="1" x14ac:dyDescent="0.3">
      <c r="A5" s="645" t="s">
        <v>5219</v>
      </c>
      <c r="B5" s="646"/>
      <c r="C5" s="646"/>
      <c r="D5" s="646"/>
      <c r="E5" s="646"/>
      <c r="F5" s="646"/>
      <c r="G5" s="10"/>
      <c r="H5" s="53"/>
      <c r="I5" s="53"/>
      <c r="J5" s="53"/>
      <c r="K5" s="53"/>
      <c r="L5" s="53"/>
      <c r="M5" s="53"/>
      <c r="N5" s="53"/>
      <c r="O5" s="53"/>
      <c r="P5" s="53"/>
      <c r="Q5" s="53"/>
      <c r="R5" s="53"/>
      <c r="S5" s="53"/>
      <c r="T5" s="53"/>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row>
    <row r="6" spans="1:16384" customFormat="1" x14ac:dyDescent="0.3">
      <c r="A6" s="647"/>
      <c r="B6" s="647"/>
      <c r="C6" s="647"/>
      <c r="D6" s="647"/>
      <c r="E6" s="647"/>
      <c r="F6" s="647"/>
      <c r="G6" s="10"/>
      <c r="H6" s="53"/>
      <c r="I6" s="53"/>
      <c r="J6" s="53"/>
      <c r="K6" s="53"/>
      <c r="L6" s="53"/>
      <c r="M6" s="53"/>
      <c r="N6" s="53"/>
      <c r="O6" s="53"/>
      <c r="P6" s="53"/>
      <c r="Q6" s="53"/>
      <c r="R6" s="53"/>
      <c r="S6" s="53"/>
      <c r="T6" s="53"/>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row>
    <row r="7" spans="1:16384" s="54" customFormat="1" ht="10.199999999999999" x14ac:dyDescent="0.2">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row>
    <row r="8" spans="1:16384" customFormat="1" x14ac:dyDescent="0.3">
      <c r="A8" s="637" t="s">
        <v>5603</v>
      </c>
      <c r="B8" s="637"/>
      <c r="C8" s="637"/>
      <c r="D8" s="637"/>
      <c r="E8" s="637"/>
      <c r="F8" s="637"/>
      <c r="G8" s="637"/>
      <c r="H8" s="637"/>
      <c r="I8" s="637"/>
      <c r="J8" s="637"/>
      <c r="K8" s="637"/>
      <c r="L8" s="637"/>
      <c r="M8" s="637"/>
      <c r="N8" s="637"/>
      <c r="O8" s="637"/>
      <c r="P8" s="637"/>
      <c r="Q8" s="637"/>
      <c r="R8" s="637"/>
      <c r="S8" s="637"/>
      <c r="T8" s="637"/>
      <c r="U8" s="637"/>
      <c r="V8" s="637"/>
      <c r="W8" s="637"/>
      <c r="X8" s="637"/>
      <c r="Y8" s="637"/>
      <c r="Z8" s="637"/>
      <c r="AA8" s="637"/>
      <c r="AB8" s="637"/>
      <c r="AC8" s="637"/>
      <c r="AD8" s="637"/>
      <c r="AE8" s="637"/>
      <c r="AF8" s="637"/>
      <c r="AG8" s="637"/>
      <c r="AH8" s="637"/>
      <c r="AI8" s="637"/>
      <c r="AJ8" s="637"/>
      <c r="AK8" s="637"/>
      <c r="AL8" s="637"/>
      <c r="AM8" s="637"/>
      <c r="AN8" s="637"/>
      <c r="AO8" s="637"/>
      <c r="AP8" s="637"/>
      <c r="AQ8" s="637"/>
      <c r="AR8" s="637"/>
      <c r="AS8" s="637"/>
      <c r="AT8" s="637"/>
      <c r="AU8" s="637"/>
      <c r="AV8" s="637"/>
      <c r="AW8" s="637"/>
      <c r="AX8" s="637"/>
      <c r="AY8" s="637"/>
      <c r="AZ8" s="637"/>
      <c r="BA8" s="637"/>
      <c r="BB8" s="637"/>
      <c r="BD8" s="201"/>
      <c r="BE8" s="201"/>
      <c r="BF8" s="201"/>
      <c r="BG8" s="201"/>
      <c r="BH8" s="201"/>
      <c r="BI8" s="201"/>
      <c r="BJ8" s="201"/>
      <c r="BK8" s="201"/>
      <c r="BL8" s="201"/>
      <c r="BM8" s="201"/>
      <c r="BN8" s="201"/>
      <c r="BO8" s="201"/>
      <c r="BP8" s="201"/>
      <c r="BQ8" s="201"/>
      <c r="BR8" s="201"/>
      <c r="BS8" s="201"/>
      <c r="BT8" s="201"/>
      <c r="BU8" s="201"/>
      <c r="BV8" s="201"/>
      <c r="BW8" s="201"/>
      <c r="BX8" s="201"/>
      <c r="BY8" s="201"/>
      <c r="BZ8" s="201"/>
      <c r="CA8" s="201"/>
      <c r="CB8" s="201"/>
      <c r="CC8" s="201"/>
      <c r="CD8" s="201"/>
      <c r="CE8" s="201"/>
      <c r="CF8" s="201"/>
      <c r="CG8" s="201"/>
      <c r="CH8" s="201"/>
      <c r="CI8" s="201"/>
      <c r="CJ8" s="201"/>
      <c r="CK8" s="201"/>
      <c r="CL8" s="201"/>
      <c r="CM8" s="201"/>
    </row>
    <row r="9" spans="1:16384" customFormat="1" x14ac:dyDescent="0.3">
      <c r="A9" s="637" t="s">
        <v>5604</v>
      </c>
      <c r="B9" s="637"/>
      <c r="C9" s="637"/>
      <c r="D9" s="637"/>
      <c r="E9" s="637"/>
      <c r="F9" s="637"/>
      <c r="G9" s="637"/>
      <c r="H9" s="637"/>
      <c r="I9" s="637"/>
      <c r="J9" s="637"/>
      <c r="K9" s="637"/>
      <c r="L9" s="637"/>
      <c r="M9" s="637"/>
      <c r="N9" s="637"/>
      <c r="O9" s="637"/>
      <c r="P9" s="637"/>
      <c r="Q9" s="637"/>
      <c r="R9" s="637"/>
      <c r="S9" s="637"/>
      <c r="T9" s="637"/>
      <c r="U9" s="637"/>
      <c r="V9" s="637"/>
      <c r="W9" s="637"/>
      <c r="X9" s="637"/>
      <c r="Y9" s="637"/>
      <c r="Z9" s="637"/>
      <c r="AA9" s="637"/>
      <c r="AB9" s="637"/>
      <c r="AC9" s="637"/>
      <c r="AD9" s="637"/>
      <c r="AE9" s="637"/>
      <c r="AF9" s="637"/>
      <c r="AG9" s="637"/>
      <c r="AH9" s="637"/>
      <c r="AI9" s="637"/>
      <c r="AJ9" s="637"/>
      <c r="AK9" s="637"/>
      <c r="AL9" s="637"/>
      <c r="AM9" s="637"/>
      <c r="AN9" s="637"/>
      <c r="AO9" s="637"/>
      <c r="AP9" s="637"/>
      <c r="AQ9" s="637"/>
      <c r="AR9" s="637"/>
      <c r="AS9" s="637"/>
      <c r="AT9" s="637"/>
      <c r="AU9" s="637"/>
      <c r="AV9" s="637"/>
      <c r="AW9" s="637"/>
      <c r="AX9" s="637"/>
      <c r="AY9" s="637"/>
      <c r="AZ9" s="637"/>
      <c r="BA9" s="637"/>
      <c r="BB9" s="637"/>
      <c r="BD9" s="201"/>
      <c r="BE9" s="201"/>
      <c r="BF9" s="201"/>
      <c r="BG9" s="201"/>
      <c r="BH9" s="201"/>
      <c r="BI9" s="201"/>
      <c r="BJ9" s="201"/>
      <c r="BK9" s="201"/>
      <c r="BL9" s="201"/>
      <c r="BM9" s="201"/>
      <c r="BN9" s="201"/>
      <c r="BO9" s="201"/>
      <c r="BP9" s="201"/>
      <c r="BQ9" s="201"/>
      <c r="BR9" s="201"/>
      <c r="BS9" s="201"/>
      <c r="BT9" s="201"/>
      <c r="BU9" s="201"/>
      <c r="BV9" s="201"/>
      <c r="BW9" s="201"/>
      <c r="BX9" s="201"/>
      <c r="BY9" s="201"/>
      <c r="BZ9" s="201"/>
      <c r="CA9" s="201"/>
      <c r="CB9" s="201"/>
      <c r="CC9" s="201"/>
      <c r="CD9" s="201"/>
      <c r="CE9" s="201"/>
      <c r="CF9" s="201"/>
      <c r="CG9" s="201"/>
      <c r="CH9" s="201"/>
      <c r="CI9" s="201"/>
      <c r="CJ9" s="201"/>
      <c r="CK9" s="201"/>
      <c r="CL9" s="201"/>
      <c r="CM9" s="201"/>
    </row>
    <row r="10" spans="1:16384" s="180" customFormat="1" ht="16.5" customHeight="1" x14ac:dyDescent="0.3">
      <c r="A10" s="641" t="s">
        <v>5632</v>
      </c>
      <c r="B10" s="642"/>
      <c r="C10" s="642"/>
      <c r="D10" s="642"/>
      <c r="E10" s="642"/>
      <c r="F10" s="642"/>
      <c r="G10" s="642"/>
      <c r="H10" s="642"/>
      <c r="I10" s="642"/>
      <c r="J10" s="642"/>
      <c r="K10" s="642"/>
      <c r="L10" s="642"/>
      <c r="M10" s="642"/>
      <c r="N10" s="642"/>
      <c r="O10" s="642"/>
      <c r="P10" s="642"/>
      <c r="Q10" s="642"/>
      <c r="R10" s="642"/>
      <c r="S10" s="642"/>
      <c r="T10" s="642"/>
      <c r="U10" s="642"/>
      <c r="V10" s="642"/>
      <c r="W10" s="642"/>
      <c r="X10" s="642"/>
      <c r="Y10" s="642"/>
      <c r="Z10" s="642"/>
      <c r="AA10" s="642"/>
      <c r="AB10" s="642"/>
      <c r="AC10" s="642"/>
      <c r="AD10" s="642"/>
      <c r="AE10" s="642"/>
      <c r="AF10" s="642"/>
      <c r="AG10" s="642"/>
      <c r="AH10" s="642"/>
      <c r="AI10" s="642"/>
      <c r="AJ10" s="642"/>
      <c r="AK10" s="642"/>
      <c r="AL10" s="642"/>
      <c r="AM10" s="642"/>
      <c r="AN10" s="642"/>
      <c r="AO10" s="642"/>
      <c r="AP10" s="642"/>
      <c r="AQ10" s="642"/>
      <c r="AR10" s="642"/>
      <c r="AS10" s="642"/>
      <c r="AT10" s="642"/>
      <c r="AU10" s="642"/>
      <c r="AV10" s="642"/>
      <c r="AW10" s="642"/>
      <c r="AX10" s="642"/>
      <c r="AY10" s="642"/>
      <c r="AZ10" s="642"/>
      <c r="BA10" s="642"/>
      <c r="BB10" s="642"/>
      <c r="BC10" s="179"/>
      <c r="BD10" s="201"/>
      <c r="BE10" s="201"/>
      <c r="BF10" s="201"/>
      <c r="BG10" s="201"/>
      <c r="BH10" s="201"/>
      <c r="BI10" s="201"/>
      <c r="BJ10" s="201"/>
      <c r="BK10" s="201"/>
      <c r="BL10" s="201"/>
      <c r="BM10" s="201"/>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179"/>
      <c r="CO10" s="179"/>
      <c r="CP10" s="179"/>
      <c r="CQ10" s="179"/>
      <c r="CR10" s="179"/>
      <c r="CS10" s="179"/>
      <c r="CT10" s="179"/>
      <c r="CU10" s="179"/>
      <c r="CV10" s="179"/>
      <c r="CW10" s="179"/>
      <c r="CX10" s="179"/>
      <c r="CY10" s="179"/>
      <c r="CZ10" s="179"/>
      <c r="DA10" s="179"/>
      <c r="DB10" s="179"/>
      <c r="DC10" s="179"/>
      <c r="DD10" s="179"/>
      <c r="DE10" s="651"/>
      <c r="DF10" s="651"/>
      <c r="DG10" s="651"/>
      <c r="DH10" s="651"/>
      <c r="DI10" s="651"/>
      <c r="DJ10" s="651"/>
      <c r="DK10" s="651"/>
      <c r="DL10" s="651"/>
      <c r="DM10" s="651"/>
      <c r="DN10" s="651"/>
      <c r="DO10" s="651"/>
      <c r="DP10" s="651"/>
      <c r="DQ10" s="651"/>
      <c r="DR10" s="651"/>
      <c r="DS10" s="651"/>
      <c r="DT10" s="651"/>
      <c r="DU10" s="651"/>
      <c r="DV10" s="651"/>
      <c r="DW10" s="651"/>
      <c r="DX10" s="651"/>
      <c r="DY10" s="651"/>
      <c r="DZ10" s="651"/>
      <c r="EA10" s="651"/>
      <c r="EB10" s="651"/>
      <c r="EC10" s="651"/>
      <c r="ED10" s="651"/>
      <c r="EE10" s="651"/>
      <c r="EF10" s="651"/>
      <c r="EG10" s="651"/>
      <c r="EH10" s="651"/>
      <c r="EI10" s="651"/>
      <c r="EJ10" s="651"/>
      <c r="EK10" s="651"/>
      <c r="EL10" s="651"/>
      <c r="EM10" s="651"/>
      <c r="EN10" s="651"/>
      <c r="EO10" s="651"/>
      <c r="EP10" s="651"/>
      <c r="EQ10" s="651"/>
      <c r="ER10" s="651"/>
      <c r="ES10" s="651"/>
      <c r="ET10" s="651"/>
      <c r="EU10" s="651"/>
      <c r="EV10" s="651"/>
      <c r="EW10" s="651"/>
      <c r="EX10" s="651"/>
      <c r="EY10" s="651"/>
      <c r="EZ10" s="651"/>
      <c r="FA10" s="651"/>
      <c r="FB10" s="651"/>
      <c r="FC10" s="651"/>
      <c r="FD10" s="651"/>
      <c r="FE10" s="651"/>
      <c r="FF10" s="651"/>
      <c r="FG10" s="651"/>
      <c r="FH10" s="651"/>
      <c r="FI10" s="651"/>
      <c r="FJ10" s="651"/>
      <c r="FK10" s="651"/>
      <c r="FL10" s="651"/>
      <c r="FM10" s="651"/>
      <c r="FN10" s="651"/>
      <c r="FO10" s="651"/>
      <c r="FP10" s="651"/>
      <c r="FQ10" s="651"/>
      <c r="FR10" s="651"/>
      <c r="FS10" s="651"/>
      <c r="FT10" s="651"/>
      <c r="FU10" s="651"/>
      <c r="FV10" s="651"/>
      <c r="FW10" s="651"/>
      <c r="FX10" s="651"/>
      <c r="FY10" s="651"/>
      <c r="FZ10" s="651"/>
      <c r="GA10" s="651"/>
      <c r="GB10" s="651"/>
      <c r="GC10" s="651"/>
      <c r="GD10" s="651"/>
      <c r="GE10" s="651"/>
      <c r="GF10" s="651"/>
      <c r="GG10" s="651"/>
      <c r="GH10" s="651"/>
      <c r="GI10" s="651"/>
      <c r="GJ10" s="651"/>
      <c r="GK10" s="651"/>
      <c r="GL10" s="651"/>
      <c r="GM10" s="651"/>
      <c r="GN10" s="651"/>
      <c r="GO10" s="651"/>
      <c r="GP10" s="651"/>
      <c r="GQ10" s="651"/>
      <c r="GR10" s="651"/>
      <c r="GS10" s="651"/>
      <c r="GT10" s="651"/>
      <c r="GU10" s="651"/>
      <c r="GV10" s="651"/>
      <c r="GW10" s="651"/>
      <c r="GX10" s="651"/>
      <c r="GY10" s="651"/>
      <c r="GZ10" s="651"/>
      <c r="HA10" s="651"/>
      <c r="HB10" s="651"/>
      <c r="HC10" s="651"/>
      <c r="HD10" s="651"/>
      <c r="HE10" s="651"/>
      <c r="HF10" s="651"/>
      <c r="HG10" s="651"/>
      <c r="HH10" s="651"/>
      <c r="HI10" s="651"/>
      <c r="HJ10" s="651"/>
      <c r="HK10" s="651"/>
      <c r="HL10" s="651"/>
      <c r="HM10" s="651"/>
      <c r="HN10" s="651"/>
      <c r="HO10" s="651"/>
      <c r="HP10" s="651"/>
      <c r="HQ10" s="651"/>
      <c r="HR10" s="651"/>
      <c r="HS10" s="651"/>
      <c r="HT10" s="651"/>
      <c r="HU10" s="651"/>
      <c r="HV10" s="651"/>
      <c r="HW10" s="651"/>
      <c r="HX10" s="651"/>
      <c r="HY10" s="651"/>
      <c r="HZ10" s="651"/>
      <c r="IA10" s="651"/>
      <c r="IB10" s="651"/>
      <c r="IC10" s="651"/>
      <c r="ID10" s="651"/>
      <c r="IE10" s="651"/>
      <c r="IF10" s="651"/>
      <c r="IG10" s="651"/>
      <c r="IH10" s="651"/>
      <c r="II10" s="651"/>
      <c r="IJ10" s="651"/>
      <c r="IK10" s="651"/>
      <c r="IL10" s="651"/>
      <c r="IM10" s="651"/>
      <c r="IN10" s="651"/>
      <c r="IO10" s="651"/>
      <c r="IP10" s="651"/>
      <c r="IQ10" s="651"/>
      <c r="IR10" s="651"/>
      <c r="IS10" s="651"/>
      <c r="IT10" s="651"/>
      <c r="IU10" s="651"/>
      <c r="IV10" s="651"/>
      <c r="IW10" s="651"/>
      <c r="IX10" s="651"/>
      <c r="IY10" s="651"/>
      <c r="IZ10" s="651"/>
      <c r="JA10" s="651"/>
      <c r="JB10" s="651"/>
      <c r="JC10" s="651"/>
      <c r="JD10" s="651"/>
      <c r="JE10" s="651"/>
      <c r="JF10" s="651"/>
      <c r="JG10" s="651"/>
      <c r="JH10" s="651"/>
      <c r="JI10" s="651"/>
      <c r="JJ10" s="651"/>
      <c r="JK10" s="651"/>
      <c r="JL10" s="651"/>
      <c r="JM10" s="651"/>
      <c r="JN10" s="651"/>
      <c r="JO10" s="651"/>
      <c r="JP10" s="651"/>
      <c r="JQ10" s="651"/>
      <c r="JR10" s="651"/>
      <c r="JS10" s="651"/>
      <c r="JT10" s="651"/>
      <c r="JU10" s="651"/>
      <c r="JV10" s="651"/>
      <c r="JW10" s="651"/>
      <c r="JX10" s="651"/>
      <c r="JY10" s="651"/>
      <c r="JZ10" s="651"/>
      <c r="KA10" s="651"/>
      <c r="KB10" s="651"/>
      <c r="KC10" s="651"/>
      <c r="KD10" s="651"/>
      <c r="KE10" s="651"/>
      <c r="KF10" s="651"/>
      <c r="KG10" s="651"/>
      <c r="KH10" s="651"/>
      <c r="KI10" s="651"/>
      <c r="KJ10" s="651"/>
      <c r="KK10" s="651"/>
      <c r="KL10" s="651"/>
      <c r="KM10" s="651"/>
      <c r="KN10" s="651"/>
      <c r="KO10" s="651"/>
      <c r="KP10" s="651"/>
      <c r="KQ10" s="651"/>
      <c r="KR10" s="651"/>
      <c r="KS10" s="651"/>
      <c r="KT10" s="651"/>
      <c r="KU10" s="651"/>
      <c r="KV10" s="651"/>
      <c r="KW10" s="651"/>
      <c r="KX10" s="651"/>
      <c r="KY10" s="651"/>
      <c r="KZ10" s="651"/>
      <c r="LA10" s="651"/>
      <c r="LB10" s="651"/>
      <c r="LC10" s="651"/>
      <c r="LD10" s="651"/>
      <c r="LE10" s="651"/>
      <c r="LF10" s="651"/>
      <c r="LG10" s="651"/>
      <c r="LH10" s="651"/>
      <c r="LI10" s="651"/>
      <c r="LJ10" s="651"/>
      <c r="LK10" s="651"/>
      <c r="LL10" s="651"/>
      <c r="LM10" s="651"/>
      <c r="LN10" s="651"/>
      <c r="LO10" s="651"/>
      <c r="LP10" s="651"/>
      <c r="LQ10" s="651"/>
      <c r="LR10" s="651"/>
      <c r="LS10" s="651"/>
      <c r="LT10" s="651"/>
      <c r="LU10" s="651"/>
      <c r="LV10" s="651"/>
      <c r="LW10" s="651"/>
      <c r="LX10" s="651"/>
      <c r="LY10" s="651"/>
      <c r="LZ10" s="651"/>
      <c r="MA10" s="651"/>
      <c r="MB10" s="651"/>
      <c r="MC10" s="651"/>
      <c r="MD10" s="651"/>
      <c r="ME10" s="651"/>
      <c r="MF10" s="651"/>
      <c r="MG10" s="651"/>
      <c r="MH10" s="651"/>
      <c r="MI10" s="651"/>
      <c r="MJ10" s="651"/>
      <c r="MK10" s="651"/>
      <c r="ML10" s="651"/>
      <c r="MM10" s="651"/>
      <c r="MN10" s="651"/>
      <c r="MO10" s="651"/>
      <c r="MP10" s="651"/>
      <c r="MQ10" s="651"/>
      <c r="MR10" s="651"/>
      <c r="MS10" s="651"/>
      <c r="MT10" s="651"/>
      <c r="MU10" s="651"/>
      <c r="MV10" s="651"/>
      <c r="MW10" s="651"/>
      <c r="MX10" s="651"/>
      <c r="MY10" s="651"/>
      <c r="MZ10" s="651"/>
      <c r="NA10" s="651"/>
      <c r="NB10" s="651"/>
      <c r="NC10" s="651"/>
      <c r="ND10" s="651"/>
      <c r="NE10" s="651"/>
      <c r="NF10" s="651"/>
      <c r="NG10" s="651"/>
      <c r="NH10" s="651"/>
      <c r="NI10" s="651"/>
      <c r="NJ10" s="651"/>
      <c r="NK10" s="651"/>
      <c r="NL10" s="651"/>
      <c r="NM10" s="651"/>
      <c r="NN10" s="651"/>
      <c r="NO10" s="651"/>
      <c r="NP10" s="651"/>
      <c r="NQ10" s="651"/>
      <c r="NR10" s="651"/>
      <c r="NS10" s="651"/>
      <c r="NT10" s="651"/>
      <c r="NU10" s="651"/>
      <c r="NV10" s="651"/>
      <c r="NW10" s="651"/>
      <c r="NX10" s="651"/>
      <c r="NY10" s="651"/>
      <c r="NZ10" s="651"/>
      <c r="OA10" s="651"/>
      <c r="OB10" s="651"/>
      <c r="OC10" s="651"/>
      <c r="OD10" s="651"/>
      <c r="OE10" s="651"/>
      <c r="OF10" s="651"/>
      <c r="OG10" s="651"/>
      <c r="OH10" s="651"/>
      <c r="OI10" s="651"/>
      <c r="OJ10" s="651"/>
      <c r="OK10" s="651"/>
      <c r="OL10" s="651"/>
      <c r="OM10" s="651"/>
      <c r="ON10" s="651"/>
      <c r="OO10" s="651"/>
      <c r="OP10" s="651"/>
      <c r="OQ10" s="651"/>
      <c r="OR10" s="651"/>
      <c r="OS10" s="651"/>
      <c r="OT10" s="651"/>
      <c r="OU10" s="651"/>
      <c r="OV10" s="651"/>
      <c r="OW10" s="651"/>
      <c r="OX10" s="651"/>
      <c r="OY10" s="651"/>
      <c r="OZ10" s="651"/>
      <c r="PA10" s="651"/>
      <c r="PB10" s="651"/>
      <c r="PC10" s="651"/>
      <c r="PD10" s="651"/>
      <c r="PE10" s="651"/>
      <c r="PF10" s="651"/>
      <c r="PG10" s="651"/>
      <c r="PH10" s="651"/>
      <c r="PI10" s="651"/>
      <c r="PJ10" s="651"/>
      <c r="PK10" s="651"/>
      <c r="PL10" s="651"/>
      <c r="PM10" s="651"/>
      <c r="PN10" s="651"/>
      <c r="PO10" s="651"/>
      <c r="PP10" s="651"/>
      <c r="PQ10" s="651"/>
      <c r="PR10" s="651"/>
      <c r="PS10" s="651"/>
      <c r="PT10" s="651"/>
      <c r="PU10" s="651"/>
      <c r="PV10" s="651"/>
      <c r="PW10" s="651"/>
      <c r="PX10" s="651"/>
      <c r="PY10" s="651"/>
      <c r="PZ10" s="651"/>
      <c r="QA10" s="651"/>
      <c r="QB10" s="651"/>
      <c r="QC10" s="651"/>
      <c r="QD10" s="651"/>
      <c r="QE10" s="651"/>
      <c r="QF10" s="651"/>
      <c r="QG10" s="651"/>
      <c r="QH10" s="651"/>
      <c r="QI10" s="651"/>
      <c r="QJ10" s="651"/>
      <c r="QK10" s="651"/>
      <c r="QL10" s="651"/>
      <c r="QM10" s="651"/>
      <c r="QN10" s="651"/>
      <c r="QO10" s="651"/>
      <c r="QP10" s="651"/>
      <c r="QQ10" s="651"/>
      <c r="QR10" s="651"/>
      <c r="QS10" s="651"/>
      <c r="QT10" s="651"/>
      <c r="QU10" s="651"/>
      <c r="QV10" s="651"/>
      <c r="QW10" s="651"/>
      <c r="QX10" s="651"/>
      <c r="QY10" s="651"/>
      <c r="QZ10" s="651"/>
      <c r="RA10" s="651"/>
      <c r="RB10" s="651"/>
      <c r="RC10" s="651"/>
      <c r="RD10" s="651"/>
      <c r="RE10" s="651"/>
      <c r="RF10" s="651"/>
      <c r="RG10" s="651"/>
      <c r="RH10" s="651"/>
      <c r="RI10" s="651"/>
      <c r="RJ10" s="651"/>
      <c r="RK10" s="651"/>
      <c r="RL10" s="651"/>
      <c r="RM10" s="651"/>
      <c r="RN10" s="651"/>
      <c r="RO10" s="651"/>
      <c r="RP10" s="651"/>
      <c r="RQ10" s="651"/>
      <c r="RR10" s="651"/>
      <c r="RS10" s="651"/>
      <c r="RT10" s="651"/>
      <c r="RU10" s="651"/>
      <c r="RV10" s="651"/>
      <c r="RW10" s="651"/>
      <c r="RX10" s="651"/>
      <c r="RY10" s="651"/>
      <c r="RZ10" s="651"/>
      <c r="SA10" s="651"/>
      <c r="SB10" s="651"/>
      <c r="SC10" s="651"/>
      <c r="SD10" s="651"/>
      <c r="SE10" s="651"/>
      <c r="SF10" s="651"/>
      <c r="SG10" s="651"/>
      <c r="SH10" s="651"/>
      <c r="SI10" s="651"/>
      <c r="SJ10" s="651"/>
      <c r="SK10" s="651"/>
      <c r="SL10" s="651"/>
      <c r="SM10" s="651"/>
      <c r="SN10" s="651"/>
      <c r="SO10" s="651"/>
      <c r="SP10" s="651"/>
      <c r="SQ10" s="651"/>
      <c r="SR10" s="651"/>
      <c r="SS10" s="651"/>
      <c r="ST10" s="651"/>
      <c r="SU10" s="651"/>
      <c r="SV10" s="651"/>
      <c r="SW10" s="651"/>
      <c r="SX10" s="651"/>
      <c r="SY10" s="651"/>
      <c r="SZ10" s="651"/>
      <c r="TA10" s="651"/>
      <c r="TB10" s="651"/>
      <c r="TC10" s="651"/>
      <c r="TD10" s="651"/>
      <c r="TE10" s="651"/>
      <c r="TF10" s="651"/>
      <c r="TG10" s="651"/>
      <c r="TH10" s="651"/>
      <c r="TI10" s="651"/>
      <c r="TJ10" s="651"/>
      <c r="TK10" s="651"/>
      <c r="TL10" s="651"/>
      <c r="TM10" s="651"/>
      <c r="TN10" s="651"/>
      <c r="TO10" s="651"/>
      <c r="TP10" s="651"/>
      <c r="TQ10" s="651"/>
      <c r="TR10" s="651"/>
      <c r="TS10" s="651"/>
      <c r="TT10" s="651"/>
      <c r="TU10" s="651"/>
      <c r="TV10" s="651"/>
      <c r="TW10" s="651"/>
      <c r="TX10" s="651"/>
      <c r="TY10" s="651"/>
      <c r="TZ10" s="651"/>
      <c r="UA10" s="651"/>
      <c r="UB10" s="651"/>
      <c r="UC10" s="651"/>
      <c r="UD10" s="651"/>
      <c r="UE10" s="651"/>
      <c r="UF10" s="651"/>
      <c r="UG10" s="651"/>
      <c r="UH10" s="651"/>
      <c r="UI10" s="651"/>
      <c r="UJ10" s="651"/>
      <c r="UK10" s="651"/>
      <c r="UL10" s="651"/>
      <c r="UM10" s="651"/>
      <c r="UN10" s="651"/>
      <c r="UO10" s="651"/>
      <c r="UP10" s="651"/>
      <c r="UQ10" s="651"/>
      <c r="UR10" s="651"/>
      <c r="US10" s="651"/>
      <c r="UT10" s="651"/>
      <c r="UU10" s="651"/>
      <c r="UV10" s="651"/>
      <c r="UW10" s="651"/>
      <c r="UX10" s="651"/>
      <c r="UY10" s="651"/>
      <c r="UZ10" s="651"/>
      <c r="VA10" s="651"/>
      <c r="VB10" s="651"/>
      <c r="VC10" s="651"/>
      <c r="VD10" s="651"/>
      <c r="VE10" s="651"/>
      <c r="VF10" s="651"/>
      <c r="VG10" s="651"/>
      <c r="VH10" s="651"/>
      <c r="VI10" s="651"/>
      <c r="VJ10" s="651"/>
      <c r="VK10" s="651"/>
      <c r="VL10" s="651"/>
      <c r="VM10" s="651"/>
      <c r="VN10" s="651"/>
      <c r="VO10" s="651"/>
      <c r="VP10" s="651"/>
      <c r="VQ10" s="651"/>
      <c r="VR10" s="651"/>
      <c r="VS10" s="651"/>
      <c r="VT10" s="651"/>
      <c r="VU10" s="651"/>
      <c r="VV10" s="651"/>
      <c r="VW10" s="651"/>
      <c r="VX10" s="651"/>
      <c r="VY10" s="651"/>
      <c r="VZ10" s="651"/>
      <c r="WA10" s="651"/>
      <c r="WB10" s="651"/>
      <c r="WC10" s="651"/>
      <c r="WD10" s="651"/>
      <c r="WE10" s="651"/>
      <c r="WF10" s="651"/>
      <c r="WG10" s="651"/>
      <c r="WH10" s="651"/>
      <c r="WI10" s="651"/>
      <c r="WJ10" s="651"/>
      <c r="WK10" s="651"/>
      <c r="WL10" s="651"/>
      <c r="WM10" s="651"/>
      <c r="WN10" s="651"/>
      <c r="WO10" s="651"/>
      <c r="WP10" s="651"/>
      <c r="WQ10" s="651"/>
      <c r="WR10" s="651"/>
      <c r="WS10" s="651"/>
      <c r="WT10" s="651"/>
      <c r="WU10" s="651"/>
      <c r="WV10" s="651"/>
      <c r="WW10" s="651"/>
      <c r="WX10" s="651"/>
      <c r="WY10" s="651"/>
      <c r="WZ10" s="651"/>
      <c r="XA10" s="651"/>
      <c r="XB10" s="651"/>
      <c r="XC10" s="651"/>
      <c r="XD10" s="651"/>
      <c r="XE10" s="651"/>
      <c r="XF10" s="651"/>
      <c r="XG10" s="651"/>
      <c r="XH10" s="651"/>
      <c r="XI10" s="651"/>
      <c r="XJ10" s="651"/>
      <c r="XK10" s="651"/>
      <c r="XL10" s="651"/>
      <c r="XM10" s="651"/>
      <c r="XN10" s="651"/>
      <c r="XO10" s="651"/>
      <c r="XP10" s="651"/>
      <c r="XQ10" s="651"/>
      <c r="XR10" s="651"/>
      <c r="XS10" s="651"/>
      <c r="XT10" s="651"/>
      <c r="XU10" s="651"/>
      <c r="XV10" s="651"/>
      <c r="XW10" s="651"/>
      <c r="XX10" s="651"/>
      <c r="XY10" s="651"/>
      <c r="XZ10" s="651"/>
      <c r="YA10" s="651"/>
      <c r="YB10" s="651"/>
      <c r="YC10" s="651"/>
      <c r="YD10" s="651"/>
      <c r="YE10" s="651"/>
      <c r="YF10" s="651"/>
      <c r="YG10" s="651"/>
      <c r="YH10" s="651"/>
      <c r="YI10" s="651"/>
      <c r="YJ10" s="651"/>
      <c r="YK10" s="651"/>
      <c r="YL10" s="651"/>
      <c r="YM10" s="651"/>
      <c r="YN10" s="651"/>
      <c r="YO10" s="651"/>
      <c r="YP10" s="651"/>
      <c r="YQ10" s="651"/>
      <c r="YR10" s="651"/>
      <c r="YS10" s="651"/>
      <c r="YT10" s="651"/>
      <c r="YU10" s="651"/>
      <c r="YV10" s="651"/>
      <c r="YW10" s="651"/>
      <c r="YX10" s="651"/>
      <c r="YY10" s="651"/>
      <c r="YZ10" s="651"/>
      <c r="ZA10" s="651"/>
      <c r="ZB10" s="651"/>
      <c r="ZC10" s="651"/>
      <c r="ZD10" s="651"/>
      <c r="ZE10" s="651"/>
      <c r="ZF10" s="651"/>
      <c r="ZG10" s="651"/>
      <c r="ZH10" s="651"/>
      <c r="ZI10" s="651"/>
      <c r="ZJ10" s="651"/>
      <c r="ZK10" s="651"/>
      <c r="ZL10" s="651"/>
      <c r="ZM10" s="651"/>
      <c r="ZN10" s="651"/>
      <c r="ZO10" s="651"/>
      <c r="ZP10" s="651"/>
      <c r="ZQ10" s="651"/>
      <c r="ZR10" s="651"/>
      <c r="ZS10" s="651"/>
      <c r="ZT10" s="651"/>
      <c r="ZU10" s="651"/>
      <c r="ZV10" s="651"/>
      <c r="ZW10" s="651"/>
      <c r="ZX10" s="651"/>
      <c r="ZY10" s="651"/>
      <c r="ZZ10" s="651"/>
      <c r="AAA10" s="651"/>
      <c r="AAB10" s="651"/>
      <c r="AAC10" s="651"/>
      <c r="AAD10" s="651"/>
      <c r="AAE10" s="651"/>
      <c r="AAF10" s="651"/>
      <c r="AAG10" s="651"/>
      <c r="AAH10" s="651"/>
      <c r="AAI10" s="651"/>
      <c r="AAJ10" s="651"/>
      <c r="AAK10" s="651"/>
      <c r="AAL10" s="651"/>
      <c r="AAM10" s="651"/>
      <c r="AAN10" s="651"/>
      <c r="AAO10" s="651"/>
      <c r="AAP10" s="651"/>
      <c r="AAQ10" s="651"/>
      <c r="AAR10" s="651"/>
      <c r="AAS10" s="651"/>
      <c r="AAT10" s="651"/>
      <c r="AAU10" s="651"/>
      <c r="AAV10" s="651"/>
      <c r="AAW10" s="651"/>
      <c r="AAX10" s="651"/>
      <c r="AAY10" s="651"/>
      <c r="AAZ10" s="651"/>
      <c r="ABA10" s="651"/>
      <c r="ABB10" s="651"/>
      <c r="ABC10" s="651"/>
      <c r="ABD10" s="651"/>
      <c r="ABE10" s="651"/>
      <c r="ABF10" s="651"/>
      <c r="ABG10" s="651"/>
      <c r="ABH10" s="651"/>
      <c r="ABI10" s="651"/>
      <c r="ABJ10" s="651"/>
      <c r="ABK10" s="651"/>
      <c r="ABL10" s="651"/>
      <c r="ABM10" s="651"/>
      <c r="ABN10" s="651"/>
      <c r="ABO10" s="651"/>
      <c r="ABP10" s="651"/>
      <c r="ABQ10" s="651"/>
      <c r="ABR10" s="651"/>
      <c r="ABS10" s="651"/>
      <c r="ABT10" s="651"/>
      <c r="ABU10" s="651"/>
      <c r="ABV10" s="651"/>
      <c r="ABW10" s="651"/>
      <c r="ABX10" s="651"/>
      <c r="ABY10" s="651"/>
      <c r="ABZ10" s="651"/>
      <c r="ACA10" s="651"/>
      <c r="ACB10" s="651"/>
      <c r="ACC10" s="651"/>
      <c r="ACD10" s="651"/>
      <c r="ACE10" s="651"/>
      <c r="ACF10" s="651"/>
      <c r="ACG10" s="651"/>
      <c r="ACH10" s="651"/>
      <c r="ACI10" s="651"/>
      <c r="ACJ10" s="651"/>
      <c r="ACK10" s="651"/>
      <c r="ACL10" s="651"/>
      <c r="ACM10" s="651"/>
      <c r="ACN10" s="651"/>
      <c r="ACO10" s="651"/>
      <c r="ACP10" s="651"/>
      <c r="ACQ10" s="651"/>
      <c r="ACR10" s="651"/>
      <c r="ACS10" s="651"/>
      <c r="ACT10" s="651"/>
      <c r="ACU10" s="651"/>
      <c r="ACV10" s="651"/>
      <c r="ACW10" s="651"/>
      <c r="ACX10" s="651"/>
      <c r="ACY10" s="651"/>
      <c r="ACZ10" s="651"/>
      <c r="ADA10" s="651"/>
      <c r="ADB10" s="651"/>
      <c r="ADC10" s="651"/>
      <c r="ADD10" s="651"/>
      <c r="ADE10" s="651"/>
      <c r="ADF10" s="651"/>
      <c r="ADG10" s="651"/>
      <c r="ADH10" s="651"/>
      <c r="ADI10" s="651"/>
      <c r="ADJ10" s="651"/>
      <c r="ADK10" s="651"/>
      <c r="ADL10" s="651"/>
      <c r="ADM10" s="651"/>
      <c r="ADN10" s="651"/>
      <c r="ADO10" s="651"/>
      <c r="ADP10" s="651"/>
      <c r="ADQ10" s="651"/>
      <c r="ADR10" s="651"/>
      <c r="ADS10" s="651"/>
      <c r="ADT10" s="651"/>
      <c r="ADU10" s="651"/>
      <c r="ADV10" s="651"/>
      <c r="ADW10" s="651"/>
      <c r="ADX10" s="651"/>
      <c r="ADY10" s="651"/>
      <c r="ADZ10" s="651"/>
      <c r="AEA10" s="651"/>
      <c r="AEB10" s="651"/>
      <c r="AEC10" s="651"/>
      <c r="AED10" s="651"/>
      <c r="AEE10" s="651"/>
      <c r="AEF10" s="651"/>
      <c r="AEG10" s="651"/>
      <c r="AEH10" s="651"/>
      <c r="AEI10" s="651"/>
      <c r="AEJ10" s="651"/>
      <c r="AEK10" s="651"/>
      <c r="AEL10" s="651"/>
      <c r="AEM10" s="651"/>
      <c r="AEN10" s="651"/>
      <c r="AEO10" s="651"/>
      <c r="AEP10" s="651"/>
      <c r="AEQ10" s="651"/>
      <c r="AER10" s="651"/>
      <c r="AES10" s="651"/>
      <c r="AET10" s="651"/>
      <c r="AEU10" s="651"/>
      <c r="AEV10" s="651"/>
      <c r="AEW10" s="651"/>
      <c r="AEX10" s="651"/>
      <c r="AEY10" s="651"/>
      <c r="AEZ10" s="651"/>
      <c r="AFA10" s="651"/>
      <c r="AFB10" s="651"/>
      <c r="AFC10" s="651"/>
      <c r="AFD10" s="651"/>
      <c r="AFE10" s="651"/>
      <c r="AFF10" s="651"/>
      <c r="AFG10" s="651"/>
      <c r="AFH10" s="651"/>
      <c r="AFI10" s="651"/>
      <c r="AFJ10" s="651"/>
      <c r="AFK10" s="651"/>
      <c r="AFL10" s="651"/>
      <c r="AFM10" s="651"/>
      <c r="AFN10" s="651"/>
      <c r="AFO10" s="651"/>
      <c r="AFP10" s="651"/>
      <c r="AFQ10" s="651"/>
      <c r="AFR10" s="651"/>
      <c r="AFS10" s="651"/>
      <c r="AFT10" s="651"/>
      <c r="AFU10" s="651"/>
      <c r="AFV10" s="651"/>
      <c r="AFW10" s="651"/>
      <c r="AFX10" s="651"/>
      <c r="AFY10" s="651"/>
      <c r="AFZ10" s="651"/>
      <c r="AGA10" s="651"/>
      <c r="AGB10" s="651"/>
      <c r="AGC10" s="651"/>
      <c r="AGD10" s="651"/>
      <c r="AGE10" s="651"/>
      <c r="AGF10" s="651"/>
      <c r="AGG10" s="651"/>
      <c r="AGH10" s="651"/>
      <c r="AGI10" s="651"/>
      <c r="AGJ10" s="651"/>
      <c r="AGK10" s="651"/>
      <c r="AGL10" s="651"/>
      <c r="AGM10" s="651"/>
      <c r="AGN10" s="651"/>
      <c r="AGO10" s="651"/>
      <c r="AGP10" s="651"/>
      <c r="AGQ10" s="651"/>
      <c r="AGR10" s="651"/>
      <c r="AGS10" s="651"/>
      <c r="AGT10" s="651"/>
      <c r="AGU10" s="651"/>
      <c r="AGV10" s="651"/>
      <c r="AGW10" s="651"/>
      <c r="AGX10" s="651"/>
      <c r="AGY10" s="651"/>
      <c r="AGZ10" s="651"/>
      <c r="AHA10" s="651"/>
      <c r="AHB10" s="651"/>
      <c r="AHC10" s="651"/>
      <c r="AHD10" s="651"/>
      <c r="AHE10" s="651"/>
      <c r="AHF10" s="651"/>
      <c r="AHG10" s="651"/>
      <c r="AHH10" s="651"/>
      <c r="AHI10" s="651"/>
      <c r="AHJ10" s="651"/>
      <c r="AHK10" s="651"/>
      <c r="AHL10" s="651"/>
      <c r="AHM10" s="651"/>
      <c r="AHN10" s="651"/>
      <c r="AHO10" s="651"/>
      <c r="AHP10" s="651"/>
      <c r="AHQ10" s="651"/>
      <c r="AHR10" s="651"/>
      <c r="AHS10" s="651"/>
      <c r="AHT10" s="651"/>
      <c r="AHU10" s="651"/>
      <c r="AHV10" s="651"/>
      <c r="AHW10" s="651"/>
      <c r="AHX10" s="651"/>
      <c r="AHY10" s="651"/>
      <c r="AHZ10" s="651"/>
      <c r="AIA10" s="651"/>
      <c r="AIB10" s="651"/>
      <c r="AIC10" s="651"/>
      <c r="AID10" s="651"/>
      <c r="AIE10" s="651"/>
      <c r="AIF10" s="651"/>
      <c r="AIG10" s="651"/>
      <c r="AIH10" s="651"/>
      <c r="AII10" s="651"/>
      <c r="AIJ10" s="651"/>
      <c r="AIK10" s="651"/>
      <c r="AIL10" s="651"/>
      <c r="AIM10" s="651"/>
      <c r="AIN10" s="651"/>
      <c r="AIO10" s="651"/>
      <c r="AIP10" s="651"/>
      <c r="AIQ10" s="651"/>
      <c r="AIR10" s="651"/>
      <c r="AIS10" s="651"/>
      <c r="AIT10" s="651"/>
      <c r="AIU10" s="651"/>
      <c r="AIV10" s="651"/>
      <c r="AIW10" s="651"/>
      <c r="AIX10" s="651"/>
      <c r="AIY10" s="651"/>
      <c r="AIZ10" s="651"/>
      <c r="AJA10" s="651"/>
      <c r="AJB10" s="651"/>
      <c r="AJC10" s="651"/>
      <c r="AJD10" s="651"/>
      <c r="AJE10" s="651"/>
      <c r="AJF10" s="651"/>
      <c r="AJG10" s="651"/>
      <c r="AJH10" s="651"/>
      <c r="AJI10" s="651"/>
      <c r="AJJ10" s="651"/>
      <c r="AJK10" s="651"/>
      <c r="AJL10" s="651"/>
      <c r="AJM10" s="651"/>
      <c r="AJN10" s="651"/>
      <c r="AJO10" s="651"/>
      <c r="AJP10" s="651"/>
      <c r="AJQ10" s="651"/>
      <c r="AJR10" s="651"/>
      <c r="AJS10" s="651"/>
      <c r="AJT10" s="651"/>
      <c r="AJU10" s="651"/>
      <c r="AJV10" s="651"/>
      <c r="AJW10" s="651"/>
      <c r="AJX10" s="651"/>
      <c r="AJY10" s="651"/>
      <c r="AJZ10" s="651"/>
      <c r="AKA10" s="651"/>
      <c r="AKB10" s="651"/>
      <c r="AKC10" s="651"/>
      <c r="AKD10" s="651"/>
      <c r="AKE10" s="651"/>
      <c r="AKF10" s="651"/>
      <c r="AKG10" s="651"/>
      <c r="AKH10" s="651"/>
      <c r="AKI10" s="651"/>
      <c r="AKJ10" s="651"/>
      <c r="AKK10" s="651"/>
      <c r="AKL10" s="651"/>
      <c r="AKM10" s="651"/>
      <c r="AKN10" s="651"/>
      <c r="AKO10" s="651"/>
      <c r="AKP10" s="651"/>
      <c r="AKQ10" s="651"/>
      <c r="AKR10" s="651"/>
      <c r="AKS10" s="651"/>
      <c r="AKT10" s="651"/>
      <c r="AKU10" s="651"/>
      <c r="AKV10" s="651"/>
      <c r="AKW10" s="651"/>
      <c r="AKX10" s="651"/>
      <c r="AKY10" s="651"/>
      <c r="AKZ10" s="651"/>
      <c r="ALA10" s="651"/>
      <c r="ALB10" s="651"/>
      <c r="ALC10" s="651"/>
      <c r="ALD10" s="651"/>
      <c r="ALE10" s="651"/>
      <c r="ALF10" s="651"/>
      <c r="ALG10" s="651"/>
      <c r="ALH10" s="651"/>
      <c r="ALI10" s="651"/>
      <c r="ALJ10" s="651"/>
      <c r="ALK10" s="651"/>
      <c r="ALL10" s="651"/>
      <c r="ALM10" s="651"/>
      <c r="ALN10" s="651"/>
      <c r="ALO10" s="651"/>
      <c r="ALP10" s="651"/>
      <c r="ALQ10" s="651"/>
      <c r="ALR10" s="651"/>
      <c r="ALS10" s="651"/>
      <c r="ALT10" s="651"/>
      <c r="ALU10" s="651"/>
      <c r="ALV10" s="651"/>
      <c r="ALW10" s="651"/>
      <c r="ALX10" s="651"/>
      <c r="ALY10" s="651"/>
      <c r="ALZ10" s="651"/>
      <c r="AMA10" s="651"/>
      <c r="AMB10" s="651"/>
      <c r="AMC10" s="651"/>
      <c r="AMD10" s="651"/>
      <c r="AME10" s="651"/>
      <c r="AMF10" s="651"/>
      <c r="AMG10" s="651"/>
      <c r="AMH10" s="651"/>
      <c r="AMI10" s="651"/>
      <c r="AMJ10" s="651"/>
      <c r="AMK10" s="651"/>
      <c r="AML10" s="651"/>
      <c r="AMM10" s="651"/>
      <c r="AMN10" s="651"/>
      <c r="AMO10" s="651"/>
      <c r="AMP10" s="651"/>
      <c r="AMQ10" s="651"/>
      <c r="AMR10" s="651"/>
      <c r="AMS10" s="651"/>
      <c r="AMT10" s="651"/>
      <c r="AMU10" s="651"/>
      <c r="AMV10" s="651"/>
      <c r="AMW10" s="651"/>
      <c r="AMX10" s="651"/>
      <c r="AMY10" s="651"/>
      <c r="AMZ10" s="651"/>
      <c r="ANA10" s="651"/>
      <c r="ANB10" s="651"/>
      <c r="ANC10" s="651"/>
      <c r="AND10" s="651"/>
      <c r="ANE10" s="651"/>
      <c r="ANF10" s="651"/>
      <c r="ANG10" s="651"/>
      <c r="ANH10" s="651"/>
      <c r="ANI10" s="651"/>
      <c r="ANJ10" s="651"/>
      <c r="ANK10" s="651"/>
      <c r="ANL10" s="651"/>
      <c r="ANM10" s="651"/>
      <c r="ANN10" s="651"/>
      <c r="ANO10" s="651"/>
      <c r="ANP10" s="651"/>
      <c r="ANQ10" s="651"/>
      <c r="ANR10" s="651"/>
      <c r="ANS10" s="651"/>
      <c r="ANT10" s="651"/>
      <c r="ANU10" s="651"/>
      <c r="ANV10" s="651"/>
      <c r="ANW10" s="651"/>
      <c r="ANX10" s="651"/>
      <c r="ANY10" s="651"/>
      <c r="ANZ10" s="651"/>
      <c r="AOA10" s="651"/>
      <c r="AOB10" s="651"/>
      <c r="AOC10" s="651"/>
      <c r="AOD10" s="651"/>
      <c r="AOE10" s="651"/>
      <c r="AOF10" s="651"/>
      <c r="AOG10" s="651"/>
      <c r="AOH10" s="651"/>
      <c r="AOI10" s="651"/>
      <c r="AOJ10" s="651"/>
      <c r="AOK10" s="651"/>
      <c r="AOL10" s="651"/>
      <c r="AOM10" s="651"/>
      <c r="AON10" s="651"/>
      <c r="AOO10" s="651"/>
      <c r="AOP10" s="651"/>
      <c r="AOQ10" s="651"/>
      <c r="AOR10" s="651"/>
      <c r="AOS10" s="651"/>
      <c r="AOT10" s="651"/>
      <c r="AOU10" s="651"/>
      <c r="AOV10" s="651"/>
      <c r="AOW10" s="651"/>
      <c r="AOX10" s="651"/>
      <c r="AOY10" s="651"/>
      <c r="AOZ10" s="651"/>
      <c r="APA10" s="651"/>
      <c r="APB10" s="651"/>
      <c r="APC10" s="651"/>
      <c r="APD10" s="651"/>
      <c r="APE10" s="651"/>
      <c r="APF10" s="651"/>
      <c r="APG10" s="651"/>
      <c r="APH10" s="651"/>
      <c r="API10" s="651"/>
      <c r="APJ10" s="651"/>
      <c r="APK10" s="651"/>
      <c r="APL10" s="651"/>
      <c r="APM10" s="651"/>
      <c r="APN10" s="651"/>
      <c r="APO10" s="651"/>
      <c r="APP10" s="651"/>
      <c r="APQ10" s="651"/>
      <c r="APR10" s="651"/>
      <c r="APS10" s="651"/>
      <c r="APT10" s="651"/>
      <c r="APU10" s="651"/>
      <c r="APV10" s="651"/>
      <c r="APW10" s="651"/>
      <c r="APX10" s="651"/>
      <c r="APY10" s="651"/>
      <c r="APZ10" s="651"/>
      <c r="AQA10" s="651"/>
      <c r="AQB10" s="651"/>
      <c r="AQC10" s="651"/>
      <c r="AQD10" s="651"/>
      <c r="AQE10" s="651"/>
      <c r="AQF10" s="651"/>
      <c r="AQG10" s="651"/>
      <c r="AQH10" s="651"/>
      <c r="AQI10" s="651"/>
      <c r="AQJ10" s="651"/>
      <c r="AQK10" s="651"/>
      <c r="AQL10" s="651"/>
      <c r="AQM10" s="651"/>
      <c r="AQN10" s="651"/>
      <c r="AQO10" s="651"/>
      <c r="AQP10" s="651"/>
      <c r="AQQ10" s="651"/>
      <c r="AQR10" s="651"/>
      <c r="AQS10" s="651"/>
      <c r="AQT10" s="651"/>
      <c r="AQU10" s="651"/>
      <c r="AQV10" s="651"/>
      <c r="AQW10" s="651"/>
      <c r="AQX10" s="651"/>
      <c r="AQY10" s="651"/>
      <c r="AQZ10" s="651"/>
      <c r="ARA10" s="651"/>
      <c r="ARB10" s="651"/>
      <c r="ARC10" s="651"/>
      <c r="ARD10" s="651"/>
      <c r="ARE10" s="651"/>
      <c r="ARF10" s="651"/>
      <c r="ARG10" s="651"/>
      <c r="ARH10" s="651"/>
      <c r="ARI10" s="651"/>
      <c r="ARJ10" s="651"/>
      <c r="ARK10" s="651"/>
      <c r="ARL10" s="651"/>
      <c r="ARM10" s="651"/>
      <c r="ARN10" s="651"/>
      <c r="ARO10" s="651"/>
      <c r="ARP10" s="651"/>
      <c r="ARQ10" s="651"/>
      <c r="ARR10" s="651"/>
      <c r="ARS10" s="651"/>
      <c r="ART10" s="651"/>
      <c r="ARU10" s="651"/>
      <c r="ARV10" s="651"/>
      <c r="ARW10" s="651"/>
      <c r="ARX10" s="651"/>
      <c r="ARY10" s="651"/>
      <c r="ARZ10" s="651"/>
      <c r="ASA10" s="651"/>
      <c r="ASB10" s="651"/>
      <c r="ASC10" s="651"/>
      <c r="ASD10" s="651"/>
      <c r="ASE10" s="651"/>
      <c r="ASF10" s="651"/>
      <c r="ASG10" s="651"/>
      <c r="ASH10" s="651"/>
      <c r="ASI10" s="651"/>
      <c r="ASJ10" s="651"/>
      <c r="ASK10" s="651"/>
      <c r="ASL10" s="651"/>
      <c r="ASM10" s="651"/>
      <c r="ASN10" s="651"/>
      <c r="ASO10" s="651"/>
      <c r="ASP10" s="651"/>
      <c r="ASQ10" s="651"/>
      <c r="ASR10" s="651"/>
      <c r="ASS10" s="651"/>
      <c r="AST10" s="651"/>
      <c r="ASU10" s="651"/>
      <c r="ASV10" s="651"/>
      <c r="ASW10" s="651"/>
      <c r="ASX10" s="651"/>
      <c r="ASY10" s="651"/>
      <c r="ASZ10" s="651"/>
      <c r="ATA10" s="651"/>
      <c r="ATB10" s="651"/>
      <c r="ATC10" s="651"/>
      <c r="ATD10" s="651"/>
      <c r="ATE10" s="651"/>
      <c r="ATF10" s="651"/>
      <c r="ATG10" s="651"/>
      <c r="ATH10" s="651"/>
      <c r="ATI10" s="651"/>
      <c r="ATJ10" s="651"/>
      <c r="ATK10" s="651"/>
      <c r="ATL10" s="651"/>
      <c r="ATM10" s="651"/>
      <c r="ATN10" s="651"/>
      <c r="ATO10" s="651"/>
      <c r="ATP10" s="651"/>
      <c r="ATQ10" s="651"/>
      <c r="ATR10" s="651"/>
      <c r="ATS10" s="651"/>
      <c r="ATT10" s="651"/>
      <c r="ATU10" s="651"/>
      <c r="ATV10" s="651"/>
      <c r="ATW10" s="651"/>
      <c r="ATX10" s="651"/>
      <c r="ATY10" s="651"/>
      <c r="ATZ10" s="651"/>
      <c r="AUA10" s="651"/>
      <c r="AUB10" s="651"/>
      <c r="AUC10" s="651"/>
      <c r="AUD10" s="651"/>
      <c r="AUE10" s="651"/>
      <c r="AUF10" s="651"/>
      <c r="AUG10" s="651"/>
      <c r="AUH10" s="651"/>
      <c r="AUI10" s="651"/>
      <c r="AUJ10" s="651"/>
      <c r="AUK10" s="651"/>
      <c r="AUL10" s="651"/>
      <c r="AUM10" s="651"/>
      <c r="AUN10" s="651"/>
      <c r="AUO10" s="651"/>
      <c r="AUP10" s="651"/>
      <c r="AUQ10" s="651"/>
      <c r="AUR10" s="651"/>
      <c r="AUS10" s="651"/>
      <c r="AUT10" s="651"/>
      <c r="AUU10" s="651"/>
      <c r="AUV10" s="651"/>
      <c r="AUW10" s="651"/>
      <c r="AUX10" s="651"/>
      <c r="AUY10" s="651"/>
      <c r="AUZ10" s="651"/>
      <c r="AVA10" s="651"/>
      <c r="AVB10" s="651"/>
      <c r="AVC10" s="651"/>
      <c r="AVD10" s="651"/>
      <c r="AVE10" s="651"/>
      <c r="AVF10" s="651"/>
      <c r="AVG10" s="651"/>
      <c r="AVH10" s="651"/>
      <c r="AVI10" s="651"/>
      <c r="AVJ10" s="651"/>
      <c r="AVK10" s="651"/>
      <c r="AVL10" s="651"/>
      <c r="AVM10" s="651"/>
      <c r="AVN10" s="651"/>
      <c r="AVO10" s="651"/>
      <c r="AVP10" s="651"/>
      <c r="AVQ10" s="651"/>
      <c r="AVR10" s="651"/>
      <c r="AVS10" s="651"/>
      <c r="AVT10" s="651"/>
      <c r="AVU10" s="651"/>
      <c r="AVV10" s="651"/>
      <c r="AVW10" s="651"/>
      <c r="AVX10" s="651"/>
      <c r="AVY10" s="651"/>
      <c r="AVZ10" s="651"/>
      <c r="AWA10" s="651"/>
      <c r="AWB10" s="651"/>
      <c r="AWC10" s="651"/>
      <c r="AWD10" s="651"/>
      <c r="AWE10" s="651"/>
      <c r="AWF10" s="651"/>
      <c r="AWG10" s="651"/>
      <c r="AWH10" s="651"/>
      <c r="AWI10" s="651"/>
      <c r="AWJ10" s="651"/>
      <c r="AWK10" s="651"/>
      <c r="AWL10" s="651"/>
      <c r="AWM10" s="651"/>
      <c r="AWN10" s="651"/>
      <c r="AWO10" s="651"/>
      <c r="AWP10" s="651"/>
      <c r="AWQ10" s="651"/>
      <c r="AWR10" s="651"/>
      <c r="AWS10" s="651"/>
      <c r="AWT10" s="651"/>
      <c r="AWU10" s="651"/>
      <c r="AWV10" s="651"/>
      <c r="AWW10" s="651"/>
      <c r="AWX10" s="651"/>
      <c r="AWY10" s="651"/>
      <c r="AWZ10" s="651"/>
      <c r="AXA10" s="651"/>
      <c r="AXB10" s="651"/>
      <c r="AXC10" s="651"/>
      <c r="AXD10" s="651"/>
      <c r="AXE10" s="651"/>
      <c r="AXF10" s="651"/>
      <c r="AXG10" s="651"/>
      <c r="AXH10" s="651"/>
      <c r="AXI10" s="651"/>
      <c r="AXJ10" s="651"/>
      <c r="AXK10" s="651"/>
      <c r="AXL10" s="651"/>
      <c r="AXM10" s="651"/>
      <c r="AXN10" s="651"/>
      <c r="AXO10" s="651"/>
      <c r="AXP10" s="651"/>
      <c r="AXQ10" s="651"/>
      <c r="AXR10" s="651"/>
      <c r="AXS10" s="651"/>
      <c r="AXT10" s="651"/>
      <c r="AXU10" s="651"/>
      <c r="AXV10" s="651"/>
      <c r="AXW10" s="651"/>
      <c r="AXX10" s="651"/>
      <c r="AXY10" s="651"/>
      <c r="AXZ10" s="651"/>
      <c r="AYA10" s="651"/>
      <c r="AYB10" s="651"/>
      <c r="AYC10" s="651"/>
      <c r="AYD10" s="651"/>
      <c r="AYE10" s="651"/>
      <c r="AYF10" s="651"/>
      <c r="AYG10" s="651"/>
      <c r="AYH10" s="651"/>
      <c r="AYI10" s="651"/>
      <c r="AYJ10" s="651"/>
      <c r="AYK10" s="651"/>
      <c r="AYL10" s="651"/>
      <c r="AYM10" s="651"/>
      <c r="AYN10" s="651"/>
      <c r="AYO10" s="651"/>
      <c r="AYP10" s="651"/>
      <c r="AYQ10" s="651"/>
      <c r="AYR10" s="651"/>
      <c r="AYS10" s="651"/>
      <c r="AYT10" s="651"/>
      <c r="AYU10" s="651"/>
      <c r="AYV10" s="651"/>
      <c r="AYW10" s="651"/>
      <c r="AYX10" s="651"/>
      <c r="AYY10" s="651"/>
      <c r="AYZ10" s="651"/>
      <c r="AZA10" s="651"/>
      <c r="AZB10" s="651"/>
      <c r="AZC10" s="651"/>
      <c r="AZD10" s="651"/>
      <c r="AZE10" s="651"/>
      <c r="AZF10" s="651"/>
      <c r="AZG10" s="651"/>
      <c r="AZH10" s="651"/>
      <c r="AZI10" s="651"/>
      <c r="AZJ10" s="651"/>
      <c r="AZK10" s="651"/>
      <c r="AZL10" s="651"/>
      <c r="AZM10" s="651"/>
      <c r="AZN10" s="651"/>
      <c r="AZO10" s="651"/>
      <c r="AZP10" s="651"/>
      <c r="AZQ10" s="651"/>
      <c r="AZR10" s="651"/>
      <c r="AZS10" s="651"/>
      <c r="AZT10" s="651"/>
      <c r="AZU10" s="651"/>
      <c r="AZV10" s="651"/>
      <c r="AZW10" s="651"/>
      <c r="AZX10" s="651"/>
      <c r="AZY10" s="651"/>
      <c r="AZZ10" s="651"/>
      <c r="BAA10" s="651"/>
      <c r="BAB10" s="651"/>
      <c r="BAC10" s="651"/>
      <c r="BAD10" s="651"/>
      <c r="BAE10" s="651"/>
      <c r="BAF10" s="651"/>
      <c r="BAG10" s="651"/>
      <c r="BAH10" s="651"/>
      <c r="BAI10" s="651"/>
      <c r="BAJ10" s="651"/>
      <c r="BAK10" s="651"/>
      <c r="BAL10" s="651"/>
      <c r="BAM10" s="651"/>
      <c r="BAN10" s="651"/>
      <c r="BAO10" s="651"/>
      <c r="BAP10" s="651"/>
      <c r="BAQ10" s="651"/>
      <c r="BAR10" s="651"/>
      <c r="BAS10" s="651"/>
      <c r="BAT10" s="651"/>
      <c r="BAU10" s="651"/>
      <c r="BAV10" s="651"/>
      <c r="BAW10" s="651"/>
      <c r="BAX10" s="651"/>
      <c r="BAY10" s="651"/>
      <c r="BAZ10" s="651"/>
      <c r="BBA10" s="651"/>
      <c r="BBB10" s="651"/>
      <c r="BBC10" s="651"/>
      <c r="BBD10" s="651"/>
      <c r="BBE10" s="651"/>
      <c r="BBF10" s="651"/>
      <c r="BBG10" s="651"/>
      <c r="BBH10" s="651"/>
      <c r="BBI10" s="651"/>
      <c r="BBJ10" s="651"/>
      <c r="BBK10" s="651"/>
      <c r="BBL10" s="651"/>
      <c r="BBM10" s="651"/>
      <c r="BBN10" s="651"/>
      <c r="BBO10" s="651"/>
      <c r="BBP10" s="651"/>
      <c r="BBQ10" s="651"/>
      <c r="BBR10" s="651"/>
      <c r="BBS10" s="651"/>
      <c r="BBT10" s="651"/>
      <c r="BBU10" s="651"/>
      <c r="BBV10" s="651"/>
      <c r="BBW10" s="651"/>
      <c r="BBX10" s="651"/>
      <c r="BBY10" s="651"/>
      <c r="BBZ10" s="651"/>
      <c r="BCA10" s="651"/>
      <c r="BCB10" s="651"/>
      <c r="BCC10" s="651"/>
      <c r="BCD10" s="651"/>
      <c r="BCE10" s="651"/>
      <c r="BCF10" s="651"/>
      <c r="BCG10" s="651"/>
      <c r="BCH10" s="651"/>
      <c r="BCI10" s="651"/>
      <c r="BCJ10" s="651"/>
      <c r="BCK10" s="651"/>
      <c r="BCL10" s="651"/>
      <c r="BCM10" s="651"/>
      <c r="BCN10" s="651"/>
      <c r="BCO10" s="651"/>
      <c r="BCP10" s="651"/>
      <c r="BCQ10" s="651"/>
      <c r="BCR10" s="651"/>
      <c r="BCS10" s="651"/>
      <c r="BCT10" s="651"/>
      <c r="BCU10" s="651"/>
      <c r="BCV10" s="651"/>
      <c r="BCW10" s="651"/>
      <c r="BCX10" s="651"/>
      <c r="BCY10" s="651"/>
      <c r="BCZ10" s="651"/>
      <c r="BDA10" s="651"/>
      <c r="BDB10" s="651"/>
      <c r="BDC10" s="651"/>
      <c r="BDD10" s="651"/>
      <c r="BDE10" s="651"/>
      <c r="BDF10" s="651"/>
      <c r="BDG10" s="651"/>
      <c r="BDH10" s="651"/>
      <c r="BDI10" s="651"/>
      <c r="BDJ10" s="651"/>
      <c r="BDK10" s="651"/>
      <c r="BDL10" s="651"/>
      <c r="BDM10" s="651"/>
      <c r="BDN10" s="651"/>
      <c r="BDO10" s="651"/>
      <c r="BDP10" s="651"/>
      <c r="BDQ10" s="651"/>
      <c r="BDR10" s="651"/>
      <c r="BDS10" s="651"/>
      <c r="BDT10" s="651"/>
      <c r="BDU10" s="651"/>
      <c r="BDV10" s="651"/>
      <c r="BDW10" s="651"/>
      <c r="BDX10" s="651"/>
      <c r="BDY10" s="651"/>
      <c r="BDZ10" s="651"/>
      <c r="BEA10" s="651"/>
      <c r="BEB10" s="651"/>
      <c r="BEC10" s="651"/>
      <c r="BED10" s="651"/>
      <c r="BEE10" s="651"/>
      <c r="BEF10" s="651"/>
      <c r="BEG10" s="651"/>
      <c r="BEH10" s="651"/>
      <c r="BEI10" s="651"/>
      <c r="BEJ10" s="651"/>
      <c r="BEK10" s="651"/>
      <c r="BEL10" s="651"/>
      <c r="BEM10" s="651"/>
      <c r="BEN10" s="651"/>
      <c r="BEO10" s="651"/>
      <c r="BEP10" s="651"/>
      <c r="BEQ10" s="651"/>
      <c r="BER10" s="651"/>
      <c r="BES10" s="651"/>
      <c r="BET10" s="651"/>
      <c r="BEU10" s="651"/>
      <c r="BEV10" s="651"/>
      <c r="BEW10" s="651"/>
      <c r="BEX10" s="651"/>
      <c r="BEY10" s="651"/>
      <c r="BEZ10" s="651"/>
      <c r="BFA10" s="651"/>
      <c r="BFB10" s="651"/>
      <c r="BFC10" s="651"/>
      <c r="BFD10" s="651"/>
      <c r="BFE10" s="651"/>
      <c r="BFF10" s="651"/>
      <c r="BFG10" s="651"/>
      <c r="BFH10" s="651"/>
      <c r="BFI10" s="651"/>
      <c r="BFJ10" s="651"/>
      <c r="BFK10" s="651"/>
      <c r="BFL10" s="651"/>
      <c r="BFM10" s="651"/>
      <c r="BFN10" s="651"/>
      <c r="BFO10" s="651"/>
      <c r="BFP10" s="651"/>
      <c r="BFQ10" s="651"/>
      <c r="BFR10" s="651"/>
      <c r="BFS10" s="651"/>
      <c r="BFT10" s="651"/>
      <c r="BFU10" s="651"/>
      <c r="BFV10" s="651"/>
      <c r="BFW10" s="651"/>
      <c r="BFX10" s="651"/>
      <c r="BFY10" s="651"/>
      <c r="BFZ10" s="651"/>
      <c r="BGA10" s="651"/>
      <c r="BGB10" s="651"/>
      <c r="BGC10" s="651"/>
      <c r="BGD10" s="651"/>
      <c r="BGE10" s="651"/>
      <c r="BGF10" s="651"/>
      <c r="BGG10" s="651"/>
      <c r="BGH10" s="651"/>
      <c r="BGI10" s="651"/>
      <c r="BGJ10" s="651"/>
      <c r="BGK10" s="651"/>
      <c r="BGL10" s="651"/>
      <c r="BGM10" s="651"/>
      <c r="BGN10" s="651"/>
      <c r="BGO10" s="651"/>
      <c r="BGP10" s="651"/>
      <c r="BGQ10" s="651"/>
      <c r="BGR10" s="651"/>
      <c r="BGS10" s="651"/>
      <c r="BGT10" s="651"/>
      <c r="BGU10" s="651"/>
      <c r="BGV10" s="651"/>
      <c r="BGW10" s="651"/>
      <c r="BGX10" s="651"/>
      <c r="BGY10" s="651"/>
      <c r="BGZ10" s="651"/>
      <c r="BHA10" s="651"/>
      <c r="BHB10" s="651"/>
      <c r="BHC10" s="651"/>
      <c r="BHD10" s="651"/>
      <c r="BHE10" s="651"/>
      <c r="BHF10" s="651"/>
      <c r="BHG10" s="651"/>
      <c r="BHH10" s="651"/>
      <c r="BHI10" s="651"/>
      <c r="BHJ10" s="651"/>
      <c r="BHK10" s="651"/>
      <c r="BHL10" s="651"/>
      <c r="BHM10" s="651"/>
      <c r="BHN10" s="651"/>
      <c r="BHO10" s="651"/>
      <c r="BHP10" s="651"/>
      <c r="BHQ10" s="651"/>
      <c r="BHR10" s="651"/>
      <c r="BHS10" s="651"/>
      <c r="BHT10" s="651"/>
      <c r="BHU10" s="651"/>
      <c r="BHV10" s="651"/>
      <c r="BHW10" s="651"/>
      <c r="BHX10" s="651"/>
      <c r="BHY10" s="651"/>
      <c r="BHZ10" s="651"/>
      <c r="BIA10" s="651"/>
      <c r="BIB10" s="651"/>
      <c r="BIC10" s="651"/>
      <c r="BID10" s="651"/>
      <c r="BIE10" s="651"/>
      <c r="BIF10" s="651"/>
      <c r="BIG10" s="651"/>
      <c r="BIH10" s="651"/>
      <c r="BII10" s="651"/>
      <c r="BIJ10" s="651"/>
      <c r="BIK10" s="651"/>
      <c r="BIL10" s="651"/>
      <c r="BIM10" s="651"/>
      <c r="BIN10" s="651"/>
      <c r="BIO10" s="651"/>
      <c r="BIP10" s="651"/>
      <c r="BIQ10" s="651"/>
      <c r="BIR10" s="651"/>
      <c r="BIS10" s="651"/>
      <c r="BIT10" s="651"/>
      <c r="BIU10" s="651"/>
      <c r="BIV10" s="651"/>
      <c r="BIW10" s="651"/>
      <c r="BIX10" s="651"/>
      <c r="BIY10" s="651"/>
      <c r="BIZ10" s="651"/>
      <c r="BJA10" s="651"/>
      <c r="BJB10" s="651"/>
      <c r="BJC10" s="651"/>
      <c r="BJD10" s="651"/>
      <c r="BJE10" s="651"/>
      <c r="BJF10" s="651"/>
      <c r="BJG10" s="651"/>
      <c r="BJH10" s="651"/>
      <c r="BJI10" s="651"/>
      <c r="BJJ10" s="651"/>
      <c r="BJK10" s="651"/>
      <c r="BJL10" s="651"/>
      <c r="BJM10" s="651"/>
      <c r="BJN10" s="651"/>
      <c r="BJO10" s="651"/>
      <c r="BJP10" s="651"/>
      <c r="BJQ10" s="651"/>
      <c r="BJR10" s="651"/>
      <c r="BJS10" s="651"/>
      <c r="BJT10" s="651"/>
      <c r="BJU10" s="651"/>
      <c r="BJV10" s="651"/>
      <c r="BJW10" s="651"/>
      <c r="BJX10" s="651"/>
      <c r="BJY10" s="651"/>
      <c r="BJZ10" s="651"/>
      <c r="BKA10" s="651"/>
      <c r="BKB10" s="651"/>
      <c r="BKC10" s="651"/>
      <c r="BKD10" s="651"/>
      <c r="BKE10" s="651"/>
      <c r="BKF10" s="651"/>
      <c r="BKG10" s="651"/>
      <c r="BKH10" s="651"/>
      <c r="BKI10" s="651"/>
      <c r="BKJ10" s="651"/>
      <c r="BKK10" s="651"/>
      <c r="BKL10" s="651"/>
      <c r="BKM10" s="651"/>
      <c r="BKN10" s="651"/>
      <c r="BKO10" s="651"/>
      <c r="BKP10" s="651"/>
      <c r="BKQ10" s="651"/>
      <c r="BKR10" s="651"/>
      <c r="BKS10" s="651"/>
      <c r="BKT10" s="651"/>
      <c r="BKU10" s="651"/>
      <c r="BKV10" s="651"/>
      <c r="BKW10" s="651"/>
      <c r="BKX10" s="651"/>
      <c r="BKY10" s="651"/>
      <c r="BKZ10" s="651"/>
      <c r="BLA10" s="651"/>
      <c r="BLB10" s="651"/>
      <c r="BLC10" s="651"/>
      <c r="BLD10" s="651"/>
      <c r="BLE10" s="651"/>
      <c r="BLF10" s="651"/>
      <c r="BLG10" s="651"/>
      <c r="BLH10" s="651"/>
      <c r="BLI10" s="651"/>
      <c r="BLJ10" s="651"/>
      <c r="BLK10" s="651"/>
      <c r="BLL10" s="651"/>
      <c r="BLM10" s="651"/>
      <c r="BLN10" s="651"/>
      <c r="BLO10" s="651"/>
      <c r="BLP10" s="651"/>
      <c r="BLQ10" s="651"/>
      <c r="BLR10" s="651"/>
      <c r="BLS10" s="651"/>
      <c r="BLT10" s="651"/>
      <c r="BLU10" s="651"/>
      <c r="BLV10" s="651"/>
      <c r="BLW10" s="651"/>
      <c r="BLX10" s="651"/>
      <c r="BLY10" s="651"/>
      <c r="BLZ10" s="651"/>
      <c r="BMA10" s="651"/>
      <c r="BMB10" s="651"/>
      <c r="BMC10" s="651"/>
      <c r="BMD10" s="651"/>
      <c r="BME10" s="651"/>
      <c r="BMF10" s="651"/>
      <c r="BMG10" s="651"/>
      <c r="BMH10" s="651"/>
      <c r="BMI10" s="651"/>
      <c r="BMJ10" s="651"/>
      <c r="BMK10" s="651"/>
      <c r="BML10" s="651"/>
      <c r="BMM10" s="651"/>
      <c r="BMN10" s="651"/>
      <c r="BMO10" s="651"/>
      <c r="BMP10" s="651"/>
      <c r="BMQ10" s="651"/>
      <c r="BMR10" s="651"/>
      <c r="BMS10" s="651"/>
      <c r="BMT10" s="651"/>
      <c r="BMU10" s="651"/>
      <c r="BMV10" s="651"/>
      <c r="BMW10" s="651"/>
      <c r="BMX10" s="651"/>
      <c r="BMY10" s="651"/>
      <c r="BMZ10" s="651"/>
      <c r="BNA10" s="651"/>
      <c r="BNB10" s="651"/>
      <c r="BNC10" s="651"/>
      <c r="BND10" s="651"/>
      <c r="BNE10" s="651"/>
      <c r="BNF10" s="651"/>
      <c r="BNG10" s="651"/>
      <c r="BNH10" s="651"/>
      <c r="BNI10" s="651"/>
      <c r="BNJ10" s="651"/>
      <c r="BNK10" s="651"/>
      <c r="BNL10" s="651"/>
      <c r="BNM10" s="651"/>
      <c r="BNN10" s="651"/>
      <c r="BNO10" s="651"/>
      <c r="BNP10" s="651"/>
      <c r="BNQ10" s="651"/>
      <c r="BNR10" s="651"/>
      <c r="BNS10" s="651"/>
      <c r="BNT10" s="651"/>
      <c r="BNU10" s="651"/>
      <c r="BNV10" s="651"/>
      <c r="BNW10" s="651"/>
      <c r="BNX10" s="651"/>
      <c r="BNY10" s="651"/>
      <c r="BNZ10" s="651"/>
      <c r="BOA10" s="651"/>
      <c r="BOB10" s="651"/>
      <c r="BOC10" s="651"/>
      <c r="BOD10" s="651"/>
      <c r="BOE10" s="651"/>
      <c r="BOF10" s="651"/>
      <c r="BOG10" s="651"/>
      <c r="BOH10" s="651"/>
      <c r="BOI10" s="651"/>
      <c r="BOJ10" s="651"/>
      <c r="BOK10" s="651"/>
      <c r="BOL10" s="651"/>
      <c r="BOM10" s="651"/>
      <c r="BON10" s="651"/>
      <c r="BOO10" s="651"/>
      <c r="BOP10" s="651"/>
      <c r="BOQ10" s="651"/>
      <c r="BOR10" s="651"/>
      <c r="BOS10" s="651"/>
      <c r="BOT10" s="651"/>
      <c r="BOU10" s="651"/>
      <c r="BOV10" s="651"/>
      <c r="BOW10" s="651"/>
      <c r="BOX10" s="651"/>
      <c r="BOY10" s="651"/>
      <c r="BOZ10" s="651"/>
      <c r="BPA10" s="651"/>
      <c r="BPB10" s="651"/>
      <c r="BPC10" s="651"/>
      <c r="BPD10" s="651"/>
      <c r="BPE10" s="651"/>
      <c r="BPF10" s="651"/>
      <c r="BPG10" s="651"/>
      <c r="BPH10" s="651"/>
      <c r="BPI10" s="651"/>
      <c r="BPJ10" s="651"/>
      <c r="BPK10" s="651"/>
      <c r="BPL10" s="651"/>
      <c r="BPM10" s="651"/>
      <c r="BPN10" s="651"/>
      <c r="BPO10" s="651"/>
      <c r="BPP10" s="651"/>
      <c r="BPQ10" s="651"/>
      <c r="BPR10" s="651"/>
      <c r="BPS10" s="651"/>
      <c r="BPT10" s="651"/>
      <c r="BPU10" s="651"/>
      <c r="BPV10" s="651"/>
      <c r="BPW10" s="651"/>
      <c r="BPX10" s="651"/>
      <c r="BPY10" s="651"/>
      <c r="BPZ10" s="651"/>
      <c r="BQA10" s="651"/>
      <c r="BQB10" s="651"/>
      <c r="BQC10" s="651"/>
      <c r="BQD10" s="651"/>
      <c r="BQE10" s="651"/>
      <c r="BQF10" s="651"/>
      <c r="BQG10" s="651"/>
      <c r="BQH10" s="651"/>
      <c r="BQI10" s="651"/>
      <c r="BQJ10" s="651"/>
      <c r="BQK10" s="651"/>
      <c r="BQL10" s="651"/>
      <c r="BQM10" s="651"/>
      <c r="BQN10" s="651"/>
      <c r="BQO10" s="651"/>
      <c r="BQP10" s="651"/>
      <c r="BQQ10" s="651"/>
      <c r="BQR10" s="651"/>
      <c r="BQS10" s="651"/>
      <c r="BQT10" s="651"/>
      <c r="BQU10" s="651"/>
      <c r="BQV10" s="651"/>
      <c r="BQW10" s="651"/>
      <c r="BQX10" s="651"/>
      <c r="BQY10" s="651"/>
      <c r="BQZ10" s="651"/>
      <c r="BRA10" s="651"/>
      <c r="BRB10" s="651"/>
      <c r="BRC10" s="651"/>
      <c r="BRD10" s="651"/>
      <c r="BRE10" s="651"/>
      <c r="BRF10" s="651"/>
      <c r="BRG10" s="651"/>
      <c r="BRH10" s="651"/>
      <c r="BRI10" s="651"/>
      <c r="BRJ10" s="651"/>
      <c r="BRK10" s="651"/>
      <c r="BRL10" s="651"/>
      <c r="BRM10" s="651"/>
      <c r="BRN10" s="651"/>
      <c r="BRO10" s="651"/>
      <c r="BRP10" s="651"/>
      <c r="BRQ10" s="651"/>
      <c r="BRR10" s="651"/>
      <c r="BRS10" s="651"/>
      <c r="BRT10" s="651"/>
      <c r="BRU10" s="651"/>
      <c r="BRV10" s="651"/>
      <c r="BRW10" s="651"/>
      <c r="BRX10" s="651"/>
      <c r="BRY10" s="651"/>
      <c r="BRZ10" s="651"/>
      <c r="BSA10" s="651"/>
      <c r="BSB10" s="651"/>
      <c r="BSC10" s="651"/>
      <c r="BSD10" s="651"/>
      <c r="BSE10" s="651"/>
      <c r="BSF10" s="651"/>
      <c r="BSG10" s="651"/>
      <c r="BSH10" s="651"/>
      <c r="BSI10" s="651"/>
      <c r="BSJ10" s="651"/>
      <c r="BSK10" s="651"/>
      <c r="BSL10" s="651"/>
      <c r="BSM10" s="651"/>
      <c r="BSN10" s="651"/>
      <c r="BSO10" s="651"/>
      <c r="BSP10" s="651"/>
      <c r="BSQ10" s="651"/>
      <c r="BSR10" s="651"/>
      <c r="BSS10" s="651"/>
      <c r="BST10" s="651"/>
      <c r="BSU10" s="651"/>
      <c r="BSV10" s="651"/>
      <c r="BSW10" s="651"/>
      <c r="BSX10" s="651"/>
      <c r="BSY10" s="651"/>
      <c r="BSZ10" s="651"/>
      <c r="BTA10" s="651"/>
      <c r="BTB10" s="651"/>
      <c r="BTC10" s="651"/>
      <c r="BTD10" s="651"/>
      <c r="BTE10" s="651"/>
      <c r="BTF10" s="651"/>
      <c r="BTG10" s="651"/>
      <c r="BTH10" s="651"/>
      <c r="BTI10" s="651"/>
      <c r="BTJ10" s="651"/>
      <c r="BTK10" s="651"/>
      <c r="BTL10" s="651"/>
      <c r="BTM10" s="651"/>
      <c r="BTN10" s="651"/>
      <c r="BTO10" s="651"/>
      <c r="BTP10" s="651"/>
      <c r="BTQ10" s="651"/>
      <c r="BTR10" s="651"/>
      <c r="BTS10" s="651"/>
      <c r="BTT10" s="651"/>
      <c r="BTU10" s="651"/>
      <c r="BTV10" s="651"/>
      <c r="BTW10" s="651"/>
      <c r="BTX10" s="651"/>
      <c r="BTY10" s="651"/>
      <c r="BTZ10" s="651"/>
      <c r="BUA10" s="651"/>
      <c r="BUB10" s="651"/>
      <c r="BUC10" s="651"/>
      <c r="BUD10" s="651"/>
      <c r="BUE10" s="651"/>
      <c r="BUF10" s="651"/>
      <c r="BUG10" s="651"/>
      <c r="BUH10" s="651"/>
      <c r="BUI10" s="651"/>
      <c r="BUJ10" s="651"/>
      <c r="BUK10" s="651"/>
      <c r="BUL10" s="651"/>
      <c r="BUM10" s="651"/>
      <c r="BUN10" s="651"/>
      <c r="BUO10" s="651"/>
      <c r="BUP10" s="651"/>
      <c r="BUQ10" s="651"/>
      <c r="BUR10" s="651"/>
      <c r="BUS10" s="651"/>
      <c r="BUT10" s="651"/>
      <c r="BUU10" s="651"/>
      <c r="BUV10" s="651"/>
      <c r="BUW10" s="651"/>
      <c r="BUX10" s="651"/>
      <c r="BUY10" s="651"/>
      <c r="BUZ10" s="651"/>
      <c r="BVA10" s="651"/>
      <c r="BVB10" s="651"/>
      <c r="BVC10" s="651"/>
      <c r="BVD10" s="651"/>
      <c r="BVE10" s="651"/>
      <c r="BVF10" s="651"/>
      <c r="BVG10" s="651"/>
      <c r="BVH10" s="651"/>
      <c r="BVI10" s="651"/>
      <c r="BVJ10" s="651"/>
      <c r="BVK10" s="651"/>
      <c r="BVL10" s="651"/>
      <c r="BVM10" s="651"/>
      <c r="BVN10" s="651"/>
      <c r="BVO10" s="651"/>
      <c r="BVP10" s="651"/>
      <c r="BVQ10" s="651"/>
      <c r="BVR10" s="651"/>
      <c r="BVS10" s="651"/>
      <c r="BVT10" s="651"/>
      <c r="BVU10" s="651"/>
      <c r="BVV10" s="651"/>
      <c r="BVW10" s="651"/>
      <c r="BVX10" s="651"/>
      <c r="BVY10" s="651"/>
      <c r="BVZ10" s="651"/>
      <c r="BWA10" s="651"/>
      <c r="BWB10" s="651"/>
      <c r="BWC10" s="651"/>
      <c r="BWD10" s="651"/>
      <c r="BWE10" s="651"/>
      <c r="BWF10" s="651"/>
      <c r="BWG10" s="651"/>
      <c r="BWH10" s="651"/>
      <c r="BWI10" s="651"/>
      <c r="BWJ10" s="651"/>
      <c r="BWK10" s="651"/>
      <c r="BWL10" s="651"/>
      <c r="BWM10" s="651"/>
      <c r="BWN10" s="651"/>
      <c r="BWO10" s="651"/>
      <c r="BWP10" s="651"/>
      <c r="BWQ10" s="651"/>
      <c r="BWR10" s="651"/>
      <c r="BWS10" s="651"/>
      <c r="BWT10" s="651"/>
      <c r="BWU10" s="651"/>
      <c r="BWV10" s="651"/>
      <c r="BWW10" s="651"/>
      <c r="BWX10" s="651"/>
      <c r="BWY10" s="651"/>
      <c r="BWZ10" s="651"/>
      <c r="BXA10" s="651"/>
      <c r="BXB10" s="651"/>
      <c r="BXC10" s="651"/>
      <c r="BXD10" s="651"/>
      <c r="BXE10" s="651"/>
      <c r="BXF10" s="651"/>
      <c r="BXG10" s="651"/>
      <c r="BXH10" s="651"/>
      <c r="BXI10" s="651"/>
      <c r="BXJ10" s="651"/>
      <c r="BXK10" s="651"/>
      <c r="BXL10" s="651"/>
      <c r="BXM10" s="651"/>
      <c r="BXN10" s="651"/>
      <c r="BXO10" s="651"/>
      <c r="BXP10" s="651"/>
      <c r="BXQ10" s="651"/>
      <c r="BXR10" s="651"/>
      <c r="BXS10" s="651"/>
      <c r="BXT10" s="651"/>
      <c r="BXU10" s="651"/>
      <c r="BXV10" s="651"/>
      <c r="BXW10" s="651"/>
      <c r="BXX10" s="651"/>
      <c r="BXY10" s="651"/>
      <c r="BXZ10" s="651"/>
      <c r="BYA10" s="651"/>
      <c r="BYB10" s="651"/>
      <c r="BYC10" s="651"/>
      <c r="BYD10" s="651"/>
      <c r="BYE10" s="651"/>
      <c r="BYF10" s="651"/>
      <c r="BYG10" s="651"/>
      <c r="BYH10" s="651"/>
      <c r="BYI10" s="651"/>
      <c r="BYJ10" s="651"/>
      <c r="BYK10" s="651"/>
      <c r="BYL10" s="651"/>
      <c r="BYM10" s="651"/>
      <c r="BYN10" s="651"/>
      <c r="BYO10" s="651"/>
      <c r="BYP10" s="651"/>
      <c r="BYQ10" s="651"/>
      <c r="BYR10" s="651"/>
      <c r="BYS10" s="651"/>
      <c r="BYT10" s="651"/>
      <c r="BYU10" s="651"/>
      <c r="BYV10" s="651"/>
      <c r="BYW10" s="651"/>
      <c r="BYX10" s="651"/>
      <c r="BYY10" s="651"/>
      <c r="BYZ10" s="651"/>
      <c r="BZA10" s="651"/>
      <c r="BZB10" s="651"/>
      <c r="BZC10" s="651"/>
      <c r="BZD10" s="651"/>
      <c r="BZE10" s="651"/>
      <c r="BZF10" s="651"/>
      <c r="BZG10" s="651"/>
      <c r="BZH10" s="651"/>
      <c r="BZI10" s="651"/>
      <c r="BZJ10" s="651"/>
      <c r="BZK10" s="651"/>
      <c r="BZL10" s="651"/>
      <c r="BZM10" s="651"/>
      <c r="BZN10" s="651"/>
      <c r="BZO10" s="651"/>
      <c r="BZP10" s="651"/>
      <c r="BZQ10" s="651"/>
      <c r="BZR10" s="651"/>
      <c r="BZS10" s="651"/>
      <c r="BZT10" s="651"/>
      <c r="BZU10" s="651"/>
      <c r="BZV10" s="651"/>
      <c r="BZW10" s="651"/>
      <c r="BZX10" s="651"/>
      <c r="BZY10" s="651"/>
      <c r="BZZ10" s="651"/>
      <c r="CAA10" s="651"/>
      <c r="CAB10" s="651"/>
      <c r="CAC10" s="651"/>
      <c r="CAD10" s="651"/>
      <c r="CAE10" s="651"/>
      <c r="CAF10" s="651"/>
      <c r="CAG10" s="651"/>
      <c r="CAH10" s="651"/>
      <c r="CAI10" s="651"/>
      <c r="CAJ10" s="651"/>
      <c r="CAK10" s="651"/>
      <c r="CAL10" s="651"/>
      <c r="CAM10" s="651"/>
      <c r="CAN10" s="651"/>
      <c r="CAO10" s="651"/>
      <c r="CAP10" s="651"/>
      <c r="CAQ10" s="651"/>
      <c r="CAR10" s="651"/>
      <c r="CAS10" s="651"/>
      <c r="CAT10" s="651"/>
      <c r="CAU10" s="651"/>
      <c r="CAV10" s="651"/>
      <c r="CAW10" s="651"/>
      <c r="CAX10" s="651"/>
      <c r="CAY10" s="651"/>
      <c r="CAZ10" s="651"/>
      <c r="CBA10" s="651"/>
      <c r="CBB10" s="651"/>
      <c r="CBC10" s="651"/>
      <c r="CBD10" s="651"/>
      <c r="CBE10" s="651"/>
      <c r="CBF10" s="651"/>
      <c r="CBG10" s="651"/>
      <c r="CBH10" s="651"/>
      <c r="CBI10" s="651"/>
      <c r="CBJ10" s="651"/>
      <c r="CBK10" s="651"/>
      <c r="CBL10" s="651"/>
      <c r="CBM10" s="651"/>
      <c r="CBN10" s="651"/>
      <c r="CBO10" s="651"/>
      <c r="CBP10" s="651"/>
      <c r="CBQ10" s="651"/>
      <c r="CBR10" s="651"/>
      <c r="CBS10" s="651"/>
      <c r="CBT10" s="651"/>
      <c r="CBU10" s="651"/>
      <c r="CBV10" s="651"/>
      <c r="CBW10" s="651"/>
      <c r="CBX10" s="651"/>
      <c r="CBY10" s="651"/>
      <c r="CBZ10" s="651"/>
      <c r="CCA10" s="651"/>
      <c r="CCB10" s="651"/>
      <c r="CCC10" s="651"/>
      <c r="CCD10" s="651"/>
      <c r="CCE10" s="651"/>
      <c r="CCF10" s="651"/>
      <c r="CCG10" s="651"/>
      <c r="CCH10" s="651"/>
      <c r="CCI10" s="651"/>
      <c r="CCJ10" s="651"/>
      <c r="CCK10" s="651"/>
      <c r="CCL10" s="651"/>
      <c r="CCM10" s="651"/>
      <c r="CCN10" s="651"/>
      <c r="CCO10" s="651"/>
      <c r="CCP10" s="651"/>
      <c r="CCQ10" s="651"/>
      <c r="CCR10" s="651"/>
      <c r="CCS10" s="651"/>
      <c r="CCT10" s="651"/>
      <c r="CCU10" s="651"/>
      <c r="CCV10" s="651"/>
      <c r="CCW10" s="651"/>
      <c r="CCX10" s="651"/>
      <c r="CCY10" s="651"/>
      <c r="CCZ10" s="651"/>
      <c r="CDA10" s="651"/>
      <c r="CDB10" s="651"/>
      <c r="CDC10" s="651"/>
      <c r="CDD10" s="651"/>
      <c r="CDE10" s="651"/>
      <c r="CDF10" s="651"/>
      <c r="CDG10" s="651"/>
      <c r="CDH10" s="651"/>
      <c r="CDI10" s="651"/>
      <c r="CDJ10" s="651"/>
      <c r="CDK10" s="651"/>
      <c r="CDL10" s="651"/>
      <c r="CDM10" s="651"/>
      <c r="CDN10" s="651"/>
      <c r="CDO10" s="651"/>
      <c r="CDP10" s="651"/>
      <c r="CDQ10" s="651"/>
      <c r="CDR10" s="651"/>
      <c r="CDS10" s="651"/>
      <c r="CDT10" s="651"/>
      <c r="CDU10" s="651"/>
      <c r="CDV10" s="651"/>
      <c r="CDW10" s="651"/>
      <c r="CDX10" s="651"/>
      <c r="CDY10" s="651"/>
      <c r="CDZ10" s="651"/>
      <c r="CEA10" s="651"/>
      <c r="CEB10" s="651"/>
      <c r="CEC10" s="651"/>
      <c r="CED10" s="651"/>
      <c r="CEE10" s="651"/>
      <c r="CEF10" s="651"/>
      <c r="CEG10" s="651"/>
      <c r="CEH10" s="651"/>
      <c r="CEI10" s="651"/>
      <c r="CEJ10" s="651"/>
      <c r="CEK10" s="651"/>
      <c r="CEL10" s="651"/>
      <c r="CEM10" s="651"/>
      <c r="CEN10" s="651"/>
      <c r="CEO10" s="651"/>
      <c r="CEP10" s="651"/>
      <c r="CEQ10" s="651"/>
      <c r="CER10" s="651"/>
      <c r="CES10" s="651"/>
      <c r="CET10" s="651"/>
      <c r="CEU10" s="651"/>
      <c r="CEV10" s="651"/>
      <c r="CEW10" s="651"/>
      <c r="CEX10" s="651"/>
      <c r="CEY10" s="651"/>
      <c r="CEZ10" s="651"/>
      <c r="CFA10" s="651"/>
      <c r="CFB10" s="651"/>
      <c r="CFC10" s="651"/>
      <c r="CFD10" s="651"/>
      <c r="CFE10" s="651"/>
      <c r="CFF10" s="651"/>
      <c r="CFG10" s="651"/>
      <c r="CFH10" s="651"/>
      <c r="CFI10" s="651"/>
      <c r="CFJ10" s="651"/>
      <c r="CFK10" s="651"/>
      <c r="CFL10" s="651"/>
      <c r="CFM10" s="651"/>
      <c r="CFN10" s="651"/>
      <c r="CFO10" s="651"/>
      <c r="CFP10" s="651"/>
      <c r="CFQ10" s="651"/>
      <c r="CFR10" s="651"/>
      <c r="CFS10" s="651"/>
      <c r="CFT10" s="651"/>
      <c r="CFU10" s="651"/>
      <c r="CFV10" s="651"/>
      <c r="CFW10" s="651"/>
      <c r="CFX10" s="651"/>
      <c r="CFY10" s="651"/>
      <c r="CFZ10" s="651"/>
      <c r="CGA10" s="651"/>
      <c r="CGB10" s="651"/>
      <c r="CGC10" s="651"/>
      <c r="CGD10" s="651"/>
      <c r="CGE10" s="651"/>
      <c r="CGF10" s="651"/>
      <c r="CGG10" s="651"/>
      <c r="CGH10" s="651"/>
      <c r="CGI10" s="651"/>
      <c r="CGJ10" s="651"/>
      <c r="CGK10" s="651"/>
      <c r="CGL10" s="651"/>
      <c r="CGM10" s="651"/>
      <c r="CGN10" s="651"/>
      <c r="CGO10" s="651"/>
      <c r="CGP10" s="651"/>
      <c r="CGQ10" s="651"/>
      <c r="CGR10" s="651"/>
      <c r="CGS10" s="651"/>
      <c r="CGT10" s="651"/>
      <c r="CGU10" s="651"/>
      <c r="CGV10" s="651"/>
      <c r="CGW10" s="651"/>
      <c r="CGX10" s="651"/>
      <c r="CGY10" s="651"/>
      <c r="CGZ10" s="651"/>
      <c r="CHA10" s="651"/>
      <c r="CHB10" s="651"/>
      <c r="CHC10" s="651"/>
      <c r="CHD10" s="651"/>
      <c r="CHE10" s="651"/>
      <c r="CHF10" s="651"/>
      <c r="CHG10" s="651"/>
      <c r="CHH10" s="651"/>
      <c r="CHI10" s="651"/>
      <c r="CHJ10" s="651"/>
      <c r="CHK10" s="651"/>
      <c r="CHL10" s="651"/>
      <c r="CHM10" s="651"/>
      <c r="CHN10" s="651"/>
      <c r="CHO10" s="651"/>
      <c r="CHP10" s="651"/>
      <c r="CHQ10" s="651"/>
      <c r="CHR10" s="651"/>
      <c r="CHS10" s="651"/>
      <c r="CHT10" s="651"/>
      <c r="CHU10" s="651"/>
      <c r="CHV10" s="651"/>
      <c r="CHW10" s="651"/>
      <c r="CHX10" s="651"/>
      <c r="CHY10" s="651"/>
      <c r="CHZ10" s="651"/>
      <c r="CIA10" s="651"/>
      <c r="CIB10" s="651"/>
      <c r="CIC10" s="651"/>
      <c r="CID10" s="651"/>
      <c r="CIE10" s="651"/>
      <c r="CIF10" s="651"/>
      <c r="CIG10" s="651"/>
      <c r="CIH10" s="651"/>
      <c r="CII10" s="651"/>
      <c r="CIJ10" s="651"/>
      <c r="CIK10" s="651"/>
      <c r="CIL10" s="651"/>
      <c r="CIM10" s="651"/>
      <c r="CIN10" s="651"/>
      <c r="CIO10" s="651"/>
      <c r="CIP10" s="651"/>
      <c r="CIQ10" s="651"/>
      <c r="CIR10" s="651"/>
      <c r="CIS10" s="651"/>
      <c r="CIT10" s="651"/>
      <c r="CIU10" s="651"/>
      <c r="CIV10" s="651"/>
      <c r="CIW10" s="651"/>
      <c r="CIX10" s="651"/>
      <c r="CIY10" s="651"/>
      <c r="CIZ10" s="651"/>
      <c r="CJA10" s="651"/>
      <c r="CJB10" s="651"/>
      <c r="CJC10" s="651"/>
      <c r="CJD10" s="651"/>
      <c r="CJE10" s="651"/>
      <c r="CJF10" s="651"/>
      <c r="CJG10" s="651"/>
      <c r="CJH10" s="651"/>
      <c r="CJI10" s="651"/>
      <c r="CJJ10" s="651"/>
      <c r="CJK10" s="651"/>
      <c r="CJL10" s="651"/>
      <c r="CJM10" s="651"/>
      <c r="CJN10" s="651"/>
      <c r="CJO10" s="651"/>
      <c r="CJP10" s="651"/>
      <c r="CJQ10" s="651"/>
      <c r="CJR10" s="651"/>
      <c r="CJS10" s="651"/>
      <c r="CJT10" s="651"/>
      <c r="CJU10" s="651"/>
      <c r="CJV10" s="651"/>
      <c r="CJW10" s="651"/>
      <c r="CJX10" s="651"/>
      <c r="CJY10" s="651"/>
      <c r="CJZ10" s="651"/>
      <c r="CKA10" s="651"/>
      <c r="CKB10" s="651"/>
      <c r="CKC10" s="651"/>
      <c r="CKD10" s="651"/>
      <c r="CKE10" s="651"/>
      <c r="CKF10" s="651"/>
      <c r="CKG10" s="651"/>
      <c r="CKH10" s="651"/>
      <c r="CKI10" s="651"/>
      <c r="CKJ10" s="651"/>
      <c r="CKK10" s="651"/>
      <c r="CKL10" s="651"/>
      <c r="CKM10" s="651"/>
      <c r="CKN10" s="651"/>
      <c r="CKO10" s="651"/>
      <c r="CKP10" s="651"/>
      <c r="CKQ10" s="651"/>
      <c r="CKR10" s="651"/>
      <c r="CKS10" s="651"/>
      <c r="CKT10" s="651"/>
      <c r="CKU10" s="651"/>
      <c r="CKV10" s="651"/>
      <c r="CKW10" s="651"/>
      <c r="CKX10" s="651"/>
      <c r="CKY10" s="651"/>
      <c r="CKZ10" s="651"/>
      <c r="CLA10" s="651"/>
      <c r="CLB10" s="651"/>
      <c r="CLC10" s="651"/>
      <c r="CLD10" s="651"/>
      <c r="CLE10" s="651"/>
      <c r="CLF10" s="651"/>
      <c r="CLG10" s="651"/>
      <c r="CLH10" s="651"/>
      <c r="CLI10" s="651"/>
      <c r="CLJ10" s="651"/>
      <c r="CLK10" s="651"/>
      <c r="CLL10" s="651"/>
      <c r="CLM10" s="651"/>
      <c r="CLN10" s="651"/>
      <c r="CLO10" s="651"/>
      <c r="CLP10" s="651"/>
      <c r="CLQ10" s="651"/>
      <c r="CLR10" s="651"/>
      <c r="CLS10" s="651"/>
      <c r="CLT10" s="651"/>
      <c r="CLU10" s="651"/>
      <c r="CLV10" s="651"/>
      <c r="CLW10" s="651"/>
      <c r="CLX10" s="651"/>
      <c r="CLY10" s="651"/>
      <c r="CLZ10" s="651"/>
      <c r="CMA10" s="651"/>
      <c r="CMB10" s="651"/>
      <c r="CMC10" s="651"/>
      <c r="CMD10" s="651"/>
      <c r="CME10" s="651"/>
      <c r="CMF10" s="651"/>
      <c r="CMG10" s="651"/>
      <c r="CMH10" s="651"/>
      <c r="CMI10" s="651"/>
      <c r="CMJ10" s="651"/>
      <c r="CMK10" s="651"/>
      <c r="CML10" s="651"/>
      <c r="CMM10" s="651"/>
      <c r="CMN10" s="651"/>
      <c r="CMO10" s="651"/>
      <c r="CMP10" s="651"/>
      <c r="CMQ10" s="651"/>
      <c r="CMR10" s="651"/>
      <c r="CMS10" s="651"/>
      <c r="CMT10" s="651"/>
      <c r="CMU10" s="651"/>
      <c r="CMV10" s="651"/>
      <c r="CMW10" s="651"/>
      <c r="CMX10" s="651"/>
      <c r="CMY10" s="651"/>
      <c r="CMZ10" s="651"/>
      <c r="CNA10" s="651"/>
      <c r="CNB10" s="651"/>
      <c r="CNC10" s="651"/>
      <c r="CND10" s="651"/>
      <c r="CNE10" s="651"/>
      <c r="CNF10" s="651"/>
      <c r="CNG10" s="651"/>
      <c r="CNH10" s="651"/>
      <c r="CNI10" s="651"/>
      <c r="CNJ10" s="651"/>
      <c r="CNK10" s="651"/>
      <c r="CNL10" s="651"/>
      <c r="CNM10" s="651"/>
      <c r="CNN10" s="651"/>
      <c r="CNO10" s="651"/>
      <c r="CNP10" s="651"/>
      <c r="CNQ10" s="651"/>
      <c r="CNR10" s="651"/>
      <c r="CNS10" s="651"/>
      <c r="CNT10" s="651"/>
      <c r="CNU10" s="651"/>
      <c r="CNV10" s="651"/>
      <c r="CNW10" s="651"/>
      <c r="CNX10" s="651"/>
      <c r="CNY10" s="651"/>
      <c r="CNZ10" s="651"/>
      <c r="COA10" s="651"/>
      <c r="COB10" s="651"/>
      <c r="COC10" s="651"/>
      <c r="COD10" s="651"/>
      <c r="COE10" s="651"/>
      <c r="COF10" s="651"/>
      <c r="COG10" s="651"/>
      <c r="COH10" s="651"/>
      <c r="COI10" s="651"/>
      <c r="COJ10" s="651"/>
      <c r="COK10" s="651"/>
      <c r="COL10" s="651"/>
      <c r="COM10" s="651"/>
      <c r="CON10" s="651"/>
      <c r="COO10" s="651"/>
      <c r="COP10" s="651"/>
      <c r="COQ10" s="651"/>
      <c r="COR10" s="651"/>
      <c r="COS10" s="651"/>
      <c r="COT10" s="651"/>
      <c r="COU10" s="651"/>
      <c r="COV10" s="651"/>
      <c r="COW10" s="651"/>
      <c r="COX10" s="651"/>
      <c r="COY10" s="651"/>
      <c r="COZ10" s="651"/>
      <c r="CPA10" s="651"/>
      <c r="CPB10" s="651"/>
      <c r="CPC10" s="651"/>
      <c r="CPD10" s="651"/>
      <c r="CPE10" s="651"/>
      <c r="CPF10" s="651"/>
      <c r="CPG10" s="651"/>
      <c r="CPH10" s="651"/>
      <c r="CPI10" s="651"/>
      <c r="CPJ10" s="651"/>
      <c r="CPK10" s="651"/>
      <c r="CPL10" s="651"/>
      <c r="CPM10" s="651"/>
      <c r="CPN10" s="651"/>
      <c r="CPO10" s="651"/>
      <c r="CPP10" s="651"/>
      <c r="CPQ10" s="651"/>
      <c r="CPR10" s="651"/>
      <c r="CPS10" s="651"/>
      <c r="CPT10" s="651"/>
      <c r="CPU10" s="651"/>
      <c r="CPV10" s="651"/>
      <c r="CPW10" s="651"/>
      <c r="CPX10" s="651"/>
      <c r="CPY10" s="651"/>
      <c r="CPZ10" s="651"/>
      <c r="CQA10" s="651"/>
      <c r="CQB10" s="651"/>
      <c r="CQC10" s="651"/>
      <c r="CQD10" s="651"/>
      <c r="CQE10" s="651"/>
      <c r="CQF10" s="651"/>
      <c r="CQG10" s="651"/>
      <c r="CQH10" s="651"/>
      <c r="CQI10" s="651"/>
      <c r="CQJ10" s="651"/>
      <c r="CQK10" s="651"/>
      <c r="CQL10" s="651"/>
      <c r="CQM10" s="651"/>
      <c r="CQN10" s="651"/>
      <c r="CQO10" s="651"/>
      <c r="CQP10" s="651"/>
      <c r="CQQ10" s="651"/>
      <c r="CQR10" s="651"/>
      <c r="CQS10" s="651"/>
      <c r="CQT10" s="651"/>
      <c r="CQU10" s="651"/>
      <c r="CQV10" s="651"/>
      <c r="CQW10" s="651"/>
      <c r="CQX10" s="651"/>
      <c r="CQY10" s="651"/>
      <c r="CQZ10" s="651"/>
      <c r="CRA10" s="651"/>
      <c r="CRB10" s="651"/>
      <c r="CRC10" s="651"/>
      <c r="CRD10" s="651"/>
      <c r="CRE10" s="651"/>
      <c r="CRF10" s="651"/>
      <c r="CRG10" s="651"/>
      <c r="CRH10" s="651"/>
      <c r="CRI10" s="651"/>
      <c r="CRJ10" s="651"/>
      <c r="CRK10" s="651"/>
      <c r="CRL10" s="651"/>
      <c r="CRM10" s="651"/>
      <c r="CRN10" s="651"/>
      <c r="CRO10" s="651"/>
      <c r="CRP10" s="651"/>
      <c r="CRQ10" s="651"/>
      <c r="CRR10" s="651"/>
      <c r="CRS10" s="651"/>
      <c r="CRT10" s="651"/>
      <c r="CRU10" s="651"/>
      <c r="CRV10" s="651"/>
      <c r="CRW10" s="651"/>
      <c r="CRX10" s="651"/>
      <c r="CRY10" s="651"/>
      <c r="CRZ10" s="651"/>
      <c r="CSA10" s="651"/>
      <c r="CSB10" s="651"/>
      <c r="CSC10" s="651"/>
      <c r="CSD10" s="651"/>
      <c r="CSE10" s="651"/>
      <c r="CSF10" s="651"/>
      <c r="CSG10" s="651"/>
      <c r="CSH10" s="651"/>
      <c r="CSI10" s="651"/>
      <c r="CSJ10" s="651"/>
      <c r="CSK10" s="651"/>
      <c r="CSL10" s="651"/>
      <c r="CSM10" s="651"/>
      <c r="CSN10" s="651"/>
      <c r="CSO10" s="651"/>
      <c r="CSP10" s="651"/>
      <c r="CSQ10" s="651"/>
      <c r="CSR10" s="651"/>
      <c r="CSS10" s="651"/>
      <c r="CST10" s="651"/>
      <c r="CSU10" s="651"/>
      <c r="CSV10" s="651"/>
      <c r="CSW10" s="651"/>
      <c r="CSX10" s="651"/>
      <c r="CSY10" s="651"/>
      <c r="CSZ10" s="651"/>
      <c r="CTA10" s="651"/>
      <c r="CTB10" s="651"/>
      <c r="CTC10" s="651"/>
      <c r="CTD10" s="651"/>
      <c r="CTE10" s="651"/>
      <c r="CTF10" s="651"/>
      <c r="CTG10" s="651"/>
      <c r="CTH10" s="651"/>
      <c r="CTI10" s="651"/>
      <c r="CTJ10" s="651"/>
      <c r="CTK10" s="651"/>
      <c r="CTL10" s="651"/>
      <c r="CTM10" s="651"/>
      <c r="CTN10" s="651"/>
      <c r="CTO10" s="651"/>
      <c r="CTP10" s="651"/>
      <c r="CTQ10" s="651"/>
      <c r="CTR10" s="651"/>
      <c r="CTS10" s="651"/>
      <c r="CTT10" s="651"/>
      <c r="CTU10" s="651"/>
      <c r="CTV10" s="651"/>
      <c r="CTW10" s="651"/>
      <c r="CTX10" s="651"/>
      <c r="CTY10" s="651"/>
      <c r="CTZ10" s="651"/>
      <c r="CUA10" s="651"/>
      <c r="CUB10" s="651"/>
      <c r="CUC10" s="651"/>
      <c r="CUD10" s="651"/>
      <c r="CUE10" s="651"/>
      <c r="CUF10" s="651"/>
      <c r="CUG10" s="651"/>
      <c r="CUH10" s="651"/>
      <c r="CUI10" s="651"/>
      <c r="CUJ10" s="651"/>
      <c r="CUK10" s="651"/>
      <c r="CUL10" s="651"/>
      <c r="CUM10" s="651"/>
      <c r="CUN10" s="651"/>
      <c r="CUO10" s="651"/>
      <c r="CUP10" s="651"/>
      <c r="CUQ10" s="651"/>
      <c r="CUR10" s="651"/>
      <c r="CUS10" s="651"/>
      <c r="CUT10" s="651"/>
      <c r="CUU10" s="651"/>
      <c r="CUV10" s="651"/>
      <c r="CUW10" s="651"/>
      <c r="CUX10" s="651"/>
      <c r="CUY10" s="651"/>
      <c r="CUZ10" s="651"/>
      <c r="CVA10" s="651"/>
      <c r="CVB10" s="651"/>
      <c r="CVC10" s="651"/>
      <c r="CVD10" s="651"/>
      <c r="CVE10" s="651"/>
      <c r="CVF10" s="651"/>
      <c r="CVG10" s="651"/>
      <c r="CVH10" s="651"/>
      <c r="CVI10" s="651"/>
      <c r="CVJ10" s="651"/>
      <c r="CVK10" s="651"/>
      <c r="CVL10" s="651"/>
      <c r="CVM10" s="651"/>
      <c r="CVN10" s="651"/>
      <c r="CVO10" s="651"/>
      <c r="CVP10" s="651"/>
      <c r="CVQ10" s="651"/>
      <c r="CVR10" s="651"/>
      <c r="CVS10" s="651"/>
      <c r="CVT10" s="651"/>
      <c r="CVU10" s="651"/>
      <c r="CVV10" s="651"/>
      <c r="CVW10" s="651"/>
      <c r="CVX10" s="651"/>
      <c r="CVY10" s="651"/>
      <c r="CVZ10" s="651"/>
      <c r="CWA10" s="651"/>
      <c r="CWB10" s="651"/>
      <c r="CWC10" s="651"/>
      <c r="CWD10" s="651"/>
      <c r="CWE10" s="651"/>
      <c r="CWF10" s="651"/>
      <c r="CWG10" s="651"/>
      <c r="CWH10" s="651"/>
      <c r="CWI10" s="651"/>
      <c r="CWJ10" s="651"/>
      <c r="CWK10" s="651"/>
      <c r="CWL10" s="651"/>
      <c r="CWM10" s="651"/>
      <c r="CWN10" s="651"/>
      <c r="CWO10" s="651"/>
      <c r="CWP10" s="651"/>
      <c r="CWQ10" s="651"/>
      <c r="CWR10" s="651"/>
      <c r="CWS10" s="651"/>
      <c r="CWT10" s="651"/>
      <c r="CWU10" s="651"/>
      <c r="CWV10" s="651"/>
      <c r="CWW10" s="651"/>
      <c r="CWX10" s="651"/>
      <c r="CWY10" s="651"/>
      <c r="CWZ10" s="651"/>
      <c r="CXA10" s="651"/>
      <c r="CXB10" s="651"/>
      <c r="CXC10" s="651"/>
      <c r="CXD10" s="651"/>
      <c r="CXE10" s="651"/>
      <c r="CXF10" s="651"/>
      <c r="CXG10" s="651"/>
      <c r="CXH10" s="651"/>
      <c r="CXI10" s="651"/>
      <c r="CXJ10" s="651"/>
      <c r="CXK10" s="651"/>
      <c r="CXL10" s="651"/>
      <c r="CXM10" s="651"/>
      <c r="CXN10" s="651"/>
      <c r="CXO10" s="651"/>
      <c r="CXP10" s="651"/>
      <c r="CXQ10" s="651"/>
      <c r="CXR10" s="651"/>
      <c r="CXS10" s="651"/>
      <c r="CXT10" s="651"/>
      <c r="CXU10" s="651"/>
      <c r="CXV10" s="651"/>
      <c r="CXW10" s="651"/>
      <c r="CXX10" s="651"/>
      <c r="CXY10" s="651"/>
      <c r="CXZ10" s="651"/>
      <c r="CYA10" s="651"/>
      <c r="CYB10" s="651"/>
      <c r="CYC10" s="651"/>
      <c r="CYD10" s="651"/>
      <c r="CYE10" s="651"/>
      <c r="CYF10" s="651"/>
      <c r="CYG10" s="651"/>
      <c r="CYH10" s="651"/>
      <c r="CYI10" s="651"/>
      <c r="CYJ10" s="651"/>
      <c r="CYK10" s="651"/>
      <c r="CYL10" s="651"/>
      <c r="CYM10" s="651"/>
      <c r="CYN10" s="651"/>
      <c r="CYO10" s="651"/>
      <c r="CYP10" s="651"/>
      <c r="CYQ10" s="651"/>
      <c r="CYR10" s="651"/>
      <c r="CYS10" s="651"/>
      <c r="CYT10" s="651"/>
      <c r="CYU10" s="651"/>
      <c r="CYV10" s="651"/>
      <c r="CYW10" s="651"/>
      <c r="CYX10" s="651"/>
      <c r="CYY10" s="651"/>
      <c r="CYZ10" s="651"/>
      <c r="CZA10" s="651"/>
      <c r="CZB10" s="651"/>
      <c r="CZC10" s="651"/>
      <c r="CZD10" s="651"/>
      <c r="CZE10" s="651"/>
      <c r="CZF10" s="651"/>
      <c r="CZG10" s="651"/>
      <c r="CZH10" s="651"/>
      <c r="CZI10" s="651"/>
      <c r="CZJ10" s="651"/>
      <c r="CZK10" s="651"/>
      <c r="CZL10" s="651"/>
      <c r="CZM10" s="651"/>
      <c r="CZN10" s="651"/>
      <c r="CZO10" s="651"/>
      <c r="CZP10" s="651"/>
      <c r="CZQ10" s="651"/>
      <c r="CZR10" s="651"/>
      <c r="CZS10" s="651"/>
      <c r="CZT10" s="651"/>
      <c r="CZU10" s="651"/>
      <c r="CZV10" s="651"/>
      <c r="CZW10" s="651"/>
      <c r="CZX10" s="651"/>
      <c r="CZY10" s="651"/>
      <c r="CZZ10" s="651"/>
      <c r="DAA10" s="651"/>
      <c r="DAB10" s="651"/>
      <c r="DAC10" s="651"/>
      <c r="DAD10" s="651"/>
      <c r="DAE10" s="651"/>
      <c r="DAF10" s="651"/>
      <c r="DAG10" s="651"/>
      <c r="DAH10" s="651"/>
      <c r="DAI10" s="651"/>
      <c r="DAJ10" s="651"/>
      <c r="DAK10" s="651"/>
      <c r="DAL10" s="651"/>
      <c r="DAM10" s="651"/>
      <c r="DAN10" s="651"/>
      <c r="DAO10" s="651"/>
      <c r="DAP10" s="651"/>
      <c r="DAQ10" s="651"/>
      <c r="DAR10" s="651"/>
      <c r="DAS10" s="651"/>
      <c r="DAT10" s="651"/>
      <c r="DAU10" s="651"/>
      <c r="DAV10" s="651"/>
      <c r="DAW10" s="651"/>
      <c r="DAX10" s="651"/>
      <c r="DAY10" s="651"/>
      <c r="DAZ10" s="651"/>
      <c r="DBA10" s="651"/>
      <c r="DBB10" s="651"/>
      <c r="DBC10" s="651"/>
      <c r="DBD10" s="651"/>
      <c r="DBE10" s="651"/>
      <c r="DBF10" s="651"/>
      <c r="DBG10" s="651"/>
      <c r="DBH10" s="651"/>
      <c r="DBI10" s="651"/>
      <c r="DBJ10" s="651"/>
      <c r="DBK10" s="651"/>
      <c r="DBL10" s="651"/>
      <c r="DBM10" s="651"/>
      <c r="DBN10" s="651"/>
      <c r="DBO10" s="651"/>
      <c r="DBP10" s="651"/>
      <c r="DBQ10" s="651"/>
      <c r="DBR10" s="651"/>
      <c r="DBS10" s="651"/>
      <c r="DBT10" s="651"/>
      <c r="DBU10" s="651"/>
      <c r="DBV10" s="651"/>
      <c r="DBW10" s="651"/>
      <c r="DBX10" s="651"/>
      <c r="DBY10" s="651"/>
      <c r="DBZ10" s="651"/>
      <c r="DCA10" s="651"/>
      <c r="DCB10" s="651"/>
      <c r="DCC10" s="651"/>
      <c r="DCD10" s="651"/>
      <c r="DCE10" s="651"/>
      <c r="DCF10" s="651"/>
      <c r="DCG10" s="651"/>
      <c r="DCH10" s="651"/>
      <c r="DCI10" s="651"/>
      <c r="DCJ10" s="651"/>
      <c r="DCK10" s="651"/>
      <c r="DCL10" s="651"/>
      <c r="DCM10" s="651"/>
      <c r="DCN10" s="651"/>
      <c r="DCO10" s="651"/>
      <c r="DCP10" s="651"/>
      <c r="DCQ10" s="651"/>
      <c r="DCR10" s="651"/>
      <c r="DCS10" s="651"/>
      <c r="DCT10" s="651"/>
      <c r="DCU10" s="651"/>
      <c r="DCV10" s="651"/>
      <c r="DCW10" s="651"/>
      <c r="DCX10" s="651"/>
      <c r="DCY10" s="651"/>
      <c r="DCZ10" s="651"/>
      <c r="DDA10" s="651"/>
      <c r="DDB10" s="651"/>
      <c r="DDC10" s="651"/>
      <c r="DDD10" s="651"/>
      <c r="DDE10" s="651"/>
      <c r="DDF10" s="651"/>
      <c r="DDG10" s="651"/>
      <c r="DDH10" s="651"/>
      <c r="DDI10" s="651"/>
      <c r="DDJ10" s="651"/>
      <c r="DDK10" s="651"/>
      <c r="DDL10" s="651"/>
      <c r="DDM10" s="651"/>
      <c r="DDN10" s="651"/>
      <c r="DDO10" s="651"/>
      <c r="DDP10" s="651"/>
      <c r="DDQ10" s="651"/>
      <c r="DDR10" s="651"/>
      <c r="DDS10" s="651"/>
      <c r="DDT10" s="651"/>
      <c r="DDU10" s="651"/>
      <c r="DDV10" s="651"/>
      <c r="DDW10" s="651"/>
      <c r="DDX10" s="651"/>
      <c r="DDY10" s="651"/>
      <c r="DDZ10" s="651"/>
      <c r="DEA10" s="651"/>
      <c r="DEB10" s="651"/>
      <c r="DEC10" s="651"/>
      <c r="DED10" s="651"/>
      <c r="DEE10" s="651"/>
      <c r="DEF10" s="651"/>
      <c r="DEG10" s="651"/>
      <c r="DEH10" s="651"/>
      <c r="DEI10" s="651"/>
      <c r="DEJ10" s="651"/>
      <c r="DEK10" s="651"/>
      <c r="DEL10" s="651"/>
      <c r="DEM10" s="651"/>
      <c r="DEN10" s="651"/>
      <c r="DEO10" s="651"/>
      <c r="DEP10" s="651"/>
      <c r="DEQ10" s="651"/>
      <c r="DER10" s="651"/>
      <c r="DES10" s="651"/>
      <c r="DET10" s="651"/>
      <c r="DEU10" s="651"/>
      <c r="DEV10" s="651"/>
      <c r="DEW10" s="651"/>
      <c r="DEX10" s="651"/>
      <c r="DEY10" s="651"/>
      <c r="DEZ10" s="651"/>
      <c r="DFA10" s="651"/>
      <c r="DFB10" s="651"/>
      <c r="DFC10" s="651"/>
      <c r="DFD10" s="651"/>
      <c r="DFE10" s="651"/>
      <c r="DFF10" s="651"/>
      <c r="DFG10" s="651"/>
      <c r="DFH10" s="651"/>
      <c r="DFI10" s="651"/>
      <c r="DFJ10" s="651"/>
      <c r="DFK10" s="651"/>
      <c r="DFL10" s="651"/>
      <c r="DFM10" s="651"/>
      <c r="DFN10" s="651"/>
      <c r="DFO10" s="651"/>
      <c r="DFP10" s="651"/>
      <c r="DFQ10" s="651"/>
      <c r="DFR10" s="651"/>
      <c r="DFS10" s="651"/>
      <c r="DFT10" s="651"/>
      <c r="DFU10" s="651"/>
      <c r="DFV10" s="651"/>
      <c r="DFW10" s="651"/>
      <c r="DFX10" s="651"/>
      <c r="DFY10" s="651"/>
      <c r="DFZ10" s="651"/>
      <c r="DGA10" s="651"/>
      <c r="DGB10" s="651"/>
      <c r="DGC10" s="651"/>
      <c r="DGD10" s="651"/>
      <c r="DGE10" s="651"/>
      <c r="DGF10" s="651"/>
      <c r="DGG10" s="651"/>
      <c r="DGH10" s="651"/>
      <c r="DGI10" s="651"/>
      <c r="DGJ10" s="651"/>
      <c r="DGK10" s="651"/>
      <c r="DGL10" s="651"/>
      <c r="DGM10" s="651"/>
      <c r="DGN10" s="651"/>
      <c r="DGO10" s="651"/>
      <c r="DGP10" s="651"/>
      <c r="DGQ10" s="651"/>
      <c r="DGR10" s="651"/>
      <c r="DGS10" s="651"/>
      <c r="DGT10" s="651"/>
      <c r="DGU10" s="651"/>
      <c r="DGV10" s="651"/>
      <c r="DGW10" s="651"/>
      <c r="DGX10" s="651"/>
      <c r="DGY10" s="651"/>
      <c r="DGZ10" s="651"/>
      <c r="DHA10" s="651"/>
      <c r="DHB10" s="651"/>
      <c r="DHC10" s="651"/>
      <c r="DHD10" s="651"/>
      <c r="DHE10" s="651"/>
      <c r="DHF10" s="651"/>
      <c r="DHG10" s="651"/>
      <c r="DHH10" s="651"/>
      <c r="DHI10" s="651"/>
      <c r="DHJ10" s="651"/>
      <c r="DHK10" s="651"/>
      <c r="DHL10" s="651"/>
      <c r="DHM10" s="651"/>
      <c r="DHN10" s="651"/>
      <c r="DHO10" s="651"/>
      <c r="DHP10" s="651"/>
      <c r="DHQ10" s="651"/>
      <c r="DHR10" s="651"/>
      <c r="DHS10" s="651"/>
      <c r="DHT10" s="651"/>
      <c r="DHU10" s="651"/>
      <c r="DHV10" s="651"/>
      <c r="DHW10" s="651"/>
      <c r="DHX10" s="651"/>
      <c r="DHY10" s="651"/>
      <c r="DHZ10" s="651"/>
      <c r="DIA10" s="651"/>
      <c r="DIB10" s="651"/>
      <c r="DIC10" s="651"/>
      <c r="DID10" s="651"/>
      <c r="DIE10" s="651"/>
      <c r="DIF10" s="651"/>
      <c r="DIG10" s="651"/>
      <c r="DIH10" s="651"/>
      <c r="DII10" s="651"/>
      <c r="DIJ10" s="651"/>
      <c r="DIK10" s="651"/>
      <c r="DIL10" s="651"/>
      <c r="DIM10" s="651"/>
      <c r="DIN10" s="651"/>
      <c r="DIO10" s="651"/>
      <c r="DIP10" s="651"/>
      <c r="DIQ10" s="651"/>
      <c r="DIR10" s="651"/>
      <c r="DIS10" s="651"/>
      <c r="DIT10" s="651"/>
      <c r="DIU10" s="651"/>
      <c r="DIV10" s="651"/>
      <c r="DIW10" s="651"/>
      <c r="DIX10" s="651"/>
      <c r="DIY10" s="651"/>
      <c r="DIZ10" s="651"/>
      <c r="DJA10" s="651"/>
      <c r="DJB10" s="651"/>
      <c r="DJC10" s="651"/>
      <c r="DJD10" s="651"/>
      <c r="DJE10" s="651"/>
      <c r="DJF10" s="651"/>
      <c r="DJG10" s="651"/>
      <c r="DJH10" s="651"/>
      <c r="DJI10" s="651"/>
      <c r="DJJ10" s="651"/>
      <c r="DJK10" s="651"/>
      <c r="DJL10" s="651"/>
      <c r="DJM10" s="651"/>
      <c r="DJN10" s="651"/>
      <c r="DJO10" s="651"/>
      <c r="DJP10" s="651"/>
      <c r="DJQ10" s="651"/>
      <c r="DJR10" s="651"/>
      <c r="DJS10" s="651"/>
      <c r="DJT10" s="651"/>
      <c r="DJU10" s="651"/>
      <c r="DJV10" s="651"/>
      <c r="DJW10" s="651"/>
      <c r="DJX10" s="651"/>
      <c r="DJY10" s="651"/>
      <c r="DJZ10" s="651"/>
      <c r="DKA10" s="651"/>
      <c r="DKB10" s="651"/>
      <c r="DKC10" s="651"/>
      <c r="DKD10" s="651"/>
      <c r="DKE10" s="651"/>
      <c r="DKF10" s="651"/>
      <c r="DKG10" s="651"/>
      <c r="DKH10" s="651"/>
      <c r="DKI10" s="651"/>
      <c r="DKJ10" s="651"/>
      <c r="DKK10" s="651"/>
      <c r="DKL10" s="651"/>
      <c r="DKM10" s="651"/>
      <c r="DKN10" s="651"/>
      <c r="DKO10" s="651"/>
      <c r="DKP10" s="651"/>
      <c r="DKQ10" s="651"/>
      <c r="DKR10" s="651"/>
      <c r="DKS10" s="651"/>
      <c r="DKT10" s="651"/>
      <c r="DKU10" s="651"/>
      <c r="DKV10" s="651"/>
      <c r="DKW10" s="651"/>
      <c r="DKX10" s="651"/>
      <c r="DKY10" s="651"/>
      <c r="DKZ10" s="651"/>
      <c r="DLA10" s="651"/>
      <c r="DLB10" s="651"/>
      <c r="DLC10" s="651"/>
      <c r="DLD10" s="651"/>
      <c r="DLE10" s="651"/>
      <c r="DLF10" s="651"/>
      <c r="DLG10" s="651"/>
      <c r="DLH10" s="651"/>
      <c r="DLI10" s="651"/>
      <c r="DLJ10" s="651"/>
      <c r="DLK10" s="651"/>
      <c r="DLL10" s="651"/>
      <c r="DLM10" s="651"/>
      <c r="DLN10" s="651"/>
      <c r="DLO10" s="651"/>
      <c r="DLP10" s="651"/>
      <c r="DLQ10" s="651"/>
      <c r="DLR10" s="651"/>
      <c r="DLS10" s="651"/>
      <c r="DLT10" s="651"/>
      <c r="DLU10" s="651"/>
      <c r="DLV10" s="651"/>
      <c r="DLW10" s="651"/>
      <c r="DLX10" s="651"/>
      <c r="DLY10" s="651"/>
      <c r="DLZ10" s="651"/>
      <c r="DMA10" s="651"/>
      <c r="DMB10" s="651"/>
      <c r="DMC10" s="651"/>
      <c r="DMD10" s="651"/>
      <c r="DME10" s="651"/>
      <c r="DMF10" s="651"/>
      <c r="DMG10" s="651"/>
      <c r="DMH10" s="651"/>
      <c r="DMI10" s="651"/>
      <c r="DMJ10" s="651"/>
      <c r="DMK10" s="651"/>
      <c r="DML10" s="651"/>
      <c r="DMM10" s="651"/>
      <c r="DMN10" s="651"/>
      <c r="DMO10" s="651"/>
      <c r="DMP10" s="651"/>
      <c r="DMQ10" s="651"/>
      <c r="DMR10" s="651"/>
      <c r="DMS10" s="651"/>
      <c r="DMT10" s="651"/>
      <c r="DMU10" s="651"/>
      <c r="DMV10" s="651"/>
      <c r="DMW10" s="651"/>
      <c r="DMX10" s="651"/>
      <c r="DMY10" s="651"/>
      <c r="DMZ10" s="651"/>
      <c r="DNA10" s="651"/>
      <c r="DNB10" s="651"/>
      <c r="DNC10" s="651"/>
      <c r="DND10" s="651"/>
      <c r="DNE10" s="651"/>
      <c r="DNF10" s="651"/>
      <c r="DNG10" s="651"/>
      <c r="DNH10" s="651"/>
      <c r="DNI10" s="651"/>
      <c r="DNJ10" s="651"/>
      <c r="DNK10" s="651"/>
      <c r="DNL10" s="651"/>
      <c r="DNM10" s="651"/>
      <c r="DNN10" s="651"/>
      <c r="DNO10" s="651"/>
      <c r="DNP10" s="651"/>
      <c r="DNQ10" s="651"/>
      <c r="DNR10" s="651"/>
      <c r="DNS10" s="651"/>
      <c r="DNT10" s="651"/>
      <c r="DNU10" s="651"/>
      <c r="DNV10" s="651"/>
      <c r="DNW10" s="651"/>
      <c r="DNX10" s="651"/>
      <c r="DNY10" s="651"/>
      <c r="DNZ10" s="651"/>
      <c r="DOA10" s="651"/>
      <c r="DOB10" s="651"/>
      <c r="DOC10" s="651"/>
      <c r="DOD10" s="651"/>
      <c r="DOE10" s="651"/>
      <c r="DOF10" s="651"/>
      <c r="DOG10" s="651"/>
      <c r="DOH10" s="651"/>
      <c r="DOI10" s="651"/>
      <c r="DOJ10" s="651"/>
      <c r="DOK10" s="651"/>
      <c r="DOL10" s="651"/>
      <c r="DOM10" s="651"/>
      <c r="DON10" s="651"/>
      <c r="DOO10" s="651"/>
      <c r="DOP10" s="651"/>
      <c r="DOQ10" s="651"/>
      <c r="DOR10" s="651"/>
      <c r="DOS10" s="651"/>
      <c r="DOT10" s="651"/>
      <c r="DOU10" s="651"/>
      <c r="DOV10" s="651"/>
      <c r="DOW10" s="651"/>
      <c r="DOX10" s="651"/>
      <c r="DOY10" s="651"/>
      <c r="DOZ10" s="651"/>
      <c r="DPA10" s="651"/>
      <c r="DPB10" s="651"/>
      <c r="DPC10" s="651"/>
      <c r="DPD10" s="651"/>
      <c r="DPE10" s="651"/>
      <c r="DPF10" s="651"/>
      <c r="DPG10" s="651"/>
      <c r="DPH10" s="651"/>
      <c r="DPI10" s="651"/>
      <c r="DPJ10" s="651"/>
      <c r="DPK10" s="651"/>
      <c r="DPL10" s="651"/>
      <c r="DPM10" s="651"/>
      <c r="DPN10" s="651"/>
      <c r="DPO10" s="651"/>
      <c r="DPP10" s="651"/>
      <c r="DPQ10" s="651"/>
      <c r="DPR10" s="651"/>
      <c r="DPS10" s="651"/>
      <c r="DPT10" s="651"/>
      <c r="DPU10" s="651"/>
      <c r="DPV10" s="651"/>
      <c r="DPW10" s="651"/>
      <c r="DPX10" s="651"/>
      <c r="DPY10" s="651"/>
      <c r="DPZ10" s="651"/>
      <c r="DQA10" s="651"/>
      <c r="DQB10" s="651"/>
      <c r="DQC10" s="651"/>
      <c r="DQD10" s="651"/>
      <c r="DQE10" s="651"/>
      <c r="DQF10" s="651"/>
      <c r="DQG10" s="651"/>
      <c r="DQH10" s="651"/>
      <c r="DQI10" s="651"/>
      <c r="DQJ10" s="651"/>
      <c r="DQK10" s="651"/>
      <c r="DQL10" s="651"/>
      <c r="DQM10" s="651"/>
      <c r="DQN10" s="651"/>
      <c r="DQO10" s="651"/>
      <c r="DQP10" s="651"/>
      <c r="DQQ10" s="651"/>
      <c r="DQR10" s="651"/>
      <c r="DQS10" s="651"/>
      <c r="DQT10" s="651"/>
      <c r="DQU10" s="651"/>
      <c r="DQV10" s="651"/>
      <c r="DQW10" s="651"/>
      <c r="DQX10" s="651"/>
      <c r="DQY10" s="651"/>
      <c r="DQZ10" s="651"/>
      <c r="DRA10" s="651"/>
      <c r="DRB10" s="651"/>
      <c r="DRC10" s="651"/>
      <c r="DRD10" s="651"/>
      <c r="DRE10" s="651"/>
      <c r="DRF10" s="651"/>
      <c r="DRG10" s="651"/>
      <c r="DRH10" s="651"/>
      <c r="DRI10" s="651"/>
      <c r="DRJ10" s="651"/>
      <c r="DRK10" s="651"/>
      <c r="DRL10" s="651"/>
      <c r="DRM10" s="651"/>
      <c r="DRN10" s="651"/>
      <c r="DRO10" s="651"/>
      <c r="DRP10" s="651"/>
      <c r="DRQ10" s="651"/>
      <c r="DRR10" s="651"/>
      <c r="DRS10" s="651"/>
      <c r="DRT10" s="651"/>
      <c r="DRU10" s="651"/>
      <c r="DRV10" s="651"/>
      <c r="DRW10" s="651"/>
      <c r="DRX10" s="651"/>
      <c r="DRY10" s="651"/>
      <c r="DRZ10" s="651"/>
      <c r="DSA10" s="651"/>
      <c r="DSB10" s="651"/>
      <c r="DSC10" s="651"/>
      <c r="DSD10" s="651"/>
      <c r="DSE10" s="651"/>
      <c r="DSF10" s="651"/>
      <c r="DSG10" s="651"/>
      <c r="DSH10" s="651"/>
      <c r="DSI10" s="651"/>
      <c r="DSJ10" s="651"/>
      <c r="DSK10" s="651"/>
      <c r="DSL10" s="651"/>
      <c r="DSM10" s="651"/>
      <c r="DSN10" s="651"/>
      <c r="DSO10" s="651"/>
      <c r="DSP10" s="651"/>
      <c r="DSQ10" s="651"/>
      <c r="DSR10" s="651"/>
      <c r="DSS10" s="651"/>
      <c r="DST10" s="651"/>
      <c r="DSU10" s="651"/>
      <c r="DSV10" s="651"/>
      <c r="DSW10" s="651"/>
      <c r="DSX10" s="651"/>
      <c r="DSY10" s="651"/>
      <c r="DSZ10" s="651"/>
      <c r="DTA10" s="651"/>
      <c r="DTB10" s="651"/>
      <c r="DTC10" s="651"/>
      <c r="DTD10" s="651"/>
      <c r="DTE10" s="651"/>
      <c r="DTF10" s="651"/>
      <c r="DTG10" s="651"/>
      <c r="DTH10" s="651"/>
      <c r="DTI10" s="651"/>
      <c r="DTJ10" s="651"/>
      <c r="DTK10" s="651"/>
      <c r="DTL10" s="651"/>
      <c r="DTM10" s="651"/>
      <c r="DTN10" s="651"/>
      <c r="DTO10" s="651"/>
      <c r="DTP10" s="651"/>
      <c r="DTQ10" s="651"/>
      <c r="DTR10" s="651"/>
      <c r="DTS10" s="651"/>
      <c r="DTT10" s="651"/>
      <c r="DTU10" s="651"/>
      <c r="DTV10" s="651"/>
      <c r="DTW10" s="651"/>
      <c r="DTX10" s="651"/>
      <c r="DTY10" s="651"/>
      <c r="DTZ10" s="651"/>
      <c r="DUA10" s="651"/>
      <c r="DUB10" s="651"/>
      <c r="DUC10" s="651"/>
      <c r="DUD10" s="651"/>
      <c r="DUE10" s="651"/>
      <c r="DUF10" s="651"/>
      <c r="DUG10" s="651"/>
      <c r="DUH10" s="651"/>
      <c r="DUI10" s="651"/>
      <c r="DUJ10" s="651"/>
      <c r="DUK10" s="651"/>
      <c r="DUL10" s="651"/>
      <c r="DUM10" s="651"/>
      <c r="DUN10" s="651"/>
      <c r="DUO10" s="651"/>
      <c r="DUP10" s="651"/>
      <c r="DUQ10" s="651"/>
      <c r="DUR10" s="651"/>
      <c r="DUS10" s="651"/>
      <c r="DUT10" s="651"/>
      <c r="DUU10" s="651"/>
      <c r="DUV10" s="651"/>
      <c r="DUW10" s="651"/>
      <c r="DUX10" s="651"/>
      <c r="DUY10" s="651"/>
      <c r="DUZ10" s="651"/>
      <c r="DVA10" s="651"/>
      <c r="DVB10" s="651"/>
      <c r="DVC10" s="651"/>
      <c r="DVD10" s="651"/>
      <c r="DVE10" s="651"/>
      <c r="DVF10" s="651"/>
      <c r="DVG10" s="651"/>
      <c r="DVH10" s="651"/>
      <c r="DVI10" s="651"/>
      <c r="DVJ10" s="651"/>
      <c r="DVK10" s="651"/>
      <c r="DVL10" s="651"/>
      <c r="DVM10" s="651"/>
      <c r="DVN10" s="651"/>
      <c r="DVO10" s="651"/>
      <c r="DVP10" s="651"/>
      <c r="DVQ10" s="651"/>
      <c r="DVR10" s="651"/>
      <c r="DVS10" s="651"/>
      <c r="DVT10" s="651"/>
      <c r="DVU10" s="651"/>
      <c r="DVV10" s="651"/>
      <c r="DVW10" s="651"/>
      <c r="DVX10" s="651"/>
      <c r="DVY10" s="651"/>
      <c r="DVZ10" s="651"/>
      <c r="DWA10" s="651"/>
      <c r="DWB10" s="651"/>
      <c r="DWC10" s="651"/>
      <c r="DWD10" s="651"/>
      <c r="DWE10" s="651"/>
      <c r="DWF10" s="651"/>
      <c r="DWG10" s="651"/>
      <c r="DWH10" s="651"/>
      <c r="DWI10" s="651"/>
      <c r="DWJ10" s="651"/>
      <c r="DWK10" s="651"/>
      <c r="DWL10" s="651"/>
      <c r="DWM10" s="651"/>
      <c r="DWN10" s="651"/>
      <c r="DWO10" s="651"/>
      <c r="DWP10" s="651"/>
      <c r="DWQ10" s="651"/>
      <c r="DWR10" s="651"/>
      <c r="DWS10" s="651"/>
      <c r="DWT10" s="651"/>
      <c r="DWU10" s="651"/>
      <c r="DWV10" s="651"/>
      <c r="DWW10" s="651"/>
      <c r="DWX10" s="651"/>
      <c r="DWY10" s="651"/>
      <c r="DWZ10" s="651"/>
      <c r="DXA10" s="651"/>
      <c r="DXB10" s="651"/>
      <c r="DXC10" s="651"/>
      <c r="DXD10" s="651"/>
      <c r="DXE10" s="651"/>
      <c r="DXF10" s="651"/>
      <c r="DXG10" s="651"/>
      <c r="DXH10" s="651"/>
      <c r="DXI10" s="651"/>
      <c r="DXJ10" s="651"/>
      <c r="DXK10" s="651"/>
      <c r="DXL10" s="651"/>
      <c r="DXM10" s="651"/>
      <c r="DXN10" s="651"/>
      <c r="DXO10" s="651"/>
      <c r="DXP10" s="651"/>
      <c r="DXQ10" s="651"/>
      <c r="DXR10" s="651"/>
      <c r="DXS10" s="651"/>
      <c r="DXT10" s="651"/>
      <c r="DXU10" s="651"/>
      <c r="DXV10" s="651"/>
      <c r="DXW10" s="651"/>
      <c r="DXX10" s="651"/>
      <c r="DXY10" s="651"/>
      <c r="DXZ10" s="651"/>
      <c r="DYA10" s="651"/>
      <c r="DYB10" s="651"/>
      <c r="DYC10" s="651"/>
      <c r="DYD10" s="651"/>
      <c r="DYE10" s="651"/>
      <c r="DYF10" s="651"/>
      <c r="DYG10" s="651"/>
      <c r="DYH10" s="651"/>
      <c r="DYI10" s="651"/>
      <c r="DYJ10" s="651"/>
      <c r="DYK10" s="651"/>
      <c r="DYL10" s="651"/>
      <c r="DYM10" s="651"/>
      <c r="DYN10" s="651"/>
      <c r="DYO10" s="651"/>
      <c r="DYP10" s="651"/>
      <c r="DYQ10" s="651"/>
      <c r="DYR10" s="651"/>
      <c r="DYS10" s="651"/>
      <c r="DYT10" s="651"/>
      <c r="DYU10" s="651"/>
      <c r="DYV10" s="651"/>
      <c r="DYW10" s="651"/>
      <c r="DYX10" s="651"/>
      <c r="DYY10" s="651"/>
      <c r="DYZ10" s="651"/>
      <c r="DZA10" s="651"/>
      <c r="DZB10" s="651"/>
      <c r="DZC10" s="651"/>
      <c r="DZD10" s="651"/>
      <c r="DZE10" s="651"/>
      <c r="DZF10" s="651"/>
      <c r="DZG10" s="651"/>
      <c r="DZH10" s="651"/>
      <c r="DZI10" s="651"/>
      <c r="DZJ10" s="651"/>
      <c r="DZK10" s="651"/>
      <c r="DZL10" s="651"/>
      <c r="DZM10" s="651"/>
      <c r="DZN10" s="651"/>
      <c r="DZO10" s="651"/>
      <c r="DZP10" s="651"/>
      <c r="DZQ10" s="651"/>
      <c r="DZR10" s="651"/>
      <c r="DZS10" s="651"/>
      <c r="DZT10" s="651"/>
      <c r="DZU10" s="651"/>
      <c r="DZV10" s="651"/>
      <c r="DZW10" s="651"/>
      <c r="DZX10" s="651"/>
      <c r="DZY10" s="651"/>
      <c r="DZZ10" s="651"/>
      <c r="EAA10" s="651"/>
      <c r="EAB10" s="651"/>
      <c r="EAC10" s="651"/>
      <c r="EAD10" s="651"/>
      <c r="EAE10" s="651"/>
      <c r="EAF10" s="651"/>
      <c r="EAG10" s="651"/>
      <c r="EAH10" s="651"/>
      <c r="EAI10" s="651"/>
      <c r="EAJ10" s="651"/>
      <c r="EAK10" s="651"/>
      <c r="EAL10" s="651"/>
      <c r="EAM10" s="651"/>
      <c r="EAN10" s="651"/>
      <c r="EAO10" s="651"/>
      <c r="EAP10" s="651"/>
      <c r="EAQ10" s="651"/>
      <c r="EAR10" s="651"/>
      <c r="EAS10" s="651"/>
      <c r="EAT10" s="651"/>
      <c r="EAU10" s="651"/>
      <c r="EAV10" s="651"/>
      <c r="EAW10" s="651"/>
      <c r="EAX10" s="651"/>
      <c r="EAY10" s="651"/>
      <c r="EAZ10" s="651"/>
      <c r="EBA10" s="651"/>
      <c r="EBB10" s="651"/>
      <c r="EBC10" s="651"/>
      <c r="EBD10" s="651"/>
      <c r="EBE10" s="651"/>
      <c r="EBF10" s="651"/>
      <c r="EBG10" s="651"/>
      <c r="EBH10" s="651"/>
      <c r="EBI10" s="651"/>
      <c r="EBJ10" s="651"/>
      <c r="EBK10" s="651"/>
      <c r="EBL10" s="651"/>
      <c r="EBM10" s="651"/>
      <c r="EBN10" s="651"/>
      <c r="EBO10" s="651"/>
      <c r="EBP10" s="651"/>
      <c r="EBQ10" s="651"/>
      <c r="EBR10" s="651"/>
      <c r="EBS10" s="651"/>
      <c r="EBT10" s="651"/>
      <c r="EBU10" s="651"/>
      <c r="EBV10" s="651"/>
      <c r="EBW10" s="651"/>
      <c r="EBX10" s="651"/>
      <c r="EBY10" s="651"/>
      <c r="EBZ10" s="651"/>
      <c r="ECA10" s="651"/>
      <c r="ECB10" s="651"/>
      <c r="ECC10" s="651"/>
      <c r="ECD10" s="651"/>
      <c r="ECE10" s="651"/>
      <c r="ECF10" s="651"/>
      <c r="ECG10" s="651"/>
      <c r="ECH10" s="651"/>
      <c r="ECI10" s="651"/>
      <c r="ECJ10" s="651"/>
      <c r="ECK10" s="651"/>
      <c r="ECL10" s="651"/>
      <c r="ECM10" s="651"/>
      <c r="ECN10" s="651"/>
      <c r="ECO10" s="651"/>
      <c r="ECP10" s="651"/>
      <c r="ECQ10" s="651"/>
      <c r="ECR10" s="651"/>
      <c r="ECS10" s="651"/>
      <c r="ECT10" s="651"/>
      <c r="ECU10" s="651"/>
      <c r="ECV10" s="651"/>
      <c r="ECW10" s="651"/>
      <c r="ECX10" s="651"/>
      <c r="ECY10" s="651"/>
      <c r="ECZ10" s="651"/>
      <c r="EDA10" s="651"/>
      <c r="EDB10" s="651"/>
      <c r="EDC10" s="651"/>
      <c r="EDD10" s="651"/>
      <c r="EDE10" s="651"/>
      <c r="EDF10" s="651"/>
      <c r="EDG10" s="651"/>
      <c r="EDH10" s="651"/>
      <c r="EDI10" s="651"/>
      <c r="EDJ10" s="651"/>
      <c r="EDK10" s="651"/>
      <c r="EDL10" s="651"/>
      <c r="EDM10" s="651"/>
      <c r="EDN10" s="651"/>
      <c r="EDO10" s="651"/>
      <c r="EDP10" s="651"/>
      <c r="EDQ10" s="651"/>
      <c r="EDR10" s="651"/>
      <c r="EDS10" s="651"/>
      <c r="EDT10" s="651"/>
      <c r="EDU10" s="651"/>
      <c r="EDV10" s="651"/>
      <c r="EDW10" s="651"/>
      <c r="EDX10" s="651"/>
      <c r="EDY10" s="651"/>
      <c r="EDZ10" s="651"/>
      <c r="EEA10" s="651"/>
      <c r="EEB10" s="651"/>
      <c r="EEC10" s="651"/>
      <c r="EED10" s="651"/>
      <c r="EEE10" s="651"/>
      <c r="EEF10" s="651"/>
      <c r="EEG10" s="651"/>
      <c r="EEH10" s="651"/>
      <c r="EEI10" s="651"/>
      <c r="EEJ10" s="651"/>
      <c r="EEK10" s="651"/>
      <c r="EEL10" s="651"/>
      <c r="EEM10" s="651"/>
      <c r="EEN10" s="651"/>
      <c r="EEO10" s="651"/>
      <c r="EEP10" s="651"/>
      <c r="EEQ10" s="651"/>
      <c r="EER10" s="651"/>
      <c r="EES10" s="651"/>
      <c r="EET10" s="651"/>
      <c r="EEU10" s="651"/>
      <c r="EEV10" s="651"/>
      <c r="EEW10" s="651"/>
      <c r="EEX10" s="651"/>
      <c r="EEY10" s="651"/>
      <c r="EEZ10" s="651"/>
      <c r="EFA10" s="651"/>
      <c r="EFB10" s="651"/>
      <c r="EFC10" s="651"/>
      <c r="EFD10" s="651"/>
      <c r="EFE10" s="651"/>
      <c r="EFF10" s="651"/>
      <c r="EFG10" s="651"/>
      <c r="EFH10" s="651"/>
      <c r="EFI10" s="651"/>
      <c r="EFJ10" s="651"/>
      <c r="EFK10" s="651"/>
      <c r="EFL10" s="651"/>
      <c r="EFM10" s="651"/>
      <c r="EFN10" s="651"/>
      <c r="EFO10" s="651"/>
      <c r="EFP10" s="651"/>
      <c r="EFQ10" s="651"/>
      <c r="EFR10" s="651"/>
      <c r="EFS10" s="651"/>
      <c r="EFT10" s="651"/>
      <c r="EFU10" s="651"/>
      <c r="EFV10" s="651"/>
      <c r="EFW10" s="651"/>
      <c r="EFX10" s="651"/>
      <c r="EFY10" s="651"/>
      <c r="EFZ10" s="651"/>
      <c r="EGA10" s="651"/>
      <c r="EGB10" s="651"/>
      <c r="EGC10" s="651"/>
      <c r="EGD10" s="651"/>
      <c r="EGE10" s="651"/>
      <c r="EGF10" s="651"/>
      <c r="EGG10" s="651"/>
      <c r="EGH10" s="651"/>
      <c r="EGI10" s="651"/>
      <c r="EGJ10" s="651"/>
      <c r="EGK10" s="651"/>
      <c r="EGL10" s="651"/>
      <c r="EGM10" s="651"/>
      <c r="EGN10" s="651"/>
      <c r="EGO10" s="651"/>
      <c r="EGP10" s="651"/>
      <c r="EGQ10" s="651"/>
      <c r="EGR10" s="651"/>
      <c r="EGS10" s="651"/>
      <c r="EGT10" s="651"/>
      <c r="EGU10" s="651"/>
      <c r="EGV10" s="651"/>
      <c r="EGW10" s="651"/>
      <c r="EGX10" s="651"/>
      <c r="EGY10" s="651"/>
      <c r="EGZ10" s="651"/>
      <c r="EHA10" s="651"/>
      <c r="EHB10" s="651"/>
      <c r="EHC10" s="651"/>
      <c r="EHD10" s="651"/>
      <c r="EHE10" s="651"/>
      <c r="EHF10" s="651"/>
      <c r="EHG10" s="651"/>
      <c r="EHH10" s="651"/>
      <c r="EHI10" s="651"/>
      <c r="EHJ10" s="651"/>
      <c r="EHK10" s="651"/>
      <c r="EHL10" s="651"/>
      <c r="EHM10" s="651"/>
      <c r="EHN10" s="651"/>
      <c r="EHO10" s="651"/>
      <c r="EHP10" s="651"/>
      <c r="EHQ10" s="651"/>
      <c r="EHR10" s="651"/>
      <c r="EHS10" s="651"/>
      <c r="EHT10" s="651"/>
      <c r="EHU10" s="651"/>
      <c r="EHV10" s="651"/>
      <c r="EHW10" s="651"/>
      <c r="EHX10" s="651"/>
      <c r="EHY10" s="651"/>
      <c r="EHZ10" s="651"/>
      <c r="EIA10" s="651"/>
      <c r="EIB10" s="651"/>
      <c r="EIC10" s="651"/>
      <c r="EID10" s="651"/>
      <c r="EIE10" s="651"/>
      <c r="EIF10" s="651"/>
      <c r="EIG10" s="651"/>
      <c r="EIH10" s="651"/>
      <c r="EII10" s="651"/>
      <c r="EIJ10" s="651"/>
      <c r="EIK10" s="651"/>
      <c r="EIL10" s="651"/>
      <c r="EIM10" s="651"/>
      <c r="EIN10" s="651"/>
      <c r="EIO10" s="651"/>
      <c r="EIP10" s="651"/>
      <c r="EIQ10" s="651"/>
      <c r="EIR10" s="651"/>
      <c r="EIS10" s="651"/>
      <c r="EIT10" s="651"/>
      <c r="EIU10" s="651"/>
      <c r="EIV10" s="651"/>
      <c r="EIW10" s="651"/>
      <c r="EIX10" s="651"/>
      <c r="EIY10" s="651"/>
      <c r="EIZ10" s="651"/>
      <c r="EJA10" s="651"/>
      <c r="EJB10" s="651"/>
      <c r="EJC10" s="651"/>
      <c r="EJD10" s="651"/>
      <c r="EJE10" s="651"/>
      <c r="EJF10" s="651"/>
      <c r="EJG10" s="651"/>
      <c r="EJH10" s="651"/>
      <c r="EJI10" s="651"/>
      <c r="EJJ10" s="651"/>
      <c r="EJK10" s="651"/>
      <c r="EJL10" s="651"/>
      <c r="EJM10" s="651"/>
      <c r="EJN10" s="651"/>
      <c r="EJO10" s="651"/>
      <c r="EJP10" s="651"/>
      <c r="EJQ10" s="651"/>
      <c r="EJR10" s="651"/>
      <c r="EJS10" s="651"/>
      <c r="EJT10" s="651"/>
      <c r="EJU10" s="651"/>
      <c r="EJV10" s="651"/>
      <c r="EJW10" s="651"/>
      <c r="EJX10" s="651"/>
      <c r="EJY10" s="651"/>
      <c r="EJZ10" s="651"/>
      <c r="EKA10" s="651"/>
      <c r="EKB10" s="651"/>
      <c r="EKC10" s="651"/>
      <c r="EKD10" s="651"/>
      <c r="EKE10" s="651"/>
      <c r="EKF10" s="651"/>
      <c r="EKG10" s="651"/>
      <c r="EKH10" s="651"/>
      <c r="EKI10" s="651"/>
      <c r="EKJ10" s="651"/>
      <c r="EKK10" s="651"/>
      <c r="EKL10" s="651"/>
      <c r="EKM10" s="651"/>
      <c r="EKN10" s="651"/>
      <c r="EKO10" s="651"/>
      <c r="EKP10" s="651"/>
      <c r="EKQ10" s="651"/>
      <c r="EKR10" s="651"/>
      <c r="EKS10" s="651"/>
      <c r="EKT10" s="651"/>
      <c r="EKU10" s="651"/>
      <c r="EKV10" s="651"/>
      <c r="EKW10" s="651"/>
      <c r="EKX10" s="651"/>
      <c r="EKY10" s="651"/>
      <c r="EKZ10" s="651"/>
      <c r="ELA10" s="651"/>
      <c r="ELB10" s="651"/>
      <c r="ELC10" s="651"/>
      <c r="ELD10" s="651"/>
      <c r="ELE10" s="651"/>
      <c r="ELF10" s="651"/>
      <c r="ELG10" s="651"/>
      <c r="ELH10" s="651"/>
      <c r="ELI10" s="651"/>
      <c r="ELJ10" s="651"/>
      <c r="ELK10" s="651"/>
      <c r="ELL10" s="651"/>
      <c r="ELM10" s="651"/>
      <c r="ELN10" s="651"/>
      <c r="ELO10" s="651"/>
      <c r="ELP10" s="651"/>
      <c r="ELQ10" s="651"/>
      <c r="ELR10" s="651"/>
      <c r="ELS10" s="651"/>
      <c r="ELT10" s="651"/>
      <c r="ELU10" s="651"/>
      <c r="ELV10" s="651"/>
      <c r="ELW10" s="651"/>
      <c r="ELX10" s="651"/>
      <c r="ELY10" s="651"/>
      <c r="ELZ10" s="651"/>
      <c r="EMA10" s="651"/>
      <c r="EMB10" s="651"/>
      <c r="EMC10" s="651"/>
      <c r="EMD10" s="651"/>
      <c r="EME10" s="651"/>
      <c r="EMF10" s="651"/>
      <c r="EMG10" s="651"/>
      <c r="EMH10" s="651"/>
      <c r="EMI10" s="651"/>
      <c r="EMJ10" s="651"/>
      <c r="EMK10" s="651"/>
      <c r="EML10" s="651"/>
      <c r="EMM10" s="651"/>
      <c r="EMN10" s="651"/>
      <c r="EMO10" s="651"/>
      <c r="EMP10" s="651"/>
      <c r="EMQ10" s="651"/>
      <c r="EMR10" s="651"/>
      <c r="EMS10" s="651"/>
      <c r="EMT10" s="651"/>
      <c r="EMU10" s="651"/>
      <c r="EMV10" s="651"/>
      <c r="EMW10" s="651"/>
      <c r="EMX10" s="651"/>
      <c r="EMY10" s="651"/>
      <c r="EMZ10" s="651"/>
      <c r="ENA10" s="651"/>
      <c r="ENB10" s="651"/>
      <c r="ENC10" s="651"/>
      <c r="END10" s="651"/>
      <c r="ENE10" s="651"/>
      <c r="ENF10" s="651"/>
      <c r="ENG10" s="651"/>
      <c r="ENH10" s="651"/>
      <c r="ENI10" s="651"/>
      <c r="ENJ10" s="651"/>
      <c r="ENK10" s="651"/>
      <c r="ENL10" s="651"/>
      <c r="ENM10" s="651"/>
      <c r="ENN10" s="651"/>
      <c r="ENO10" s="651"/>
      <c r="ENP10" s="651"/>
      <c r="ENQ10" s="651"/>
      <c r="ENR10" s="651"/>
      <c r="ENS10" s="651"/>
      <c r="ENT10" s="651"/>
      <c r="ENU10" s="651"/>
      <c r="ENV10" s="651"/>
      <c r="ENW10" s="651"/>
      <c r="ENX10" s="651"/>
      <c r="ENY10" s="651"/>
      <c r="ENZ10" s="651"/>
      <c r="EOA10" s="651"/>
      <c r="EOB10" s="651"/>
      <c r="EOC10" s="651"/>
      <c r="EOD10" s="651"/>
      <c r="EOE10" s="651"/>
      <c r="EOF10" s="651"/>
      <c r="EOG10" s="651"/>
      <c r="EOH10" s="651"/>
      <c r="EOI10" s="651"/>
      <c r="EOJ10" s="651"/>
      <c r="EOK10" s="651"/>
      <c r="EOL10" s="651"/>
      <c r="EOM10" s="651"/>
      <c r="EON10" s="651"/>
      <c r="EOO10" s="651"/>
      <c r="EOP10" s="651"/>
      <c r="EOQ10" s="651"/>
      <c r="EOR10" s="651"/>
      <c r="EOS10" s="651"/>
      <c r="EOT10" s="651"/>
      <c r="EOU10" s="651"/>
      <c r="EOV10" s="651"/>
      <c r="EOW10" s="651"/>
      <c r="EOX10" s="651"/>
      <c r="EOY10" s="651"/>
      <c r="EOZ10" s="651"/>
      <c r="EPA10" s="651"/>
      <c r="EPB10" s="651"/>
      <c r="EPC10" s="651"/>
      <c r="EPD10" s="651"/>
      <c r="EPE10" s="651"/>
      <c r="EPF10" s="651"/>
      <c r="EPG10" s="651"/>
      <c r="EPH10" s="651"/>
      <c r="EPI10" s="651"/>
      <c r="EPJ10" s="651"/>
      <c r="EPK10" s="651"/>
      <c r="EPL10" s="651"/>
      <c r="EPM10" s="651"/>
      <c r="EPN10" s="651"/>
      <c r="EPO10" s="651"/>
      <c r="EPP10" s="651"/>
      <c r="EPQ10" s="651"/>
      <c r="EPR10" s="651"/>
      <c r="EPS10" s="651"/>
      <c r="EPT10" s="651"/>
      <c r="EPU10" s="651"/>
      <c r="EPV10" s="651"/>
      <c r="EPW10" s="651"/>
      <c r="EPX10" s="651"/>
      <c r="EPY10" s="651"/>
      <c r="EPZ10" s="651"/>
      <c r="EQA10" s="651"/>
      <c r="EQB10" s="651"/>
      <c r="EQC10" s="651"/>
      <c r="EQD10" s="651"/>
      <c r="EQE10" s="651"/>
      <c r="EQF10" s="651"/>
      <c r="EQG10" s="651"/>
      <c r="EQH10" s="651"/>
      <c r="EQI10" s="651"/>
      <c r="EQJ10" s="651"/>
      <c r="EQK10" s="651"/>
      <c r="EQL10" s="651"/>
      <c r="EQM10" s="651"/>
      <c r="EQN10" s="651"/>
      <c r="EQO10" s="651"/>
      <c r="EQP10" s="651"/>
      <c r="EQQ10" s="651"/>
      <c r="EQR10" s="651"/>
      <c r="EQS10" s="651"/>
      <c r="EQT10" s="651"/>
      <c r="EQU10" s="651"/>
      <c r="EQV10" s="651"/>
      <c r="EQW10" s="651"/>
      <c r="EQX10" s="651"/>
      <c r="EQY10" s="651"/>
      <c r="EQZ10" s="651"/>
      <c r="ERA10" s="651"/>
      <c r="ERB10" s="651"/>
      <c r="ERC10" s="651"/>
      <c r="ERD10" s="651"/>
      <c r="ERE10" s="651"/>
      <c r="ERF10" s="651"/>
      <c r="ERG10" s="651"/>
      <c r="ERH10" s="651"/>
      <c r="ERI10" s="651"/>
      <c r="ERJ10" s="651"/>
      <c r="ERK10" s="651"/>
      <c r="ERL10" s="651"/>
      <c r="ERM10" s="651"/>
      <c r="ERN10" s="651"/>
      <c r="ERO10" s="651"/>
      <c r="ERP10" s="651"/>
      <c r="ERQ10" s="651"/>
      <c r="ERR10" s="651"/>
      <c r="ERS10" s="651"/>
      <c r="ERT10" s="651"/>
      <c r="ERU10" s="651"/>
      <c r="ERV10" s="651"/>
      <c r="ERW10" s="651"/>
      <c r="ERX10" s="651"/>
      <c r="ERY10" s="651"/>
      <c r="ERZ10" s="651"/>
      <c r="ESA10" s="651"/>
      <c r="ESB10" s="651"/>
      <c r="ESC10" s="651"/>
      <c r="ESD10" s="651"/>
      <c r="ESE10" s="651"/>
      <c r="ESF10" s="651"/>
      <c r="ESG10" s="651"/>
      <c r="ESH10" s="651"/>
      <c r="ESI10" s="651"/>
      <c r="ESJ10" s="651"/>
      <c r="ESK10" s="651"/>
      <c r="ESL10" s="651"/>
      <c r="ESM10" s="651"/>
      <c r="ESN10" s="651"/>
      <c r="ESO10" s="651"/>
      <c r="ESP10" s="651"/>
      <c r="ESQ10" s="651"/>
      <c r="ESR10" s="651"/>
      <c r="ESS10" s="651"/>
      <c r="EST10" s="651"/>
      <c r="ESU10" s="651"/>
      <c r="ESV10" s="651"/>
      <c r="ESW10" s="651"/>
      <c r="ESX10" s="651"/>
      <c r="ESY10" s="651"/>
      <c r="ESZ10" s="651"/>
      <c r="ETA10" s="651"/>
      <c r="ETB10" s="651"/>
      <c r="ETC10" s="651"/>
      <c r="ETD10" s="651"/>
      <c r="ETE10" s="651"/>
      <c r="ETF10" s="651"/>
      <c r="ETG10" s="651"/>
      <c r="ETH10" s="651"/>
      <c r="ETI10" s="651"/>
      <c r="ETJ10" s="651"/>
      <c r="ETK10" s="651"/>
      <c r="ETL10" s="651"/>
      <c r="ETM10" s="651"/>
      <c r="ETN10" s="651"/>
      <c r="ETO10" s="651"/>
      <c r="ETP10" s="651"/>
      <c r="ETQ10" s="651"/>
      <c r="ETR10" s="651"/>
      <c r="ETS10" s="651"/>
      <c r="ETT10" s="651"/>
      <c r="ETU10" s="651"/>
      <c r="ETV10" s="651"/>
      <c r="ETW10" s="651"/>
      <c r="ETX10" s="651"/>
      <c r="ETY10" s="651"/>
      <c r="ETZ10" s="651"/>
      <c r="EUA10" s="651"/>
      <c r="EUB10" s="651"/>
      <c r="EUC10" s="651"/>
      <c r="EUD10" s="651"/>
      <c r="EUE10" s="651"/>
      <c r="EUF10" s="651"/>
      <c r="EUG10" s="651"/>
      <c r="EUH10" s="651"/>
      <c r="EUI10" s="651"/>
      <c r="EUJ10" s="651"/>
      <c r="EUK10" s="651"/>
      <c r="EUL10" s="651"/>
      <c r="EUM10" s="651"/>
      <c r="EUN10" s="651"/>
      <c r="EUO10" s="651"/>
      <c r="EUP10" s="651"/>
      <c r="EUQ10" s="651"/>
      <c r="EUR10" s="651"/>
      <c r="EUS10" s="651"/>
      <c r="EUT10" s="651"/>
      <c r="EUU10" s="651"/>
      <c r="EUV10" s="651"/>
      <c r="EUW10" s="651"/>
      <c r="EUX10" s="651"/>
      <c r="EUY10" s="651"/>
      <c r="EUZ10" s="651"/>
      <c r="EVA10" s="651"/>
      <c r="EVB10" s="651"/>
      <c r="EVC10" s="651"/>
      <c r="EVD10" s="651"/>
      <c r="EVE10" s="651"/>
      <c r="EVF10" s="651"/>
      <c r="EVG10" s="651"/>
      <c r="EVH10" s="651"/>
      <c r="EVI10" s="651"/>
      <c r="EVJ10" s="651"/>
      <c r="EVK10" s="651"/>
      <c r="EVL10" s="651"/>
      <c r="EVM10" s="651"/>
      <c r="EVN10" s="651"/>
      <c r="EVO10" s="651"/>
      <c r="EVP10" s="651"/>
      <c r="EVQ10" s="651"/>
      <c r="EVR10" s="651"/>
      <c r="EVS10" s="651"/>
      <c r="EVT10" s="651"/>
      <c r="EVU10" s="651"/>
      <c r="EVV10" s="651"/>
      <c r="EVW10" s="651"/>
      <c r="EVX10" s="651"/>
      <c r="EVY10" s="651"/>
      <c r="EVZ10" s="651"/>
      <c r="EWA10" s="651"/>
      <c r="EWB10" s="651"/>
      <c r="EWC10" s="651"/>
      <c r="EWD10" s="651"/>
      <c r="EWE10" s="651"/>
      <c r="EWF10" s="651"/>
      <c r="EWG10" s="651"/>
      <c r="EWH10" s="651"/>
      <c r="EWI10" s="651"/>
      <c r="EWJ10" s="651"/>
      <c r="EWK10" s="651"/>
      <c r="EWL10" s="651"/>
      <c r="EWM10" s="651"/>
      <c r="EWN10" s="651"/>
      <c r="EWO10" s="651"/>
      <c r="EWP10" s="651"/>
      <c r="EWQ10" s="651"/>
      <c r="EWR10" s="651"/>
      <c r="EWS10" s="651"/>
      <c r="EWT10" s="651"/>
      <c r="EWU10" s="651"/>
      <c r="EWV10" s="651"/>
      <c r="EWW10" s="651"/>
      <c r="EWX10" s="651"/>
      <c r="EWY10" s="651"/>
      <c r="EWZ10" s="651"/>
      <c r="EXA10" s="651"/>
      <c r="EXB10" s="651"/>
      <c r="EXC10" s="651"/>
      <c r="EXD10" s="651"/>
      <c r="EXE10" s="651"/>
      <c r="EXF10" s="651"/>
      <c r="EXG10" s="651"/>
      <c r="EXH10" s="651"/>
      <c r="EXI10" s="651"/>
      <c r="EXJ10" s="651"/>
      <c r="EXK10" s="651"/>
      <c r="EXL10" s="651"/>
      <c r="EXM10" s="651"/>
      <c r="EXN10" s="651"/>
      <c r="EXO10" s="651"/>
      <c r="EXP10" s="651"/>
      <c r="EXQ10" s="651"/>
      <c r="EXR10" s="651"/>
      <c r="EXS10" s="651"/>
      <c r="EXT10" s="651"/>
      <c r="EXU10" s="651"/>
      <c r="EXV10" s="651"/>
      <c r="EXW10" s="651"/>
      <c r="EXX10" s="651"/>
      <c r="EXY10" s="651"/>
      <c r="EXZ10" s="651"/>
      <c r="EYA10" s="651"/>
      <c r="EYB10" s="651"/>
      <c r="EYC10" s="651"/>
      <c r="EYD10" s="651"/>
      <c r="EYE10" s="651"/>
      <c r="EYF10" s="651"/>
      <c r="EYG10" s="651"/>
      <c r="EYH10" s="651"/>
      <c r="EYI10" s="651"/>
      <c r="EYJ10" s="651"/>
      <c r="EYK10" s="651"/>
      <c r="EYL10" s="651"/>
      <c r="EYM10" s="651"/>
      <c r="EYN10" s="651"/>
      <c r="EYO10" s="651"/>
      <c r="EYP10" s="651"/>
      <c r="EYQ10" s="651"/>
      <c r="EYR10" s="651"/>
      <c r="EYS10" s="651"/>
      <c r="EYT10" s="651"/>
      <c r="EYU10" s="651"/>
      <c r="EYV10" s="651"/>
      <c r="EYW10" s="651"/>
      <c r="EYX10" s="651"/>
      <c r="EYY10" s="651"/>
      <c r="EYZ10" s="651"/>
      <c r="EZA10" s="651"/>
      <c r="EZB10" s="651"/>
      <c r="EZC10" s="651"/>
      <c r="EZD10" s="651"/>
      <c r="EZE10" s="651"/>
      <c r="EZF10" s="651"/>
      <c r="EZG10" s="651"/>
      <c r="EZH10" s="651"/>
      <c r="EZI10" s="651"/>
      <c r="EZJ10" s="651"/>
      <c r="EZK10" s="651"/>
      <c r="EZL10" s="651"/>
      <c r="EZM10" s="651"/>
      <c r="EZN10" s="651"/>
      <c r="EZO10" s="651"/>
      <c r="EZP10" s="651"/>
      <c r="EZQ10" s="651"/>
      <c r="EZR10" s="651"/>
      <c r="EZS10" s="651"/>
      <c r="EZT10" s="651"/>
      <c r="EZU10" s="651"/>
      <c r="EZV10" s="651"/>
      <c r="EZW10" s="651"/>
      <c r="EZX10" s="651"/>
      <c r="EZY10" s="651"/>
      <c r="EZZ10" s="651"/>
      <c r="FAA10" s="651"/>
      <c r="FAB10" s="651"/>
      <c r="FAC10" s="651"/>
      <c r="FAD10" s="651"/>
      <c r="FAE10" s="651"/>
      <c r="FAF10" s="651"/>
      <c r="FAG10" s="651"/>
      <c r="FAH10" s="651"/>
      <c r="FAI10" s="651"/>
      <c r="FAJ10" s="651"/>
      <c r="FAK10" s="651"/>
      <c r="FAL10" s="651"/>
      <c r="FAM10" s="651"/>
      <c r="FAN10" s="651"/>
      <c r="FAO10" s="651"/>
      <c r="FAP10" s="651"/>
      <c r="FAQ10" s="651"/>
      <c r="FAR10" s="651"/>
      <c r="FAS10" s="651"/>
      <c r="FAT10" s="651"/>
      <c r="FAU10" s="651"/>
      <c r="FAV10" s="651"/>
      <c r="FAW10" s="651"/>
      <c r="FAX10" s="651"/>
      <c r="FAY10" s="651"/>
      <c r="FAZ10" s="651"/>
      <c r="FBA10" s="651"/>
      <c r="FBB10" s="651"/>
      <c r="FBC10" s="651"/>
      <c r="FBD10" s="651"/>
      <c r="FBE10" s="651"/>
      <c r="FBF10" s="651"/>
      <c r="FBG10" s="651"/>
      <c r="FBH10" s="651"/>
      <c r="FBI10" s="651"/>
      <c r="FBJ10" s="651"/>
      <c r="FBK10" s="651"/>
      <c r="FBL10" s="651"/>
      <c r="FBM10" s="651"/>
      <c r="FBN10" s="651"/>
      <c r="FBO10" s="651"/>
      <c r="FBP10" s="651"/>
      <c r="FBQ10" s="651"/>
      <c r="FBR10" s="651"/>
      <c r="FBS10" s="651"/>
      <c r="FBT10" s="651"/>
      <c r="FBU10" s="651"/>
      <c r="FBV10" s="651"/>
      <c r="FBW10" s="651"/>
      <c r="FBX10" s="651"/>
      <c r="FBY10" s="651"/>
      <c r="FBZ10" s="651"/>
      <c r="FCA10" s="651"/>
      <c r="FCB10" s="651"/>
      <c r="FCC10" s="651"/>
      <c r="FCD10" s="651"/>
      <c r="FCE10" s="651"/>
      <c r="FCF10" s="651"/>
      <c r="FCG10" s="651"/>
      <c r="FCH10" s="651"/>
      <c r="FCI10" s="651"/>
      <c r="FCJ10" s="651"/>
      <c r="FCK10" s="651"/>
      <c r="FCL10" s="651"/>
      <c r="FCM10" s="651"/>
      <c r="FCN10" s="651"/>
      <c r="FCO10" s="651"/>
      <c r="FCP10" s="651"/>
      <c r="FCQ10" s="651"/>
      <c r="FCR10" s="651"/>
      <c r="FCS10" s="651"/>
      <c r="FCT10" s="651"/>
      <c r="FCU10" s="651"/>
      <c r="FCV10" s="651"/>
      <c r="FCW10" s="651"/>
      <c r="FCX10" s="651"/>
      <c r="FCY10" s="651"/>
      <c r="FCZ10" s="651"/>
      <c r="FDA10" s="651"/>
      <c r="FDB10" s="651"/>
      <c r="FDC10" s="651"/>
      <c r="FDD10" s="651"/>
      <c r="FDE10" s="651"/>
      <c r="FDF10" s="651"/>
      <c r="FDG10" s="651"/>
      <c r="FDH10" s="651"/>
      <c r="FDI10" s="651"/>
      <c r="FDJ10" s="651"/>
      <c r="FDK10" s="651"/>
      <c r="FDL10" s="651"/>
      <c r="FDM10" s="651"/>
      <c r="FDN10" s="651"/>
      <c r="FDO10" s="651"/>
      <c r="FDP10" s="651"/>
      <c r="FDQ10" s="651"/>
      <c r="FDR10" s="651"/>
      <c r="FDS10" s="651"/>
      <c r="FDT10" s="651"/>
      <c r="FDU10" s="651"/>
      <c r="FDV10" s="651"/>
      <c r="FDW10" s="651"/>
      <c r="FDX10" s="651"/>
      <c r="FDY10" s="651"/>
      <c r="FDZ10" s="651"/>
      <c r="FEA10" s="651"/>
      <c r="FEB10" s="651"/>
      <c r="FEC10" s="651"/>
      <c r="FED10" s="651"/>
      <c r="FEE10" s="651"/>
      <c r="FEF10" s="651"/>
      <c r="FEG10" s="651"/>
      <c r="FEH10" s="651"/>
      <c r="FEI10" s="651"/>
      <c r="FEJ10" s="651"/>
      <c r="FEK10" s="651"/>
      <c r="FEL10" s="651"/>
      <c r="FEM10" s="651"/>
      <c r="FEN10" s="651"/>
      <c r="FEO10" s="651"/>
      <c r="FEP10" s="651"/>
      <c r="FEQ10" s="651"/>
      <c r="FER10" s="651"/>
      <c r="FES10" s="651"/>
      <c r="FET10" s="651"/>
      <c r="FEU10" s="651"/>
      <c r="FEV10" s="651"/>
      <c r="FEW10" s="651"/>
      <c r="FEX10" s="651"/>
      <c r="FEY10" s="651"/>
      <c r="FEZ10" s="651"/>
      <c r="FFA10" s="651"/>
      <c r="FFB10" s="651"/>
      <c r="FFC10" s="651"/>
      <c r="FFD10" s="651"/>
      <c r="FFE10" s="651"/>
      <c r="FFF10" s="651"/>
      <c r="FFG10" s="651"/>
      <c r="FFH10" s="651"/>
      <c r="FFI10" s="651"/>
      <c r="FFJ10" s="651"/>
      <c r="FFK10" s="651"/>
      <c r="FFL10" s="651"/>
      <c r="FFM10" s="651"/>
      <c r="FFN10" s="651"/>
      <c r="FFO10" s="651"/>
      <c r="FFP10" s="651"/>
      <c r="FFQ10" s="651"/>
      <c r="FFR10" s="651"/>
      <c r="FFS10" s="651"/>
      <c r="FFT10" s="651"/>
      <c r="FFU10" s="651"/>
      <c r="FFV10" s="651"/>
      <c r="FFW10" s="651"/>
      <c r="FFX10" s="651"/>
      <c r="FFY10" s="651"/>
      <c r="FFZ10" s="651"/>
      <c r="FGA10" s="651"/>
      <c r="FGB10" s="651"/>
      <c r="FGC10" s="651"/>
      <c r="FGD10" s="651"/>
      <c r="FGE10" s="651"/>
      <c r="FGF10" s="651"/>
      <c r="FGG10" s="651"/>
      <c r="FGH10" s="651"/>
      <c r="FGI10" s="651"/>
      <c r="FGJ10" s="651"/>
      <c r="FGK10" s="651"/>
      <c r="FGL10" s="651"/>
      <c r="FGM10" s="651"/>
      <c r="FGN10" s="651"/>
      <c r="FGO10" s="651"/>
      <c r="FGP10" s="651"/>
      <c r="FGQ10" s="651"/>
      <c r="FGR10" s="651"/>
      <c r="FGS10" s="651"/>
      <c r="FGT10" s="651"/>
      <c r="FGU10" s="651"/>
      <c r="FGV10" s="651"/>
      <c r="FGW10" s="651"/>
      <c r="FGX10" s="651"/>
      <c r="FGY10" s="651"/>
      <c r="FGZ10" s="651"/>
      <c r="FHA10" s="651"/>
      <c r="FHB10" s="651"/>
      <c r="FHC10" s="651"/>
      <c r="FHD10" s="651"/>
      <c r="FHE10" s="651"/>
      <c r="FHF10" s="651"/>
      <c r="FHG10" s="651"/>
      <c r="FHH10" s="651"/>
      <c r="FHI10" s="651"/>
      <c r="FHJ10" s="651"/>
      <c r="FHK10" s="651"/>
      <c r="FHL10" s="651"/>
      <c r="FHM10" s="651"/>
      <c r="FHN10" s="651"/>
      <c r="FHO10" s="651"/>
      <c r="FHP10" s="651"/>
      <c r="FHQ10" s="651"/>
      <c r="FHR10" s="651"/>
      <c r="FHS10" s="651"/>
      <c r="FHT10" s="651"/>
      <c r="FHU10" s="651"/>
      <c r="FHV10" s="651"/>
      <c r="FHW10" s="651"/>
      <c r="FHX10" s="651"/>
      <c r="FHY10" s="651"/>
      <c r="FHZ10" s="651"/>
      <c r="FIA10" s="651"/>
      <c r="FIB10" s="651"/>
      <c r="FIC10" s="651"/>
      <c r="FID10" s="651"/>
      <c r="FIE10" s="651"/>
      <c r="FIF10" s="651"/>
      <c r="FIG10" s="651"/>
      <c r="FIH10" s="651"/>
      <c r="FII10" s="651"/>
      <c r="FIJ10" s="651"/>
      <c r="FIK10" s="651"/>
      <c r="FIL10" s="651"/>
      <c r="FIM10" s="651"/>
      <c r="FIN10" s="651"/>
      <c r="FIO10" s="651"/>
      <c r="FIP10" s="651"/>
      <c r="FIQ10" s="651"/>
      <c r="FIR10" s="651"/>
      <c r="FIS10" s="651"/>
      <c r="FIT10" s="651"/>
      <c r="FIU10" s="651"/>
      <c r="FIV10" s="651"/>
      <c r="FIW10" s="651"/>
      <c r="FIX10" s="651"/>
      <c r="FIY10" s="651"/>
      <c r="FIZ10" s="651"/>
      <c r="FJA10" s="651"/>
      <c r="FJB10" s="651"/>
      <c r="FJC10" s="651"/>
      <c r="FJD10" s="651"/>
      <c r="FJE10" s="651"/>
      <c r="FJF10" s="651"/>
      <c r="FJG10" s="651"/>
      <c r="FJH10" s="651"/>
      <c r="FJI10" s="651"/>
      <c r="FJJ10" s="651"/>
      <c r="FJK10" s="651"/>
      <c r="FJL10" s="651"/>
      <c r="FJM10" s="651"/>
      <c r="FJN10" s="651"/>
      <c r="FJO10" s="651"/>
      <c r="FJP10" s="651"/>
      <c r="FJQ10" s="651"/>
      <c r="FJR10" s="651"/>
      <c r="FJS10" s="651"/>
      <c r="FJT10" s="651"/>
      <c r="FJU10" s="651"/>
      <c r="FJV10" s="651"/>
      <c r="FJW10" s="651"/>
      <c r="FJX10" s="651"/>
      <c r="FJY10" s="651"/>
      <c r="FJZ10" s="651"/>
      <c r="FKA10" s="651"/>
      <c r="FKB10" s="651"/>
      <c r="FKC10" s="651"/>
      <c r="FKD10" s="651"/>
      <c r="FKE10" s="651"/>
      <c r="FKF10" s="651"/>
      <c r="FKG10" s="651"/>
      <c r="FKH10" s="651"/>
      <c r="FKI10" s="651"/>
      <c r="FKJ10" s="651"/>
      <c r="FKK10" s="651"/>
      <c r="FKL10" s="651"/>
      <c r="FKM10" s="651"/>
      <c r="FKN10" s="651"/>
      <c r="FKO10" s="651"/>
      <c r="FKP10" s="651"/>
      <c r="FKQ10" s="651"/>
      <c r="FKR10" s="651"/>
      <c r="FKS10" s="651"/>
      <c r="FKT10" s="651"/>
      <c r="FKU10" s="651"/>
      <c r="FKV10" s="651"/>
      <c r="FKW10" s="651"/>
      <c r="FKX10" s="651"/>
      <c r="FKY10" s="651"/>
      <c r="FKZ10" s="651"/>
      <c r="FLA10" s="651"/>
      <c r="FLB10" s="651"/>
      <c r="FLC10" s="651"/>
      <c r="FLD10" s="651"/>
      <c r="FLE10" s="651"/>
      <c r="FLF10" s="651"/>
      <c r="FLG10" s="651"/>
      <c r="FLH10" s="651"/>
      <c r="FLI10" s="651"/>
      <c r="FLJ10" s="651"/>
      <c r="FLK10" s="651"/>
      <c r="FLL10" s="651"/>
      <c r="FLM10" s="651"/>
      <c r="FLN10" s="651"/>
      <c r="FLO10" s="651"/>
      <c r="FLP10" s="651"/>
      <c r="FLQ10" s="651"/>
      <c r="FLR10" s="651"/>
      <c r="FLS10" s="651"/>
      <c r="FLT10" s="651"/>
      <c r="FLU10" s="651"/>
      <c r="FLV10" s="651"/>
      <c r="FLW10" s="651"/>
      <c r="FLX10" s="651"/>
      <c r="FLY10" s="651"/>
      <c r="FLZ10" s="651"/>
      <c r="FMA10" s="651"/>
      <c r="FMB10" s="651"/>
      <c r="FMC10" s="651"/>
      <c r="FMD10" s="651"/>
      <c r="FME10" s="651"/>
      <c r="FMF10" s="651"/>
      <c r="FMG10" s="651"/>
      <c r="FMH10" s="651"/>
      <c r="FMI10" s="651"/>
      <c r="FMJ10" s="651"/>
      <c r="FMK10" s="651"/>
      <c r="FML10" s="651"/>
      <c r="FMM10" s="651"/>
      <c r="FMN10" s="651"/>
      <c r="FMO10" s="651"/>
      <c r="FMP10" s="651"/>
      <c r="FMQ10" s="651"/>
      <c r="FMR10" s="651"/>
      <c r="FMS10" s="651"/>
      <c r="FMT10" s="651"/>
      <c r="FMU10" s="651"/>
      <c r="FMV10" s="651"/>
      <c r="FMW10" s="651"/>
      <c r="FMX10" s="651"/>
      <c r="FMY10" s="651"/>
      <c r="FMZ10" s="651"/>
      <c r="FNA10" s="651"/>
      <c r="FNB10" s="651"/>
      <c r="FNC10" s="651"/>
      <c r="FND10" s="651"/>
      <c r="FNE10" s="651"/>
      <c r="FNF10" s="651"/>
      <c r="FNG10" s="651"/>
      <c r="FNH10" s="651"/>
      <c r="FNI10" s="651"/>
      <c r="FNJ10" s="651"/>
      <c r="FNK10" s="651"/>
      <c r="FNL10" s="651"/>
      <c r="FNM10" s="651"/>
      <c r="FNN10" s="651"/>
      <c r="FNO10" s="651"/>
      <c r="FNP10" s="651"/>
      <c r="FNQ10" s="651"/>
      <c r="FNR10" s="651"/>
      <c r="FNS10" s="651"/>
      <c r="FNT10" s="651"/>
      <c r="FNU10" s="651"/>
      <c r="FNV10" s="651"/>
      <c r="FNW10" s="651"/>
      <c r="FNX10" s="651"/>
      <c r="FNY10" s="651"/>
      <c r="FNZ10" s="651"/>
      <c r="FOA10" s="651"/>
      <c r="FOB10" s="651"/>
      <c r="FOC10" s="651"/>
      <c r="FOD10" s="651"/>
      <c r="FOE10" s="651"/>
      <c r="FOF10" s="651"/>
      <c r="FOG10" s="651"/>
      <c r="FOH10" s="651"/>
      <c r="FOI10" s="651"/>
      <c r="FOJ10" s="651"/>
      <c r="FOK10" s="651"/>
      <c r="FOL10" s="651"/>
      <c r="FOM10" s="651"/>
      <c r="FON10" s="651"/>
      <c r="FOO10" s="651"/>
      <c r="FOP10" s="651"/>
      <c r="FOQ10" s="651"/>
      <c r="FOR10" s="651"/>
      <c r="FOS10" s="651"/>
      <c r="FOT10" s="651"/>
      <c r="FOU10" s="651"/>
      <c r="FOV10" s="651"/>
      <c r="FOW10" s="651"/>
      <c r="FOX10" s="651"/>
      <c r="FOY10" s="651"/>
      <c r="FOZ10" s="651"/>
      <c r="FPA10" s="651"/>
      <c r="FPB10" s="651"/>
      <c r="FPC10" s="651"/>
      <c r="FPD10" s="651"/>
      <c r="FPE10" s="651"/>
      <c r="FPF10" s="651"/>
      <c r="FPG10" s="651"/>
      <c r="FPH10" s="651"/>
      <c r="FPI10" s="651"/>
      <c r="FPJ10" s="651"/>
      <c r="FPK10" s="651"/>
      <c r="FPL10" s="651"/>
      <c r="FPM10" s="651"/>
      <c r="FPN10" s="651"/>
      <c r="FPO10" s="651"/>
      <c r="FPP10" s="651"/>
      <c r="FPQ10" s="651"/>
      <c r="FPR10" s="651"/>
      <c r="FPS10" s="651"/>
      <c r="FPT10" s="651"/>
      <c r="FPU10" s="651"/>
      <c r="FPV10" s="651"/>
      <c r="FPW10" s="651"/>
      <c r="FPX10" s="651"/>
      <c r="FPY10" s="651"/>
      <c r="FPZ10" s="651"/>
      <c r="FQA10" s="651"/>
      <c r="FQB10" s="651"/>
      <c r="FQC10" s="651"/>
      <c r="FQD10" s="651"/>
      <c r="FQE10" s="651"/>
      <c r="FQF10" s="651"/>
      <c r="FQG10" s="651"/>
      <c r="FQH10" s="651"/>
      <c r="FQI10" s="651"/>
      <c r="FQJ10" s="651"/>
      <c r="FQK10" s="651"/>
      <c r="FQL10" s="651"/>
      <c r="FQM10" s="651"/>
      <c r="FQN10" s="651"/>
      <c r="FQO10" s="651"/>
      <c r="FQP10" s="651"/>
      <c r="FQQ10" s="651"/>
      <c r="FQR10" s="651"/>
      <c r="FQS10" s="651"/>
      <c r="FQT10" s="651"/>
      <c r="FQU10" s="651"/>
      <c r="FQV10" s="651"/>
      <c r="FQW10" s="651"/>
      <c r="FQX10" s="651"/>
      <c r="FQY10" s="651"/>
      <c r="FQZ10" s="651"/>
      <c r="FRA10" s="651"/>
      <c r="FRB10" s="651"/>
      <c r="FRC10" s="651"/>
      <c r="FRD10" s="651"/>
      <c r="FRE10" s="651"/>
      <c r="FRF10" s="651"/>
      <c r="FRG10" s="651"/>
      <c r="FRH10" s="651"/>
      <c r="FRI10" s="651"/>
      <c r="FRJ10" s="651"/>
      <c r="FRK10" s="651"/>
      <c r="FRL10" s="651"/>
      <c r="FRM10" s="651"/>
      <c r="FRN10" s="651"/>
      <c r="FRO10" s="651"/>
      <c r="FRP10" s="651"/>
      <c r="FRQ10" s="651"/>
      <c r="FRR10" s="651"/>
      <c r="FRS10" s="651"/>
      <c r="FRT10" s="651"/>
      <c r="FRU10" s="651"/>
      <c r="FRV10" s="651"/>
      <c r="FRW10" s="651"/>
      <c r="FRX10" s="651"/>
      <c r="FRY10" s="651"/>
      <c r="FRZ10" s="651"/>
      <c r="FSA10" s="651"/>
      <c r="FSB10" s="651"/>
      <c r="FSC10" s="651"/>
      <c r="FSD10" s="651"/>
      <c r="FSE10" s="651"/>
      <c r="FSF10" s="651"/>
      <c r="FSG10" s="651"/>
      <c r="FSH10" s="651"/>
      <c r="FSI10" s="651"/>
      <c r="FSJ10" s="651"/>
      <c r="FSK10" s="651"/>
      <c r="FSL10" s="651"/>
      <c r="FSM10" s="651"/>
      <c r="FSN10" s="651"/>
      <c r="FSO10" s="651"/>
      <c r="FSP10" s="651"/>
      <c r="FSQ10" s="651"/>
      <c r="FSR10" s="651"/>
      <c r="FSS10" s="651"/>
      <c r="FST10" s="651"/>
      <c r="FSU10" s="651"/>
      <c r="FSV10" s="651"/>
      <c r="FSW10" s="651"/>
      <c r="FSX10" s="651"/>
      <c r="FSY10" s="651"/>
      <c r="FSZ10" s="651"/>
      <c r="FTA10" s="651"/>
      <c r="FTB10" s="651"/>
      <c r="FTC10" s="651"/>
      <c r="FTD10" s="651"/>
      <c r="FTE10" s="651"/>
      <c r="FTF10" s="651"/>
      <c r="FTG10" s="651"/>
      <c r="FTH10" s="651"/>
      <c r="FTI10" s="651"/>
      <c r="FTJ10" s="651"/>
      <c r="FTK10" s="651"/>
      <c r="FTL10" s="651"/>
      <c r="FTM10" s="651"/>
      <c r="FTN10" s="651"/>
      <c r="FTO10" s="651"/>
      <c r="FTP10" s="651"/>
      <c r="FTQ10" s="651"/>
      <c r="FTR10" s="651"/>
      <c r="FTS10" s="651"/>
      <c r="FTT10" s="651"/>
      <c r="FTU10" s="651"/>
      <c r="FTV10" s="651"/>
      <c r="FTW10" s="651"/>
      <c r="FTX10" s="651"/>
      <c r="FTY10" s="651"/>
      <c r="FTZ10" s="651"/>
      <c r="FUA10" s="651"/>
      <c r="FUB10" s="651"/>
      <c r="FUC10" s="651"/>
      <c r="FUD10" s="651"/>
      <c r="FUE10" s="651"/>
      <c r="FUF10" s="651"/>
      <c r="FUG10" s="651"/>
      <c r="FUH10" s="651"/>
      <c r="FUI10" s="651"/>
      <c r="FUJ10" s="651"/>
      <c r="FUK10" s="651"/>
      <c r="FUL10" s="651"/>
      <c r="FUM10" s="651"/>
      <c r="FUN10" s="651"/>
      <c r="FUO10" s="651"/>
      <c r="FUP10" s="651"/>
      <c r="FUQ10" s="651"/>
      <c r="FUR10" s="651"/>
      <c r="FUS10" s="651"/>
      <c r="FUT10" s="651"/>
      <c r="FUU10" s="651"/>
      <c r="FUV10" s="651"/>
      <c r="FUW10" s="651"/>
      <c r="FUX10" s="651"/>
      <c r="FUY10" s="651"/>
      <c r="FUZ10" s="651"/>
      <c r="FVA10" s="651"/>
      <c r="FVB10" s="651"/>
      <c r="FVC10" s="651"/>
      <c r="FVD10" s="651"/>
      <c r="FVE10" s="651"/>
      <c r="FVF10" s="651"/>
      <c r="FVG10" s="651"/>
      <c r="FVH10" s="651"/>
      <c r="FVI10" s="651"/>
      <c r="FVJ10" s="651"/>
      <c r="FVK10" s="651"/>
      <c r="FVL10" s="651"/>
      <c r="FVM10" s="651"/>
      <c r="FVN10" s="651"/>
      <c r="FVO10" s="651"/>
      <c r="FVP10" s="651"/>
      <c r="FVQ10" s="651"/>
      <c r="FVR10" s="651"/>
      <c r="FVS10" s="651"/>
      <c r="FVT10" s="651"/>
      <c r="FVU10" s="651"/>
      <c r="FVV10" s="651"/>
      <c r="FVW10" s="651"/>
      <c r="FVX10" s="651"/>
      <c r="FVY10" s="651"/>
      <c r="FVZ10" s="651"/>
      <c r="FWA10" s="651"/>
      <c r="FWB10" s="651"/>
      <c r="FWC10" s="651"/>
      <c r="FWD10" s="651"/>
      <c r="FWE10" s="651"/>
      <c r="FWF10" s="651"/>
      <c r="FWG10" s="651"/>
      <c r="FWH10" s="651"/>
      <c r="FWI10" s="651"/>
      <c r="FWJ10" s="651"/>
      <c r="FWK10" s="651"/>
      <c r="FWL10" s="651"/>
      <c r="FWM10" s="651"/>
      <c r="FWN10" s="651"/>
      <c r="FWO10" s="651"/>
      <c r="FWP10" s="651"/>
      <c r="FWQ10" s="651"/>
      <c r="FWR10" s="651"/>
      <c r="FWS10" s="651"/>
      <c r="FWT10" s="651"/>
      <c r="FWU10" s="651"/>
      <c r="FWV10" s="651"/>
      <c r="FWW10" s="651"/>
      <c r="FWX10" s="651"/>
      <c r="FWY10" s="651"/>
      <c r="FWZ10" s="651"/>
      <c r="FXA10" s="651"/>
      <c r="FXB10" s="651"/>
      <c r="FXC10" s="651"/>
      <c r="FXD10" s="651"/>
      <c r="FXE10" s="651"/>
      <c r="FXF10" s="651"/>
      <c r="FXG10" s="651"/>
      <c r="FXH10" s="651"/>
      <c r="FXI10" s="651"/>
      <c r="FXJ10" s="651"/>
      <c r="FXK10" s="651"/>
      <c r="FXL10" s="651"/>
      <c r="FXM10" s="651"/>
      <c r="FXN10" s="651"/>
      <c r="FXO10" s="651"/>
      <c r="FXP10" s="651"/>
      <c r="FXQ10" s="651"/>
      <c r="FXR10" s="651"/>
      <c r="FXS10" s="651"/>
      <c r="FXT10" s="651"/>
      <c r="FXU10" s="651"/>
      <c r="FXV10" s="651"/>
      <c r="FXW10" s="651"/>
      <c r="FXX10" s="651"/>
      <c r="FXY10" s="651"/>
      <c r="FXZ10" s="651"/>
      <c r="FYA10" s="651"/>
      <c r="FYB10" s="651"/>
      <c r="FYC10" s="651"/>
      <c r="FYD10" s="651"/>
      <c r="FYE10" s="651"/>
      <c r="FYF10" s="651"/>
      <c r="FYG10" s="651"/>
      <c r="FYH10" s="651"/>
      <c r="FYI10" s="651"/>
      <c r="FYJ10" s="651"/>
      <c r="FYK10" s="651"/>
      <c r="FYL10" s="651"/>
      <c r="FYM10" s="651"/>
      <c r="FYN10" s="651"/>
      <c r="FYO10" s="651"/>
      <c r="FYP10" s="651"/>
      <c r="FYQ10" s="651"/>
      <c r="FYR10" s="651"/>
      <c r="FYS10" s="651"/>
      <c r="FYT10" s="651"/>
      <c r="FYU10" s="651"/>
      <c r="FYV10" s="651"/>
      <c r="FYW10" s="651"/>
      <c r="FYX10" s="651"/>
      <c r="FYY10" s="651"/>
      <c r="FYZ10" s="651"/>
      <c r="FZA10" s="651"/>
      <c r="FZB10" s="651"/>
      <c r="FZC10" s="651"/>
      <c r="FZD10" s="651"/>
      <c r="FZE10" s="651"/>
      <c r="FZF10" s="651"/>
      <c r="FZG10" s="651"/>
      <c r="FZH10" s="651"/>
      <c r="FZI10" s="651"/>
      <c r="FZJ10" s="651"/>
      <c r="FZK10" s="651"/>
      <c r="FZL10" s="651"/>
      <c r="FZM10" s="651"/>
      <c r="FZN10" s="651"/>
      <c r="FZO10" s="651"/>
      <c r="FZP10" s="651"/>
      <c r="FZQ10" s="651"/>
      <c r="FZR10" s="651"/>
      <c r="FZS10" s="651"/>
      <c r="FZT10" s="651"/>
      <c r="FZU10" s="651"/>
      <c r="FZV10" s="651"/>
      <c r="FZW10" s="651"/>
      <c r="FZX10" s="651"/>
      <c r="FZY10" s="651"/>
      <c r="FZZ10" s="651"/>
      <c r="GAA10" s="651"/>
      <c r="GAB10" s="651"/>
      <c r="GAC10" s="651"/>
      <c r="GAD10" s="651"/>
      <c r="GAE10" s="651"/>
      <c r="GAF10" s="651"/>
      <c r="GAG10" s="651"/>
      <c r="GAH10" s="651"/>
      <c r="GAI10" s="651"/>
      <c r="GAJ10" s="651"/>
      <c r="GAK10" s="651"/>
      <c r="GAL10" s="651"/>
      <c r="GAM10" s="651"/>
      <c r="GAN10" s="651"/>
      <c r="GAO10" s="651"/>
      <c r="GAP10" s="651"/>
      <c r="GAQ10" s="651"/>
      <c r="GAR10" s="651"/>
      <c r="GAS10" s="651"/>
      <c r="GAT10" s="651"/>
      <c r="GAU10" s="651"/>
      <c r="GAV10" s="651"/>
      <c r="GAW10" s="651"/>
      <c r="GAX10" s="651"/>
      <c r="GAY10" s="651"/>
      <c r="GAZ10" s="651"/>
      <c r="GBA10" s="651"/>
      <c r="GBB10" s="651"/>
      <c r="GBC10" s="651"/>
      <c r="GBD10" s="651"/>
      <c r="GBE10" s="651"/>
      <c r="GBF10" s="651"/>
      <c r="GBG10" s="651"/>
      <c r="GBH10" s="651"/>
      <c r="GBI10" s="651"/>
      <c r="GBJ10" s="651"/>
      <c r="GBK10" s="651"/>
      <c r="GBL10" s="651"/>
      <c r="GBM10" s="651"/>
      <c r="GBN10" s="651"/>
      <c r="GBO10" s="651"/>
      <c r="GBP10" s="651"/>
      <c r="GBQ10" s="651"/>
      <c r="GBR10" s="651"/>
      <c r="GBS10" s="651"/>
      <c r="GBT10" s="651"/>
      <c r="GBU10" s="651"/>
      <c r="GBV10" s="651"/>
      <c r="GBW10" s="651"/>
      <c r="GBX10" s="651"/>
      <c r="GBY10" s="651"/>
      <c r="GBZ10" s="651"/>
      <c r="GCA10" s="651"/>
      <c r="GCB10" s="651"/>
      <c r="GCC10" s="651"/>
      <c r="GCD10" s="651"/>
      <c r="GCE10" s="651"/>
      <c r="GCF10" s="651"/>
      <c r="GCG10" s="651"/>
      <c r="GCH10" s="651"/>
      <c r="GCI10" s="651"/>
      <c r="GCJ10" s="651"/>
      <c r="GCK10" s="651"/>
      <c r="GCL10" s="651"/>
      <c r="GCM10" s="651"/>
      <c r="GCN10" s="651"/>
      <c r="GCO10" s="651"/>
      <c r="GCP10" s="651"/>
      <c r="GCQ10" s="651"/>
      <c r="GCR10" s="651"/>
      <c r="GCS10" s="651"/>
      <c r="GCT10" s="651"/>
      <c r="GCU10" s="651"/>
      <c r="GCV10" s="651"/>
      <c r="GCW10" s="651"/>
      <c r="GCX10" s="651"/>
      <c r="GCY10" s="651"/>
      <c r="GCZ10" s="651"/>
      <c r="GDA10" s="651"/>
      <c r="GDB10" s="651"/>
      <c r="GDC10" s="651"/>
      <c r="GDD10" s="651"/>
      <c r="GDE10" s="651"/>
      <c r="GDF10" s="651"/>
      <c r="GDG10" s="651"/>
      <c r="GDH10" s="651"/>
      <c r="GDI10" s="651"/>
      <c r="GDJ10" s="651"/>
      <c r="GDK10" s="651"/>
      <c r="GDL10" s="651"/>
      <c r="GDM10" s="651"/>
      <c r="GDN10" s="651"/>
      <c r="GDO10" s="651"/>
      <c r="GDP10" s="651"/>
      <c r="GDQ10" s="651"/>
      <c r="GDR10" s="651"/>
      <c r="GDS10" s="651"/>
      <c r="GDT10" s="651"/>
      <c r="GDU10" s="651"/>
      <c r="GDV10" s="651"/>
      <c r="GDW10" s="651"/>
      <c r="GDX10" s="651"/>
      <c r="GDY10" s="651"/>
      <c r="GDZ10" s="651"/>
      <c r="GEA10" s="651"/>
      <c r="GEB10" s="651"/>
      <c r="GEC10" s="651"/>
      <c r="GED10" s="651"/>
      <c r="GEE10" s="651"/>
      <c r="GEF10" s="651"/>
      <c r="GEG10" s="651"/>
      <c r="GEH10" s="651"/>
      <c r="GEI10" s="651"/>
      <c r="GEJ10" s="651"/>
      <c r="GEK10" s="651"/>
      <c r="GEL10" s="651"/>
      <c r="GEM10" s="651"/>
      <c r="GEN10" s="651"/>
      <c r="GEO10" s="651"/>
      <c r="GEP10" s="651"/>
      <c r="GEQ10" s="651"/>
      <c r="GER10" s="651"/>
      <c r="GES10" s="651"/>
      <c r="GET10" s="651"/>
      <c r="GEU10" s="651"/>
      <c r="GEV10" s="651"/>
      <c r="GEW10" s="651"/>
      <c r="GEX10" s="651"/>
      <c r="GEY10" s="651"/>
      <c r="GEZ10" s="651"/>
      <c r="GFA10" s="651"/>
      <c r="GFB10" s="651"/>
      <c r="GFC10" s="651"/>
      <c r="GFD10" s="651"/>
      <c r="GFE10" s="651"/>
      <c r="GFF10" s="651"/>
      <c r="GFG10" s="651"/>
      <c r="GFH10" s="651"/>
      <c r="GFI10" s="651"/>
      <c r="GFJ10" s="651"/>
      <c r="GFK10" s="651"/>
      <c r="GFL10" s="651"/>
      <c r="GFM10" s="651"/>
      <c r="GFN10" s="651"/>
      <c r="GFO10" s="651"/>
      <c r="GFP10" s="651"/>
      <c r="GFQ10" s="651"/>
      <c r="GFR10" s="651"/>
      <c r="GFS10" s="651"/>
      <c r="GFT10" s="651"/>
      <c r="GFU10" s="651"/>
      <c r="GFV10" s="651"/>
      <c r="GFW10" s="651"/>
      <c r="GFX10" s="651"/>
      <c r="GFY10" s="651"/>
      <c r="GFZ10" s="651"/>
      <c r="GGA10" s="651"/>
      <c r="GGB10" s="651"/>
      <c r="GGC10" s="651"/>
      <c r="GGD10" s="651"/>
      <c r="GGE10" s="651"/>
      <c r="GGF10" s="651"/>
      <c r="GGG10" s="651"/>
      <c r="GGH10" s="651"/>
      <c r="GGI10" s="651"/>
      <c r="GGJ10" s="651"/>
      <c r="GGK10" s="651"/>
      <c r="GGL10" s="651"/>
      <c r="GGM10" s="651"/>
      <c r="GGN10" s="651"/>
      <c r="GGO10" s="651"/>
      <c r="GGP10" s="651"/>
      <c r="GGQ10" s="651"/>
      <c r="GGR10" s="651"/>
      <c r="GGS10" s="651"/>
      <c r="GGT10" s="651"/>
      <c r="GGU10" s="651"/>
      <c r="GGV10" s="651"/>
      <c r="GGW10" s="651"/>
      <c r="GGX10" s="651"/>
      <c r="GGY10" s="651"/>
      <c r="GGZ10" s="651"/>
      <c r="GHA10" s="651"/>
      <c r="GHB10" s="651"/>
      <c r="GHC10" s="651"/>
      <c r="GHD10" s="651"/>
      <c r="GHE10" s="651"/>
      <c r="GHF10" s="651"/>
      <c r="GHG10" s="651"/>
      <c r="GHH10" s="651"/>
      <c r="GHI10" s="651"/>
      <c r="GHJ10" s="651"/>
      <c r="GHK10" s="651"/>
      <c r="GHL10" s="651"/>
      <c r="GHM10" s="651"/>
      <c r="GHN10" s="651"/>
      <c r="GHO10" s="651"/>
      <c r="GHP10" s="651"/>
      <c r="GHQ10" s="651"/>
      <c r="GHR10" s="651"/>
      <c r="GHS10" s="651"/>
      <c r="GHT10" s="651"/>
      <c r="GHU10" s="651"/>
      <c r="GHV10" s="651"/>
      <c r="GHW10" s="651"/>
      <c r="GHX10" s="651"/>
      <c r="GHY10" s="651"/>
      <c r="GHZ10" s="651"/>
      <c r="GIA10" s="651"/>
      <c r="GIB10" s="651"/>
      <c r="GIC10" s="651"/>
      <c r="GID10" s="651"/>
      <c r="GIE10" s="651"/>
      <c r="GIF10" s="651"/>
      <c r="GIG10" s="651"/>
      <c r="GIH10" s="651"/>
      <c r="GII10" s="651"/>
      <c r="GIJ10" s="651"/>
      <c r="GIK10" s="651"/>
      <c r="GIL10" s="651"/>
      <c r="GIM10" s="651"/>
      <c r="GIN10" s="651"/>
      <c r="GIO10" s="651"/>
      <c r="GIP10" s="651"/>
      <c r="GIQ10" s="651"/>
      <c r="GIR10" s="651"/>
      <c r="GIS10" s="651"/>
      <c r="GIT10" s="651"/>
      <c r="GIU10" s="651"/>
      <c r="GIV10" s="651"/>
      <c r="GIW10" s="651"/>
      <c r="GIX10" s="651"/>
      <c r="GIY10" s="651"/>
      <c r="GIZ10" s="651"/>
      <c r="GJA10" s="651"/>
      <c r="GJB10" s="651"/>
      <c r="GJC10" s="651"/>
      <c r="GJD10" s="651"/>
      <c r="GJE10" s="651"/>
      <c r="GJF10" s="651"/>
      <c r="GJG10" s="651"/>
      <c r="GJH10" s="651"/>
      <c r="GJI10" s="651"/>
      <c r="GJJ10" s="651"/>
      <c r="GJK10" s="651"/>
      <c r="GJL10" s="651"/>
      <c r="GJM10" s="651"/>
      <c r="GJN10" s="651"/>
      <c r="GJO10" s="651"/>
      <c r="GJP10" s="651"/>
      <c r="GJQ10" s="651"/>
      <c r="GJR10" s="651"/>
      <c r="GJS10" s="651"/>
      <c r="GJT10" s="651"/>
      <c r="GJU10" s="651"/>
      <c r="GJV10" s="651"/>
      <c r="GJW10" s="651"/>
      <c r="GJX10" s="651"/>
      <c r="GJY10" s="651"/>
      <c r="GJZ10" s="651"/>
      <c r="GKA10" s="651"/>
      <c r="GKB10" s="651"/>
      <c r="GKC10" s="651"/>
      <c r="GKD10" s="651"/>
      <c r="GKE10" s="651"/>
      <c r="GKF10" s="651"/>
      <c r="GKG10" s="651"/>
      <c r="GKH10" s="651"/>
      <c r="GKI10" s="651"/>
      <c r="GKJ10" s="651"/>
      <c r="GKK10" s="651"/>
      <c r="GKL10" s="651"/>
      <c r="GKM10" s="651"/>
      <c r="GKN10" s="651"/>
      <c r="GKO10" s="651"/>
      <c r="GKP10" s="651"/>
      <c r="GKQ10" s="651"/>
      <c r="GKR10" s="651"/>
      <c r="GKS10" s="651"/>
      <c r="GKT10" s="651"/>
      <c r="GKU10" s="651"/>
      <c r="GKV10" s="651"/>
      <c r="GKW10" s="651"/>
      <c r="GKX10" s="651"/>
      <c r="GKY10" s="651"/>
      <c r="GKZ10" s="651"/>
      <c r="GLA10" s="651"/>
      <c r="GLB10" s="651"/>
      <c r="GLC10" s="651"/>
      <c r="GLD10" s="651"/>
      <c r="GLE10" s="651"/>
      <c r="GLF10" s="651"/>
      <c r="GLG10" s="651"/>
      <c r="GLH10" s="651"/>
      <c r="GLI10" s="651"/>
      <c r="GLJ10" s="651"/>
      <c r="GLK10" s="651"/>
      <c r="GLL10" s="651"/>
      <c r="GLM10" s="651"/>
      <c r="GLN10" s="651"/>
      <c r="GLO10" s="651"/>
      <c r="GLP10" s="651"/>
      <c r="GLQ10" s="651"/>
      <c r="GLR10" s="651"/>
      <c r="GLS10" s="651"/>
      <c r="GLT10" s="651"/>
      <c r="GLU10" s="651"/>
      <c r="GLV10" s="651"/>
      <c r="GLW10" s="651"/>
      <c r="GLX10" s="651"/>
      <c r="GLY10" s="651"/>
      <c r="GLZ10" s="651"/>
      <c r="GMA10" s="651"/>
      <c r="GMB10" s="651"/>
      <c r="GMC10" s="651"/>
      <c r="GMD10" s="651"/>
      <c r="GME10" s="651"/>
      <c r="GMF10" s="651"/>
      <c r="GMG10" s="651"/>
      <c r="GMH10" s="651"/>
      <c r="GMI10" s="651"/>
      <c r="GMJ10" s="651"/>
      <c r="GMK10" s="651"/>
      <c r="GML10" s="651"/>
      <c r="GMM10" s="651"/>
      <c r="GMN10" s="651"/>
      <c r="GMO10" s="651"/>
      <c r="GMP10" s="651"/>
      <c r="GMQ10" s="651"/>
      <c r="GMR10" s="651"/>
      <c r="GMS10" s="651"/>
      <c r="GMT10" s="651"/>
      <c r="GMU10" s="651"/>
      <c r="GMV10" s="651"/>
      <c r="GMW10" s="651"/>
      <c r="GMX10" s="651"/>
      <c r="GMY10" s="651"/>
      <c r="GMZ10" s="651"/>
      <c r="GNA10" s="651"/>
      <c r="GNB10" s="651"/>
      <c r="GNC10" s="651"/>
      <c r="GND10" s="651"/>
      <c r="GNE10" s="651"/>
      <c r="GNF10" s="651"/>
      <c r="GNG10" s="651"/>
      <c r="GNH10" s="651"/>
      <c r="GNI10" s="651"/>
      <c r="GNJ10" s="651"/>
      <c r="GNK10" s="651"/>
      <c r="GNL10" s="651"/>
      <c r="GNM10" s="651"/>
      <c r="GNN10" s="651"/>
      <c r="GNO10" s="651"/>
      <c r="GNP10" s="651"/>
      <c r="GNQ10" s="651"/>
      <c r="GNR10" s="651"/>
      <c r="GNS10" s="651"/>
      <c r="GNT10" s="651"/>
      <c r="GNU10" s="651"/>
      <c r="GNV10" s="651"/>
      <c r="GNW10" s="651"/>
      <c r="GNX10" s="651"/>
      <c r="GNY10" s="651"/>
      <c r="GNZ10" s="651"/>
      <c r="GOA10" s="651"/>
      <c r="GOB10" s="651"/>
      <c r="GOC10" s="651"/>
      <c r="GOD10" s="651"/>
      <c r="GOE10" s="651"/>
      <c r="GOF10" s="651"/>
      <c r="GOG10" s="651"/>
      <c r="GOH10" s="651"/>
      <c r="GOI10" s="651"/>
      <c r="GOJ10" s="651"/>
      <c r="GOK10" s="651"/>
      <c r="GOL10" s="651"/>
      <c r="GOM10" s="651"/>
      <c r="GON10" s="651"/>
      <c r="GOO10" s="651"/>
      <c r="GOP10" s="651"/>
      <c r="GOQ10" s="651"/>
      <c r="GOR10" s="651"/>
      <c r="GOS10" s="651"/>
      <c r="GOT10" s="651"/>
      <c r="GOU10" s="651"/>
      <c r="GOV10" s="651"/>
      <c r="GOW10" s="651"/>
      <c r="GOX10" s="651"/>
      <c r="GOY10" s="651"/>
      <c r="GOZ10" s="651"/>
      <c r="GPA10" s="651"/>
      <c r="GPB10" s="651"/>
      <c r="GPC10" s="651"/>
      <c r="GPD10" s="651"/>
      <c r="GPE10" s="651"/>
      <c r="GPF10" s="651"/>
      <c r="GPG10" s="651"/>
      <c r="GPH10" s="651"/>
      <c r="GPI10" s="651"/>
      <c r="GPJ10" s="651"/>
      <c r="GPK10" s="651"/>
      <c r="GPL10" s="651"/>
      <c r="GPM10" s="651"/>
      <c r="GPN10" s="651"/>
      <c r="GPO10" s="651"/>
      <c r="GPP10" s="651"/>
      <c r="GPQ10" s="651"/>
      <c r="GPR10" s="651"/>
      <c r="GPS10" s="651"/>
      <c r="GPT10" s="651"/>
      <c r="GPU10" s="651"/>
      <c r="GPV10" s="651"/>
      <c r="GPW10" s="651"/>
      <c r="GPX10" s="651"/>
      <c r="GPY10" s="651"/>
      <c r="GPZ10" s="651"/>
      <c r="GQA10" s="651"/>
      <c r="GQB10" s="651"/>
      <c r="GQC10" s="651"/>
      <c r="GQD10" s="651"/>
      <c r="GQE10" s="651"/>
      <c r="GQF10" s="651"/>
      <c r="GQG10" s="651"/>
      <c r="GQH10" s="651"/>
      <c r="GQI10" s="651"/>
      <c r="GQJ10" s="651"/>
      <c r="GQK10" s="651"/>
      <c r="GQL10" s="651"/>
      <c r="GQM10" s="651"/>
      <c r="GQN10" s="651"/>
      <c r="GQO10" s="651"/>
      <c r="GQP10" s="651"/>
      <c r="GQQ10" s="651"/>
      <c r="GQR10" s="651"/>
      <c r="GQS10" s="651"/>
      <c r="GQT10" s="651"/>
      <c r="GQU10" s="651"/>
      <c r="GQV10" s="651"/>
      <c r="GQW10" s="651"/>
      <c r="GQX10" s="651"/>
      <c r="GQY10" s="651"/>
      <c r="GQZ10" s="651"/>
      <c r="GRA10" s="651"/>
      <c r="GRB10" s="651"/>
      <c r="GRC10" s="651"/>
      <c r="GRD10" s="651"/>
      <c r="GRE10" s="651"/>
      <c r="GRF10" s="651"/>
      <c r="GRG10" s="651"/>
      <c r="GRH10" s="651"/>
      <c r="GRI10" s="651"/>
      <c r="GRJ10" s="651"/>
      <c r="GRK10" s="651"/>
      <c r="GRL10" s="651"/>
      <c r="GRM10" s="651"/>
      <c r="GRN10" s="651"/>
      <c r="GRO10" s="651"/>
      <c r="GRP10" s="651"/>
      <c r="GRQ10" s="651"/>
      <c r="GRR10" s="651"/>
      <c r="GRS10" s="651"/>
      <c r="GRT10" s="651"/>
      <c r="GRU10" s="651"/>
      <c r="GRV10" s="651"/>
      <c r="GRW10" s="651"/>
      <c r="GRX10" s="651"/>
      <c r="GRY10" s="651"/>
      <c r="GRZ10" s="651"/>
      <c r="GSA10" s="651"/>
      <c r="GSB10" s="651"/>
      <c r="GSC10" s="651"/>
      <c r="GSD10" s="651"/>
      <c r="GSE10" s="651"/>
      <c r="GSF10" s="651"/>
      <c r="GSG10" s="651"/>
      <c r="GSH10" s="651"/>
      <c r="GSI10" s="651"/>
      <c r="GSJ10" s="651"/>
      <c r="GSK10" s="651"/>
      <c r="GSL10" s="651"/>
      <c r="GSM10" s="651"/>
      <c r="GSN10" s="651"/>
      <c r="GSO10" s="651"/>
      <c r="GSP10" s="651"/>
      <c r="GSQ10" s="651"/>
      <c r="GSR10" s="651"/>
      <c r="GSS10" s="651"/>
      <c r="GST10" s="651"/>
      <c r="GSU10" s="651"/>
      <c r="GSV10" s="651"/>
      <c r="GSW10" s="651"/>
      <c r="GSX10" s="651"/>
      <c r="GSY10" s="651"/>
      <c r="GSZ10" s="651"/>
      <c r="GTA10" s="651"/>
      <c r="GTB10" s="651"/>
      <c r="GTC10" s="651"/>
      <c r="GTD10" s="651"/>
      <c r="GTE10" s="651"/>
      <c r="GTF10" s="651"/>
      <c r="GTG10" s="651"/>
      <c r="GTH10" s="651"/>
      <c r="GTI10" s="651"/>
      <c r="GTJ10" s="651"/>
      <c r="GTK10" s="651"/>
      <c r="GTL10" s="651"/>
      <c r="GTM10" s="651"/>
      <c r="GTN10" s="651"/>
      <c r="GTO10" s="651"/>
      <c r="GTP10" s="651"/>
      <c r="GTQ10" s="651"/>
      <c r="GTR10" s="651"/>
      <c r="GTS10" s="651"/>
      <c r="GTT10" s="651"/>
      <c r="GTU10" s="651"/>
      <c r="GTV10" s="651"/>
      <c r="GTW10" s="651"/>
      <c r="GTX10" s="651"/>
      <c r="GTY10" s="651"/>
      <c r="GTZ10" s="651"/>
      <c r="GUA10" s="651"/>
      <c r="GUB10" s="651"/>
      <c r="GUC10" s="651"/>
      <c r="GUD10" s="651"/>
      <c r="GUE10" s="651"/>
      <c r="GUF10" s="651"/>
      <c r="GUG10" s="651"/>
      <c r="GUH10" s="651"/>
      <c r="GUI10" s="651"/>
      <c r="GUJ10" s="651"/>
      <c r="GUK10" s="651"/>
      <c r="GUL10" s="651"/>
      <c r="GUM10" s="651"/>
      <c r="GUN10" s="651"/>
      <c r="GUO10" s="651"/>
      <c r="GUP10" s="651"/>
      <c r="GUQ10" s="651"/>
      <c r="GUR10" s="651"/>
      <c r="GUS10" s="651"/>
      <c r="GUT10" s="651"/>
      <c r="GUU10" s="651"/>
      <c r="GUV10" s="651"/>
      <c r="GUW10" s="651"/>
      <c r="GUX10" s="651"/>
      <c r="GUY10" s="651"/>
      <c r="GUZ10" s="651"/>
      <c r="GVA10" s="651"/>
      <c r="GVB10" s="651"/>
      <c r="GVC10" s="651"/>
      <c r="GVD10" s="651"/>
      <c r="GVE10" s="651"/>
      <c r="GVF10" s="651"/>
      <c r="GVG10" s="651"/>
      <c r="GVH10" s="651"/>
      <c r="GVI10" s="651"/>
      <c r="GVJ10" s="651"/>
      <c r="GVK10" s="651"/>
      <c r="GVL10" s="651"/>
      <c r="GVM10" s="651"/>
      <c r="GVN10" s="651"/>
      <c r="GVO10" s="651"/>
      <c r="GVP10" s="651"/>
      <c r="GVQ10" s="651"/>
      <c r="GVR10" s="651"/>
      <c r="GVS10" s="651"/>
      <c r="GVT10" s="651"/>
      <c r="GVU10" s="651"/>
      <c r="GVV10" s="651"/>
      <c r="GVW10" s="651"/>
      <c r="GVX10" s="651"/>
      <c r="GVY10" s="651"/>
      <c r="GVZ10" s="651"/>
      <c r="GWA10" s="651"/>
      <c r="GWB10" s="651"/>
      <c r="GWC10" s="651"/>
      <c r="GWD10" s="651"/>
      <c r="GWE10" s="651"/>
      <c r="GWF10" s="651"/>
      <c r="GWG10" s="651"/>
      <c r="GWH10" s="651"/>
      <c r="GWI10" s="651"/>
      <c r="GWJ10" s="651"/>
      <c r="GWK10" s="651"/>
      <c r="GWL10" s="651"/>
      <c r="GWM10" s="651"/>
      <c r="GWN10" s="651"/>
      <c r="GWO10" s="651"/>
      <c r="GWP10" s="651"/>
      <c r="GWQ10" s="651"/>
      <c r="GWR10" s="651"/>
      <c r="GWS10" s="651"/>
      <c r="GWT10" s="651"/>
      <c r="GWU10" s="651"/>
      <c r="GWV10" s="651"/>
      <c r="GWW10" s="651"/>
      <c r="GWX10" s="651"/>
      <c r="GWY10" s="651"/>
      <c r="GWZ10" s="651"/>
      <c r="GXA10" s="651"/>
      <c r="GXB10" s="651"/>
      <c r="GXC10" s="651"/>
      <c r="GXD10" s="651"/>
      <c r="GXE10" s="651"/>
      <c r="GXF10" s="651"/>
      <c r="GXG10" s="651"/>
      <c r="GXH10" s="651"/>
      <c r="GXI10" s="651"/>
      <c r="GXJ10" s="651"/>
      <c r="GXK10" s="651"/>
      <c r="GXL10" s="651"/>
      <c r="GXM10" s="651"/>
      <c r="GXN10" s="651"/>
      <c r="GXO10" s="651"/>
      <c r="GXP10" s="651"/>
      <c r="GXQ10" s="651"/>
      <c r="GXR10" s="651"/>
      <c r="GXS10" s="651"/>
      <c r="GXT10" s="651"/>
      <c r="GXU10" s="651"/>
      <c r="GXV10" s="651"/>
      <c r="GXW10" s="651"/>
      <c r="GXX10" s="651"/>
      <c r="GXY10" s="651"/>
      <c r="GXZ10" s="651"/>
      <c r="GYA10" s="651"/>
      <c r="GYB10" s="651"/>
      <c r="GYC10" s="651"/>
      <c r="GYD10" s="651"/>
      <c r="GYE10" s="651"/>
      <c r="GYF10" s="651"/>
      <c r="GYG10" s="651"/>
      <c r="GYH10" s="651"/>
      <c r="GYI10" s="651"/>
      <c r="GYJ10" s="651"/>
      <c r="GYK10" s="651"/>
      <c r="GYL10" s="651"/>
      <c r="GYM10" s="651"/>
      <c r="GYN10" s="651"/>
      <c r="GYO10" s="651"/>
      <c r="GYP10" s="651"/>
      <c r="GYQ10" s="651"/>
      <c r="GYR10" s="651"/>
      <c r="GYS10" s="651"/>
      <c r="GYT10" s="651"/>
      <c r="GYU10" s="651"/>
      <c r="GYV10" s="651"/>
      <c r="GYW10" s="651"/>
      <c r="GYX10" s="651"/>
      <c r="GYY10" s="651"/>
      <c r="GYZ10" s="651"/>
      <c r="GZA10" s="651"/>
      <c r="GZB10" s="651"/>
      <c r="GZC10" s="651"/>
      <c r="GZD10" s="651"/>
      <c r="GZE10" s="651"/>
      <c r="GZF10" s="651"/>
      <c r="GZG10" s="651"/>
      <c r="GZH10" s="651"/>
      <c r="GZI10" s="651"/>
      <c r="GZJ10" s="651"/>
      <c r="GZK10" s="651"/>
      <c r="GZL10" s="651"/>
      <c r="GZM10" s="651"/>
      <c r="GZN10" s="651"/>
      <c r="GZO10" s="651"/>
      <c r="GZP10" s="651"/>
      <c r="GZQ10" s="651"/>
      <c r="GZR10" s="651"/>
      <c r="GZS10" s="651"/>
      <c r="GZT10" s="651"/>
      <c r="GZU10" s="651"/>
      <c r="GZV10" s="651"/>
      <c r="GZW10" s="651"/>
      <c r="GZX10" s="651"/>
      <c r="GZY10" s="651"/>
      <c r="GZZ10" s="651"/>
      <c r="HAA10" s="651"/>
      <c r="HAB10" s="651"/>
      <c r="HAC10" s="651"/>
      <c r="HAD10" s="651"/>
      <c r="HAE10" s="651"/>
      <c r="HAF10" s="651"/>
      <c r="HAG10" s="651"/>
      <c r="HAH10" s="651"/>
      <c r="HAI10" s="651"/>
      <c r="HAJ10" s="651"/>
      <c r="HAK10" s="651"/>
      <c r="HAL10" s="651"/>
      <c r="HAM10" s="651"/>
      <c r="HAN10" s="651"/>
      <c r="HAO10" s="651"/>
      <c r="HAP10" s="651"/>
      <c r="HAQ10" s="651"/>
      <c r="HAR10" s="651"/>
      <c r="HAS10" s="651"/>
      <c r="HAT10" s="651"/>
      <c r="HAU10" s="651"/>
      <c r="HAV10" s="651"/>
      <c r="HAW10" s="651"/>
      <c r="HAX10" s="651"/>
      <c r="HAY10" s="651"/>
      <c r="HAZ10" s="651"/>
      <c r="HBA10" s="651"/>
      <c r="HBB10" s="651"/>
      <c r="HBC10" s="651"/>
      <c r="HBD10" s="651"/>
      <c r="HBE10" s="651"/>
      <c r="HBF10" s="651"/>
      <c r="HBG10" s="651"/>
      <c r="HBH10" s="651"/>
      <c r="HBI10" s="651"/>
      <c r="HBJ10" s="651"/>
      <c r="HBK10" s="651"/>
      <c r="HBL10" s="651"/>
      <c r="HBM10" s="651"/>
      <c r="HBN10" s="651"/>
      <c r="HBO10" s="651"/>
      <c r="HBP10" s="651"/>
      <c r="HBQ10" s="651"/>
      <c r="HBR10" s="651"/>
      <c r="HBS10" s="651"/>
      <c r="HBT10" s="651"/>
      <c r="HBU10" s="651"/>
      <c r="HBV10" s="651"/>
      <c r="HBW10" s="651"/>
      <c r="HBX10" s="651"/>
      <c r="HBY10" s="651"/>
      <c r="HBZ10" s="651"/>
      <c r="HCA10" s="651"/>
      <c r="HCB10" s="651"/>
      <c r="HCC10" s="651"/>
      <c r="HCD10" s="651"/>
      <c r="HCE10" s="651"/>
      <c r="HCF10" s="651"/>
      <c r="HCG10" s="651"/>
      <c r="HCH10" s="651"/>
      <c r="HCI10" s="651"/>
      <c r="HCJ10" s="651"/>
      <c r="HCK10" s="651"/>
      <c r="HCL10" s="651"/>
      <c r="HCM10" s="651"/>
      <c r="HCN10" s="651"/>
      <c r="HCO10" s="651"/>
      <c r="HCP10" s="651"/>
      <c r="HCQ10" s="651"/>
      <c r="HCR10" s="651"/>
      <c r="HCS10" s="651"/>
      <c r="HCT10" s="651"/>
      <c r="HCU10" s="651"/>
      <c r="HCV10" s="651"/>
      <c r="HCW10" s="651"/>
      <c r="HCX10" s="651"/>
      <c r="HCY10" s="651"/>
      <c r="HCZ10" s="651"/>
      <c r="HDA10" s="651"/>
      <c r="HDB10" s="651"/>
      <c r="HDC10" s="651"/>
      <c r="HDD10" s="651"/>
      <c r="HDE10" s="651"/>
      <c r="HDF10" s="651"/>
      <c r="HDG10" s="651"/>
      <c r="HDH10" s="651"/>
      <c r="HDI10" s="651"/>
      <c r="HDJ10" s="651"/>
      <c r="HDK10" s="651"/>
      <c r="HDL10" s="651"/>
      <c r="HDM10" s="651"/>
      <c r="HDN10" s="651"/>
      <c r="HDO10" s="651"/>
      <c r="HDP10" s="651"/>
      <c r="HDQ10" s="651"/>
      <c r="HDR10" s="651"/>
      <c r="HDS10" s="651"/>
      <c r="HDT10" s="651"/>
      <c r="HDU10" s="651"/>
      <c r="HDV10" s="651"/>
      <c r="HDW10" s="651"/>
      <c r="HDX10" s="651"/>
      <c r="HDY10" s="651"/>
      <c r="HDZ10" s="651"/>
      <c r="HEA10" s="651"/>
      <c r="HEB10" s="651"/>
      <c r="HEC10" s="651"/>
      <c r="HED10" s="651"/>
      <c r="HEE10" s="651"/>
      <c r="HEF10" s="651"/>
      <c r="HEG10" s="651"/>
      <c r="HEH10" s="651"/>
      <c r="HEI10" s="651"/>
      <c r="HEJ10" s="651"/>
      <c r="HEK10" s="651"/>
      <c r="HEL10" s="651"/>
      <c r="HEM10" s="651"/>
      <c r="HEN10" s="651"/>
      <c r="HEO10" s="651"/>
      <c r="HEP10" s="651"/>
      <c r="HEQ10" s="651"/>
      <c r="HER10" s="651"/>
      <c r="HES10" s="651"/>
      <c r="HET10" s="651"/>
      <c r="HEU10" s="651"/>
      <c r="HEV10" s="651"/>
      <c r="HEW10" s="651"/>
      <c r="HEX10" s="651"/>
      <c r="HEY10" s="651"/>
      <c r="HEZ10" s="651"/>
      <c r="HFA10" s="651"/>
      <c r="HFB10" s="651"/>
      <c r="HFC10" s="651"/>
      <c r="HFD10" s="651"/>
      <c r="HFE10" s="651"/>
      <c r="HFF10" s="651"/>
      <c r="HFG10" s="651"/>
      <c r="HFH10" s="651"/>
      <c r="HFI10" s="651"/>
      <c r="HFJ10" s="651"/>
      <c r="HFK10" s="651"/>
      <c r="HFL10" s="651"/>
      <c r="HFM10" s="651"/>
      <c r="HFN10" s="651"/>
      <c r="HFO10" s="651"/>
      <c r="HFP10" s="651"/>
      <c r="HFQ10" s="651"/>
      <c r="HFR10" s="651"/>
      <c r="HFS10" s="651"/>
      <c r="HFT10" s="651"/>
      <c r="HFU10" s="651"/>
      <c r="HFV10" s="651"/>
      <c r="HFW10" s="651"/>
      <c r="HFX10" s="651"/>
      <c r="HFY10" s="651"/>
      <c r="HFZ10" s="651"/>
      <c r="HGA10" s="651"/>
      <c r="HGB10" s="651"/>
      <c r="HGC10" s="651"/>
      <c r="HGD10" s="651"/>
      <c r="HGE10" s="651"/>
      <c r="HGF10" s="651"/>
      <c r="HGG10" s="651"/>
      <c r="HGH10" s="651"/>
      <c r="HGI10" s="651"/>
      <c r="HGJ10" s="651"/>
      <c r="HGK10" s="651"/>
      <c r="HGL10" s="651"/>
      <c r="HGM10" s="651"/>
      <c r="HGN10" s="651"/>
      <c r="HGO10" s="651"/>
      <c r="HGP10" s="651"/>
      <c r="HGQ10" s="651"/>
      <c r="HGR10" s="651"/>
      <c r="HGS10" s="651"/>
      <c r="HGT10" s="651"/>
      <c r="HGU10" s="651"/>
      <c r="HGV10" s="651"/>
      <c r="HGW10" s="651"/>
      <c r="HGX10" s="651"/>
      <c r="HGY10" s="651"/>
      <c r="HGZ10" s="651"/>
      <c r="HHA10" s="651"/>
      <c r="HHB10" s="651"/>
      <c r="HHC10" s="651"/>
      <c r="HHD10" s="651"/>
      <c r="HHE10" s="651"/>
      <c r="HHF10" s="651"/>
      <c r="HHG10" s="651"/>
      <c r="HHH10" s="651"/>
      <c r="HHI10" s="651"/>
      <c r="HHJ10" s="651"/>
      <c r="HHK10" s="651"/>
      <c r="HHL10" s="651"/>
      <c r="HHM10" s="651"/>
      <c r="HHN10" s="651"/>
      <c r="HHO10" s="651"/>
      <c r="HHP10" s="651"/>
      <c r="HHQ10" s="651"/>
      <c r="HHR10" s="651"/>
      <c r="HHS10" s="651"/>
      <c r="HHT10" s="651"/>
      <c r="HHU10" s="651"/>
      <c r="HHV10" s="651"/>
      <c r="HHW10" s="651"/>
      <c r="HHX10" s="651"/>
      <c r="HHY10" s="651"/>
      <c r="HHZ10" s="651"/>
      <c r="HIA10" s="651"/>
      <c r="HIB10" s="651"/>
      <c r="HIC10" s="651"/>
      <c r="HID10" s="651"/>
      <c r="HIE10" s="651"/>
      <c r="HIF10" s="651"/>
      <c r="HIG10" s="651"/>
      <c r="HIH10" s="651"/>
      <c r="HII10" s="651"/>
      <c r="HIJ10" s="651"/>
      <c r="HIK10" s="651"/>
      <c r="HIL10" s="651"/>
      <c r="HIM10" s="651"/>
      <c r="HIN10" s="651"/>
      <c r="HIO10" s="651"/>
      <c r="HIP10" s="651"/>
      <c r="HIQ10" s="651"/>
      <c r="HIR10" s="651"/>
      <c r="HIS10" s="651"/>
      <c r="HIT10" s="651"/>
      <c r="HIU10" s="651"/>
      <c r="HIV10" s="651"/>
      <c r="HIW10" s="651"/>
      <c r="HIX10" s="651"/>
      <c r="HIY10" s="651"/>
      <c r="HIZ10" s="651"/>
      <c r="HJA10" s="651"/>
      <c r="HJB10" s="651"/>
      <c r="HJC10" s="651"/>
      <c r="HJD10" s="651"/>
      <c r="HJE10" s="651"/>
      <c r="HJF10" s="651"/>
      <c r="HJG10" s="651"/>
      <c r="HJH10" s="651"/>
      <c r="HJI10" s="651"/>
      <c r="HJJ10" s="651"/>
      <c r="HJK10" s="651"/>
      <c r="HJL10" s="651"/>
      <c r="HJM10" s="651"/>
      <c r="HJN10" s="651"/>
      <c r="HJO10" s="651"/>
      <c r="HJP10" s="651"/>
      <c r="HJQ10" s="651"/>
      <c r="HJR10" s="651"/>
      <c r="HJS10" s="651"/>
      <c r="HJT10" s="651"/>
      <c r="HJU10" s="651"/>
      <c r="HJV10" s="651"/>
      <c r="HJW10" s="651"/>
      <c r="HJX10" s="651"/>
      <c r="HJY10" s="651"/>
      <c r="HJZ10" s="651"/>
      <c r="HKA10" s="651"/>
      <c r="HKB10" s="651"/>
      <c r="HKC10" s="651"/>
      <c r="HKD10" s="651"/>
      <c r="HKE10" s="651"/>
      <c r="HKF10" s="651"/>
      <c r="HKG10" s="651"/>
      <c r="HKH10" s="651"/>
      <c r="HKI10" s="651"/>
      <c r="HKJ10" s="651"/>
      <c r="HKK10" s="651"/>
      <c r="HKL10" s="651"/>
      <c r="HKM10" s="651"/>
      <c r="HKN10" s="651"/>
      <c r="HKO10" s="651"/>
      <c r="HKP10" s="651"/>
      <c r="HKQ10" s="651"/>
      <c r="HKR10" s="651"/>
      <c r="HKS10" s="651"/>
      <c r="HKT10" s="651"/>
      <c r="HKU10" s="651"/>
      <c r="HKV10" s="651"/>
      <c r="HKW10" s="651"/>
      <c r="HKX10" s="651"/>
      <c r="HKY10" s="651"/>
      <c r="HKZ10" s="651"/>
      <c r="HLA10" s="651"/>
      <c r="HLB10" s="651"/>
      <c r="HLC10" s="651"/>
      <c r="HLD10" s="651"/>
      <c r="HLE10" s="651"/>
      <c r="HLF10" s="651"/>
      <c r="HLG10" s="651"/>
      <c r="HLH10" s="651"/>
      <c r="HLI10" s="651"/>
      <c r="HLJ10" s="651"/>
      <c r="HLK10" s="651"/>
      <c r="HLL10" s="651"/>
      <c r="HLM10" s="651"/>
      <c r="HLN10" s="651"/>
      <c r="HLO10" s="651"/>
      <c r="HLP10" s="651"/>
      <c r="HLQ10" s="651"/>
      <c r="HLR10" s="651"/>
      <c r="HLS10" s="651"/>
      <c r="HLT10" s="651"/>
      <c r="HLU10" s="651"/>
      <c r="HLV10" s="651"/>
      <c r="HLW10" s="651"/>
      <c r="HLX10" s="651"/>
      <c r="HLY10" s="651"/>
      <c r="HLZ10" s="651"/>
      <c r="HMA10" s="651"/>
      <c r="HMB10" s="651"/>
      <c r="HMC10" s="651"/>
      <c r="HMD10" s="651"/>
      <c r="HME10" s="651"/>
      <c r="HMF10" s="651"/>
      <c r="HMG10" s="651"/>
      <c r="HMH10" s="651"/>
      <c r="HMI10" s="651"/>
      <c r="HMJ10" s="651"/>
      <c r="HMK10" s="651"/>
      <c r="HML10" s="651"/>
      <c r="HMM10" s="651"/>
      <c r="HMN10" s="651"/>
      <c r="HMO10" s="651"/>
      <c r="HMP10" s="651"/>
      <c r="HMQ10" s="651"/>
      <c r="HMR10" s="651"/>
      <c r="HMS10" s="651"/>
      <c r="HMT10" s="651"/>
      <c r="HMU10" s="651"/>
      <c r="HMV10" s="651"/>
      <c r="HMW10" s="651"/>
      <c r="HMX10" s="651"/>
      <c r="HMY10" s="651"/>
      <c r="HMZ10" s="651"/>
      <c r="HNA10" s="651"/>
      <c r="HNB10" s="651"/>
      <c r="HNC10" s="651"/>
      <c r="HND10" s="651"/>
      <c r="HNE10" s="651"/>
      <c r="HNF10" s="651"/>
      <c r="HNG10" s="651"/>
      <c r="HNH10" s="651"/>
      <c r="HNI10" s="651"/>
      <c r="HNJ10" s="651"/>
      <c r="HNK10" s="651"/>
      <c r="HNL10" s="651"/>
      <c r="HNM10" s="651"/>
      <c r="HNN10" s="651"/>
      <c r="HNO10" s="651"/>
      <c r="HNP10" s="651"/>
      <c r="HNQ10" s="651"/>
      <c r="HNR10" s="651"/>
      <c r="HNS10" s="651"/>
      <c r="HNT10" s="651"/>
      <c r="HNU10" s="651"/>
      <c r="HNV10" s="651"/>
      <c r="HNW10" s="651"/>
      <c r="HNX10" s="651"/>
      <c r="HNY10" s="651"/>
      <c r="HNZ10" s="651"/>
      <c r="HOA10" s="651"/>
      <c r="HOB10" s="651"/>
      <c r="HOC10" s="651"/>
      <c r="HOD10" s="651"/>
      <c r="HOE10" s="651"/>
      <c r="HOF10" s="651"/>
      <c r="HOG10" s="651"/>
      <c r="HOH10" s="651"/>
      <c r="HOI10" s="651"/>
      <c r="HOJ10" s="651"/>
      <c r="HOK10" s="651"/>
      <c r="HOL10" s="651"/>
      <c r="HOM10" s="651"/>
      <c r="HON10" s="651"/>
      <c r="HOO10" s="651"/>
      <c r="HOP10" s="651"/>
      <c r="HOQ10" s="651"/>
      <c r="HOR10" s="651"/>
      <c r="HOS10" s="651"/>
      <c r="HOT10" s="651"/>
      <c r="HOU10" s="651"/>
      <c r="HOV10" s="651"/>
      <c r="HOW10" s="651"/>
      <c r="HOX10" s="651"/>
      <c r="HOY10" s="651"/>
      <c r="HOZ10" s="651"/>
      <c r="HPA10" s="651"/>
      <c r="HPB10" s="651"/>
      <c r="HPC10" s="651"/>
      <c r="HPD10" s="651"/>
      <c r="HPE10" s="651"/>
      <c r="HPF10" s="651"/>
      <c r="HPG10" s="651"/>
      <c r="HPH10" s="651"/>
      <c r="HPI10" s="651"/>
      <c r="HPJ10" s="651"/>
      <c r="HPK10" s="651"/>
      <c r="HPL10" s="651"/>
      <c r="HPM10" s="651"/>
      <c r="HPN10" s="651"/>
      <c r="HPO10" s="651"/>
      <c r="HPP10" s="651"/>
      <c r="HPQ10" s="651"/>
      <c r="HPR10" s="651"/>
      <c r="HPS10" s="651"/>
      <c r="HPT10" s="651"/>
      <c r="HPU10" s="651"/>
      <c r="HPV10" s="651"/>
      <c r="HPW10" s="651"/>
      <c r="HPX10" s="651"/>
      <c r="HPY10" s="651"/>
      <c r="HPZ10" s="651"/>
      <c r="HQA10" s="651"/>
      <c r="HQB10" s="651"/>
      <c r="HQC10" s="651"/>
      <c r="HQD10" s="651"/>
      <c r="HQE10" s="651"/>
      <c r="HQF10" s="651"/>
      <c r="HQG10" s="651"/>
      <c r="HQH10" s="651"/>
      <c r="HQI10" s="651"/>
      <c r="HQJ10" s="651"/>
      <c r="HQK10" s="651"/>
      <c r="HQL10" s="651"/>
      <c r="HQM10" s="651"/>
      <c r="HQN10" s="651"/>
      <c r="HQO10" s="651"/>
      <c r="HQP10" s="651"/>
      <c r="HQQ10" s="651"/>
      <c r="HQR10" s="651"/>
      <c r="HQS10" s="651"/>
      <c r="HQT10" s="651"/>
      <c r="HQU10" s="651"/>
      <c r="HQV10" s="651"/>
      <c r="HQW10" s="651"/>
      <c r="HQX10" s="651"/>
      <c r="HQY10" s="651"/>
      <c r="HQZ10" s="651"/>
      <c r="HRA10" s="651"/>
      <c r="HRB10" s="651"/>
      <c r="HRC10" s="651"/>
      <c r="HRD10" s="651"/>
      <c r="HRE10" s="651"/>
      <c r="HRF10" s="651"/>
      <c r="HRG10" s="651"/>
      <c r="HRH10" s="651"/>
      <c r="HRI10" s="651"/>
      <c r="HRJ10" s="651"/>
      <c r="HRK10" s="651"/>
      <c r="HRL10" s="651"/>
      <c r="HRM10" s="651"/>
      <c r="HRN10" s="651"/>
      <c r="HRO10" s="651"/>
      <c r="HRP10" s="651"/>
      <c r="HRQ10" s="651"/>
      <c r="HRR10" s="651"/>
      <c r="HRS10" s="651"/>
      <c r="HRT10" s="651"/>
      <c r="HRU10" s="651"/>
      <c r="HRV10" s="651"/>
      <c r="HRW10" s="651"/>
      <c r="HRX10" s="651"/>
      <c r="HRY10" s="651"/>
      <c r="HRZ10" s="651"/>
      <c r="HSA10" s="651"/>
      <c r="HSB10" s="651"/>
      <c r="HSC10" s="651"/>
      <c r="HSD10" s="651"/>
      <c r="HSE10" s="651"/>
      <c r="HSF10" s="651"/>
      <c r="HSG10" s="651"/>
      <c r="HSH10" s="651"/>
      <c r="HSI10" s="651"/>
      <c r="HSJ10" s="651"/>
      <c r="HSK10" s="651"/>
      <c r="HSL10" s="651"/>
      <c r="HSM10" s="651"/>
      <c r="HSN10" s="651"/>
      <c r="HSO10" s="651"/>
      <c r="HSP10" s="651"/>
      <c r="HSQ10" s="651"/>
      <c r="HSR10" s="651"/>
      <c r="HSS10" s="651"/>
      <c r="HST10" s="651"/>
      <c r="HSU10" s="651"/>
      <c r="HSV10" s="651"/>
      <c r="HSW10" s="651"/>
      <c r="HSX10" s="651"/>
      <c r="HSY10" s="651"/>
      <c r="HSZ10" s="651"/>
      <c r="HTA10" s="651"/>
      <c r="HTB10" s="651"/>
      <c r="HTC10" s="651"/>
      <c r="HTD10" s="651"/>
      <c r="HTE10" s="651"/>
      <c r="HTF10" s="651"/>
      <c r="HTG10" s="651"/>
      <c r="HTH10" s="651"/>
      <c r="HTI10" s="651"/>
      <c r="HTJ10" s="651"/>
      <c r="HTK10" s="651"/>
      <c r="HTL10" s="651"/>
      <c r="HTM10" s="651"/>
      <c r="HTN10" s="651"/>
      <c r="HTO10" s="651"/>
      <c r="HTP10" s="651"/>
      <c r="HTQ10" s="651"/>
      <c r="HTR10" s="651"/>
      <c r="HTS10" s="651"/>
      <c r="HTT10" s="651"/>
      <c r="HTU10" s="651"/>
      <c r="HTV10" s="651"/>
      <c r="HTW10" s="651"/>
      <c r="HTX10" s="651"/>
      <c r="HTY10" s="651"/>
      <c r="HTZ10" s="651"/>
      <c r="HUA10" s="651"/>
      <c r="HUB10" s="651"/>
      <c r="HUC10" s="651"/>
      <c r="HUD10" s="651"/>
      <c r="HUE10" s="651"/>
      <c r="HUF10" s="651"/>
      <c r="HUG10" s="651"/>
      <c r="HUH10" s="651"/>
      <c r="HUI10" s="651"/>
      <c r="HUJ10" s="651"/>
      <c r="HUK10" s="651"/>
      <c r="HUL10" s="651"/>
      <c r="HUM10" s="651"/>
      <c r="HUN10" s="651"/>
      <c r="HUO10" s="651"/>
      <c r="HUP10" s="651"/>
      <c r="HUQ10" s="651"/>
      <c r="HUR10" s="651"/>
      <c r="HUS10" s="651"/>
      <c r="HUT10" s="651"/>
      <c r="HUU10" s="651"/>
      <c r="HUV10" s="651"/>
      <c r="HUW10" s="651"/>
      <c r="HUX10" s="651"/>
      <c r="HUY10" s="651"/>
      <c r="HUZ10" s="651"/>
      <c r="HVA10" s="651"/>
      <c r="HVB10" s="651"/>
      <c r="HVC10" s="651"/>
      <c r="HVD10" s="651"/>
      <c r="HVE10" s="651"/>
      <c r="HVF10" s="651"/>
      <c r="HVG10" s="651"/>
      <c r="HVH10" s="651"/>
      <c r="HVI10" s="651"/>
      <c r="HVJ10" s="651"/>
      <c r="HVK10" s="651"/>
      <c r="HVL10" s="651"/>
      <c r="HVM10" s="651"/>
      <c r="HVN10" s="651"/>
      <c r="HVO10" s="651"/>
      <c r="HVP10" s="651"/>
      <c r="HVQ10" s="651"/>
      <c r="HVR10" s="651"/>
      <c r="HVS10" s="651"/>
      <c r="HVT10" s="651"/>
      <c r="HVU10" s="651"/>
      <c r="HVV10" s="651"/>
      <c r="HVW10" s="651"/>
      <c r="HVX10" s="651"/>
      <c r="HVY10" s="651"/>
      <c r="HVZ10" s="651"/>
      <c r="HWA10" s="651"/>
      <c r="HWB10" s="651"/>
      <c r="HWC10" s="651"/>
      <c r="HWD10" s="651"/>
      <c r="HWE10" s="651"/>
      <c r="HWF10" s="651"/>
      <c r="HWG10" s="651"/>
      <c r="HWH10" s="651"/>
      <c r="HWI10" s="651"/>
      <c r="HWJ10" s="651"/>
      <c r="HWK10" s="651"/>
      <c r="HWL10" s="651"/>
      <c r="HWM10" s="651"/>
      <c r="HWN10" s="651"/>
      <c r="HWO10" s="651"/>
      <c r="HWP10" s="651"/>
      <c r="HWQ10" s="651"/>
      <c r="HWR10" s="651"/>
      <c r="HWS10" s="651"/>
      <c r="HWT10" s="651"/>
      <c r="HWU10" s="651"/>
      <c r="HWV10" s="651"/>
      <c r="HWW10" s="651"/>
      <c r="HWX10" s="651"/>
      <c r="HWY10" s="651"/>
      <c r="HWZ10" s="651"/>
      <c r="HXA10" s="651"/>
      <c r="HXB10" s="651"/>
      <c r="HXC10" s="651"/>
      <c r="HXD10" s="651"/>
      <c r="HXE10" s="651"/>
      <c r="HXF10" s="651"/>
      <c r="HXG10" s="651"/>
      <c r="HXH10" s="651"/>
      <c r="HXI10" s="651"/>
      <c r="HXJ10" s="651"/>
      <c r="HXK10" s="651"/>
      <c r="HXL10" s="651"/>
      <c r="HXM10" s="651"/>
      <c r="HXN10" s="651"/>
      <c r="HXO10" s="651"/>
      <c r="HXP10" s="651"/>
      <c r="HXQ10" s="651"/>
      <c r="HXR10" s="651"/>
      <c r="HXS10" s="651"/>
      <c r="HXT10" s="651"/>
      <c r="HXU10" s="651"/>
      <c r="HXV10" s="651"/>
      <c r="HXW10" s="651"/>
      <c r="HXX10" s="651"/>
      <c r="HXY10" s="651"/>
      <c r="HXZ10" s="651"/>
      <c r="HYA10" s="651"/>
      <c r="HYB10" s="651"/>
      <c r="HYC10" s="651"/>
      <c r="HYD10" s="651"/>
      <c r="HYE10" s="651"/>
      <c r="HYF10" s="651"/>
      <c r="HYG10" s="651"/>
      <c r="HYH10" s="651"/>
      <c r="HYI10" s="651"/>
      <c r="HYJ10" s="651"/>
      <c r="HYK10" s="651"/>
      <c r="HYL10" s="651"/>
      <c r="HYM10" s="651"/>
      <c r="HYN10" s="651"/>
      <c r="HYO10" s="651"/>
      <c r="HYP10" s="651"/>
      <c r="HYQ10" s="651"/>
      <c r="HYR10" s="651"/>
      <c r="HYS10" s="651"/>
      <c r="HYT10" s="651"/>
      <c r="HYU10" s="651"/>
      <c r="HYV10" s="651"/>
      <c r="HYW10" s="651"/>
      <c r="HYX10" s="651"/>
      <c r="HYY10" s="651"/>
      <c r="HYZ10" s="651"/>
      <c r="HZA10" s="651"/>
      <c r="HZB10" s="651"/>
      <c r="HZC10" s="651"/>
      <c r="HZD10" s="651"/>
      <c r="HZE10" s="651"/>
      <c r="HZF10" s="651"/>
      <c r="HZG10" s="651"/>
      <c r="HZH10" s="651"/>
      <c r="HZI10" s="651"/>
      <c r="HZJ10" s="651"/>
      <c r="HZK10" s="651"/>
      <c r="HZL10" s="651"/>
      <c r="HZM10" s="651"/>
      <c r="HZN10" s="651"/>
      <c r="HZO10" s="651"/>
      <c r="HZP10" s="651"/>
      <c r="HZQ10" s="651"/>
      <c r="HZR10" s="651"/>
      <c r="HZS10" s="651"/>
      <c r="HZT10" s="651"/>
      <c r="HZU10" s="651"/>
      <c r="HZV10" s="651"/>
      <c r="HZW10" s="651"/>
      <c r="HZX10" s="651"/>
      <c r="HZY10" s="651"/>
      <c r="HZZ10" s="651"/>
      <c r="IAA10" s="651"/>
      <c r="IAB10" s="651"/>
      <c r="IAC10" s="651"/>
      <c r="IAD10" s="651"/>
      <c r="IAE10" s="651"/>
      <c r="IAF10" s="651"/>
      <c r="IAG10" s="651"/>
      <c r="IAH10" s="651"/>
      <c r="IAI10" s="651"/>
      <c r="IAJ10" s="651"/>
      <c r="IAK10" s="651"/>
      <c r="IAL10" s="651"/>
      <c r="IAM10" s="651"/>
      <c r="IAN10" s="651"/>
      <c r="IAO10" s="651"/>
      <c r="IAP10" s="651"/>
      <c r="IAQ10" s="651"/>
      <c r="IAR10" s="651"/>
      <c r="IAS10" s="651"/>
      <c r="IAT10" s="651"/>
      <c r="IAU10" s="651"/>
      <c r="IAV10" s="651"/>
      <c r="IAW10" s="651"/>
      <c r="IAX10" s="651"/>
      <c r="IAY10" s="651"/>
      <c r="IAZ10" s="651"/>
      <c r="IBA10" s="651"/>
      <c r="IBB10" s="651"/>
      <c r="IBC10" s="651"/>
      <c r="IBD10" s="651"/>
      <c r="IBE10" s="651"/>
      <c r="IBF10" s="651"/>
      <c r="IBG10" s="651"/>
      <c r="IBH10" s="651"/>
      <c r="IBI10" s="651"/>
      <c r="IBJ10" s="651"/>
      <c r="IBK10" s="651"/>
      <c r="IBL10" s="651"/>
      <c r="IBM10" s="651"/>
      <c r="IBN10" s="651"/>
      <c r="IBO10" s="651"/>
      <c r="IBP10" s="651"/>
      <c r="IBQ10" s="651"/>
      <c r="IBR10" s="651"/>
      <c r="IBS10" s="651"/>
      <c r="IBT10" s="651"/>
      <c r="IBU10" s="651"/>
      <c r="IBV10" s="651"/>
      <c r="IBW10" s="651"/>
      <c r="IBX10" s="651"/>
      <c r="IBY10" s="651"/>
      <c r="IBZ10" s="651"/>
      <c r="ICA10" s="651"/>
      <c r="ICB10" s="651"/>
      <c r="ICC10" s="651"/>
      <c r="ICD10" s="651"/>
      <c r="ICE10" s="651"/>
      <c r="ICF10" s="651"/>
      <c r="ICG10" s="651"/>
      <c r="ICH10" s="651"/>
      <c r="ICI10" s="651"/>
      <c r="ICJ10" s="651"/>
      <c r="ICK10" s="651"/>
      <c r="ICL10" s="651"/>
      <c r="ICM10" s="651"/>
      <c r="ICN10" s="651"/>
      <c r="ICO10" s="651"/>
      <c r="ICP10" s="651"/>
      <c r="ICQ10" s="651"/>
      <c r="ICR10" s="651"/>
      <c r="ICS10" s="651"/>
      <c r="ICT10" s="651"/>
      <c r="ICU10" s="651"/>
      <c r="ICV10" s="651"/>
      <c r="ICW10" s="651"/>
      <c r="ICX10" s="651"/>
      <c r="ICY10" s="651"/>
      <c r="ICZ10" s="651"/>
      <c r="IDA10" s="651"/>
      <c r="IDB10" s="651"/>
      <c r="IDC10" s="651"/>
      <c r="IDD10" s="651"/>
      <c r="IDE10" s="651"/>
      <c r="IDF10" s="651"/>
      <c r="IDG10" s="651"/>
      <c r="IDH10" s="651"/>
      <c r="IDI10" s="651"/>
      <c r="IDJ10" s="651"/>
      <c r="IDK10" s="651"/>
      <c r="IDL10" s="651"/>
      <c r="IDM10" s="651"/>
      <c r="IDN10" s="651"/>
      <c r="IDO10" s="651"/>
      <c r="IDP10" s="651"/>
      <c r="IDQ10" s="651"/>
      <c r="IDR10" s="651"/>
      <c r="IDS10" s="651"/>
      <c r="IDT10" s="651"/>
      <c r="IDU10" s="651"/>
      <c r="IDV10" s="651"/>
      <c r="IDW10" s="651"/>
      <c r="IDX10" s="651"/>
      <c r="IDY10" s="651"/>
      <c r="IDZ10" s="651"/>
      <c r="IEA10" s="651"/>
      <c r="IEB10" s="651"/>
      <c r="IEC10" s="651"/>
      <c r="IED10" s="651"/>
      <c r="IEE10" s="651"/>
      <c r="IEF10" s="651"/>
      <c r="IEG10" s="651"/>
      <c r="IEH10" s="651"/>
      <c r="IEI10" s="651"/>
      <c r="IEJ10" s="651"/>
      <c r="IEK10" s="651"/>
      <c r="IEL10" s="651"/>
      <c r="IEM10" s="651"/>
      <c r="IEN10" s="651"/>
      <c r="IEO10" s="651"/>
      <c r="IEP10" s="651"/>
      <c r="IEQ10" s="651"/>
      <c r="IER10" s="651"/>
      <c r="IES10" s="651"/>
      <c r="IET10" s="651"/>
      <c r="IEU10" s="651"/>
      <c r="IEV10" s="651"/>
      <c r="IEW10" s="651"/>
      <c r="IEX10" s="651"/>
      <c r="IEY10" s="651"/>
      <c r="IEZ10" s="651"/>
      <c r="IFA10" s="651"/>
      <c r="IFB10" s="651"/>
      <c r="IFC10" s="651"/>
      <c r="IFD10" s="651"/>
      <c r="IFE10" s="651"/>
      <c r="IFF10" s="651"/>
      <c r="IFG10" s="651"/>
      <c r="IFH10" s="651"/>
      <c r="IFI10" s="651"/>
      <c r="IFJ10" s="651"/>
      <c r="IFK10" s="651"/>
      <c r="IFL10" s="651"/>
      <c r="IFM10" s="651"/>
      <c r="IFN10" s="651"/>
      <c r="IFO10" s="651"/>
      <c r="IFP10" s="651"/>
      <c r="IFQ10" s="651"/>
      <c r="IFR10" s="651"/>
      <c r="IFS10" s="651"/>
      <c r="IFT10" s="651"/>
      <c r="IFU10" s="651"/>
      <c r="IFV10" s="651"/>
      <c r="IFW10" s="651"/>
      <c r="IFX10" s="651"/>
      <c r="IFY10" s="651"/>
      <c r="IFZ10" s="651"/>
      <c r="IGA10" s="651"/>
      <c r="IGB10" s="651"/>
      <c r="IGC10" s="651"/>
      <c r="IGD10" s="651"/>
      <c r="IGE10" s="651"/>
      <c r="IGF10" s="651"/>
      <c r="IGG10" s="651"/>
      <c r="IGH10" s="651"/>
      <c r="IGI10" s="651"/>
      <c r="IGJ10" s="651"/>
      <c r="IGK10" s="651"/>
      <c r="IGL10" s="651"/>
      <c r="IGM10" s="651"/>
      <c r="IGN10" s="651"/>
      <c r="IGO10" s="651"/>
      <c r="IGP10" s="651"/>
      <c r="IGQ10" s="651"/>
      <c r="IGR10" s="651"/>
      <c r="IGS10" s="651"/>
      <c r="IGT10" s="651"/>
      <c r="IGU10" s="651"/>
      <c r="IGV10" s="651"/>
      <c r="IGW10" s="651"/>
      <c r="IGX10" s="651"/>
      <c r="IGY10" s="651"/>
      <c r="IGZ10" s="651"/>
      <c r="IHA10" s="651"/>
      <c r="IHB10" s="651"/>
      <c r="IHC10" s="651"/>
      <c r="IHD10" s="651"/>
      <c r="IHE10" s="651"/>
      <c r="IHF10" s="651"/>
      <c r="IHG10" s="651"/>
      <c r="IHH10" s="651"/>
      <c r="IHI10" s="651"/>
      <c r="IHJ10" s="651"/>
      <c r="IHK10" s="651"/>
      <c r="IHL10" s="651"/>
      <c r="IHM10" s="651"/>
      <c r="IHN10" s="651"/>
      <c r="IHO10" s="651"/>
      <c r="IHP10" s="651"/>
      <c r="IHQ10" s="651"/>
      <c r="IHR10" s="651"/>
      <c r="IHS10" s="651"/>
      <c r="IHT10" s="651"/>
      <c r="IHU10" s="651"/>
      <c r="IHV10" s="651"/>
      <c r="IHW10" s="651"/>
      <c r="IHX10" s="651"/>
      <c r="IHY10" s="651"/>
      <c r="IHZ10" s="651"/>
      <c r="IIA10" s="651"/>
      <c r="IIB10" s="651"/>
      <c r="IIC10" s="651"/>
      <c r="IID10" s="651"/>
      <c r="IIE10" s="651"/>
      <c r="IIF10" s="651"/>
      <c r="IIG10" s="651"/>
      <c r="IIH10" s="651"/>
      <c r="III10" s="651"/>
      <c r="IIJ10" s="651"/>
      <c r="IIK10" s="651"/>
      <c r="IIL10" s="651"/>
      <c r="IIM10" s="651"/>
      <c r="IIN10" s="651"/>
      <c r="IIO10" s="651"/>
      <c r="IIP10" s="651"/>
      <c r="IIQ10" s="651"/>
      <c r="IIR10" s="651"/>
      <c r="IIS10" s="651"/>
      <c r="IIT10" s="651"/>
      <c r="IIU10" s="651"/>
      <c r="IIV10" s="651"/>
      <c r="IIW10" s="651"/>
      <c r="IIX10" s="651"/>
      <c r="IIY10" s="651"/>
      <c r="IIZ10" s="651"/>
      <c r="IJA10" s="651"/>
      <c r="IJB10" s="651"/>
      <c r="IJC10" s="651"/>
      <c r="IJD10" s="651"/>
      <c r="IJE10" s="651"/>
      <c r="IJF10" s="651"/>
      <c r="IJG10" s="651"/>
      <c r="IJH10" s="651"/>
      <c r="IJI10" s="651"/>
      <c r="IJJ10" s="651"/>
      <c r="IJK10" s="651"/>
      <c r="IJL10" s="651"/>
      <c r="IJM10" s="651"/>
      <c r="IJN10" s="651"/>
      <c r="IJO10" s="651"/>
      <c r="IJP10" s="651"/>
      <c r="IJQ10" s="651"/>
      <c r="IJR10" s="651"/>
      <c r="IJS10" s="651"/>
      <c r="IJT10" s="651"/>
      <c r="IJU10" s="651"/>
      <c r="IJV10" s="651"/>
      <c r="IJW10" s="651"/>
      <c r="IJX10" s="651"/>
      <c r="IJY10" s="651"/>
      <c r="IJZ10" s="651"/>
      <c r="IKA10" s="651"/>
      <c r="IKB10" s="651"/>
      <c r="IKC10" s="651"/>
      <c r="IKD10" s="651"/>
      <c r="IKE10" s="651"/>
      <c r="IKF10" s="651"/>
      <c r="IKG10" s="651"/>
      <c r="IKH10" s="651"/>
      <c r="IKI10" s="651"/>
      <c r="IKJ10" s="651"/>
      <c r="IKK10" s="651"/>
      <c r="IKL10" s="651"/>
      <c r="IKM10" s="651"/>
      <c r="IKN10" s="651"/>
      <c r="IKO10" s="651"/>
      <c r="IKP10" s="651"/>
      <c r="IKQ10" s="651"/>
      <c r="IKR10" s="651"/>
      <c r="IKS10" s="651"/>
      <c r="IKT10" s="651"/>
      <c r="IKU10" s="651"/>
      <c r="IKV10" s="651"/>
      <c r="IKW10" s="651"/>
      <c r="IKX10" s="651"/>
      <c r="IKY10" s="651"/>
      <c r="IKZ10" s="651"/>
      <c r="ILA10" s="651"/>
      <c r="ILB10" s="651"/>
      <c r="ILC10" s="651"/>
      <c r="ILD10" s="651"/>
      <c r="ILE10" s="651"/>
      <c r="ILF10" s="651"/>
      <c r="ILG10" s="651"/>
      <c r="ILH10" s="651"/>
      <c r="ILI10" s="651"/>
      <c r="ILJ10" s="651"/>
      <c r="ILK10" s="651"/>
      <c r="ILL10" s="651"/>
      <c r="ILM10" s="651"/>
      <c r="ILN10" s="651"/>
      <c r="ILO10" s="651"/>
      <c r="ILP10" s="651"/>
      <c r="ILQ10" s="651"/>
      <c r="ILR10" s="651"/>
      <c r="ILS10" s="651"/>
      <c r="ILT10" s="651"/>
      <c r="ILU10" s="651"/>
      <c r="ILV10" s="651"/>
      <c r="ILW10" s="651"/>
      <c r="ILX10" s="651"/>
      <c r="ILY10" s="651"/>
      <c r="ILZ10" s="651"/>
      <c r="IMA10" s="651"/>
      <c r="IMB10" s="651"/>
      <c r="IMC10" s="651"/>
      <c r="IMD10" s="651"/>
      <c r="IME10" s="651"/>
      <c r="IMF10" s="651"/>
      <c r="IMG10" s="651"/>
      <c r="IMH10" s="651"/>
      <c r="IMI10" s="651"/>
      <c r="IMJ10" s="651"/>
      <c r="IMK10" s="651"/>
      <c r="IML10" s="651"/>
      <c r="IMM10" s="651"/>
      <c r="IMN10" s="651"/>
      <c r="IMO10" s="651"/>
      <c r="IMP10" s="651"/>
      <c r="IMQ10" s="651"/>
      <c r="IMR10" s="651"/>
      <c r="IMS10" s="651"/>
      <c r="IMT10" s="651"/>
      <c r="IMU10" s="651"/>
      <c r="IMV10" s="651"/>
      <c r="IMW10" s="651"/>
      <c r="IMX10" s="651"/>
      <c r="IMY10" s="651"/>
      <c r="IMZ10" s="651"/>
      <c r="INA10" s="651"/>
      <c r="INB10" s="651"/>
      <c r="INC10" s="651"/>
      <c r="IND10" s="651"/>
      <c r="INE10" s="651"/>
      <c r="INF10" s="651"/>
      <c r="ING10" s="651"/>
      <c r="INH10" s="651"/>
      <c r="INI10" s="651"/>
      <c r="INJ10" s="651"/>
      <c r="INK10" s="651"/>
      <c r="INL10" s="651"/>
      <c r="INM10" s="651"/>
      <c r="INN10" s="651"/>
      <c r="INO10" s="651"/>
      <c r="INP10" s="651"/>
      <c r="INQ10" s="651"/>
      <c r="INR10" s="651"/>
      <c r="INS10" s="651"/>
      <c r="INT10" s="651"/>
      <c r="INU10" s="651"/>
      <c r="INV10" s="651"/>
      <c r="INW10" s="651"/>
      <c r="INX10" s="651"/>
      <c r="INY10" s="651"/>
      <c r="INZ10" s="651"/>
      <c r="IOA10" s="651"/>
      <c r="IOB10" s="651"/>
      <c r="IOC10" s="651"/>
      <c r="IOD10" s="651"/>
      <c r="IOE10" s="651"/>
      <c r="IOF10" s="651"/>
      <c r="IOG10" s="651"/>
      <c r="IOH10" s="651"/>
      <c r="IOI10" s="651"/>
      <c r="IOJ10" s="651"/>
      <c r="IOK10" s="651"/>
      <c r="IOL10" s="651"/>
      <c r="IOM10" s="651"/>
      <c r="ION10" s="651"/>
      <c r="IOO10" s="651"/>
      <c r="IOP10" s="651"/>
      <c r="IOQ10" s="651"/>
      <c r="IOR10" s="651"/>
      <c r="IOS10" s="651"/>
      <c r="IOT10" s="651"/>
      <c r="IOU10" s="651"/>
      <c r="IOV10" s="651"/>
      <c r="IOW10" s="651"/>
      <c r="IOX10" s="651"/>
      <c r="IOY10" s="651"/>
      <c r="IOZ10" s="651"/>
      <c r="IPA10" s="651"/>
      <c r="IPB10" s="651"/>
      <c r="IPC10" s="651"/>
      <c r="IPD10" s="651"/>
      <c r="IPE10" s="651"/>
      <c r="IPF10" s="651"/>
      <c r="IPG10" s="651"/>
      <c r="IPH10" s="651"/>
      <c r="IPI10" s="651"/>
      <c r="IPJ10" s="651"/>
      <c r="IPK10" s="651"/>
      <c r="IPL10" s="651"/>
      <c r="IPM10" s="651"/>
      <c r="IPN10" s="651"/>
      <c r="IPO10" s="651"/>
      <c r="IPP10" s="651"/>
      <c r="IPQ10" s="651"/>
      <c r="IPR10" s="651"/>
      <c r="IPS10" s="651"/>
      <c r="IPT10" s="651"/>
      <c r="IPU10" s="651"/>
      <c r="IPV10" s="651"/>
      <c r="IPW10" s="651"/>
      <c r="IPX10" s="651"/>
      <c r="IPY10" s="651"/>
      <c r="IPZ10" s="651"/>
      <c r="IQA10" s="651"/>
      <c r="IQB10" s="651"/>
      <c r="IQC10" s="651"/>
      <c r="IQD10" s="651"/>
      <c r="IQE10" s="651"/>
      <c r="IQF10" s="651"/>
      <c r="IQG10" s="651"/>
      <c r="IQH10" s="651"/>
      <c r="IQI10" s="651"/>
      <c r="IQJ10" s="651"/>
      <c r="IQK10" s="651"/>
      <c r="IQL10" s="651"/>
      <c r="IQM10" s="651"/>
      <c r="IQN10" s="651"/>
      <c r="IQO10" s="651"/>
      <c r="IQP10" s="651"/>
      <c r="IQQ10" s="651"/>
      <c r="IQR10" s="651"/>
      <c r="IQS10" s="651"/>
      <c r="IQT10" s="651"/>
      <c r="IQU10" s="651"/>
      <c r="IQV10" s="651"/>
      <c r="IQW10" s="651"/>
      <c r="IQX10" s="651"/>
      <c r="IQY10" s="651"/>
      <c r="IQZ10" s="651"/>
      <c r="IRA10" s="651"/>
      <c r="IRB10" s="651"/>
      <c r="IRC10" s="651"/>
      <c r="IRD10" s="651"/>
      <c r="IRE10" s="651"/>
      <c r="IRF10" s="651"/>
      <c r="IRG10" s="651"/>
      <c r="IRH10" s="651"/>
      <c r="IRI10" s="651"/>
      <c r="IRJ10" s="651"/>
      <c r="IRK10" s="651"/>
      <c r="IRL10" s="651"/>
      <c r="IRM10" s="651"/>
      <c r="IRN10" s="651"/>
      <c r="IRO10" s="651"/>
      <c r="IRP10" s="651"/>
      <c r="IRQ10" s="651"/>
      <c r="IRR10" s="651"/>
      <c r="IRS10" s="651"/>
      <c r="IRT10" s="651"/>
      <c r="IRU10" s="651"/>
      <c r="IRV10" s="651"/>
      <c r="IRW10" s="651"/>
      <c r="IRX10" s="651"/>
      <c r="IRY10" s="651"/>
      <c r="IRZ10" s="651"/>
      <c r="ISA10" s="651"/>
      <c r="ISB10" s="651"/>
      <c r="ISC10" s="651"/>
      <c r="ISD10" s="651"/>
      <c r="ISE10" s="651"/>
      <c r="ISF10" s="651"/>
      <c r="ISG10" s="651"/>
      <c r="ISH10" s="651"/>
      <c r="ISI10" s="651"/>
      <c r="ISJ10" s="651"/>
      <c r="ISK10" s="651"/>
      <c r="ISL10" s="651"/>
      <c r="ISM10" s="651"/>
      <c r="ISN10" s="651"/>
      <c r="ISO10" s="651"/>
      <c r="ISP10" s="651"/>
      <c r="ISQ10" s="651"/>
      <c r="ISR10" s="651"/>
      <c r="ISS10" s="651"/>
      <c r="IST10" s="651"/>
      <c r="ISU10" s="651"/>
      <c r="ISV10" s="651"/>
      <c r="ISW10" s="651"/>
      <c r="ISX10" s="651"/>
      <c r="ISY10" s="651"/>
      <c r="ISZ10" s="651"/>
      <c r="ITA10" s="651"/>
      <c r="ITB10" s="651"/>
      <c r="ITC10" s="651"/>
      <c r="ITD10" s="651"/>
      <c r="ITE10" s="651"/>
      <c r="ITF10" s="651"/>
      <c r="ITG10" s="651"/>
      <c r="ITH10" s="651"/>
      <c r="ITI10" s="651"/>
      <c r="ITJ10" s="651"/>
      <c r="ITK10" s="651"/>
      <c r="ITL10" s="651"/>
      <c r="ITM10" s="651"/>
      <c r="ITN10" s="651"/>
      <c r="ITO10" s="651"/>
      <c r="ITP10" s="651"/>
      <c r="ITQ10" s="651"/>
      <c r="ITR10" s="651"/>
      <c r="ITS10" s="651"/>
      <c r="ITT10" s="651"/>
      <c r="ITU10" s="651"/>
      <c r="ITV10" s="651"/>
      <c r="ITW10" s="651"/>
      <c r="ITX10" s="651"/>
      <c r="ITY10" s="651"/>
      <c r="ITZ10" s="651"/>
      <c r="IUA10" s="651"/>
      <c r="IUB10" s="651"/>
      <c r="IUC10" s="651"/>
      <c r="IUD10" s="651"/>
      <c r="IUE10" s="651"/>
      <c r="IUF10" s="651"/>
      <c r="IUG10" s="651"/>
      <c r="IUH10" s="651"/>
      <c r="IUI10" s="651"/>
      <c r="IUJ10" s="651"/>
      <c r="IUK10" s="651"/>
      <c r="IUL10" s="651"/>
      <c r="IUM10" s="651"/>
      <c r="IUN10" s="651"/>
      <c r="IUO10" s="651"/>
      <c r="IUP10" s="651"/>
      <c r="IUQ10" s="651"/>
      <c r="IUR10" s="651"/>
      <c r="IUS10" s="651"/>
      <c r="IUT10" s="651"/>
      <c r="IUU10" s="651"/>
      <c r="IUV10" s="651"/>
      <c r="IUW10" s="651"/>
      <c r="IUX10" s="651"/>
      <c r="IUY10" s="651"/>
      <c r="IUZ10" s="651"/>
      <c r="IVA10" s="651"/>
      <c r="IVB10" s="651"/>
      <c r="IVC10" s="651"/>
      <c r="IVD10" s="651"/>
      <c r="IVE10" s="651"/>
      <c r="IVF10" s="651"/>
      <c r="IVG10" s="651"/>
      <c r="IVH10" s="651"/>
      <c r="IVI10" s="651"/>
      <c r="IVJ10" s="651"/>
      <c r="IVK10" s="651"/>
      <c r="IVL10" s="651"/>
      <c r="IVM10" s="651"/>
      <c r="IVN10" s="651"/>
      <c r="IVO10" s="651"/>
      <c r="IVP10" s="651"/>
      <c r="IVQ10" s="651"/>
      <c r="IVR10" s="651"/>
      <c r="IVS10" s="651"/>
      <c r="IVT10" s="651"/>
      <c r="IVU10" s="651"/>
      <c r="IVV10" s="651"/>
      <c r="IVW10" s="651"/>
      <c r="IVX10" s="651"/>
      <c r="IVY10" s="651"/>
      <c r="IVZ10" s="651"/>
      <c r="IWA10" s="651"/>
      <c r="IWB10" s="651"/>
      <c r="IWC10" s="651"/>
      <c r="IWD10" s="651"/>
      <c r="IWE10" s="651"/>
      <c r="IWF10" s="651"/>
      <c r="IWG10" s="651"/>
      <c r="IWH10" s="651"/>
      <c r="IWI10" s="651"/>
      <c r="IWJ10" s="651"/>
      <c r="IWK10" s="651"/>
      <c r="IWL10" s="651"/>
      <c r="IWM10" s="651"/>
      <c r="IWN10" s="651"/>
      <c r="IWO10" s="651"/>
      <c r="IWP10" s="651"/>
      <c r="IWQ10" s="651"/>
      <c r="IWR10" s="651"/>
      <c r="IWS10" s="651"/>
      <c r="IWT10" s="651"/>
      <c r="IWU10" s="651"/>
      <c r="IWV10" s="651"/>
      <c r="IWW10" s="651"/>
      <c r="IWX10" s="651"/>
      <c r="IWY10" s="651"/>
      <c r="IWZ10" s="651"/>
      <c r="IXA10" s="651"/>
      <c r="IXB10" s="651"/>
      <c r="IXC10" s="651"/>
      <c r="IXD10" s="651"/>
      <c r="IXE10" s="651"/>
      <c r="IXF10" s="651"/>
      <c r="IXG10" s="651"/>
      <c r="IXH10" s="651"/>
      <c r="IXI10" s="651"/>
      <c r="IXJ10" s="651"/>
      <c r="IXK10" s="651"/>
      <c r="IXL10" s="651"/>
      <c r="IXM10" s="651"/>
      <c r="IXN10" s="651"/>
      <c r="IXO10" s="651"/>
      <c r="IXP10" s="651"/>
      <c r="IXQ10" s="651"/>
      <c r="IXR10" s="651"/>
      <c r="IXS10" s="651"/>
      <c r="IXT10" s="651"/>
      <c r="IXU10" s="651"/>
      <c r="IXV10" s="651"/>
      <c r="IXW10" s="651"/>
      <c r="IXX10" s="651"/>
      <c r="IXY10" s="651"/>
      <c r="IXZ10" s="651"/>
      <c r="IYA10" s="651"/>
      <c r="IYB10" s="651"/>
      <c r="IYC10" s="651"/>
      <c r="IYD10" s="651"/>
      <c r="IYE10" s="651"/>
      <c r="IYF10" s="651"/>
      <c r="IYG10" s="651"/>
      <c r="IYH10" s="651"/>
      <c r="IYI10" s="651"/>
      <c r="IYJ10" s="651"/>
      <c r="IYK10" s="651"/>
      <c r="IYL10" s="651"/>
      <c r="IYM10" s="651"/>
      <c r="IYN10" s="651"/>
      <c r="IYO10" s="651"/>
      <c r="IYP10" s="651"/>
      <c r="IYQ10" s="651"/>
      <c r="IYR10" s="651"/>
      <c r="IYS10" s="651"/>
      <c r="IYT10" s="651"/>
      <c r="IYU10" s="651"/>
      <c r="IYV10" s="651"/>
      <c r="IYW10" s="651"/>
      <c r="IYX10" s="651"/>
      <c r="IYY10" s="651"/>
      <c r="IYZ10" s="651"/>
      <c r="IZA10" s="651"/>
      <c r="IZB10" s="651"/>
      <c r="IZC10" s="651"/>
      <c r="IZD10" s="651"/>
      <c r="IZE10" s="651"/>
      <c r="IZF10" s="651"/>
      <c r="IZG10" s="651"/>
      <c r="IZH10" s="651"/>
      <c r="IZI10" s="651"/>
      <c r="IZJ10" s="651"/>
      <c r="IZK10" s="651"/>
      <c r="IZL10" s="651"/>
      <c r="IZM10" s="651"/>
      <c r="IZN10" s="651"/>
      <c r="IZO10" s="651"/>
      <c r="IZP10" s="651"/>
      <c r="IZQ10" s="651"/>
      <c r="IZR10" s="651"/>
      <c r="IZS10" s="651"/>
      <c r="IZT10" s="651"/>
      <c r="IZU10" s="651"/>
      <c r="IZV10" s="651"/>
      <c r="IZW10" s="651"/>
      <c r="IZX10" s="651"/>
      <c r="IZY10" s="651"/>
      <c r="IZZ10" s="651"/>
      <c r="JAA10" s="651"/>
      <c r="JAB10" s="651"/>
      <c r="JAC10" s="651"/>
      <c r="JAD10" s="651"/>
      <c r="JAE10" s="651"/>
      <c r="JAF10" s="651"/>
      <c r="JAG10" s="651"/>
      <c r="JAH10" s="651"/>
      <c r="JAI10" s="651"/>
      <c r="JAJ10" s="651"/>
      <c r="JAK10" s="651"/>
      <c r="JAL10" s="651"/>
      <c r="JAM10" s="651"/>
      <c r="JAN10" s="651"/>
      <c r="JAO10" s="651"/>
      <c r="JAP10" s="651"/>
      <c r="JAQ10" s="651"/>
      <c r="JAR10" s="651"/>
      <c r="JAS10" s="651"/>
      <c r="JAT10" s="651"/>
      <c r="JAU10" s="651"/>
      <c r="JAV10" s="651"/>
      <c r="JAW10" s="651"/>
      <c r="JAX10" s="651"/>
      <c r="JAY10" s="651"/>
      <c r="JAZ10" s="651"/>
      <c r="JBA10" s="651"/>
      <c r="JBB10" s="651"/>
      <c r="JBC10" s="651"/>
      <c r="JBD10" s="651"/>
      <c r="JBE10" s="651"/>
      <c r="JBF10" s="651"/>
      <c r="JBG10" s="651"/>
      <c r="JBH10" s="651"/>
      <c r="JBI10" s="651"/>
      <c r="JBJ10" s="651"/>
      <c r="JBK10" s="651"/>
      <c r="JBL10" s="651"/>
      <c r="JBM10" s="651"/>
      <c r="JBN10" s="651"/>
      <c r="JBO10" s="651"/>
      <c r="JBP10" s="651"/>
      <c r="JBQ10" s="651"/>
      <c r="JBR10" s="651"/>
      <c r="JBS10" s="651"/>
      <c r="JBT10" s="651"/>
      <c r="JBU10" s="651"/>
      <c r="JBV10" s="651"/>
      <c r="JBW10" s="651"/>
      <c r="JBX10" s="651"/>
      <c r="JBY10" s="651"/>
      <c r="JBZ10" s="651"/>
      <c r="JCA10" s="651"/>
      <c r="JCB10" s="651"/>
      <c r="JCC10" s="651"/>
      <c r="JCD10" s="651"/>
      <c r="JCE10" s="651"/>
      <c r="JCF10" s="651"/>
      <c r="JCG10" s="651"/>
      <c r="JCH10" s="651"/>
      <c r="JCI10" s="651"/>
      <c r="JCJ10" s="651"/>
      <c r="JCK10" s="651"/>
      <c r="JCL10" s="651"/>
      <c r="JCM10" s="651"/>
      <c r="JCN10" s="651"/>
      <c r="JCO10" s="651"/>
      <c r="JCP10" s="651"/>
      <c r="JCQ10" s="651"/>
      <c r="JCR10" s="651"/>
      <c r="JCS10" s="651"/>
      <c r="JCT10" s="651"/>
      <c r="JCU10" s="651"/>
      <c r="JCV10" s="651"/>
      <c r="JCW10" s="651"/>
      <c r="JCX10" s="651"/>
      <c r="JCY10" s="651"/>
      <c r="JCZ10" s="651"/>
      <c r="JDA10" s="651"/>
      <c r="JDB10" s="651"/>
      <c r="JDC10" s="651"/>
      <c r="JDD10" s="651"/>
      <c r="JDE10" s="651"/>
      <c r="JDF10" s="651"/>
      <c r="JDG10" s="651"/>
      <c r="JDH10" s="651"/>
      <c r="JDI10" s="651"/>
      <c r="JDJ10" s="651"/>
      <c r="JDK10" s="651"/>
      <c r="JDL10" s="651"/>
      <c r="JDM10" s="651"/>
      <c r="JDN10" s="651"/>
      <c r="JDO10" s="651"/>
      <c r="JDP10" s="651"/>
      <c r="JDQ10" s="651"/>
      <c r="JDR10" s="651"/>
      <c r="JDS10" s="651"/>
      <c r="JDT10" s="651"/>
      <c r="JDU10" s="651"/>
      <c r="JDV10" s="651"/>
      <c r="JDW10" s="651"/>
      <c r="JDX10" s="651"/>
      <c r="JDY10" s="651"/>
      <c r="JDZ10" s="651"/>
      <c r="JEA10" s="651"/>
      <c r="JEB10" s="651"/>
      <c r="JEC10" s="651"/>
      <c r="JED10" s="651"/>
      <c r="JEE10" s="651"/>
      <c r="JEF10" s="651"/>
      <c r="JEG10" s="651"/>
      <c r="JEH10" s="651"/>
      <c r="JEI10" s="651"/>
      <c r="JEJ10" s="651"/>
      <c r="JEK10" s="651"/>
      <c r="JEL10" s="651"/>
      <c r="JEM10" s="651"/>
      <c r="JEN10" s="651"/>
      <c r="JEO10" s="651"/>
      <c r="JEP10" s="651"/>
      <c r="JEQ10" s="651"/>
      <c r="JER10" s="651"/>
      <c r="JES10" s="651"/>
      <c r="JET10" s="651"/>
      <c r="JEU10" s="651"/>
      <c r="JEV10" s="651"/>
      <c r="JEW10" s="651"/>
      <c r="JEX10" s="651"/>
      <c r="JEY10" s="651"/>
      <c r="JEZ10" s="651"/>
      <c r="JFA10" s="651"/>
      <c r="JFB10" s="651"/>
      <c r="JFC10" s="651"/>
      <c r="JFD10" s="651"/>
      <c r="JFE10" s="651"/>
      <c r="JFF10" s="651"/>
      <c r="JFG10" s="651"/>
      <c r="JFH10" s="651"/>
      <c r="JFI10" s="651"/>
      <c r="JFJ10" s="651"/>
      <c r="JFK10" s="651"/>
      <c r="JFL10" s="651"/>
      <c r="JFM10" s="651"/>
      <c r="JFN10" s="651"/>
      <c r="JFO10" s="651"/>
      <c r="JFP10" s="651"/>
      <c r="JFQ10" s="651"/>
      <c r="JFR10" s="651"/>
      <c r="JFS10" s="651"/>
      <c r="JFT10" s="651"/>
      <c r="JFU10" s="651"/>
      <c r="JFV10" s="651"/>
      <c r="JFW10" s="651"/>
      <c r="JFX10" s="651"/>
      <c r="JFY10" s="651"/>
      <c r="JFZ10" s="651"/>
      <c r="JGA10" s="651"/>
      <c r="JGB10" s="651"/>
      <c r="JGC10" s="651"/>
      <c r="JGD10" s="651"/>
      <c r="JGE10" s="651"/>
      <c r="JGF10" s="651"/>
      <c r="JGG10" s="651"/>
      <c r="JGH10" s="651"/>
      <c r="JGI10" s="651"/>
      <c r="JGJ10" s="651"/>
      <c r="JGK10" s="651"/>
      <c r="JGL10" s="651"/>
      <c r="JGM10" s="651"/>
      <c r="JGN10" s="651"/>
      <c r="JGO10" s="651"/>
      <c r="JGP10" s="651"/>
      <c r="JGQ10" s="651"/>
      <c r="JGR10" s="651"/>
      <c r="JGS10" s="651"/>
      <c r="JGT10" s="651"/>
      <c r="JGU10" s="651"/>
      <c r="JGV10" s="651"/>
      <c r="JGW10" s="651"/>
      <c r="JGX10" s="651"/>
      <c r="JGY10" s="651"/>
      <c r="JGZ10" s="651"/>
      <c r="JHA10" s="651"/>
      <c r="JHB10" s="651"/>
      <c r="JHC10" s="651"/>
      <c r="JHD10" s="651"/>
      <c r="JHE10" s="651"/>
      <c r="JHF10" s="651"/>
      <c r="JHG10" s="651"/>
      <c r="JHH10" s="651"/>
      <c r="JHI10" s="651"/>
      <c r="JHJ10" s="651"/>
      <c r="JHK10" s="651"/>
      <c r="JHL10" s="651"/>
      <c r="JHM10" s="651"/>
      <c r="JHN10" s="651"/>
      <c r="JHO10" s="651"/>
      <c r="JHP10" s="651"/>
      <c r="JHQ10" s="651"/>
      <c r="JHR10" s="651"/>
      <c r="JHS10" s="651"/>
      <c r="JHT10" s="651"/>
      <c r="JHU10" s="651"/>
      <c r="JHV10" s="651"/>
      <c r="JHW10" s="651"/>
      <c r="JHX10" s="651"/>
      <c r="JHY10" s="651"/>
      <c r="JHZ10" s="651"/>
      <c r="JIA10" s="651"/>
      <c r="JIB10" s="651"/>
      <c r="JIC10" s="651"/>
      <c r="JID10" s="651"/>
      <c r="JIE10" s="651"/>
      <c r="JIF10" s="651"/>
      <c r="JIG10" s="651"/>
      <c r="JIH10" s="651"/>
      <c r="JII10" s="651"/>
      <c r="JIJ10" s="651"/>
      <c r="JIK10" s="651"/>
      <c r="JIL10" s="651"/>
      <c r="JIM10" s="651"/>
      <c r="JIN10" s="651"/>
      <c r="JIO10" s="651"/>
      <c r="JIP10" s="651"/>
      <c r="JIQ10" s="651"/>
      <c r="JIR10" s="651"/>
      <c r="JIS10" s="651"/>
      <c r="JIT10" s="651"/>
      <c r="JIU10" s="651"/>
      <c r="JIV10" s="651"/>
      <c r="JIW10" s="651"/>
      <c r="JIX10" s="651"/>
      <c r="JIY10" s="651"/>
      <c r="JIZ10" s="651"/>
      <c r="JJA10" s="651"/>
      <c r="JJB10" s="651"/>
      <c r="JJC10" s="651"/>
      <c r="JJD10" s="651"/>
      <c r="JJE10" s="651"/>
      <c r="JJF10" s="651"/>
      <c r="JJG10" s="651"/>
      <c r="JJH10" s="651"/>
      <c r="JJI10" s="651"/>
      <c r="JJJ10" s="651"/>
      <c r="JJK10" s="651"/>
      <c r="JJL10" s="651"/>
      <c r="JJM10" s="651"/>
      <c r="JJN10" s="651"/>
      <c r="JJO10" s="651"/>
      <c r="JJP10" s="651"/>
      <c r="JJQ10" s="651"/>
      <c r="JJR10" s="651"/>
      <c r="JJS10" s="651"/>
      <c r="JJT10" s="651"/>
      <c r="JJU10" s="651"/>
      <c r="JJV10" s="651"/>
      <c r="JJW10" s="651"/>
      <c r="JJX10" s="651"/>
      <c r="JJY10" s="651"/>
      <c r="JJZ10" s="651"/>
      <c r="JKA10" s="651"/>
      <c r="JKB10" s="651"/>
      <c r="JKC10" s="651"/>
      <c r="JKD10" s="651"/>
      <c r="JKE10" s="651"/>
      <c r="JKF10" s="651"/>
      <c r="JKG10" s="651"/>
      <c r="JKH10" s="651"/>
      <c r="JKI10" s="651"/>
      <c r="JKJ10" s="651"/>
      <c r="JKK10" s="651"/>
      <c r="JKL10" s="651"/>
      <c r="JKM10" s="651"/>
      <c r="JKN10" s="651"/>
      <c r="JKO10" s="651"/>
      <c r="JKP10" s="651"/>
      <c r="JKQ10" s="651"/>
      <c r="JKR10" s="651"/>
      <c r="JKS10" s="651"/>
      <c r="JKT10" s="651"/>
      <c r="JKU10" s="651"/>
      <c r="JKV10" s="651"/>
      <c r="JKW10" s="651"/>
      <c r="JKX10" s="651"/>
      <c r="JKY10" s="651"/>
      <c r="JKZ10" s="651"/>
      <c r="JLA10" s="651"/>
      <c r="JLB10" s="651"/>
      <c r="JLC10" s="651"/>
      <c r="JLD10" s="651"/>
      <c r="JLE10" s="651"/>
      <c r="JLF10" s="651"/>
      <c r="JLG10" s="651"/>
      <c r="JLH10" s="651"/>
      <c r="JLI10" s="651"/>
      <c r="JLJ10" s="651"/>
      <c r="JLK10" s="651"/>
      <c r="JLL10" s="651"/>
      <c r="JLM10" s="651"/>
      <c r="JLN10" s="651"/>
      <c r="JLO10" s="651"/>
      <c r="JLP10" s="651"/>
      <c r="JLQ10" s="651"/>
      <c r="JLR10" s="651"/>
      <c r="JLS10" s="651"/>
      <c r="JLT10" s="651"/>
      <c r="JLU10" s="651"/>
      <c r="JLV10" s="651"/>
      <c r="JLW10" s="651"/>
      <c r="JLX10" s="651"/>
      <c r="JLY10" s="651"/>
      <c r="JLZ10" s="651"/>
      <c r="JMA10" s="651"/>
      <c r="JMB10" s="651"/>
      <c r="JMC10" s="651"/>
      <c r="JMD10" s="651"/>
      <c r="JME10" s="651"/>
      <c r="JMF10" s="651"/>
      <c r="JMG10" s="651"/>
      <c r="JMH10" s="651"/>
      <c r="JMI10" s="651"/>
      <c r="JMJ10" s="651"/>
      <c r="JMK10" s="651"/>
      <c r="JML10" s="651"/>
      <c r="JMM10" s="651"/>
      <c r="JMN10" s="651"/>
      <c r="JMO10" s="651"/>
      <c r="JMP10" s="651"/>
      <c r="JMQ10" s="651"/>
      <c r="JMR10" s="651"/>
      <c r="JMS10" s="651"/>
      <c r="JMT10" s="651"/>
      <c r="JMU10" s="651"/>
      <c r="JMV10" s="651"/>
      <c r="JMW10" s="651"/>
      <c r="JMX10" s="651"/>
      <c r="JMY10" s="651"/>
      <c r="JMZ10" s="651"/>
      <c r="JNA10" s="651"/>
      <c r="JNB10" s="651"/>
      <c r="JNC10" s="651"/>
      <c r="JND10" s="651"/>
      <c r="JNE10" s="651"/>
      <c r="JNF10" s="651"/>
      <c r="JNG10" s="651"/>
      <c r="JNH10" s="651"/>
      <c r="JNI10" s="651"/>
      <c r="JNJ10" s="651"/>
      <c r="JNK10" s="651"/>
      <c r="JNL10" s="651"/>
      <c r="JNM10" s="651"/>
      <c r="JNN10" s="651"/>
      <c r="JNO10" s="651"/>
      <c r="JNP10" s="651"/>
      <c r="JNQ10" s="651"/>
      <c r="JNR10" s="651"/>
      <c r="JNS10" s="651"/>
      <c r="JNT10" s="651"/>
      <c r="JNU10" s="651"/>
      <c r="JNV10" s="651"/>
      <c r="JNW10" s="651"/>
      <c r="JNX10" s="651"/>
      <c r="JNY10" s="651"/>
      <c r="JNZ10" s="651"/>
      <c r="JOA10" s="651"/>
      <c r="JOB10" s="651"/>
      <c r="JOC10" s="651"/>
      <c r="JOD10" s="651"/>
      <c r="JOE10" s="651"/>
      <c r="JOF10" s="651"/>
      <c r="JOG10" s="651"/>
      <c r="JOH10" s="651"/>
      <c r="JOI10" s="651"/>
      <c r="JOJ10" s="651"/>
      <c r="JOK10" s="651"/>
      <c r="JOL10" s="651"/>
      <c r="JOM10" s="651"/>
      <c r="JON10" s="651"/>
      <c r="JOO10" s="651"/>
      <c r="JOP10" s="651"/>
      <c r="JOQ10" s="651"/>
      <c r="JOR10" s="651"/>
      <c r="JOS10" s="651"/>
      <c r="JOT10" s="651"/>
      <c r="JOU10" s="651"/>
      <c r="JOV10" s="651"/>
      <c r="JOW10" s="651"/>
      <c r="JOX10" s="651"/>
      <c r="JOY10" s="651"/>
      <c r="JOZ10" s="651"/>
      <c r="JPA10" s="651"/>
      <c r="JPB10" s="651"/>
      <c r="JPC10" s="651"/>
      <c r="JPD10" s="651"/>
      <c r="JPE10" s="651"/>
      <c r="JPF10" s="651"/>
      <c r="JPG10" s="651"/>
      <c r="JPH10" s="651"/>
      <c r="JPI10" s="651"/>
      <c r="JPJ10" s="651"/>
      <c r="JPK10" s="651"/>
      <c r="JPL10" s="651"/>
      <c r="JPM10" s="651"/>
      <c r="JPN10" s="651"/>
      <c r="JPO10" s="651"/>
      <c r="JPP10" s="651"/>
      <c r="JPQ10" s="651"/>
      <c r="JPR10" s="651"/>
      <c r="JPS10" s="651"/>
      <c r="JPT10" s="651"/>
      <c r="JPU10" s="651"/>
      <c r="JPV10" s="651"/>
      <c r="JPW10" s="651"/>
      <c r="JPX10" s="651"/>
      <c r="JPY10" s="651"/>
      <c r="JPZ10" s="651"/>
      <c r="JQA10" s="651"/>
      <c r="JQB10" s="651"/>
      <c r="JQC10" s="651"/>
      <c r="JQD10" s="651"/>
      <c r="JQE10" s="651"/>
      <c r="JQF10" s="651"/>
      <c r="JQG10" s="651"/>
      <c r="JQH10" s="651"/>
      <c r="JQI10" s="651"/>
      <c r="JQJ10" s="651"/>
      <c r="JQK10" s="651"/>
      <c r="JQL10" s="651"/>
      <c r="JQM10" s="651"/>
      <c r="JQN10" s="651"/>
      <c r="JQO10" s="651"/>
      <c r="JQP10" s="651"/>
      <c r="JQQ10" s="651"/>
      <c r="JQR10" s="651"/>
      <c r="JQS10" s="651"/>
      <c r="JQT10" s="651"/>
      <c r="JQU10" s="651"/>
      <c r="JQV10" s="651"/>
      <c r="JQW10" s="651"/>
      <c r="JQX10" s="651"/>
      <c r="JQY10" s="651"/>
      <c r="JQZ10" s="651"/>
      <c r="JRA10" s="651"/>
      <c r="JRB10" s="651"/>
      <c r="JRC10" s="651"/>
      <c r="JRD10" s="651"/>
      <c r="JRE10" s="651"/>
      <c r="JRF10" s="651"/>
      <c r="JRG10" s="651"/>
      <c r="JRH10" s="651"/>
      <c r="JRI10" s="651"/>
      <c r="JRJ10" s="651"/>
      <c r="JRK10" s="651"/>
      <c r="JRL10" s="651"/>
      <c r="JRM10" s="651"/>
      <c r="JRN10" s="651"/>
      <c r="JRO10" s="651"/>
      <c r="JRP10" s="651"/>
      <c r="JRQ10" s="651"/>
      <c r="JRR10" s="651"/>
      <c r="JRS10" s="651"/>
      <c r="JRT10" s="651"/>
      <c r="JRU10" s="651"/>
      <c r="JRV10" s="651"/>
      <c r="JRW10" s="651"/>
      <c r="JRX10" s="651"/>
      <c r="JRY10" s="651"/>
      <c r="JRZ10" s="651"/>
      <c r="JSA10" s="651"/>
      <c r="JSB10" s="651"/>
      <c r="JSC10" s="651"/>
      <c r="JSD10" s="651"/>
      <c r="JSE10" s="651"/>
      <c r="JSF10" s="651"/>
      <c r="JSG10" s="651"/>
      <c r="JSH10" s="651"/>
      <c r="JSI10" s="651"/>
      <c r="JSJ10" s="651"/>
      <c r="JSK10" s="651"/>
      <c r="JSL10" s="651"/>
      <c r="JSM10" s="651"/>
      <c r="JSN10" s="651"/>
      <c r="JSO10" s="651"/>
      <c r="JSP10" s="651"/>
      <c r="JSQ10" s="651"/>
      <c r="JSR10" s="651"/>
      <c r="JSS10" s="651"/>
      <c r="JST10" s="651"/>
      <c r="JSU10" s="651"/>
      <c r="JSV10" s="651"/>
      <c r="JSW10" s="651"/>
      <c r="JSX10" s="651"/>
      <c r="JSY10" s="651"/>
      <c r="JSZ10" s="651"/>
      <c r="JTA10" s="651"/>
      <c r="JTB10" s="651"/>
      <c r="JTC10" s="651"/>
      <c r="JTD10" s="651"/>
      <c r="JTE10" s="651"/>
      <c r="JTF10" s="651"/>
      <c r="JTG10" s="651"/>
      <c r="JTH10" s="651"/>
      <c r="JTI10" s="651"/>
      <c r="JTJ10" s="651"/>
      <c r="JTK10" s="651"/>
      <c r="JTL10" s="651"/>
      <c r="JTM10" s="651"/>
      <c r="JTN10" s="651"/>
      <c r="JTO10" s="651"/>
      <c r="JTP10" s="651"/>
      <c r="JTQ10" s="651"/>
      <c r="JTR10" s="651"/>
      <c r="JTS10" s="651"/>
      <c r="JTT10" s="651"/>
      <c r="JTU10" s="651"/>
      <c r="JTV10" s="651"/>
      <c r="JTW10" s="651"/>
      <c r="JTX10" s="651"/>
      <c r="JTY10" s="651"/>
      <c r="JTZ10" s="651"/>
      <c r="JUA10" s="651"/>
      <c r="JUB10" s="651"/>
      <c r="JUC10" s="651"/>
      <c r="JUD10" s="651"/>
      <c r="JUE10" s="651"/>
      <c r="JUF10" s="651"/>
      <c r="JUG10" s="651"/>
      <c r="JUH10" s="651"/>
      <c r="JUI10" s="651"/>
      <c r="JUJ10" s="651"/>
      <c r="JUK10" s="651"/>
      <c r="JUL10" s="651"/>
      <c r="JUM10" s="651"/>
      <c r="JUN10" s="651"/>
      <c r="JUO10" s="651"/>
      <c r="JUP10" s="651"/>
      <c r="JUQ10" s="651"/>
      <c r="JUR10" s="651"/>
      <c r="JUS10" s="651"/>
      <c r="JUT10" s="651"/>
      <c r="JUU10" s="651"/>
      <c r="JUV10" s="651"/>
      <c r="JUW10" s="651"/>
      <c r="JUX10" s="651"/>
      <c r="JUY10" s="651"/>
      <c r="JUZ10" s="651"/>
      <c r="JVA10" s="651"/>
      <c r="JVB10" s="651"/>
      <c r="JVC10" s="651"/>
      <c r="JVD10" s="651"/>
      <c r="JVE10" s="651"/>
      <c r="JVF10" s="651"/>
      <c r="JVG10" s="651"/>
      <c r="JVH10" s="651"/>
      <c r="JVI10" s="651"/>
      <c r="JVJ10" s="651"/>
      <c r="JVK10" s="651"/>
      <c r="JVL10" s="651"/>
      <c r="JVM10" s="651"/>
      <c r="JVN10" s="651"/>
      <c r="JVO10" s="651"/>
      <c r="JVP10" s="651"/>
      <c r="JVQ10" s="651"/>
      <c r="JVR10" s="651"/>
      <c r="JVS10" s="651"/>
      <c r="JVT10" s="651"/>
      <c r="JVU10" s="651"/>
      <c r="JVV10" s="651"/>
      <c r="JVW10" s="651"/>
      <c r="JVX10" s="651"/>
      <c r="JVY10" s="651"/>
      <c r="JVZ10" s="651"/>
      <c r="JWA10" s="651"/>
      <c r="JWB10" s="651"/>
      <c r="JWC10" s="651"/>
      <c r="JWD10" s="651"/>
      <c r="JWE10" s="651"/>
      <c r="JWF10" s="651"/>
      <c r="JWG10" s="651"/>
      <c r="JWH10" s="651"/>
      <c r="JWI10" s="651"/>
      <c r="JWJ10" s="651"/>
      <c r="JWK10" s="651"/>
      <c r="JWL10" s="651"/>
      <c r="JWM10" s="651"/>
      <c r="JWN10" s="651"/>
      <c r="JWO10" s="651"/>
      <c r="JWP10" s="651"/>
      <c r="JWQ10" s="651"/>
      <c r="JWR10" s="651"/>
      <c r="JWS10" s="651"/>
      <c r="JWT10" s="651"/>
      <c r="JWU10" s="651"/>
      <c r="JWV10" s="651"/>
      <c r="JWW10" s="651"/>
      <c r="JWX10" s="651"/>
      <c r="JWY10" s="651"/>
      <c r="JWZ10" s="651"/>
      <c r="JXA10" s="651"/>
      <c r="JXB10" s="651"/>
      <c r="JXC10" s="651"/>
      <c r="JXD10" s="651"/>
      <c r="JXE10" s="651"/>
      <c r="JXF10" s="651"/>
      <c r="JXG10" s="651"/>
      <c r="JXH10" s="651"/>
      <c r="JXI10" s="651"/>
      <c r="JXJ10" s="651"/>
      <c r="JXK10" s="651"/>
      <c r="JXL10" s="651"/>
      <c r="JXM10" s="651"/>
      <c r="JXN10" s="651"/>
      <c r="JXO10" s="651"/>
      <c r="JXP10" s="651"/>
      <c r="JXQ10" s="651"/>
      <c r="JXR10" s="651"/>
      <c r="JXS10" s="651"/>
      <c r="JXT10" s="651"/>
      <c r="JXU10" s="651"/>
      <c r="JXV10" s="651"/>
      <c r="JXW10" s="651"/>
      <c r="JXX10" s="651"/>
      <c r="JXY10" s="651"/>
      <c r="JXZ10" s="651"/>
      <c r="JYA10" s="651"/>
      <c r="JYB10" s="651"/>
      <c r="JYC10" s="651"/>
      <c r="JYD10" s="651"/>
      <c r="JYE10" s="651"/>
      <c r="JYF10" s="651"/>
      <c r="JYG10" s="651"/>
      <c r="JYH10" s="651"/>
      <c r="JYI10" s="651"/>
      <c r="JYJ10" s="651"/>
      <c r="JYK10" s="651"/>
      <c r="JYL10" s="651"/>
      <c r="JYM10" s="651"/>
      <c r="JYN10" s="651"/>
      <c r="JYO10" s="651"/>
      <c r="JYP10" s="651"/>
      <c r="JYQ10" s="651"/>
      <c r="JYR10" s="651"/>
      <c r="JYS10" s="651"/>
      <c r="JYT10" s="651"/>
      <c r="JYU10" s="651"/>
      <c r="JYV10" s="651"/>
      <c r="JYW10" s="651"/>
      <c r="JYX10" s="651"/>
      <c r="JYY10" s="651"/>
      <c r="JYZ10" s="651"/>
      <c r="JZA10" s="651"/>
      <c r="JZB10" s="651"/>
      <c r="JZC10" s="651"/>
      <c r="JZD10" s="651"/>
      <c r="JZE10" s="651"/>
      <c r="JZF10" s="651"/>
      <c r="JZG10" s="651"/>
      <c r="JZH10" s="651"/>
      <c r="JZI10" s="651"/>
      <c r="JZJ10" s="651"/>
      <c r="JZK10" s="651"/>
      <c r="JZL10" s="651"/>
      <c r="JZM10" s="651"/>
      <c r="JZN10" s="651"/>
      <c r="JZO10" s="651"/>
      <c r="JZP10" s="651"/>
      <c r="JZQ10" s="651"/>
      <c r="JZR10" s="651"/>
      <c r="JZS10" s="651"/>
      <c r="JZT10" s="651"/>
      <c r="JZU10" s="651"/>
      <c r="JZV10" s="651"/>
      <c r="JZW10" s="651"/>
      <c r="JZX10" s="651"/>
      <c r="JZY10" s="651"/>
      <c r="JZZ10" s="651"/>
      <c r="KAA10" s="651"/>
      <c r="KAB10" s="651"/>
      <c r="KAC10" s="651"/>
      <c r="KAD10" s="651"/>
      <c r="KAE10" s="651"/>
      <c r="KAF10" s="651"/>
      <c r="KAG10" s="651"/>
      <c r="KAH10" s="651"/>
      <c r="KAI10" s="651"/>
      <c r="KAJ10" s="651"/>
      <c r="KAK10" s="651"/>
      <c r="KAL10" s="651"/>
      <c r="KAM10" s="651"/>
      <c r="KAN10" s="651"/>
      <c r="KAO10" s="651"/>
      <c r="KAP10" s="651"/>
      <c r="KAQ10" s="651"/>
      <c r="KAR10" s="651"/>
      <c r="KAS10" s="651"/>
      <c r="KAT10" s="651"/>
      <c r="KAU10" s="651"/>
      <c r="KAV10" s="651"/>
      <c r="KAW10" s="651"/>
      <c r="KAX10" s="651"/>
      <c r="KAY10" s="651"/>
      <c r="KAZ10" s="651"/>
      <c r="KBA10" s="651"/>
      <c r="KBB10" s="651"/>
      <c r="KBC10" s="651"/>
      <c r="KBD10" s="651"/>
      <c r="KBE10" s="651"/>
      <c r="KBF10" s="651"/>
      <c r="KBG10" s="651"/>
      <c r="KBH10" s="651"/>
      <c r="KBI10" s="651"/>
      <c r="KBJ10" s="651"/>
      <c r="KBK10" s="651"/>
      <c r="KBL10" s="651"/>
      <c r="KBM10" s="651"/>
      <c r="KBN10" s="651"/>
      <c r="KBO10" s="651"/>
      <c r="KBP10" s="651"/>
      <c r="KBQ10" s="651"/>
      <c r="KBR10" s="651"/>
      <c r="KBS10" s="651"/>
      <c r="KBT10" s="651"/>
      <c r="KBU10" s="651"/>
      <c r="KBV10" s="651"/>
      <c r="KBW10" s="651"/>
      <c r="KBX10" s="651"/>
      <c r="KBY10" s="651"/>
      <c r="KBZ10" s="651"/>
      <c r="KCA10" s="651"/>
      <c r="KCB10" s="651"/>
      <c r="KCC10" s="651"/>
      <c r="KCD10" s="651"/>
      <c r="KCE10" s="651"/>
      <c r="KCF10" s="651"/>
      <c r="KCG10" s="651"/>
      <c r="KCH10" s="651"/>
      <c r="KCI10" s="651"/>
      <c r="KCJ10" s="651"/>
      <c r="KCK10" s="651"/>
      <c r="KCL10" s="651"/>
      <c r="KCM10" s="651"/>
      <c r="KCN10" s="651"/>
      <c r="KCO10" s="651"/>
      <c r="KCP10" s="651"/>
      <c r="KCQ10" s="651"/>
      <c r="KCR10" s="651"/>
      <c r="KCS10" s="651"/>
      <c r="KCT10" s="651"/>
      <c r="KCU10" s="651"/>
      <c r="KCV10" s="651"/>
      <c r="KCW10" s="651"/>
      <c r="KCX10" s="651"/>
      <c r="KCY10" s="651"/>
      <c r="KCZ10" s="651"/>
      <c r="KDA10" s="651"/>
      <c r="KDB10" s="651"/>
      <c r="KDC10" s="651"/>
      <c r="KDD10" s="651"/>
      <c r="KDE10" s="651"/>
      <c r="KDF10" s="651"/>
      <c r="KDG10" s="651"/>
      <c r="KDH10" s="651"/>
      <c r="KDI10" s="651"/>
      <c r="KDJ10" s="651"/>
      <c r="KDK10" s="651"/>
      <c r="KDL10" s="651"/>
      <c r="KDM10" s="651"/>
      <c r="KDN10" s="651"/>
      <c r="KDO10" s="651"/>
      <c r="KDP10" s="651"/>
      <c r="KDQ10" s="651"/>
      <c r="KDR10" s="651"/>
      <c r="KDS10" s="651"/>
      <c r="KDT10" s="651"/>
      <c r="KDU10" s="651"/>
      <c r="KDV10" s="651"/>
      <c r="KDW10" s="651"/>
      <c r="KDX10" s="651"/>
      <c r="KDY10" s="651"/>
      <c r="KDZ10" s="651"/>
      <c r="KEA10" s="651"/>
      <c r="KEB10" s="651"/>
      <c r="KEC10" s="651"/>
      <c r="KED10" s="651"/>
      <c r="KEE10" s="651"/>
      <c r="KEF10" s="651"/>
      <c r="KEG10" s="651"/>
      <c r="KEH10" s="651"/>
      <c r="KEI10" s="651"/>
      <c r="KEJ10" s="651"/>
      <c r="KEK10" s="651"/>
      <c r="KEL10" s="651"/>
      <c r="KEM10" s="651"/>
      <c r="KEN10" s="651"/>
      <c r="KEO10" s="651"/>
      <c r="KEP10" s="651"/>
      <c r="KEQ10" s="651"/>
      <c r="KER10" s="651"/>
      <c r="KES10" s="651"/>
      <c r="KET10" s="651"/>
      <c r="KEU10" s="651"/>
      <c r="KEV10" s="651"/>
      <c r="KEW10" s="651"/>
      <c r="KEX10" s="651"/>
      <c r="KEY10" s="651"/>
      <c r="KEZ10" s="651"/>
      <c r="KFA10" s="651"/>
      <c r="KFB10" s="651"/>
      <c r="KFC10" s="651"/>
      <c r="KFD10" s="651"/>
      <c r="KFE10" s="651"/>
      <c r="KFF10" s="651"/>
      <c r="KFG10" s="651"/>
      <c r="KFH10" s="651"/>
      <c r="KFI10" s="651"/>
      <c r="KFJ10" s="651"/>
      <c r="KFK10" s="651"/>
      <c r="KFL10" s="651"/>
      <c r="KFM10" s="651"/>
      <c r="KFN10" s="651"/>
      <c r="KFO10" s="651"/>
      <c r="KFP10" s="651"/>
      <c r="KFQ10" s="651"/>
      <c r="KFR10" s="651"/>
      <c r="KFS10" s="651"/>
      <c r="KFT10" s="651"/>
      <c r="KFU10" s="651"/>
      <c r="KFV10" s="651"/>
      <c r="KFW10" s="651"/>
      <c r="KFX10" s="651"/>
      <c r="KFY10" s="651"/>
      <c r="KFZ10" s="651"/>
      <c r="KGA10" s="651"/>
      <c r="KGB10" s="651"/>
      <c r="KGC10" s="651"/>
      <c r="KGD10" s="651"/>
      <c r="KGE10" s="651"/>
      <c r="KGF10" s="651"/>
      <c r="KGG10" s="651"/>
      <c r="KGH10" s="651"/>
      <c r="KGI10" s="651"/>
      <c r="KGJ10" s="651"/>
      <c r="KGK10" s="651"/>
      <c r="KGL10" s="651"/>
      <c r="KGM10" s="651"/>
      <c r="KGN10" s="651"/>
      <c r="KGO10" s="651"/>
      <c r="KGP10" s="651"/>
      <c r="KGQ10" s="651"/>
      <c r="KGR10" s="651"/>
      <c r="KGS10" s="651"/>
      <c r="KGT10" s="651"/>
      <c r="KGU10" s="651"/>
      <c r="KGV10" s="651"/>
      <c r="KGW10" s="651"/>
      <c r="KGX10" s="651"/>
      <c r="KGY10" s="651"/>
      <c r="KGZ10" s="651"/>
      <c r="KHA10" s="651"/>
      <c r="KHB10" s="651"/>
      <c r="KHC10" s="651"/>
      <c r="KHD10" s="651"/>
      <c r="KHE10" s="651"/>
      <c r="KHF10" s="651"/>
      <c r="KHG10" s="651"/>
      <c r="KHH10" s="651"/>
      <c r="KHI10" s="651"/>
      <c r="KHJ10" s="651"/>
      <c r="KHK10" s="651"/>
      <c r="KHL10" s="651"/>
      <c r="KHM10" s="651"/>
      <c r="KHN10" s="651"/>
      <c r="KHO10" s="651"/>
      <c r="KHP10" s="651"/>
      <c r="KHQ10" s="651"/>
      <c r="KHR10" s="651"/>
      <c r="KHS10" s="651"/>
      <c r="KHT10" s="651"/>
      <c r="KHU10" s="651"/>
      <c r="KHV10" s="651"/>
      <c r="KHW10" s="651"/>
      <c r="KHX10" s="651"/>
      <c r="KHY10" s="651"/>
      <c r="KHZ10" s="651"/>
      <c r="KIA10" s="651"/>
      <c r="KIB10" s="651"/>
      <c r="KIC10" s="651"/>
      <c r="KID10" s="651"/>
      <c r="KIE10" s="651"/>
      <c r="KIF10" s="651"/>
      <c r="KIG10" s="651"/>
      <c r="KIH10" s="651"/>
      <c r="KII10" s="651"/>
      <c r="KIJ10" s="651"/>
      <c r="KIK10" s="651"/>
      <c r="KIL10" s="651"/>
      <c r="KIM10" s="651"/>
      <c r="KIN10" s="651"/>
      <c r="KIO10" s="651"/>
      <c r="KIP10" s="651"/>
      <c r="KIQ10" s="651"/>
      <c r="KIR10" s="651"/>
      <c r="KIS10" s="651"/>
      <c r="KIT10" s="651"/>
      <c r="KIU10" s="651"/>
      <c r="KIV10" s="651"/>
      <c r="KIW10" s="651"/>
      <c r="KIX10" s="651"/>
      <c r="KIY10" s="651"/>
      <c r="KIZ10" s="651"/>
      <c r="KJA10" s="651"/>
      <c r="KJB10" s="651"/>
      <c r="KJC10" s="651"/>
      <c r="KJD10" s="651"/>
      <c r="KJE10" s="651"/>
      <c r="KJF10" s="651"/>
      <c r="KJG10" s="651"/>
      <c r="KJH10" s="651"/>
      <c r="KJI10" s="651"/>
      <c r="KJJ10" s="651"/>
      <c r="KJK10" s="651"/>
      <c r="KJL10" s="651"/>
      <c r="KJM10" s="651"/>
      <c r="KJN10" s="651"/>
      <c r="KJO10" s="651"/>
      <c r="KJP10" s="651"/>
      <c r="KJQ10" s="651"/>
      <c r="KJR10" s="651"/>
      <c r="KJS10" s="651"/>
      <c r="KJT10" s="651"/>
      <c r="KJU10" s="651"/>
      <c r="KJV10" s="651"/>
      <c r="KJW10" s="651"/>
      <c r="KJX10" s="651"/>
      <c r="KJY10" s="651"/>
      <c r="KJZ10" s="651"/>
      <c r="KKA10" s="651"/>
      <c r="KKB10" s="651"/>
      <c r="KKC10" s="651"/>
      <c r="KKD10" s="651"/>
      <c r="KKE10" s="651"/>
      <c r="KKF10" s="651"/>
      <c r="KKG10" s="651"/>
      <c r="KKH10" s="651"/>
      <c r="KKI10" s="651"/>
      <c r="KKJ10" s="651"/>
      <c r="KKK10" s="651"/>
      <c r="KKL10" s="651"/>
      <c r="KKM10" s="651"/>
      <c r="KKN10" s="651"/>
      <c r="KKO10" s="651"/>
      <c r="KKP10" s="651"/>
      <c r="KKQ10" s="651"/>
      <c r="KKR10" s="651"/>
      <c r="KKS10" s="651"/>
      <c r="KKT10" s="651"/>
      <c r="KKU10" s="651"/>
      <c r="KKV10" s="651"/>
      <c r="KKW10" s="651"/>
      <c r="KKX10" s="651"/>
      <c r="KKY10" s="651"/>
      <c r="KKZ10" s="651"/>
      <c r="KLA10" s="651"/>
      <c r="KLB10" s="651"/>
      <c r="KLC10" s="651"/>
      <c r="KLD10" s="651"/>
      <c r="KLE10" s="651"/>
      <c r="KLF10" s="651"/>
      <c r="KLG10" s="651"/>
      <c r="KLH10" s="651"/>
      <c r="KLI10" s="651"/>
      <c r="KLJ10" s="651"/>
      <c r="KLK10" s="651"/>
      <c r="KLL10" s="651"/>
      <c r="KLM10" s="651"/>
      <c r="KLN10" s="651"/>
      <c r="KLO10" s="651"/>
      <c r="KLP10" s="651"/>
      <c r="KLQ10" s="651"/>
      <c r="KLR10" s="651"/>
      <c r="KLS10" s="651"/>
      <c r="KLT10" s="651"/>
      <c r="KLU10" s="651"/>
      <c r="KLV10" s="651"/>
      <c r="KLW10" s="651"/>
      <c r="KLX10" s="651"/>
      <c r="KLY10" s="651"/>
      <c r="KLZ10" s="651"/>
      <c r="KMA10" s="651"/>
      <c r="KMB10" s="651"/>
      <c r="KMC10" s="651"/>
      <c r="KMD10" s="651"/>
      <c r="KME10" s="651"/>
      <c r="KMF10" s="651"/>
      <c r="KMG10" s="651"/>
      <c r="KMH10" s="651"/>
      <c r="KMI10" s="651"/>
      <c r="KMJ10" s="651"/>
      <c r="KMK10" s="651"/>
      <c r="KML10" s="651"/>
      <c r="KMM10" s="651"/>
      <c r="KMN10" s="651"/>
      <c r="KMO10" s="651"/>
      <c r="KMP10" s="651"/>
      <c r="KMQ10" s="651"/>
      <c r="KMR10" s="651"/>
      <c r="KMS10" s="651"/>
      <c r="KMT10" s="651"/>
      <c r="KMU10" s="651"/>
      <c r="KMV10" s="651"/>
      <c r="KMW10" s="651"/>
      <c r="KMX10" s="651"/>
      <c r="KMY10" s="651"/>
      <c r="KMZ10" s="651"/>
      <c r="KNA10" s="651"/>
      <c r="KNB10" s="651"/>
      <c r="KNC10" s="651"/>
      <c r="KND10" s="651"/>
      <c r="KNE10" s="651"/>
      <c r="KNF10" s="651"/>
      <c r="KNG10" s="651"/>
      <c r="KNH10" s="651"/>
      <c r="KNI10" s="651"/>
      <c r="KNJ10" s="651"/>
      <c r="KNK10" s="651"/>
      <c r="KNL10" s="651"/>
      <c r="KNM10" s="651"/>
      <c r="KNN10" s="651"/>
      <c r="KNO10" s="651"/>
      <c r="KNP10" s="651"/>
      <c r="KNQ10" s="651"/>
      <c r="KNR10" s="651"/>
      <c r="KNS10" s="651"/>
      <c r="KNT10" s="651"/>
      <c r="KNU10" s="651"/>
      <c r="KNV10" s="651"/>
      <c r="KNW10" s="651"/>
      <c r="KNX10" s="651"/>
      <c r="KNY10" s="651"/>
      <c r="KNZ10" s="651"/>
      <c r="KOA10" s="651"/>
      <c r="KOB10" s="651"/>
      <c r="KOC10" s="651"/>
      <c r="KOD10" s="651"/>
      <c r="KOE10" s="651"/>
      <c r="KOF10" s="651"/>
      <c r="KOG10" s="651"/>
      <c r="KOH10" s="651"/>
      <c r="KOI10" s="651"/>
      <c r="KOJ10" s="651"/>
      <c r="KOK10" s="651"/>
      <c r="KOL10" s="651"/>
      <c r="KOM10" s="651"/>
      <c r="KON10" s="651"/>
      <c r="KOO10" s="651"/>
      <c r="KOP10" s="651"/>
      <c r="KOQ10" s="651"/>
      <c r="KOR10" s="651"/>
      <c r="KOS10" s="651"/>
      <c r="KOT10" s="651"/>
      <c r="KOU10" s="651"/>
      <c r="KOV10" s="651"/>
      <c r="KOW10" s="651"/>
      <c r="KOX10" s="651"/>
      <c r="KOY10" s="651"/>
      <c r="KOZ10" s="651"/>
      <c r="KPA10" s="651"/>
      <c r="KPB10" s="651"/>
      <c r="KPC10" s="651"/>
      <c r="KPD10" s="651"/>
      <c r="KPE10" s="651"/>
      <c r="KPF10" s="651"/>
      <c r="KPG10" s="651"/>
      <c r="KPH10" s="651"/>
      <c r="KPI10" s="651"/>
      <c r="KPJ10" s="651"/>
      <c r="KPK10" s="651"/>
      <c r="KPL10" s="651"/>
      <c r="KPM10" s="651"/>
      <c r="KPN10" s="651"/>
      <c r="KPO10" s="651"/>
      <c r="KPP10" s="651"/>
      <c r="KPQ10" s="651"/>
      <c r="KPR10" s="651"/>
      <c r="KPS10" s="651"/>
      <c r="KPT10" s="651"/>
      <c r="KPU10" s="651"/>
      <c r="KPV10" s="651"/>
      <c r="KPW10" s="651"/>
      <c r="KPX10" s="651"/>
      <c r="KPY10" s="651"/>
      <c r="KPZ10" s="651"/>
      <c r="KQA10" s="651"/>
      <c r="KQB10" s="651"/>
      <c r="KQC10" s="651"/>
      <c r="KQD10" s="651"/>
      <c r="KQE10" s="651"/>
      <c r="KQF10" s="651"/>
      <c r="KQG10" s="651"/>
      <c r="KQH10" s="651"/>
      <c r="KQI10" s="651"/>
      <c r="KQJ10" s="651"/>
      <c r="KQK10" s="651"/>
      <c r="KQL10" s="651"/>
      <c r="KQM10" s="651"/>
      <c r="KQN10" s="651"/>
      <c r="KQO10" s="651"/>
      <c r="KQP10" s="651"/>
      <c r="KQQ10" s="651"/>
      <c r="KQR10" s="651"/>
      <c r="KQS10" s="651"/>
      <c r="KQT10" s="651"/>
      <c r="KQU10" s="651"/>
      <c r="KQV10" s="651"/>
      <c r="KQW10" s="651"/>
      <c r="KQX10" s="651"/>
      <c r="KQY10" s="651"/>
      <c r="KQZ10" s="651"/>
      <c r="KRA10" s="651"/>
      <c r="KRB10" s="651"/>
      <c r="KRC10" s="651"/>
      <c r="KRD10" s="651"/>
      <c r="KRE10" s="651"/>
      <c r="KRF10" s="651"/>
      <c r="KRG10" s="651"/>
      <c r="KRH10" s="651"/>
      <c r="KRI10" s="651"/>
      <c r="KRJ10" s="651"/>
      <c r="KRK10" s="651"/>
      <c r="KRL10" s="651"/>
      <c r="KRM10" s="651"/>
      <c r="KRN10" s="651"/>
      <c r="KRO10" s="651"/>
      <c r="KRP10" s="651"/>
      <c r="KRQ10" s="651"/>
      <c r="KRR10" s="651"/>
      <c r="KRS10" s="651"/>
      <c r="KRT10" s="651"/>
      <c r="KRU10" s="651"/>
      <c r="KRV10" s="651"/>
      <c r="KRW10" s="651"/>
      <c r="KRX10" s="651"/>
      <c r="KRY10" s="651"/>
      <c r="KRZ10" s="651"/>
      <c r="KSA10" s="651"/>
      <c r="KSB10" s="651"/>
      <c r="KSC10" s="651"/>
      <c r="KSD10" s="651"/>
      <c r="KSE10" s="651"/>
      <c r="KSF10" s="651"/>
      <c r="KSG10" s="651"/>
      <c r="KSH10" s="651"/>
      <c r="KSI10" s="651"/>
      <c r="KSJ10" s="651"/>
      <c r="KSK10" s="651"/>
      <c r="KSL10" s="651"/>
      <c r="KSM10" s="651"/>
      <c r="KSN10" s="651"/>
      <c r="KSO10" s="651"/>
      <c r="KSP10" s="651"/>
      <c r="KSQ10" s="651"/>
      <c r="KSR10" s="651"/>
      <c r="KSS10" s="651"/>
      <c r="KST10" s="651"/>
      <c r="KSU10" s="651"/>
      <c r="KSV10" s="651"/>
      <c r="KSW10" s="651"/>
      <c r="KSX10" s="651"/>
      <c r="KSY10" s="651"/>
      <c r="KSZ10" s="651"/>
      <c r="KTA10" s="651"/>
      <c r="KTB10" s="651"/>
      <c r="KTC10" s="651"/>
      <c r="KTD10" s="651"/>
      <c r="KTE10" s="651"/>
      <c r="KTF10" s="651"/>
      <c r="KTG10" s="651"/>
      <c r="KTH10" s="651"/>
      <c r="KTI10" s="651"/>
      <c r="KTJ10" s="651"/>
      <c r="KTK10" s="651"/>
      <c r="KTL10" s="651"/>
      <c r="KTM10" s="651"/>
      <c r="KTN10" s="651"/>
      <c r="KTO10" s="651"/>
      <c r="KTP10" s="651"/>
      <c r="KTQ10" s="651"/>
      <c r="KTR10" s="651"/>
      <c r="KTS10" s="651"/>
      <c r="KTT10" s="651"/>
      <c r="KTU10" s="651"/>
      <c r="KTV10" s="651"/>
      <c r="KTW10" s="651"/>
      <c r="KTX10" s="651"/>
      <c r="KTY10" s="651"/>
      <c r="KTZ10" s="651"/>
      <c r="KUA10" s="651"/>
      <c r="KUB10" s="651"/>
      <c r="KUC10" s="651"/>
      <c r="KUD10" s="651"/>
      <c r="KUE10" s="651"/>
      <c r="KUF10" s="651"/>
      <c r="KUG10" s="651"/>
      <c r="KUH10" s="651"/>
      <c r="KUI10" s="651"/>
      <c r="KUJ10" s="651"/>
      <c r="KUK10" s="651"/>
      <c r="KUL10" s="651"/>
      <c r="KUM10" s="651"/>
      <c r="KUN10" s="651"/>
      <c r="KUO10" s="651"/>
      <c r="KUP10" s="651"/>
      <c r="KUQ10" s="651"/>
      <c r="KUR10" s="651"/>
      <c r="KUS10" s="651"/>
      <c r="KUT10" s="651"/>
      <c r="KUU10" s="651"/>
      <c r="KUV10" s="651"/>
      <c r="KUW10" s="651"/>
      <c r="KUX10" s="651"/>
      <c r="KUY10" s="651"/>
      <c r="KUZ10" s="651"/>
      <c r="KVA10" s="651"/>
      <c r="KVB10" s="651"/>
      <c r="KVC10" s="651"/>
      <c r="KVD10" s="651"/>
      <c r="KVE10" s="651"/>
      <c r="KVF10" s="651"/>
      <c r="KVG10" s="651"/>
      <c r="KVH10" s="651"/>
      <c r="KVI10" s="651"/>
      <c r="KVJ10" s="651"/>
      <c r="KVK10" s="651"/>
      <c r="KVL10" s="651"/>
      <c r="KVM10" s="651"/>
      <c r="KVN10" s="651"/>
      <c r="KVO10" s="651"/>
      <c r="KVP10" s="651"/>
      <c r="KVQ10" s="651"/>
      <c r="KVR10" s="651"/>
      <c r="KVS10" s="651"/>
      <c r="KVT10" s="651"/>
      <c r="KVU10" s="651"/>
      <c r="KVV10" s="651"/>
      <c r="KVW10" s="651"/>
      <c r="KVX10" s="651"/>
      <c r="KVY10" s="651"/>
      <c r="KVZ10" s="651"/>
      <c r="KWA10" s="651"/>
      <c r="KWB10" s="651"/>
      <c r="KWC10" s="651"/>
      <c r="KWD10" s="651"/>
      <c r="KWE10" s="651"/>
      <c r="KWF10" s="651"/>
      <c r="KWG10" s="651"/>
      <c r="KWH10" s="651"/>
      <c r="KWI10" s="651"/>
      <c r="KWJ10" s="651"/>
      <c r="KWK10" s="651"/>
      <c r="KWL10" s="651"/>
      <c r="KWM10" s="651"/>
      <c r="KWN10" s="651"/>
      <c r="KWO10" s="651"/>
      <c r="KWP10" s="651"/>
      <c r="KWQ10" s="651"/>
      <c r="KWR10" s="651"/>
      <c r="KWS10" s="651"/>
      <c r="KWT10" s="651"/>
      <c r="KWU10" s="651"/>
      <c r="KWV10" s="651"/>
      <c r="KWW10" s="651"/>
      <c r="KWX10" s="651"/>
      <c r="KWY10" s="651"/>
      <c r="KWZ10" s="651"/>
      <c r="KXA10" s="651"/>
      <c r="KXB10" s="651"/>
      <c r="KXC10" s="651"/>
      <c r="KXD10" s="651"/>
      <c r="KXE10" s="651"/>
      <c r="KXF10" s="651"/>
      <c r="KXG10" s="651"/>
      <c r="KXH10" s="651"/>
      <c r="KXI10" s="651"/>
      <c r="KXJ10" s="651"/>
      <c r="KXK10" s="651"/>
      <c r="KXL10" s="651"/>
      <c r="KXM10" s="651"/>
      <c r="KXN10" s="651"/>
      <c r="KXO10" s="651"/>
      <c r="KXP10" s="651"/>
      <c r="KXQ10" s="651"/>
      <c r="KXR10" s="651"/>
      <c r="KXS10" s="651"/>
      <c r="KXT10" s="651"/>
      <c r="KXU10" s="651"/>
      <c r="KXV10" s="651"/>
      <c r="KXW10" s="651"/>
      <c r="KXX10" s="651"/>
      <c r="KXY10" s="651"/>
      <c r="KXZ10" s="651"/>
      <c r="KYA10" s="651"/>
      <c r="KYB10" s="651"/>
      <c r="KYC10" s="651"/>
      <c r="KYD10" s="651"/>
      <c r="KYE10" s="651"/>
      <c r="KYF10" s="651"/>
      <c r="KYG10" s="651"/>
      <c r="KYH10" s="651"/>
      <c r="KYI10" s="651"/>
      <c r="KYJ10" s="651"/>
      <c r="KYK10" s="651"/>
      <c r="KYL10" s="651"/>
      <c r="KYM10" s="651"/>
      <c r="KYN10" s="651"/>
      <c r="KYO10" s="651"/>
      <c r="KYP10" s="651"/>
      <c r="KYQ10" s="651"/>
      <c r="KYR10" s="651"/>
      <c r="KYS10" s="651"/>
      <c r="KYT10" s="651"/>
      <c r="KYU10" s="651"/>
      <c r="KYV10" s="651"/>
      <c r="KYW10" s="651"/>
      <c r="KYX10" s="651"/>
      <c r="KYY10" s="651"/>
      <c r="KYZ10" s="651"/>
      <c r="KZA10" s="651"/>
      <c r="KZB10" s="651"/>
      <c r="KZC10" s="651"/>
      <c r="KZD10" s="651"/>
      <c r="KZE10" s="651"/>
      <c r="KZF10" s="651"/>
      <c r="KZG10" s="651"/>
      <c r="KZH10" s="651"/>
      <c r="KZI10" s="651"/>
      <c r="KZJ10" s="651"/>
      <c r="KZK10" s="651"/>
      <c r="KZL10" s="651"/>
      <c r="KZM10" s="651"/>
      <c r="KZN10" s="651"/>
      <c r="KZO10" s="651"/>
      <c r="KZP10" s="651"/>
      <c r="KZQ10" s="651"/>
      <c r="KZR10" s="651"/>
      <c r="KZS10" s="651"/>
      <c r="KZT10" s="651"/>
      <c r="KZU10" s="651"/>
      <c r="KZV10" s="651"/>
      <c r="KZW10" s="651"/>
      <c r="KZX10" s="651"/>
      <c r="KZY10" s="651"/>
      <c r="KZZ10" s="651"/>
      <c r="LAA10" s="651"/>
      <c r="LAB10" s="651"/>
      <c r="LAC10" s="651"/>
      <c r="LAD10" s="651"/>
      <c r="LAE10" s="651"/>
      <c r="LAF10" s="651"/>
      <c r="LAG10" s="651"/>
      <c r="LAH10" s="651"/>
      <c r="LAI10" s="651"/>
      <c r="LAJ10" s="651"/>
      <c r="LAK10" s="651"/>
      <c r="LAL10" s="651"/>
      <c r="LAM10" s="651"/>
      <c r="LAN10" s="651"/>
      <c r="LAO10" s="651"/>
      <c r="LAP10" s="651"/>
      <c r="LAQ10" s="651"/>
      <c r="LAR10" s="651"/>
      <c r="LAS10" s="651"/>
      <c r="LAT10" s="651"/>
      <c r="LAU10" s="651"/>
      <c r="LAV10" s="651"/>
      <c r="LAW10" s="651"/>
      <c r="LAX10" s="651"/>
      <c r="LAY10" s="651"/>
      <c r="LAZ10" s="651"/>
      <c r="LBA10" s="651"/>
      <c r="LBB10" s="651"/>
      <c r="LBC10" s="651"/>
      <c r="LBD10" s="651"/>
      <c r="LBE10" s="651"/>
      <c r="LBF10" s="651"/>
      <c r="LBG10" s="651"/>
      <c r="LBH10" s="651"/>
      <c r="LBI10" s="651"/>
      <c r="LBJ10" s="651"/>
      <c r="LBK10" s="651"/>
      <c r="LBL10" s="651"/>
      <c r="LBM10" s="651"/>
      <c r="LBN10" s="651"/>
      <c r="LBO10" s="651"/>
      <c r="LBP10" s="651"/>
      <c r="LBQ10" s="651"/>
      <c r="LBR10" s="651"/>
      <c r="LBS10" s="651"/>
      <c r="LBT10" s="651"/>
      <c r="LBU10" s="651"/>
      <c r="LBV10" s="651"/>
      <c r="LBW10" s="651"/>
      <c r="LBX10" s="651"/>
      <c r="LBY10" s="651"/>
      <c r="LBZ10" s="651"/>
      <c r="LCA10" s="651"/>
      <c r="LCB10" s="651"/>
      <c r="LCC10" s="651"/>
      <c r="LCD10" s="651"/>
      <c r="LCE10" s="651"/>
      <c r="LCF10" s="651"/>
      <c r="LCG10" s="651"/>
      <c r="LCH10" s="651"/>
      <c r="LCI10" s="651"/>
      <c r="LCJ10" s="651"/>
      <c r="LCK10" s="651"/>
      <c r="LCL10" s="651"/>
      <c r="LCM10" s="651"/>
      <c r="LCN10" s="651"/>
      <c r="LCO10" s="651"/>
      <c r="LCP10" s="651"/>
      <c r="LCQ10" s="651"/>
      <c r="LCR10" s="651"/>
      <c r="LCS10" s="651"/>
      <c r="LCT10" s="651"/>
      <c r="LCU10" s="651"/>
      <c r="LCV10" s="651"/>
      <c r="LCW10" s="651"/>
      <c r="LCX10" s="651"/>
      <c r="LCY10" s="651"/>
      <c r="LCZ10" s="651"/>
      <c r="LDA10" s="651"/>
      <c r="LDB10" s="651"/>
      <c r="LDC10" s="651"/>
      <c r="LDD10" s="651"/>
      <c r="LDE10" s="651"/>
      <c r="LDF10" s="651"/>
      <c r="LDG10" s="651"/>
      <c r="LDH10" s="651"/>
      <c r="LDI10" s="651"/>
      <c r="LDJ10" s="651"/>
      <c r="LDK10" s="651"/>
      <c r="LDL10" s="651"/>
      <c r="LDM10" s="651"/>
      <c r="LDN10" s="651"/>
      <c r="LDO10" s="651"/>
      <c r="LDP10" s="651"/>
      <c r="LDQ10" s="651"/>
      <c r="LDR10" s="651"/>
      <c r="LDS10" s="651"/>
      <c r="LDT10" s="651"/>
      <c r="LDU10" s="651"/>
      <c r="LDV10" s="651"/>
      <c r="LDW10" s="651"/>
      <c r="LDX10" s="651"/>
      <c r="LDY10" s="651"/>
      <c r="LDZ10" s="651"/>
      <c r="LEA10" s="651"/>
      <c r="LEB10" s="651"/>
      <c r="LEC10" s="651"/>
      <c r="LED10" s="651"/>
      <c r="LEE10" s="651"/>
      <c r="LEF10" s="651"/>
      <c r="LEG10" s="651"/>
      <c r="LEH10" s="651"/>
      <c r="LEI10" s="651"/>
      <c r="LEJ10" s="651"/>
      <c r="LEK10" s="651"/>
      <c r="LEL10" s="651"/>
      <c r="LEM10" s="651"/>
      <c r="LEN10" s="651"/>
      <c r="LEO10" s="651"/>
      <c r="LEP10" s="651"/>
      <c r="LEQ10" s="651"/>
      <c r="LER10" s="651"/>
      <c r="LES10" s="651"/>
      <c r="LET10" s="651"/>
      <c r="LEU10" s="651"/>
      <c r="LEV10" s="651"/>
      <c r="LEW10" s="651"/>
      <c r="LEX10" s="651"/>
      <c r="LEY10" s="651"/>
      <c r="LEZ10" s="651"/>
      <c r="LFA10" s="651"/>
      <c r="LFB10" s="651"/>
      <c r="LFC10" s="651"/>
      <c r="LFD10" s="651"/>
      <c r="LFE10" s="651"/>
      <c r="LFF10" s="651"/>
      <c r="LFG10" s="651"/>
      <c r="LFH10" s="651"/>
      <c r="LFI10" s="651"/>
      <c r="LFJ10" s="651"/>
      <c r="LFK10" s="651"/>
      <c r="LFL10" s="651"/>
      <c r="LFM10" s="651"/>
      <c r="LFN10" s="651"/>
      <c r="LFO10" s="651"/>
      <c r="LFP10" s="651"/>
      <c r="LFQ10" s="651"/>
      <c r="LFR10" s="651"/>
      <c r="LFS10" s="651"/>
      <c r="LFT10" s="651"/>
      <c r="LFU10" s="651"/>
      <c r="LFV10" s="651"/>
      <c r="LFW10" s="651"/>
      <c r="LFX10" s="651"/>
      <c r="LFY10" s="651"/>
      <c r="LFZ10" s="651"/>
      <c r="LGA10" s="651"/>
      <c r="LGB10" s="651"/>
      <c r="LGC10" s="651"/>
      <c r="LGD10" s="651"/>
      <c r="LGE10" s="651"/>
      <c r="LGF10" s="651"/>
      <c r="LGG10" s="651"/>
      <c r="LGH10" s="651"/>
      <c r="LGI10" s="651"/>
      <c r="LGJ10" s="651"/>
      <c r="LGK10" s="651"/>
      <c r="LGL10" s="651"/>
      <c r="LGM10" s="651"/>
      <c r="LGN10" s="651"/>
      <c r="LGO10" s="651"/>
      <c r="LGP10" s="651"/>
      <c r="LGQ10" s="651"/>
      <c r="LGR10" s="651"/>
      <c r="LGS10" s="651"/>
      <c r="LGT10" s="651"/>
      <c r="LGU10" s="651"/>
      <c r="LGV10" s="651"/>
      <c r="LGW10" s="651"/>
      <c r="LGX10" s="651"/>
      <c r="LGY10" s="651"/>
      <c r="LGZ10" s="651"/>
      <c r="LHA10" s="651"/>
      <c r="LHB10" s="651"/>
      <c r="LHC10" s="651"/>
      <c r="LHD10" s="651"/>
      <c r="LHE10" s="651"/>
      <c r="LHF10" s="651"/>
      <c r="LHG10" s="651"/>
      <c r="LHH10" s="651"/>
      <c r="LHI10" s="651"/>
      <c r="LHJ10" s="651"/>
      <c r="LHK10" s="651"/>
      <c r="LHL10" s="651"/>
      <c r="LHM10" s="651"/>
      <c r="LHN10" s="651"/>
      <c r="LHO10" s="651"/>
      <c r="LHP10" s="651"/>
      <c r="LHQ10" s="651"/>
      <c r="LHR10" s="651"/>
      <c r="LHS10" s="651"/>
      <c r="LHT10" s="651"/>
      <c r="LHU10" s="651"/>
      <c r="LHV10" s="651"/>
      <c r="LHW10" s="651"/>
      <c r="LHX10" s="651"/>
      <c r="LHY10" s="651"/>
      <c r="LHZ10" s="651"/>
      <c r="LIA10" s="651"/>
      <c r="LIB10" s="651"/>
      <c r="LIC10" s="651"/>
      <c r="LID10" s="651"/>
      <c r="LIE10" s="651"/>
      <c r="LIF10" s="651"/>
      <c r="LIG10" s="651"/>
      <c r="LIH10" s="651"/>
      <c r="LII10" s="651"/>
      <c r="LIJ10" s="651"/>
      <c r="LIK10" s="651"/>
      <c r="LIL10" s="651"/>
      <c r="LIM10" s="651"/>
      <c r="LIN10" s="651"/>
      <c r="LIO10" s="651"/>
      <c r="LIP10" s="651"/>
      <c r="LIQ10" s="651"/>
      <c r="LIR10" s="651"/>
      <c r="LIS10" s="651"/>
      <c r="LIT10" s="651"/>
      <c r="LIU10" s="651"/>
      <c r="LIV10" s="651"/>
      <c r="LIW10" s="651"/>
      <c r="LIX10" s="651"/>
      <c r="LIY10" s="651"/>
      <c r="LIZ10" s="651"/>
      <c r="LJA10" s="651"/>
      <c r="LJB10" s="651"/>
      <c r="LJC10" s="651"/>
      <c r="LJD10" s="651"/>
      <c r="LJE10" s="651"/>
      <c r="LJF10" s="651"/>
      <c r="LJG10" s="651"/>
      <c r="LJH10" s="651"/>
      <c r="LJI10" s="651"/>
      <c r="LJJ10" s="651"/>
      <c r="LJK10" s="651"/>
      <c r="LJL10" s="651"/>
      <c r="LJM10" s="651"/>
      <c r="LJN10" s="651"/>
      <c r="LJO10" s="651"/>
      <c r="LJP10" s="651"/>
      <c r="LJQ10" s="651"/>
      <c r="LJR10" s="651"/>
      <c r="LJS10" s="651"/>
      <c r="LJT10" s="651"/>
      <c r="LJU10" s="651"/>
      <c r="LJV10" s="651"/>
      <c r="LJW10" s="651"/>
      <c r="LJX10" s="651"/>
      <c r="LJY10" s="651"/>
      <c r="LJZ10" s="651"/>
      <c r="LKA10" s="651"/>
      <c r="LKB10" s="651"/>
      <c r="LKC10" s="651"/>
      <c r="LKD10" s="651"/>
      <c r="LKE10" s="651"/>
      <c r="LKF10" s="651"/>
      <c r="LKG10" s="651"/>
      <c r="LKH10" s="651"/>
      <c r="LKI10" s="651"/>
      <c r="LKJ10" s="651"/>
      <c r="LKK10" s="651"/>
      <c r="LKL10" s="651"/>
      <c r="LKM10" s="651"/>
      <c r="LKN10" s="651"/>
      <c r="LKO10" s="651"/>
      <c r="LKP10" s="651"/>
      <c r="LKQ10" s="651"/>
      <c r="LKR10" s="651"/>
      <c r="LKS10" s="651"/>
      <c r="LKT10" s="651"/>
      <c r="LKU10" s="651"/>
      <c r="LKV10" s="651"/>
      <c r="LKW10" s="651"/>
      <c r="LKX10" s="651"/>
      <c r="LKY10" s="651"/>
      <c r="LKZ10" s="651"/>
      <c r="LLA10" s="651"/>
      <c r="LLB10" s="651"/>
      <c r="LLC10" s="651"/>
      <c r="LLD10" s="651"/>
      <c r="LLE10" s="651"/>
      <c r="LLF10" s="651"/>
      <c r="LLG10" s="651"/>
      <c r="LLH10" s="651"/>
      <c r="LLI10" s="651"/>
      <c r="LLJ10" s="651"/>
      <c r="LLK10" s="651"/>
      <c r="LLL10" s="651"/>
      <c r="LLM10" s="651"/>
      <c r="LLN10" s="651"/>
      <c r="LLO10" s="651"/>
      <c r="LLP10" s="651"/>
      <c r="LLQ10" s="651"/>
      <c r="LLR10" s="651"/>
      <c r="LLS10" s="651"/>
      <c r="LLT10" s="651"/>
      <c r="LLU10" s="651"/>
      <c r="LLV10" s="651"/>
      <c r="LLW10" s="651"/>
      <c r="LLX10" s="651"/>
      <c r="LLY10" s="651"/>
      <c r="LLZ10" s="651"/>
      <c r="LMA10" s="651"/>
      <c r="LMB10" s="651"/>
      <c r="LMC10" s="651"/>
      <c r="LMD10" s="651"/>
      <c r="LME10" s="651"/>
      <c r="LMF10" s="651"/>
      <c r="LMG10" s="651"/>
      <c r="LMH10" s="651"/>
      <c r="LMI10" s="651"/>
      <c r="LMJ10" s="651"/>
      <c r="LMK10" s="651"/>
      <c r="LML10" s="651"/>
      <c r="LMM10" s="651"/>
      <c r="LMN10" s="651"/>
      <c r="LMO10" s="651"/>
      <c r="LMP10" s="651"/>
      <c r="LMQ10" s="651"/>
      <c r="LMR10" s="651"/>
      <c r="LMS10" s="651"/>
      <c r="LMT10" s="651"/>
      <c r="LMU10" s="651"/>
      <c r="LMV10" s="651"/>
      <c r="LMW10" s="651"/>
      <c r="LMX10" s="651"/>
      <c r="LMY10" s="651"/>
      <c r="LMZ10" s="651"/>
      <c r="LNA10" s="651"/>
      <c r="LNB10" s="651"/>
      <c r="LNC10" s="651"/>
      <c r="LND10" s="651"/>
      <c r="LNE10" s="651"/>
      <c r="LNF10" s="651"/>
      <c r="LNG10" s="651"/>
      <c r="LNH10" s="651"/>
      <c r="LNI10" s="651"/>
      <c r="LNJ10" s="651"/>
      <c r="LNK10" s="651"/>
      <c r="LNL10" s="651"/>
      <c r="LNM10" s="651"/>
      <c r="LNN10" s="651"/>
      <c r="LNO10" s="651"/>
      <c r="LNP10" s="651"/>
      <c r="LNQ10" s="651"/>
      <c r="LNR10" s="651"/>
      <c r="LNS10" s="651"/>
      <c r="LNT10" s="651"/>
      <c r="LNU10" s="651"/>
      <c r="LNV10" s="651"/>
      <c r="LNW10" s="651"/>
      <c r="LNX10" s="651"/>
      <c r="LNY10" s="651"/>
      <c r="LNZ10" s="651"/>
      <c r="LOA10" s="651"/>
      <c r="LOB10" s="651"/>
      <c r="LOC10" s="651"/>
      <c r="LOD10" s="651"/>
      <c r="LOE10" s="651"/>
      <c r="LOF10" s="651"/>
      <c r="LOG10" s="651"/>
      <c r="LOH10" s="651"/>
      <c r="LOI10" s="651"/>
      <c r="LOJ10" s="651"/>
      <c r="LOK10" s="651"/>
      <c r="LOL10" s="651"/>
      <c r="LOM10" s="651"/>
      <c r="LON10" s="651"/>
      <c r="LOO10" s="651"/>
      <c r="LOP10" s="651"/>
      <c r="LOQ10" s="651"/>
      <c r="LOR10" s="651"/>
      <c r="LOS10" s="651"/>
      <c r="LOT10" s="651"/>
      <c r="LOU10" s="651"/>
      <c r="LOV10" s="651"/>
      <c r="LOW10" s="651"/>
      <c r="LOX10" s="651"/>
      <c r="LOY10" s="651"/>
      <c r="LOZ10" s="651"/>
      <c r="LPA10" s="651"/>
      <c r="LPB10" s="651"/>
      <c r="LPC10" s="651"/>
      <c r="LPD10" s="651"/>
      <c r="LPE10" s="651"/>
      <c r="LPF10" s="651"/>
      <c r="LPG10" s="651"/>
      <c r="LPH10" s="651"/>
      <c r="LPI10" s="651"/>
      <c r="LPJ10" s="651"/>
      <c r="LPK10" s="651"/>
      <c r="LPL10" s="651"/>
      <c r="LPM10" s="651"/>
      <c r="LPN10" s="651"/>
      <c r="LPO10" s="651"/>
      <c r="LPP10" s="651"/>
      <c r="LPQ10" s="651"/>
      <c r="LPR10" s="651"/>
      <c r="LPS10" s="651"/>
      <c r="LPT10" s="651"/>
      <c r="LPU10" s="651"/>
      <c r="LPV10" s="651"/>
      <c r="LPW10" s="651"/>
      <c r="LPX10" s="651"/>
      <c r="LPY10" s="651"/>
      <c r="LPZ10" s="651"/>
      <c r="LQA10" s="651"/>
      <c r="LQB10" s="651"/>
      <c r="LQC10" s="651"/>
      <c r="LQD10" s="651"/>
      <c r="LQE10" s="651"/>
      <c r="LQF10" s="651"/>
      <c r="LQG10" s="651"/>
      <c r="LQH10" s="651"/>
      <c r="LQI10" s="651"/>
      <c r="LQJ10" s="651"/>
      <c r="LQK10" s="651"/>
      <c r="LQL10" s="651"/>
      <c r="LQM10" s="651"/>
      <c r="LQN10" s="651"/>
      <c r="LQO10" s="651"/>
      <c r="LQP10" s="651"/>
      <c r="LQQ10" s="651"/>
      <c r="LQR10" s="651"/>
      <c r="LQS10" s="651"/>
      <c r="LQT10" s="651"/>
      <c r="LQU10" s="651"/>
      <c r="LQV10" s="651"/>
      <c r="LQW10" s="651"/>
      <c r="LQX10" s="651"/>
      <c r="LQY10" s="651"/>
      <c r="LQZ10" s="651"/>
      <c r="LRA10" s="651"/>
      <c r="LRB10" s="651"/>
      <c r="LRC10" s="651"/>
      <c r="LRD10" s="651"/>
      <c r="LRE10" s="651"/>
      <c r="LRF10" s="651"/>
      <c r="LRG10" s="651"/>
      <c r="LRH10" s="651"/>
      <c r="LRI10" s="651"/>
      <c r="LRJ10" s="651"/>
      <c r="LRK10" s="651"/>
      <c r="LRL10" s="651"/>
      <c r="LRM10" s="651"/>
      <c r="LRN10" s="651"/>
      <c r="LRO10" s="651"/>
      <c r="LRP10" s="651"/>
      <c r="LRQ10" s="651"/>
      <c r="LRR10" s="651"/>
      <c r="LRS10" s="651"/>
      <c r="LRT10" s="651"/>
      <c r="LRU10" s="651"/>
      <c r="LRV10" s="651"/>
      <c r="LRW10" s="651"/>
      <c r="LRX10" s="651"/>
      <c r="LRY10" s="651"/>
      <c r="LRZ10" s="651"/>
      <c r="LSA10" s="651"/>
      <c r="LSB10" s="651"/>
      <c r="LSC10" s="651"/>
      <c r="LSD10" s="651"/>
      <c r="LSE10" s="651"/>
      <c r="LSF10" s="651"/>
      <c r="LSG10" s="651"/>
      <c r="LSH10" s="651"/>
      <c r="LSI10" s="651"/>
      <c r="LSJ10" s="651"/>
      <c r="LSK10" s="651"/>
      <c r="LSL10" s="651"/>
      <c r="LSM10" s="651"/>
      <c r="LSN10" s="651"/>
      <c r="LSO10" s="651"/>
      <c r="LSP10" s="651"/>
      <c r="LSQ10" s="651"/>
      <c r="LSR10" s="651"/>
      <c r="LSS10" s="651"/>
      <c r="LST10" s="651"/>
      <c r="LSU10" s="651"/>
      <c r="LSV10" s="651"/>
      <c r="LSW10" s="651"/>
      <c r="LSX10" s="651"/>
      <c r="LSY10" s="651"/>
      <c r="LSZ10" s="651"/>
      <c r="LTA10" s="651"/>
      <c r="LTB10" s="651"/>
      <c r="LTC10" s="651"/>
      <c r="LTD10" s="651"/>
      <c r="LTE10" s="651"/>
      <c r="LTF10" s="651"/>
      <c r="LTG10" s="651"/>
      <c r="LTH10" s="651"/>
      <c r="LTI10" s="651"/>
      <c r="LTJ10" s="651"/>
      <c r="LTK10" s="651"/>
      <c r="LTL10" s="651"/>
      <c r="LTM10" s="651"/>
      <c r="LTN10" s="651"/>
      <c r="LTO10" s="651"/>
      <c r="LTP10" s="651"/>
      <c r="LTQ10" s="651"/>
      <c r="LTR10" s="651"/>
      <c r="LTS10" s="651"/>
      <c r="LTT10" s="651"/>
      <c r="LTU10" s="651"/>
      <c r="LTV10" s="651"/>
      <c r="LTW10" s="651"/>
      <c r="LTX10" s="651"/>
      <c r="LTY10" s="651"/>
      <c r="LTZ10" s="651"/>
      <c r="LUA10" s="651"/>
      <c r="LUB10" s="651"/>
      <c r="LUC10" s="651"/>
      <c r="LUD10" s="651"/>
      <c r="LUE10" s="651"/>
      <c r="LUF10" s="651"/>
      <c r="LUG10" s="651"/>
      <c r="LUH10" s="651"/>
      <c r="LUI10" s="651"/>
      <c r="LUJ10" s="651"/>
      <c r="LUK10" s="651"/>
      <c r="LUL10" s="651"/>
      <c r="LUM10" s="651"/>
      <c r="LUN10" s="651"/>
      <c r="LUO10" s="651"/>
      <c r="LUP10" s="651"/>
      <c r="LUQ10" s="651"/>
      <c r="LUR10" s="651"/>
      <c r="LUS10" s="651"/>
      <c r="LUT10" s="651"/>
      <c r="LUU10" s="651"/>
      <c r="LUV10" s="651"/>
      <c r="LUW10" s="651"/>
      <c r="LUX10" s="651"/>
      <c r="LUY10" s="651"/>
      <c r="LUZ10" s="651"/>
      <c r="LVA10" s="651"/>
      <c r="LVB10" s="651"/>
      <c r="LVC10" s="651"/>
      <c r="LVD10" s="651"/>
      <c r="LVE10" s="651"/>
      <c r="LVF10" s="651"/>
      <c r="LVG10" s="651"/>
      <c r="LVH10" s="651"/>
      <c r="LVI10" s="651"/>
      <c r="LVJ10" s="651"/>
      <c r="LVK10" s="651"/>
      <c r="LVL10" s="651"/>
      <c r="LVM10" s="651"/>
      <c r="LVN10" s="651"/>
      <c r="LVO10" s="651"/>
      <c r="LVP10" s="651"/>
      <c r="LVQ10" s="651"/>
      <c r="LVR10" s="651"/>
      <c r="LVS10" s="651"/>
      <c r="LVT10" s="651"/>
      <c r="LVU10" s="651"/>
      <c r="LVV10" s="651"/>
      <c r="LVW10" s="651"/>
      <c r="LVX10" s="651"/>
      <c r="LVY10" s="651"/>
      <c r="LVZ10" s="651"/>
      <c r="LWA10" s="651"/>
      <c r="LWB10" s="651"/>
      <c r="LWC10" s="651"/>
      <c r="LWD10" s="651"/>
      <c r="LWE10" s="651"/>
      <c r="LWF10" s="651"/>
      <c r="LWG10" s="651"/>
      <c r="LWH10" s="651"/>
      <c r="LWI10" s="651"/>
      <c r="LWJ10" s="651"/>
      <c r="LWK10" s="651"/>
      <c r="LWL10" s="651"/>
      <c r="LWM10" s="651"/>
      <c r="LWN10" s="651"/>
      <c r="LWO10" s="651"/>
      <c r="LWP10" s="651"/>
      <c r="LWQ10" s="651"/>
      <c r="LWR10" s="651"/>
      <c r="LWS10" s="651"/>
      <c r="LWT10" s="651"/>
      <c r="LWU10" s="651"/>
      <c r="LWV10" s="651"/>
      <c r="LWW10" s="651"/>
      <c r="LWX10" s="651"/>
      <c r="LWY10" s="651"/>
      <c r="LWZ10" s="651"/>
      <c r="LXA10" s="651"/>
      <c r="LXB10" s="651"/>
      <c r="LXC10" s="651"/>
      <c r="LXD10" s="651"/>
      <c r="LXE10" s="651"/>
      <c r="LXF10" s="651"/>
      <c r="LXG10" s="651"/>
      <c r="LXH10" s="651"/>
      <c r="LXI10" s="651"/>
      <c r="LXJ10" s="651"/>
      <c r="LXK10" s="651"/>
      <c r="LXL10" s="651"/>
      <c r="LXM10" s="651"/>
      <c r="LXN10" s="651"/>
      <c r="LXO10" s="651"/>
      <c r="LXP10" s="651"/>
      <c r="LXQ10" s="651"/>
      <c r="LXR10" s="651"/>
      <c r="LXS10" s="651"/>
      <c r="LXT10" s="651"/>
      <c r="LXU10" s="651"/>
      <c r="LXV10" s="651"/>
      <c r="LXW10" s="651"/>
      <c r="LXX10" s="651"/>
      <c r="LXY10" s="651"/>
      <c r="LXZ10" s="651"/>
      <c r="LYA10" s="651"/>
      <c r="LYB10" s="651"/>
      <c r="LYC10" s="651"/>
      <c r="LYD10" s="651"/>
      <c r="LYE10" s="651"/>
      <c r="LYF10" s="651"/>
      <c r="LYG10" s="651"/>
      <c r="LYH10" s="651"/>
      <c r="LYI10" s="651"/>
      <c r="LYJ10" s="651"/>
      <c r="LYK10" s="651"/>
      <c r="LYL10" s="651"/>
      <c r="LYM10" s="651"/>
      <c r="LYN10" s="651"/>
      <c r="LYO10" s="651"/>
      <c r="LYP10" s="651"/>
      <c r="LYQ10" s="651"/>
      <c r="LYR10" s="651"/>
      <c r="LYS10" s="651"/>
      <c r="LYT10" s="651"/>
      <c r="LYU10" s="651"/>
      <c r="LYV10" s="651"/>
      <c r="LYW10" s="651"/>
      <c r="LYX10" s="651"/>
      <c r="LYY10" s="651"/>
      <c r="LYZ10" s="651"/>
      <c r="LZA10" s="651"/>
      <c r="LZB10" s="651"/>
      <c r="LZC10" s="651"/>
      <c r="LZD10" s="651"/>
      <c r="LZE10" s="651"/>
      <c r="LZF10" s="651"/>
      <c r="LZG10" s="651"/>
      <c r="LZH10" s="651"/>
      <c r="LZI10" s="651"/>
      <c r="LZJ10" s="651"/>
      <c r="LZK10" s="651"/>
      <c r="LZL10" s="651"/>
      <c r="LZM10" s="651"/>
      <c r="LZN10" s="651"/>
      <c r="LZO10" s="651"/>
      <c r="LZP10" s="651"/>
      <c r="LZQ10" s="651"/>
      <c r="LZR10" s="651"/>
      <c r="LZS10" s="651"/>
      <c r="LZT10" s="651"/>
      <c r="LZU10" s="651"/>
      <c r="LZV10" s="651"/>
      <c r="LZW10" s="651"/>
      <c r="LZX10" s="651"/>
      <c r="LZY10" s="651"/>
      <c r="LZZ10" s="651"/>
      <c r="MAA10" s="651"/>
      <c r="MAB10" s="651"/>
      <c r="MAC10" s="651"/>
      <c r="MAD10" s="651"/>
      <c r="MAE10" s="651"/>
      <c r="MAF10" s="651"/>
      <c r="MAG10" s="651"/>
      <c r="MAH10" s="651"/>
      <c r="MAI10" s="651"/>
      <c r="MAJ10" s="651"/>
      <c r="MAK10" s="651"/>
      <c r="MAL10" s="651"/>
      <c r="MAM10" s="651"/>
      <c r="MAN10" s="651"/>
      <c r="MAO10" s="651"/>
      <c r="MAP10" s="651"/>
      <c r="MAQ10" s="651"/>
      <c r="MAR10" s="651"/>
      <c r="MAS10" s="651"/>
      <c r="MAT10" s="651"/>
      <c r="MAU10" s="651"/>
      <c r="MAV10" s="651"/>
      <c r="MAW10" s="651"/>
      <c r="MAX10" s="651"/>
      <c r="MAY10" s="651"/>
      <c r="MAZ10" s="651"/>
      <c r="MBA10" s="651"/>
      <c r="MBB10" s="651"/>
      <c r="MBC10" s="651"/>
      <c r="MBD10" s="651"/>
      <c r="MBE10" s="651"/>
      <c r="MBF10" s="651"/>
      <c r="MBG10" s="651"/>
      <c r="MBH10" s="651"/>
      <c r="MBI10" s="651"/>
      <c r="MBJ10" s="651"/>
      <c r="MBK10" s="651"/>
      <c r="MBL10" s="651"/>
      <c r="MBM10" s="651"/>
      <c r="MBN10" s="651"/>
      <c r="MBO10" s="651"/>
      <c r="MBP10" s="651"/>
      <c r="MBQ10" s="651"/>
      <c r="MBR10" s="651"/>
      <c r="MBS10" s="651"/>
      <c r="MBT10" s="651"/>
      <c r="MBU10" s="651"/>
      <c r="MBV10" s="651"/>
      <c r="MBW10" s="651"/>
      <c r="MBX10" s="651"/>
      <c r="MBY10" s="651"/>
      <c r="MBZ10" s="651"/>
      <c r="MCA10" s="651"/>
      <c r="MCB10" s="651"/>
      <c r="MCC10" s="651"/>
      <c r="MCD10" s="651"/>
      <c r="MCE10" s="651"/>
      <c r="MCF10" s="651"/>
      <c r="MCG10" s="651"/>
      <c r="MCH10" s="651"/>
      <c r="MCI10" s="651"/>
      <c r="MCJ10" s="651"/>
      <c r="MCK10" s="651"/>
      <c r="MCL10" s="651"/>
      <c r="MCM10" s="651"/>
      <c r="MCN10" s="651"/>
      <c r="MCO10" s="651"/>
      <c r="MCP10" s="651"/>
      <c r="MCQ10" s="651"/>
      <c r="MCR10" s="651"/>
      <c r="MCS10" s="651"/>
      <c r="MCT10" s="651"/>
      <c r="MCU10" s="651"/>
      <c r="MCV10" s="651"/>
      <c r="MCW10" s="651"/>
      <c r="MCX10" s="651"/>
      <c r="MCY10" s="651"/>
      <c r="MCZ10" s="651"/>
      <c r="MDA10" s="651"/>
      <c r="MDB10" s="651"/>
      <c r="MDC10" s="651"/>
      <c r="MDD10" s="651"/>
      <c r="MDE10" s="651"/>
      <c r="MDF10" s="651"/>
      <c r="MDG10" s="651"/>
      <c r="MDH10" s="651"/>
      <c r="MDI10" s="651"/>
      <c r="MDJ10" s="651"/>
      <c r="MDK10" s="651"/>
      <c r="MDL10" s="651"/>
      <c r="MDM10" s="651"/>
      <c r="MDN10" s="651"/>
      <c r="MDO10" s="651"/>
      <c r="MDP10" s="651"/>
      <c r="MDQ10" s="651"/>
      <c r="MDR10" s="651"/>
      <c r="MDS10" s="651"/>
      <c r="MDT10" s="651"/>
      <c r="MDU10" s="651"/>
      <c r="MDV10" s="651"/>
      <c r="MDW10" s="651"/>
      <c r="MDX10" s="651"/>
      <c r="MDY10" s="651"/>
      <c r="MDZ10" s="651"/>
      <c r="MEA10" s="651"/>
      <c r="MEB10" s="651"/>
      <c r="MEC10" s="651"/>
      <c r="MED10" s="651"/>
      <c r="MEE10" s="651"/>
      <c r="MEF10" s="651"/>
      <c r="MEG10" s="651"/>
      <c r="MEH10" s="651"/>
      <c r="MEI10" s="651"/>
      <c r="MEJ10" s="651"/>
      <c r="MEK10" s="651"/>
      <c r="MEL10" s="651"/>
      <c r="MEM10" s="651"/>
      <c r="MEN10" s="651"/>
      <c r="MEO10" s="651"/>
      <c r="MEP10" s="651"/>
      <c r="MEQ10" s="651"/>
      <c r="MER10" s="651"/>
      <c r="MES10" s="651"/>
      <c r="MET10" s="651"/>
      <c r="MEU10" s="651"/>
      <c r="MEV10" s="651"/>
      <c r="MEW10" s="651"/>
      <c r="MEX10" s="651"/>
      <c r="MEY10" s="651"/>
      <c r="MEZ10" s="651"/>
      <c r="MFA10" s="651"/>
      <c r="MFB10" s="651"/>
      <c r="MFC10" s="651"/>
      <c r="MFD10" s="651"/>
      <c r="MFE10" s="651"/>
      <c r="MFF10" s="651"/>
      <c r="MFG10" s="651"/>
      <c r="MFH10" s="651"/>
      <c r="MFI10" s="651"/>
      <c r="MFJ10" s="651"/>
      <c r="MFK10" s="651"/>
      <c r="MFL10" s="651"/>
      <c r="MFM10" s="651"/>
      <c r="MFN10" s="651"/>
      <c r="MFO10" s="651"/>
      <c r="MFP10" s="651"/>
      <c r="MFQ10" s="651"/>
      <c r="MFR10" s="651"/>
      <c r="MFS10" s="651"/>
      <c r="MFT10" s="651"/>
      <c r="MFU10" s="651"/>
      <c r="MFV10" s="651"/>
      <c r="MFW10" s="651"/>
      <c r="MFX10" s="651"/>
      <c r="MFY10" s="651"/>
      <c r="MFZ10" s="651"/>
      <c r="MGA10" s="651"/>
      <c r="MGB10" s="651"/>
      <c r="MGC10" s="651"/>
      <c r="MGD10" s="651"/>
      <c r="MGE10" s="651"/>
      <c r="MGF10" s="651"/>
      <c r="MGG10" s="651"/>
      <c r="MGH10" s="651"/>
      <c r="MGI10" s="651"/>
      <c r="MGJ10" s="651"/>
      <c r="MGK10" s="651"/>
      <c r="MGL10" s="651"/>
      <c r="MGM10" s="651"/>
      <c r="MGN10" s="651"/>
      <c r="MGO10" s="651"/>
      <c r="MGP10" s="651"/>
      <c r="MGQ10" s="651"/>
      <c r="MGR10" s="651"/>
      <c r="MGS10" s="651"/>
      <c r="MGT10" s="651"/>
      <c r="MGU10" s="651"/>
      <c r="MGV10" s="651"/>
      <c r="MGW10" s="651"/>
      <c r="MGX10" s="651"/>
      <c r="MGY10" s="651"/>
      <c r="MGZ10" s="651"/>
      <c r="MHA10" s="651"/>
      <c r="MHB10" s="651"/>
      <c r="MHC10" s="651"/>
      <c r="MHD10" s="651"/>
      <c r="MHE10" s="651"/>
      <c r="MHF10" s="651"/>
      <c r="MHG10" s="651"/>
      <c r="MHH10" s="651"/>
      <c r="MHI10" s="651"/>
      <c r="MHJ10" s="651"/>
      <c r="MHK10" s="651"/>
      <c r="MHL10" s="651"/>
      <c r="MHM10" s="651"/>
      <c r="MHN10" s="651"/>
      <c r="MHO10" s="651"/>
      <c r="MHP10" s="651"/>
      <c r="MHQ10" s="651"/>
      <c r="MHR10" s="651"/>
      <c r="MHS10" s="651"/>
      <c r="MHT10" s="651"/>
      <c r="MHU10" s="651"/>
      <c r="MHV10" s="651"/>
      <c r="MHW10" s="651"/>
      <c r="MHX10" s="651"/>
      <c r="MHY10" s="651"/>
      <c r="MHZ10" s="651"/>
      <c r="MIA10" s="651"/>
      <c r="MIB10" s="651"/>
      <c r="MIC10" s="651"/>
      <c r="MID10" s="651"/>
      <c r="MIE10" s="651"/>
      <c r="MIF10" s="651"/>
      <c r="MIG10" s="651"/>
      <c r="MIH10" s="651"/>
      <c r="MII10" s="651"/>
      <c r="MIJ10" s="651"/>
      <c r="MIK10" s="651"/>
      <c r="MIL10" s="651"/>
      <c r="MIM10" s="651"/>
      <c r="MIN10" s="651"/>
      <c r="MIO10" s="651"/>
      <c r="MIP10" s="651"/>
      <c r="MIQ10" s="651"/>
      <c r="MIR10" s="651"/>
      <c r="MIS10" s="651"/>
      <c r="MIT10" s="651"/>
      <c r="MIU10" s="651"/>
      <c r="MIV10" s="651"/>
      <c r="MIW10" s="651"/>
      <c r="MIX10" s="651"/>
      <c r="MIY10" s="651"/>
      <c r="MIZ10" s="651"/>
      <c r="MJA10" s="651"/>
      <c r="MJB10" s="651"/>
      <c r="MJC10" s="651"/>
      <c r="MJD10" s="651"/>
      <c r="MJE10" s="651"/>
      <c r="MJF10" s="651"/>
      <c r="MJG10" s="651"/>
      <c r="MJH10" s="651"/>
      <c r="MJI10" s="651"/>
      <c r="MJJ10" s="651"/>
      <c r="MJK10" s="651"/>
      <c r="MJL10" s="651"/>
      <c r="MJM10" s="651"/>
      <c r="MJN10" s="651"/>
      <c r="MJO10" s="651"/>
      <c r="MJP10" s="651"/>
      <c r="MJQ10" s="651"/>
      <c r="MJR10" s="651"/>
      <c r="MJS10" s="651"/>
      <c r="MJT10" s="651"/>
      <c r="MJU10" s="651"/>
      <c r="MJV10" s="651"/>
      <c r="MJW10" s="651"/>
      <c r="MJX10" s="651"/>
      <c r="MJY10" s="651"/>
      <c r="MJZ10" s="651"/>
      <c r="MKA10" s="651"/>
      <c r="MKB10" s="651"/>
      <c r="MKC10" s="651"/>
      <c r="MKD10" s="651"/>
      <c r="MKE10" s="651"/>
      <c r="MKF10" s="651"/>
      <c r="MKG10" s="651"/>
      <c r="MKH10" s="651"/>
      <c r="MKI10" s="651"/>
      <c r="MKJ10" s="651"/>
      <c r="MKK10" s="651"/>
      <c r="MKL10" s="651"/>
      <c r="MKM10" s="651"/>
      <c r="MKN10" s="651"/>
      <c r="MKO10" s="651"/>
      <c r="MKP10" s="651"/>
      <c r="MKQ10" s="651"/>
      <c r="MKR10" s="651"/>
      <c r="MKS10" s="651"/>
      <c r="MKT10" s="651"/>
      <c r="MKU10" s="651"/>
      <c r="MKV10" s="651"/>
      <c r="MKW10" s="651"/>
      <c r="MKX10" s="651"/>
      <c r="MKY10" s="651"/>
      <c r="MKZ10" s="651"/>
      <c r="MLA10" s="651"/>
      <c r="MLB10" s="651"/>
      <c r="MLC10" s="651"/>
      <c r="MLD10" s="651"/>
      <c r="MLE10" s="651"/>
      <c r="MLF10" s="651"/>
      <c r="MLG10" s="651"/>
      <c r="MLH10" s="651"/>
      <c r="MLI10" s="651"/>
      <c r="MLJ10" s="651"/>
      <c r="MLK10" s="651"/>
      <c r="MLL10" s="651"/>
      <c r="MLM10" s="651"/>
      <c r="MLN10" s="651"/>
      <c r="MLO10" s="651"/>
      <c r="MLP10" s="651"/>
      <c r="MLQ10" s="651"/>
      <c r="MLR10" s="651"/>
      <c r="MLS10" s="651"/>
      <c r="MLT10" s="651"/>
      <c r="MLU10" s="651"/>
      <c r="MLV10" s="651"/>
      <c r="MLW10" s="651"/>
      <c r="MLX10" s="651"/>
      <c r="MLY10" s="651"/>
      <c r="MLZ10" s="651"/>
      <c r="MMA10" s="651"/>
      <c r="MMB10" s="651"/>
      <c r="MMC10" s="651"/>
      <c r="MMD10" s="651"/>
      <c r="MME10" s="651"/>
      <c r="MMF10" s="651"/>
      <c r="MMG10" s="651"/>
      <c r="MMH10" s="651"/>
      <c r="MMI10" s="651"/>
      <c r="MMJ10" s="651"/>
      <c r="MMK10" s="651"/>
      <c r="MML10" s="651"/>
      <c r="MMM10" s="651"/>
      <c r="MMN10" s="651"/>
      <c r="MMO10" s="651"/>
      <c r="MMP10" s="651"/>
      <c r="MMQ10" s="651"/>
      <c r="MMR10" s="651"/>
      <c r="MMS10" s="651"/>
      <c r="MMT10" s="651"/>
      <c r="MMU10" s="651"/>
      <c r="MMV10" s="651"/>
      <c r="MMW10" s="651"/>
      <c r="MMX10" s="651"/>
      <c r="MMY10" s="651"/>
      <c r="MMZ10" s="651"/>
      <c r="MNA10" s="651"/>
      <c r="MNB10" s="651"/>
      <c r="MNC10" s="651"/>
      <c r="MND10" s="651"/>
      <c r="MNE10" s="651"/>
      <c r="MNF10" s="651"/>
      <c r="MNG10" s="651"/>
      <c r="MNH10" s="651"/>
      <c r="MNI10" s="651"/>
      <c r="MNJ10" s="651"/>
      <c r="MNK10" s="651"/>
      <c r="MNL10" s="651"/>
      <c r="MNM10" s="651"/>
      <c r="MNN10" s="651"/>
      <c r="MNO10" s="651"/>
      <c r="MNP10" s="651"/>
      <c r="MNQ10" s="651"/>
      <c r="MNR10" s="651"/>
      <c r="MNS10" s="651"/>
      <c r="MNT10" s="651"/>
      <c r="MNU10" s="651"/>
      <c r="MNV10" s="651"/>
      <c r="MNW10" s="651"/>
      <c r="MNX10" s="651"/>
      <c r="MNY10" s="651"/>
      <c r="MNZ10" s="651"/>
      <c r="MOA10" s="651"/>
      <c r="MOB10" s="651"/>
      <c r="MOC10" s="651"/>
      <c r="MOD10" s="651"/>
      <c r="MOE10" s="651"/>
      <c r="MOF10" s="651"/>
      <c r="MOG10" s="651"/>
      <c r="MOH10" s="651"/>
      <c r="MOI10" s="651"/>
      <c r="MOJ10" s="651"/>
      <c r="MOK10" s="651"/>
      <c r="MOL10" s="651"/>
      <c r="MOM10" s="651"/>
      <c r="MON10" s="651"/>
      <c r="MOO10" s="651"/>
      <c r="MOP10" s="651"/>
      <c r="MOQ10" s="651"/>
      <c r="MOR10" s="651"/>
      <c r="MOS10" s="651"/>
      <c r="MOT10" s="651"/>
      <c r="MOU10" s="651"/>
      <c r="MOV10" s="651"/>
      <c r="MOW10" s="651"/>
      <c r="MOX10" s="651"/>
      <c r="MOY10" s="651"/>
      <c r="MOZ10" s="651"/>
      <c r="MPA10" s="651"/>
      <c r="MPB10" s="651"/>
      <c r="MPC10" s="651"/>
      <c r="MPD10" s="651"/>
      <c r="MPE10" s="651"/>
      <c r="MPF10" s="651"/>
      <c r="MPG10" s="651"/>
      <c r="MPH10" s="651"/>
      <c r="MPI10" s="651"/>
      <c r="MPJ10" s="651"/>
      <c r="MPK10" s="651"/>
      <c r="MPL10" s="651"/>
      <c r="MPM10" s="651"/>
      <c r="MPN10" s="651"/>
      <c r="MPO10" s="651"/>
      <c r="MPP10" s="651"/>
      <c r="MPQ10" s="651"/>
      <c r="MPR10" s="651"/>
      <c r="MPS10" s="651"/>
      <c r="MPT10" s="651"/>
      <c r="MPU10" s="651"/>
      <c r="MPV10" s="651"/>
      <c r="MPW10" s="651"/>
      <c r="MPX10" s="651"/>
      <c r="MPY10" s="651"/>
      <c r="MPZ10" s="651"/>
      <c r="MQA10" s="651"/>
      <c r="MQB10" s="651"/>
      <c r="MQC10" s="651"/>
      <c r="MQD10" s="651"/>
      <c r="MQE10" s="651"/>
      <c r="MQF10" s="651"/>
      <c r="MQG10" s="651"/>
      <c r="MQH10" s="651"/>
      <c r="MQI10" s="651"/>
      <c r="MQJ10" s="651"/>
      <c r="MQK10" s="651"/>
      <c r="MQL10" s="651"/>
      <c r="MQM10" s="651"/>
      <c r="MQN10" s="651"/>
      <c r="MQO10" s="651"/>
      <c r="MQP10" s="651"/>
      <c r="MQQ10" s="651"/>
      <c r="MQR10" s="651"/>
      <c r="MQS10" s="651"/>
      <c r="MQT10" s="651"/>
      <c r="MQU10" s="651"/>
      <c r="MQV10" s="651"/>
      <c r="MQW10" s="651"/>
      <c r="MQX10" s="651"/>
      <c r="MQY10" s="651"/>
      <c r="MQZ10" s="651"/>
      <c r="MRA10" s="651"/>
      <c r="MRB10" s="651"/>
      <c r="MRC10" s="651"/>
      <c r="MRD10" s="651"/>
      <c r="MRE10" s="651"/>
      <c r="MRF10" s="651"/>
      <c r="MRG10" s="651"/>
      <c r="MRH10" s="651"/>
      <c r="MRI10" s="651"/>
      <c r="MRJ10" s="651"/>
      <c r="MRK10" s="651"/>
      <c r="MRL10" s="651"/>
      <c r="MRM10" s="651"/>
      <c r="MRN10" s="651"/>
      <c r="MRO10" s="651"/>
      <c r="MRP10" s="651"/>
      <c r="MRQ10" s="651"/>
      <c r="MRR10" s="651"/>
      <c r="MRS10" s="651"/>
      <c r="MRT10" s="651"/>
      <c r="MRU10" s="651"/>
      <c r="MRV10" s="651"/>
      <c r="MRW10" s="651"/>
      <c r="MRX10" s="651"/>
      <c r="MRY10" s="651"/>
      <c r="MRZ10" s="651"/>
      <c r="MSA10" s="651"/>
      <c r="MSB10" s="651"/>
      <c r="MSC10" s="651"/>
      <c r="MSD10" s="651"/>
      <c r="MSE10" s="651"/>
      <c r="MSF10" s="651"/>
      <c r="MSG10" s="651"/>
      <c r="MSH10" s="651"/>
      <c r="MSI10" s="651"/>
      <c r="MSJ10" s="651"/>
      <c r="MSK10" s="651"/>
      <c r="MSL10" s="651"/>
      <c r="MSM10" s="651"/>
      <c r="MSN10" s="651"/>
      <c r="MSO10" s="651"/>
      <c r="MSP10" s="651"/>
      <c r="MSQ10" s="651"/>
      <c r="MSR10" s="651"/>
      <c r="MSS10" s="651"/>
      <c r="MST10" s="651"/>
      <c r="MSU10" s="651"/>
      <c r="MSV10" s="651"/>
      <c r="MSW10" s="651"/>
      <c r="MSX10" s="651"/>
      <c r="MSY10" s="651"/>
      <c r="MSZ10" s="651"/>
      <c r="MTA10" s="651"/>
      <c r="MTB10" s="651"/>
      <c r="MTC10" s="651"/>
      <c r="MTD10" s="651"/>
      <c r="MTE10" s="651"/>
      <c r="MTF10" s="651"/>
      <c r="MTG10" s="651"/>
      <c r="MTH10" s="651"/>
      <c r="MTI10" s="651"/>
      <c r="MTJ10" s="651"/>
      <c r="MTK10" s="651"/>
      <c r="MTL10" s="651"/>
      <c r="MTM10" s="651"/>
      <c r="MTN10" s="651"/>
      <c r="MTO10" s="651"/>
      <c r="MTP10" s="651"/>
      <c r="MTQ10" s="651"/>
      <c r="MTR10" s="651"/>
      <c r="MTS10" s="651"/>
      <c r="MTT10" s="651"/>
      <c r="MTU10" s="651"/>
      <c r="MTV10" s="651"/>
      <c r="MTW10" s="651"/>
      <c r="MTX10" s="651"/>
      <c r="MTY10" s="651"/>
      <c r="MTZ10" s="651"/>
      <c r="MUA10" s="651"/>
      <c r="MUB10" s="651"/>
      <c r="MUC10" s="651"/>
      <c r="MUD10" s="651"/>
      <c r="MUE10" s="651"/>
      <c r="MUF10" s="651"/>
      <c r="MUG10" s="651"/>
      <c r="MUH10" s="651"/>
      <c r="MUI10" s="651"/>
      <c r="MUJ10" s="651"/>
      <c r="MUK10" s="651"/>
      <c r="MUL10" s="651"/>
      <c r="MUM10" s="651"/>
      <c r="MUN10" s="651"/>
      <c r="MUO10" s="651"/>
      <c r="MUP10" s="651"/>
      <c r="MUQ10" s="651"/>
      <c r="MUR10" s="651"/>
      <c r="MUS10" s="651"/>
      <c r="MUT10" s="651"/>
      <c r="MUU10" s="651"/>
      <c r="MUV10" s="651"/>
      <c r="MUW10" s="651"/>
      <c r="MUX10" s="651"/>
      <c r="MUY10" s="651"/>
      <c r="MUZ10" s="651"/>
      <c r="MVA10" s="651"/>
      <c r="MVB10" s="651"/>
      <c r="MVC10" s="651"/>
      <c r="MVD10" s="651"/>
      <c r="MVE10" s="651"/>
      <c r="MVF10" s="651"/>
      <c r="MVG10" s="651"/>
      <c r="MVH10" s="651"/>
      <c r="MVI10" s="651"/>
      <c r="MVJ10" s="651"/>
      <c r="MVK10" s="651"/>
      <c r="MVL10" s="651"/>
      <c r="MVM10" s="651"/>
      <c r="MVN10" s="651"/>
      <c r="MVO10" s="651"/>
      <c r="MVP10" s="651"/>
      <c r="MVQ10" s="651"/>
      <c r="MVR10" s="651"/>
      <c r="MVS10" s="651"/>
      <c r="MVT10" s="651"/>
      <c r="MVU10" s="651"/>
      <c r="MVV10" s="651"/>
      <c r="MVW10" s="651"/>
      <c r="MVX10" s="651"/>
      <c r="MVY10" s="651"/>
      <c r="MVZ10" s="651"/>
      <c r="MWA10" s="651"/>
      <c r="MWB10" s="651"/>
      <c r="MWC10" s="651"/>
      <c r="MWD10" s="651"/>
      <c r="MWE10" s="651"/>
      <c r="MWF10" s="651"/>
      <c r="MWG10" s="651"/>
      <c r="MWH10" s="651"/>
      <c r="MWI10" s="651"/>
      <c r="MWJ10" s="651"/>
      <c r="MWK10" s="651"/>
      <c r="MWL10" s="651"/>
      <c r="MWM10" s="651"/>
      <c r="MWN10" s="651"/>
      <c r="MWO10" s="651"/>
      <c r="MWP10" s="651"/>
      <c r="MWQ10" s="651"/>
      <c r="MWR10" s="651"/>
      <c r="MWS10" s="651"/>
      <c r="MWT10" s="651"/>
      <c r="MWU10" s="651"/>
      <c r="MWV10" s="651"/>
      <c r="MWW10" s="651"/>
      <c r="MWX10" s="651"/>
      <c r="MWY10" s="651"/>
      <c r="MWZ10" s="651"/>
      <c r="MXA10" s="651"/>
      <c r="MXB10" s="651"/>
      <c r="MXC10" s="651"/>
      <c r="MXD10" s="651"/>
      <c r="MXE10" s="651"/>
      <c r="MXF10" s="651"/>
      <c r="MXG10" s="651"/>
      <c r="MXH10" s="651"/>
      <c r="MXI10" s="651"/>
      <c r="MXJ10" s="651"/>
      <c r="MXK10" s="651"/>
      <c r="MXL10" s="651"/>
      <c r="MXM10" s="651"/>
      <c r="MXN10" s="651"/>
      <c r="MXO10" s="651"/>
      <c r="MXP10" s="651"/>
      <c r="MXQ10" s="651"/>
      <c r="MXR10" s="651"/>
      <c r="MXS10" s="651"/>
      <c r="MXT10" s="651"/>
      <c r="MXU10" s="651"/>
      <c r="MXV10" s="651"/>
      <c r="MXW10" s="651"/>
      <c r="MXX10" s="651"/>
      <c r="MXY10" s="651"/>
      <c r="MXZ10" s="651"/>
      <c r="MYA10" s="651"/>
      <c r="MYB10" s="651"/>
      <c r="MYC10" s="651"/>
      <c r="MYD10" s="651"/>
      <c r="MYE10" s="651"/>
      <c r="MYF10" s="651"/>
      <c r="MYG10" s="651"/>
      <c r="MYH10" s="651"/>
      <c r="MYI10" s="651"/>
      <c r="MYJ10" s="651"/>
      <c r="MYK10" s="651"/>
      <c r="MYL10" s="651"/>
      <c r="MYM10" s="651"/>
      <c r="MYN10" s="651"/>
      <c r="MYO10" s="651"/>
      <c r="MYP10" s="651"/>
      <c r="MYQ10" s="651"/>
      <c r="MYR10" s="651"/>
      <c r="MYS10" s="651"/>
      <c r="MYT10" s="651"/>
      <c r="MYU10" s="651"/>
      <c r="MYV10" s="651"/>
      <c r="MYW10" s="651"/>
      <c r="MYX10" s="651"/>
      <c r="MYY10" s="651"/>
      <c r="MYZ10" s="651"/>
      <c r="MZA10" s="651"/>
      <c r="MZB10" s="651"/>
      <c r="MZC10" s="651"/>
      <c r="MZD10" s="651"/>
      <c r="MZE10" s="651"/>
      <c r="MZF10" s="651"/>
      <c r="MZG10" s="651"/>
      <c r="MZH10" s="651"/>
      <c r="MZI10" s="651"/>
      <c r="MZJ10" s="651"/>
      <c r="MZK10" s="651"/>
      <c r="MZL10" s="651"/>
      <c r="MZM10" s="651"/>
      <c r="MZN10" s="651"/>
      <c r="MZO10" s="651"/>
      <c r="MZP10" s="651"/>
      <c r="MZQ10" s="651"/>
      <c r="MZR10" s="651"/>
      <c r="MZS10" s="651"/>
      <c r="MZT10" s="651"/>
      <c r="MZU10" s="651"/>
      <c r="MZV10" s="651"/>
      <c r="MZW10" s="651"/>
      <c r="MZX10" s="651"/>
      <c r="MZY10" s="651"/>
      <c r="MZZ10" s="651"/>
      <c r="NAA10" s="651"/>
      <c r="NAB10" s="651"/>
      <c r="NAC10" s="651"/>
      <c r="NAD10" s="651"/>
      <c r="NAE10" s="651"/>
      <c r="NAF10" s="651"/>
      <c r="NAG10" s="651"/>
      <c r="NAH10" s="651"/>
      <c r="NAI10" s="651"/>
      <c r="NAJ10" s="651"/>
      <c r="NAK10" s="651"/>
      <c r="NAL10" s="651"/>
      <c r="NAM10" s="651"/>
      <c r="NAN10" s="651"/>
      <c r="NAO10" s="651"/>
      <c r="NAP10" s="651"/>
      <c r="NAQ10" s="651"/>
      <c r="NAR10" s="651"/>
      <c r="NAS10" s="651"/>
      <c r="NAT10" s="651"/>
      <c r="NAU10" s="651"/>
      <c r="NAV10" s="651"/>
      <c r="NAW10" s="651"/>
      <c r="NAX10" s="651"/>
      <c r="NAY10" s="651"/>
      <c r="NAZ10" s="651"/>
      <c r="NBA10" s="651"/>
      <c r="NBB10" s="651"/>
      <c r="NBC10" s="651"/>
      <c r="NBD10" s="651"/>
      <c r="NBE10" s="651"/>
      <c r="NBF10" s="651"/>
      <c r="NBG10" s="651"/>
      <c r="NBH10" s="651"/>
      <c r="NBI10" s="651"/>
      <c r="NBJ10" s="651"/>
      <c r="NBK10" s="651"/>
      <c r="NBL10" s="651"/>
      <c r="NBM10" s="651"/>
      <c r="NBN10" s="651"/>
      <c r="NBO10" s="651"/>
      <c r="NBP10" s="651"/>
      <c r="NBQ10" s="651"/>
      <c r="NBR10" s="651"/>
      <c r="NBS10" s="651"/>
      <c r="NBT10" s="651"/>
      <c r="NBU10" s="651"/>
      <c r="NBV10" s="651"/>
      <c r="NBW10" s="651"/>
      <c r="NBX10" s="651"/>
      <c r="NBY10" s="651"/>
      <c r="NBZ10" s="651"/>
      <c r="NCA10" s="651"/>
      <c r="NCB10" s="651"/>
      <c r="NCC10" s="651"/>
      <c r="NCD10" s="651"/>
      <c r="NCE10" s="651"/>
      <c r="NCF10" s="651"/>
      <c r="NCG10" s="651"/>
      <c r="NCH10" s="651"/>
      <c r="NCI10" s="651"/>
      <c r="NCJ10" s="651"/>
      <c r="NCK10" s="651"/>
      <c r="NCL10" s="651"/>
      <c r="NCM10" s="651"/>
      <c r="NCN10" s="651"/>
      <c r="NCO10" s="651"/>
      <c r="NCP10" s="651"/>
      <c r="NCQ10" s="651"/>
      <c r="NCR10" s="651"/>
      <c r="NCS10" s="651"/>
      <c r="NCT10" s="651"/>
      <c r="NCU10" s="651"/>
      <c r="NCV10" s="651"/>
      <c r="NCW10" s="651"/>
      <c r="NCX10" s="651"/>
      <c r="NCY10" s="651"/>
      <c r="NCZ10" s="651"/>
      <c r="NDA10" s="651"/>
      <c r="NDB10" s="651"/>
      <c r="NDC10" s="651"/>
      <c r="NDD10" s="651"/>
      <c r="NDE10" s="651"/>
      <c r="NDF10" s="651"/>
      <c r="NDG10" s="651"/>
      <c r="NDH10" s="651"/>
      <c r="NDI10" s="651"/>
      <c r="NDJ10" s="651"/>
      <c r="NDK10" s="651"/>
      <c r="NDL10" s="651"/>
      <c r="NDM10" s="651"/>
      <c r="NDN10" s="651"/>
      <c r="NDO10" s="651"/>
      <c r="NDP10" s="651"/>
      <c r="NDQ10" s="651"/>
      <c r="NDR10" s="651"/>
      <c r="NDS10" s="651"/>
      <c r="NDT10" s="651"/>
      <c r="NDU10" s="651"/>
      <c r="NDV10" s="651"/>
      <c r="NDW10" s="651"/>
      <c r="NDX10" s="651"/>
      <c r="NDY10" s="651"/>
      <c r="NDZ10" s="651"/>
      <c r="NEA10" s="651"/>
      <c r="NEB10" s="651"/>
      <c r="NEC10" s="651"/>
      <c r="NED10" s="651"/>
      <c r="NEE10" s="651"/>
      <c r="NEF10" s="651"/>
      <c r="NEG10" s="651"/>
      <c r="NEH10" s="651"/>
      <c r="NEI10" s="651"/>
      <c r="NEJ10" s="651"/>
      <c r="NEK10" s="651"/>
      <c r="NEL10" s="651"/>
      <c r="NEM10" s="651"/>
      <c r="NEN10" s="651"/>
      <c r="NEO10" s="651"/>
      <c r="NEP10" s="651"/>
      <c r="NEQ10" s="651"/>
      <c r="NER10" s="651"/>
      <c r="NES10" s="651"/>
      <c r="NET10" s="651"/>
      <c r="NEU10" s="651"/>
      <c r="NEV10" s="651"/>
      <c r="NEW10" s="651"/>
      <c r="NEX10" s="651"/>
      <c r="NEY10" s="651"/>
      <c r="NEZ10" s="651"/>
      <c r="NFA10" s="651"/>
      <c r="NFB10" s="651"/>
      <c r="NFC10" s="651"/>
      <c r="NFD10" s="651"/>
      <c r="NFE10" s="651"/>
      <c r="NFF10" s="651"/>
      <c r="NFG10" s="651"/>
      <c r="NFH10" s="651"/>
      <c r="NFI10" s="651"/>
      <c r="NFJ10" s="651"/>
      <c r="NFK10" s="651"/>
      <c r="NFL10" s="651"/>
      <c r="NFM10" s="651"/>
      <c r="NFN10" s="651"/>
      <c r="NFO10" s="651"/>
      <c r="NFP10" s="651"/>
      <c r="NFQ10" s="651"/>
      <c r="NFR10" s="651"/>
      <c r="NFS10" s="651"/>
      <c r="NFT10" s="651"/>
      <c r="NFU10" s="651"/>
      <c r="NFV10" s="651"/>
      <c r="NFW10" s="651"/>
      <c r="NFX10" s="651"/>
      <c r="NFY10" s="651"/>
      <c r="NFZ10" s="651"/>
      <c r="NGA10" s="651"/>
      <c r="NGB10" s="651"/>
      <c r="NGC10" s="651"/>
      <c r="NGD10" s="651"/>
      <c r="NGE10" s="651"/>
      <c r="NGF10" s="651"/>
      <c r="NGG10" s="651"/>
      <c r="NGH10" s="651"/>
      <c r="NGI10" s="651"/>
      <c r="NGJ10" s="651"/>
      <c r="NGK10" s="651"/>
      <c r="NGL10" s="651"/>
      <c r="NGM10" s="651"/>
      <c r="NGN10" s="651"/>
      <c r="NGO10" s="651"/>
      <c r="NGP10" s="651"/>
      <c r="NGQ10" s="651"/>
      <c r="NGR10" s="651"/>
      <c r="NGS10" s="651"/>
      <c r="NGT10" s="651"/>
      <c r="NGU10" s="651"/>
      <c r="NGV10" s="651"/>
      <c r="NGW10" s="651"/>
      <c r="NGX10" s="651"/>
      <c r="NGY10" s="651"/>
      <c r="NGZ10" s="651"/>
      <c r="NHA10" s="651"/>
      <c r="NHB10" s="651"/>
      <c r="NHC10" s="651"/>
      <c r="NHD10" s="651"/>
      <c r="NHE10" s="651"/>
      <c r="NHF10" s="651"/>
      <c r="NHG10" s="651"/>
      <c r="NHH10" s="651"/>
      <c r="NHI10" s="651"/>
      <c r="NHJ10" s="651"/>
      <c r="NHK10" s="651"/>
      <c r="NHL10" s="651"/>
      <c r="NHM10" s="651"/>
      <c r="NHN10" s="651"/>
      <c r="NHO10" s="651"/>
      <c r="NHP10" s="651"/>
      <c r="NHQ10" s="651"/>
      <c r="NHR10" s="651"/>
      <c r="NHS10" s="651"/>
      <c r="NHT10" s="651"/>
      <c r="NHU10" s="651"/>
      <c r="NHV10" s="651"/>
      <c r="NHW10" s="651"/>
      <c r="NHX10" s="651"/>
      <c r="NHY10" s="651"/>
      <c r="NHZ10" s="651"/>
      <c r="NIA10" s="651"/>
      <c r="NIB10" s="651"/>
      <c r="NIC10" s="651"/>
      <c r="NID10" s="651"/>
      <c r="NIE10" s="651"/>
      <c r="NIF10" s="651"/>
      <c r="NIG10" s="651"/>
      <c r="NIH10" s="651"/>
      <c r="NII10" s="651"/>
      <c r="NIJ10" s="651"/>
      <c r="NIK10" s="651"/>
      <c r="NIL10" s="651"/>
      <c r="NIM10" s="651"/>
      <c r="NIN10" s="651"/>
      <c r="NIO10" s="651"/>
      <c r="NIP10" s="651"/>
      <c r="NIQ10" s="651"/>
      <c r="NIR10" s="651"/>
      <c r="NIS10" s="651"/>
      <c r="NIT10" s="651"/>
      <c r="NIU10" s="651"/>
      <c r="NIV10" s="651"/>
      <c r="NIW10" s="651"/>
      <c r="NIX10" s="651"/>
      <c r="NIY10" s="651"/>
      <c r="NIZ10" s="651"/>
      <c r="NJA10" s="651"/>
      <c r="NJB10" s="651"/>
      <c r="NJC10" s="651"/>
      <c r="NJD10" s="651"/>
      <c r="NJE10" s="651"/>
      <c r="NJF10" s="651"/>
      <c r="NJG10" s="651"/>
      <c r="NJH10" s="651"/>
      <c r="NJI10" s="651"/>
      <c r="NJJ10" s="651"/>
      <c r="NJK10" s="651"/>
      <c r="NJL10" s="651"/>
      <c r="NJM10" s="651"/>
      <c r="NJN10" s="651"/>
      <c r="NJO10" s="651"/>
      <c r="NJP10" s="651"/>
      <c r="NJQ10" s="651"/>
      <c r="NJR10" s="651"/>
      <c r="NJS10" s="651"/>
      <c r="NJT10" s="651"/>
      <c r="NJU10" s="651"/>
      <c r="NJV10" s="651"/>
      <c r="NJW10" s="651"/>
      <c r="NJX10" s="651"/>
      <c r="NJY10" s="651"/>
      <c r="NJZ10" s="651"/>
      <c r="NKA10" s="651"/>
      <c r="NKB10" s="651"/>
      <c r="NKC10" s="651"/>
      <c r="NKD10" s="651"/>
      <c r="NKE10" s="651"/>
      <c r="NKF10" s="651"/>
      <c r="NKG10" s="651"/>
      <c r="NKH10" s="651"/>
      <c r="NKI10" s="651"/>
      <c r="NKJ10" s="651"/>
      <c r="NKK10" s="651"/>
      <c r="NKL10" s="651"/>
      <c r="NKM10" s="651"/>
      <c r="NKN10" s="651"/>
      <c r="NKO10" s="651"/>
      <c r="NKP10" s="651"/>
      <c r="NKQ10" s="651"/>
      <c r="NKR10" s="651"/>
      <c r="NKS10" s="651"/>
      <c r="NKT10" s="651"/>
      <c r="NKU10" s="651"/>
      <c r="NKV10" s="651"/>
      <c r="NKW10" s="651"/>
      <c r="NKX10" s="651"/>
      <c r="NKY10" s="651"/>
      <c r="NKZ10" s="651"/>
      <c r="NLA10" s="651"/>
      <c r="NLB10" s="651"/>
      <c r="NLC10" s="651"/>
      <c r="NLD10" s="651"/>
      <c r="NLE10" s="651"/>
      <c r="NLF10" s="651"/>
      <c r="NLG10" s="651"/>
      <c r="NLH10" s="651"/>
      <c r="NLI10" s="651"/>
      <c r="NLJ10" s="651"/>
      <c r="NLK10" s="651"/>
      <c r="NLL10" s="651"/>
      <c r="NLM10" s="651"/>
      <c r="NLN10" s="651"/>
      <c r="NLO10" s="651"/>
      <c r="NLP10" s="651"/>
      <c r="NLQ10" s="651"/>
      <c r="NLR10" s="651"/>
      <c r="NLS10" s="651"/>
      <c r="NLT10" s="651"/>
      <c r="NLU10" s="651"/>
      <c r="NLV10" s="651"/>
      <c r="NLW10" s="651"/>
      <c r="NLX10" s="651"/>
      <c r="NLY10" s="651"/>
      <c r="NLZ10" s="651"/>
      <c r="NMA10" s="651"/>
      <c r="NMB10" s="651"/>
      <c r="NMC10" s="651"/>
      <c r="NMD10" s="651"/>
      <c r="NME10" s="651"/>
      <c r="NMF10" s="651"/>
      <c r="NMG10" s="651"/>
      <c r="NMH10" s="651"/>
      <c r="NMI10" s="651"/>
      <c r="NMJ10" s="651"/>
      <c r="NMK10" s="651"/>
      <c r="NML10" s="651"/>
      <c r="NMM10" s="651"/>
      <c r="NMN10" s="651"/>
      <c r="NMO10" s="651"/>
      <c r="NMP10" s="651"/>
      <c r="NMQ10" s="651"/>
      <c r="NMR10" s="651"/>
      <c r="NMS10" s="651"/>
      <c r="NMT10" s="651"/>
      <c r="NMU10" s="651"/>
      <c r="NMV10" s="651"/>
      <c r="NMW10" s="651"/>
      <c r="NMX10" s="651"/>
      <c r="NMY10" s="651"/>
      <c r="NMZ10" s="651"/>
      <c r="NNA10" s="651"/>
      <c r="NNB10" s="651"/>
      <c r="NNC10" s="651"/>
      <c r="NND10" s="651"/>
      <c r="NNE10" s="651"/>
      <c r="NNF10" s="651"/>
      <c r="NNG10" s="651"/>
      <c r="NNH10" s="651"/>
      <c r="NNI10" s="651"/>
      <c r="NNJ10" s="651"/>
      <c r="NNK10" s="651"/>
      <c r="NNL10" s="651"/>
      <c r="NNM10" s="651"/>
      <c r="NNN10" s="651"/>
      <c r="NNO10" s="651"/>
      <c r="NNP10" s="651"/>
      <c r="NNQ10" s="651"/>
      <c r="NNR10" s="651"/>
      <c r="NNS10" s="651"/>
      <c r="NNT10" s="651"/>
      <c r="NNU10" s="651"/>
      <c r="NNV10" s="651"/>
      <c r="NNW10" s="651"/>
      <c r="NNX10" s="651"/>
      <c r="NNY10" s="651"/>
      <c r="NNZ10" s="651"/>
      <c r="NOA10" s="651"/>
      <c r="NOB10" s="651"/>
      <c r="NOC10" s="651"/>
      <c r="NOD10" s="651"/>
      <c r="NOE10" s="651"/>
      <c r="NOF10" s="651"/>
      <c r="NOG10" s="651"/>
      <c r="NOH10" s="651"/>
      <c r="NOI10" s="651"/>
      <c r="NOJ10" s="651"/>
      <c r="NOK10" s="651"/>
      <c r="NOL10" s="651"/>
      <c r="NOM10" s="651"/>
      <c r="NON10" s="651"/>
      <c r="NOO10" s="651"/>
      <c r="NOP10" s="651"/>
      <c r="NOQ10" s="651"/>
      <c r="NOR10" s="651"/>
      <c r="NOS10" s="651"/>
      <c r="NOT10" s="651"/>
      <c r="NOU10" s="651"/>
      <c r="NOV10" s="651"/>
      <c r="NOW10" s="651"/>
      <c r="NOX10" s="651"/>
      <c r="NOY10" s="651"/>
      <c r="NOZ10" s="651"/>
      <c r="NPA10" s="651"/>
      <c r="NPB10" s="651"/>
      <c r="NPC10" s="651"/>
      <c r="NPD10" s="651"/>
      <c r="NPE10" s="651"/>
      <c r="NPF10" s="651"/>
      <c r="NPG10" s="651"/>
      <c r="NPH10" s="651"/>
      <c r="NPI10" s="651"/>
      <c r="NPJ10" s="651"/>
      <c r="NPK10" s="651"/>
      <c r="NPL10" s="651"/>
      <c r="NPM10" s="651"/>
      <c r="NPN10" s="651"/>
      <c r="NPO10" s="651"/>
      <c r="NPP10" s="651"/>
      <c r="NPQ10" s="651"/>
      <c r="NPR10" s="651"/>
      <c r="NPS10" s="651"/>
      <c r="NPT10" s="651"/>
      <c r="NPU10" s="651"/>
      <c r="NPV10" s="651"/>
      <c r="NPW10" s="651"/>
      <c r="NPX10" s="651"/>
      <c r="NPY10" s="651"/>
      <c r="NPZ10" s="651"/>
      <c r="NQA10" s="651"/>
      <c r="NQB10" s="651"/>
      <c r="NQC10" s="651"/>
      <c r="NQD10" s="651"/>
      <c r="NQE10" s="651"/>
      <c r="NQF10" s="651"/>
      <c r="NQG10" s="651"/>
      <c r="NQH10" s="651"/>
      <c r="NQI10" s="651"/>
      <c r="NQJ10" s="651"/>
      <c r="NQK10" s="651"/>
      <c r="NQL10" s="651"/>
      <c r="NQM10" s="651"/>
      <c r="NQN10" s="651"/>
      <c r="NQO10" s="651"/>
      <c r="NQP10" s="651"/>
      <c r="NQQ10" s="651"/>
      <c r="NQR10" s="651"/>
      <c r="NQS10" s="651"/>
      <c r="NQT10" s="651"/>
      <c r="NQU10" s="651"/>
      <c r="NQV10" s="651"/>
      <c r="NQW10" s="651"/>
      <c r="NQX10" s="651"/>
      <c r="NQY10" s="651"/>
      <c r="NQZ10" s="651"/>
      <c r="NRA10" s="651"/>
      <c r="NRB10" s="651"/>
      <c r="NRC10" s="651"/>
      <c r="NRD10" s="651"/>
      <c r="NRE10" s="651"/>
      <c r="NRF10" s="651"/>
      <c r="NRG10" s="651"/>
      <c r="NRH10" s="651"/>
      <c r="NRI10" s="651"/>
      <c r="NRJ10" s="651"/>
      <c r="NRK10" s="651"/>
      <c r="NRL10" s="651"/>
      <c r="NRM10" s="651"/>
      <c r="NRN10" s="651"/>
      <c r="NRO10" s="651"/>
      <c r="NRP10" s="651"/>
      <c r="NRQ10" s="651"/>
      <c r="NRR10" s="651"/>
      <c r="NRS10" s="651"/>
      <c r="NRT10" s="651"/>
      <c r="NRU10" s="651"/>
      <c r="NRV10" s="651"/>
      <c r="NRW10" s="651"/>
      <c r="NRX10" s="651"/>
      <c r="NRY10" s="651"/>
      <c r="NRZ10" s="651"/>
      <c r="NSA10" s="651"/>
      <c r="NSB10" s="651"/>
      <c r="NSC10" s="651"/>
      <c r="NSD10" s="651"/>
      <c r="NSE10" s="651"/>
      <c r="NSF10" s="651"/>
      <c r="NSG10" s="651"/>
      <c r="NSH10" s="651"/>
      <c r="NSI10" s="651"/>
      <c r="NSJ10" s="651"/>
      <c r="NSK10" s="651"/>
      <c r="NSL10" s="651"/>
      <c r="NSM10" s="651"/>
      <c r="NSN10" s="651"/>
      <c r="NSO10" s="651"/>
      <c r="NSP10" s="651"/>
      <c r="NSQ10" s="651"/>
      <c r="NSR10" s="651"/>
      <c r="NSS10" s="651"/>
      <c r="NST10" s="651"/>
      <c r="NSU10" s="651"/>
      <c r="NSV10" s="651"/>
      <c r="NSW10" s="651"/>
      <c r="NSX10" s="651"/>
      <c r="NSY10" s="651"/>
      <c r="NSZ10" s="651"/>
      <c r="NTA10" s="651"/>
      <c r="NTB10" s="651"/>
      <c r="NTC10" s="651"/>
      <c r="NTD10" s="651"/>
      <c r="NTE10" s="651"/>
      <c r="NTF10" s="651"/>
      <c r="NTG10" s="651"/>
      <c r="NTH10" s="651"/>
      <c r="NTI10" s="651"/>
      <c r="NTJ10" s="651"/>
      <c r="NTK10" s="651"/>
      <c r="NTL10" s="651"/>
      <c r="NTM10" s="651"/>
      <c r="NTN10" s="651"/>
      <c r="NTO10" s="651"/>
      <c r="NTP10" s="651"/>
      <c r="NTQ10" s="651"/>
      <c r="NTR10" s="651"/>
      <c r="NTS10" s="651"/>
      <c r="NTT10" s="651"/>
      <c r="NTU10" s="651"/>
      <c r="NTV10" s="651"/>
      <c r="NTW10" s="651"/>
      <c r="NTX10" s="651"/>
      <c r="NTY10" s="651"/>
      <c r="NTZ10" s="651"/>
      <c r="NUA10" s="651"/>
      <c r="NUB10" s="651"/>
      <c r="NUC10" s="651"/>
      <c r="NUD10" s="651"/>
      <c r="NUE10" s="651"/>
      <c r="NUF10" s="651"/>
      <c r="NUG10" s="651"/>
      <c r="NUH10" s="651"/>
      <c r="NUI10" s="651"/>
      <c r="NUJ10" s="651"/>
      <c r="NUK10" s="651"/>
      <c r="NUL10" s="651"/>
      <c r="NUM10" s="651"/>
      <c r="NUN10" s="651"/>
      <c r="NUO10" s="651"/>
      <c r="NUP10" s="651"/>
      <c r="NUQ10" s="651"/>
      <c r="NUR10" s="651"/>
      <c r="NUS10" s="651"/>
      <c r="NUT10" s="651"/>
      <c r="NUU10" s="651"/>
      <c r="NUV10" s="651"/>
      <c r="NUW10" s="651"/>
      <c r="NUX10" s="651"/>
      <c r="NUY10" s="651"/>
      <c r="NUZ10" s="651"/>
      <c r="NVA10" s="651"/>
      <c r="NVB10" s="651"/>
      <c r="NVC10" s="651"/>
      <c r="NVD10" s="651"/>
      <c r="NVE10" s="651"/>
      <c r="NVF10" s="651"/>
      <c r="NVG10" s="651"/>
      <c r="NVH10" s="651"/>
      <c r="NVI10" s="651"/>
      <c r="NVJ10" s="651"/>
      <c r="NVK10" s="651"/>
      <c r="NVL10" s="651"/>
      <c r="NVM10" s="651"/>
      <c r="NVN10" s="651"/>
      <c r="NVO10" s="651"/>
      <c r="NVP10" s="651"/>
      <c r="NVQ10" s="651"/>
      <c r="NVR10" s="651"/>
      <c r="NVS10" s="651"/>
      <c r="NVT10" s="651"/>
      <c r="NVU10" s="651"/>
      <c r="NVV10" s="651"/>
      <c r="NVW10" s="651"/>
      <c r="NVX10" s="651"/>
      <c r="NVY10" s="651"/>
      <c r="NVZ10" s="651"/>
      <c r="NWA10" s="651"/>
      <c r="NWB10" s="651"/>
      <c r="NWC10" s="651"/>
      <c r="NWD10" s="651"/>
      <c r="NWE10" s="651"/>
      <c r="NWF10" s="651"/>
      <c r="NWG10" s="651"/>
      <c r="NWH10" s="651"/>
      <c r="NWI10" s="651"/>
      <c r="NWJ10" s="651"/>
      <c r="NWK10" s="651"/>
      <c r="NWL10" s="651"/>
      <c r="NWM10" s="651"/>
      <c r="NWN10" s="651"/>
      <c r="NWO10" s="651"/>
      <c r="NWP10" s="651"/>
      <c r="NWQ10" s="651"/>
      <c r="NWR10" s="651"/>
      <c r="NWS10" s="651"/>
      <c r="NWT10" s="651"/>
      <c r="NWU10" s="651"/>
      <c r="NWV10" s="651"/>
      <c r="NWW10" s="651"/>
      <c r="NWX10" s="651"/>
      <c r="NWY10" s="651"/>
      <c r="NWZ10" s="651"/>
      <c r="NXA10" s="651"/>
      <c r="NXB10" s="651"/>
      <c r="NXC10" s="651"/>
      <c r="NXD10" s="651"/>
      <c r="NXE10" s="651"/>
      <c r="NXF10" s="651"/>
      <c r="NXG10" s="651"/>
      <c r="NXH10" s="651"/>
      <c r="NXI10" s="651"/>
      <c r="NXJ10" s="651"/>
      <c r="NXK10" s="651"/>
      <c r="NXL10" s="651"/>
      <c r="NXM10" s="651"/>
      <c r="NXN10" s="651"/>
      <c r="NXO10" s="651"/>
      <c r="NXP10" s="651"/>
      <c r="NXQ10" s="651"/>
      <c r="NXR10" s="651"/>
      <c r="NXS10" s="651"/>
      <c r="NXT10" s="651"/>
      <c r="NXU10" s="651"/>
      <c r="NXV10" s="651"/>
      <c r="NXW10" s="651"/>
      <c r="NXX10" s="651"/>
      <c r="NXY10" s="651"/>
      <c r="NXZ10" s="651"/>
      <c r="NYA10" s="651"/>
      <c r="NYB10" s="651"/>
      <c r="NYC10" s="651"/>
      <c r="NYD10" s="651"/>
      <c r="NYE10" s="651"/>
      <c r="NYF10" s="651"/>
      <c r="NYG10" s="651"/>
      <c r="NYH10" s="651"/>
      <c r="NYI10" s="651"/>
      <c r="NYJ10" s="651"/>
      <c r="NYK10" s="651"/>
      <c r="NYL10" s="651"/>
      <c r="NYM10" s="651"/>
      <c r="NYN10" s="651"/>
      <c r="NYO10" s="651"/>
      <c r="NYP10" s="651"/>
      <c r="NYQ10" s="651"/>
      <c r="NYR10" s="651"/>
      <c r="NYS10" s="651"/>
      <c r="NYT10" s="651"/>
      <c r="NYU10" s="651"/>
      <c r="NYV10" s="651"/>
      <c r="NYW10" s="651"/>
      <c r="NYX10" s="651"/>
      <c r="NYY10" s="651"/>
      <c r="NYZ10" s="651"/>
      <c r="NZA10" s="651"/>
      <c r="NZB10" s="651"/>
      <c r="NZC10" s="651"/>
      <c r="NZD10" s="651"/>
      <c r="NZE10" s="651"/>
      <c r="NZF10" s="651"/>
      <c r="NZG10" s="651"/>
      <c r="NZH10" s="651"/>
      <c r="NZI10" s="651"/>
      <c r="NZJ10" s="651"/>
      <c r="NZK10" s="651"/>
      <c r="NZL10" s="651"/>
      <c r="NZM10" s="651"/>
      <c r="NZN10" s="651"/>
      <c r="NZO10" s="651"/>
      <c r="NZP10" s="651"/>
      <c r="NZQ10" s="651"/>
      <c r="NZR10" s="651"/>
      <c r="NZS10" s="651"/>
      <c r="NZT10" s="651"/>
      <c r="NZU10" s="651"/>
      <c r="NZV10" s="651"/>
      <c r="NZW10" s="651"/>
      <c r="NZX10" s="651"/>
      <c r="NZY10" s="651"/>
      <c r="NZZ10" s="651"/>
      <c r="OAA10" s="651"/>
      <c r="OAB10" s="651"/>
      <c r="OAC10" s="651"/>
      <c r="OAD10" s="651"/>
      <c r="OAE10" s="651"/>
      <c r="OAF10" s="651"/>
      <c r="OAG10" s="651"/>
      <c r="OAH10" s="651"/>
      <c r="OAI10" s="651"/>
      <c r="OAJ10" s="651"/>
      <c r="OAK10" s="651"/>
      <c r="OAL10" s="651"/>
      <c r="OAM10" s="651"/>
      <c r="OAN10" s="651"/>
      <c r="OAO10" s="651"/>
      <c r="OAP10" s="651"/>
      <c r="OAQ10" s="651"/>
      <c r="OAR10" s="651"/>
      <c r="OAS10" s="651"/>
      <c r="OAT10" s="651"/>
      <c r="OAU10" s="651"/>
      <c r="OAV10" s="651"/>
      <c r="OAW10" s="651"/>
      <c r="OAX10" s="651"/>
      <c r="OAY10" s="651"/>
      <c r="OAZ10" s="651"/>
      <c r="OBA10" s="651"/>
      <c r="OBB10" s="651"/>
      <c r="OBC10" s="651"/>
      <c r="OBD10" s="651"/>
      <c r="OBE10" s="651"/>
      <c r="OBF10" s="651"/>
      <c r="OBG10" s="651"/>
      <c r="OBH10" s="651"/>
      <c r="OBI10" s="651"/>
      <c r="OBJ10" s="651"/>
      <c r="OBK10" s="651"/>
      <c r="OBL10" s="651"/>
      <c r="OBM10" s="651"/>
      <c r="OBN10" s="651"/>
      <c r="OBO10" s="651"/>
      <c r="OBP10" s="651"/>
      <c r="OBQ10" s="651"/>
      <c r="OBR10" s="651"/>
      <c r="OBS10" s="651"/>
      <c r="OBT10" s="651"/>
      <c r="OBU10" s="651"/>
      <c r="OBV10" s="651"/>
      <c r="OBW10" s="651"/>
      <c r="OBX10" s="651"/>
      <c r="OBY10" s="651"/>
      <c r="OBZ10" s="651"/>
      <c r="OCA10" s="651"/>
      <c r="OCB10" s="651"/>
      <c r="OCC10" s="651"/>
      <c r="OCD10" s="651"/>
      <c r="OCE10" s="651"/>
      <c r="OCF10" s="651"/>
      <c r="OCG10" s="651"/>
      <c r="OCH10" s="651"/>
      <c r="OCI10" s="651"/>
      <c r="OCJ10" s="651"/>
      <c r="OCK10" s="651"/>
      <c r="OCL10" s="651"/>
      <c r="OCM10" s="651"/>
      <c r="OCN10" s="651"/>
      <c r="OCO10" s="651"/>
      <c r="OCP10" s="651"/>
      <c r="OCQ10" s="651"/>
      <c r="OCR10" s="651"/>
      <c r="OCS10" s="651"/>
      <c r="OCT10" s="651"/>
      <c r="OCU10" s="651"/>
      <c r="OCV10" s="651"/>
      <c r="OCW10" s="651"/>
      <c r="OCX10" s="651"/>
      <c r="OCY10" s="651"/>
      <c r="OCZ10" s="651"/>
      <c r="ODA10" s="651"/>
      <c r="ODB10" s="651"/>
      <c r="ODC10" s="651"/>
      <c r="ODD10" s="651"/>
      <c r="ODE10" s="651"/>
      <c r="ODF10" s="651"/>
      <c r="ODG10" s="651"/>
      <c r="ODH10" s="651"/>
      <c r="ODI10" s="651"/>
      <c r="ODJ10" s="651"/>
      <c r="ODK10" s="651"/>
      <c r="ODL10" s="651"/>
      <c r="ODM10" s="651"/>
      <c r="ODN10" s="651"/>
      <c r="ODO10" s="651"/>
      <c r="ODP10" s="651"/>
      <c r="ODQ10" s="651"/>
      <c r="ODR10" s="651"/>
      <c r="ODS10" s="651"/>
      <c r="ODT10" s="651"/>
      <c r="ODU10" s="651"/>
      <c r="ODV10" s="651"/>
      <c r="ODW10" s="651"/>
      <c r="ODX10" s="651"/>
      <c r="ODY10" s="651"/>
      <c r="ODZ10" s="651"/>
      <c r="OEA10" s="651"/>
      <c r="OEB10" s="651"/>
      <c r="OEC10" s="651"/>
      <c r="OED10" s="651"/>
      <c r="OEE10" s="651"/>
      <c r="OEF10" s="651"/>
      <c r="OEG10" s="651"/>
      <c r="OEH10" s="651"/>
      <c r="OEI10" s="651"/>
      <c r="OEJ10" s="651"/>
      <c r="OEK10" s="651"/>
      <c r="OEL10" s="651"/>
      <c r="OEM10" s="651"/>
      <c r="OEN10" s="651"/>
      <c r="OEO10" s="651"/>
      <c r="OEP10" s="651"/>
      <c r="OEQ10" s="651"/>
      <c r="OER10" s="651"/>
      <c r="OES10" s="651"/>
      <c r="OET10" s="651"/>
      <c r="OEU10" s="651"/>
      <c r="OEV10" s="651"/>
      <c r="OEW10" s="651"/>
      <c r="OEX10" s="651"/>
      <c r="OEY10" s="651"/>
      <c r="OEZ10" s="651"/>
      <c r="OFA10" s="651"/>
      <c r="OFB10" s="651"/>
      <c r="OFC10" s="651"/>
      <c r="OFD10" s="651"/>
      <c r="OFE10" s="651"/>
      <c r="OFF10" s="651"/>
      <c r="OFG10" s="651"/>
      <c r="OFH10" s="651"/>
      <c r="OFI10" s="651"/>
      <c r="OFJ10" s="651"/>
      <c r="OFK10" s="651"/>
      <c r="OFL10" s="651"/>
      <c r="OFM10" s="651"/>
      <c r="OFN10" s="651"/>
      <c r="OFO10" s="651"/>
      <c r="OFP10" s="651"/>
      <c r="OFQ10" s="651"/>
      <c r="OFR10" s="651"/>
      <c r="OFS10" s="651"/>
      <c r="OFT10" s="651"/>
      <c r="OFU10" s="651"/>
      <c r="OFV10" s="651"/>
      <c r="OFW10" s="651"/>
      <c r="OFX10" s="651"/>
      <c r="OFY10" s="651"/>
      <c r="OFZ10" s="651"/>
      <c r="OGA10" s="651"/>
      <c r="OGB10" s="651"/>
      <c r="OGC10" s="651"/>
      <c r="OGD10" s="651"/>
      <c r="OGE10" s="651"/>
      <c r="OGF10" s="651"/>
      <c r="OGG10" s="651"/>
      <c r="OGH10" s="651"/>
      <c r="OGI10" s="651"/>
      <c r="OGJ10" s="651"/>
      <c r="OGK10" s="651"/>
      <c r="OGL10" s="651"/>
      <c r="OGM10" s="651"/>
      <c r="OGN10" s="651"/>
      <c r="OGO10" s="651"/>
      <c r="OGP10" s="651"/>
      <c r="OGQ10" s="651"/>
      <c r="OGR10" s="651"/>
      <c r="OGS10" s="651"/>
      <c r="OGT10" s="651"/>
      <c r="OGU10" s="651"/>
      <c r="OGV10" s="651"/>
      <c r="OGW10" s="651"/>
      <c r="OGX10" s="651"/>
      <c r="OGY10" s="651"/>
      <c r="OGZ10" s="651"/>
      <c r="OHA10" s="651"/>
      <c r="OHB10" s="651"/>
      <c r="OHC10" s="651"/>
      <c r="OHD10" s="651"/>
      <c r="OHE10" s="651"/>
      <c r="OHF10" s="651"/>
      <c r="OHG10" s="651"/>
      <c r="OHH10" s="651"/>
      <c r="OHI10" s="651"/>
      <c r="OHJ10" s="651"/>
      <c r="OHK10" s="651"/>
      <c r="OHL10" s="651"/>
      <c r="OHM10" s="651"/>
      <c r="OHN10" s="651"/>
      <c r="OHO10" s="651"/>
      <c r="OHP10" s="651"/>
      <c r="OHQ10" s="651"/>
      <c r="OHR10" s="651"/>
      <c r="OHS10" s="651"/>
      <c r="OHT10" s="651"/>
      <c r="OHU10" s="651"/>
      <c r="OHV10" s="651"/>
      <c r="OHW10" s="651"/>
      <c r="OHX10" s="651"/>
      <c r="OHY10" s="651"/>
      <c r="OHZ10" s="651"/>
      <c r="OIA10" s="651"/>
      <c r="OIB10" s="651"/>
      <c r="OIC10" s="651"/>
      <c r="OID10" s="651"/>
      <c r="OIE10" s="651"/>
      <c r="OIF10" s="651"/>
      <c r="OIG10" s="651"/>
      <c r="OIH10" s="651"/>
      <c r="OII10" s="651"/>
      <c r="OIJ10" s="651"/>
      <c r="OIK10" s="651"/>
      <c r="OIL10" s="651"/>
      <c r="OIM10" s="651"/>
      <c r="OIN10" s="651"/>
      <c r="OIO10" s="651"/>
      <c r="OIP10" s="651"/>
      <c r="OIQ10" s="651"/>
      <c r="OIR10" s="651"/>
      <c r="OIS10" s="651"/>
      <c r="OIT10" s="651"/>
      <c r="OIU10" s="651"/>
      <c r="OIV10" s="651"/>
      <c r="OIW10" s="651"/>
      <c r="OIX10" s="651"/>
      <c r="OIY10" s="651"/>
      <c r="OIZ10" s="651"/>
      <c r="OJA10" s="651"/>
      <c r="OJB10" s="651"/>
      <c r="OJC10" s="651"/>
      <c r="OJD10" s="651"/>
      <c r="OJE10" s="651"/>
      <c r="OJF10" s="651"/>
      <c r="OJG10" s="651"/>
      <c r="OJH10" s="651"/>
      <c r="OJI10" s="651"/>
      <c r="OJJ10" s="651"/>
      <c r="OJK10" s="651"/>
      <c r="OJL10" s="651"/>
      <c r="OJM10" s="651"/>
      <c r="OJN10" s="651"/>
      <c r="OJO10" s="651"/>
      <c r="OJP10" s="651"/>
      <c r="OJQ10" s="651"/>
      <c r="OJR10" s="651"/>
      <c r="OJS10" s="651"/>
      <c r="OJT10" s="651"/>
      <c r="OJU10" s="651"/>
      <c r="OJV10" s="651"/>
      <c r="OJW10" s="651"/>
      <c r="OJX10" s="651"/>
      <c r="OJY10" s="651"/>
      <c r="OJZ10" s="651"/>
      <c r="OKA10" s="651"/>
      <c r="OKB10" s="651"/>
      <c r="OKC10" s="651"/>
      <c r="OKD10" s="651"/>
      <c r="OKE10" s="651"/>
      <c r="OKF10" s="651"/>
      <c r="OKG10" s="651"/>
      <c r="OKH10" s="651"/>
      <c r="OKI10" s="651"/>
      <c r="OKJ10" s="651"/>
      <c r="OKK10" s="651"/>
      <c r="OKL10" s="651"/>
      <c r="OKM10" s="651"/>
      <c r="OKN10" s="651"/>
      <c r="OKO10" s="651"/>
      <c r="OKP10" s="651"/>
      <c r="OKQ10" s="651"/>
      <c r="OKR10" s="651"/>
      <c r="OKS10" s="651"/>
      <c r="OKT10" s="651"/>
      <c r="OKU10" s="651"/>
      <c r="OKV10" s="651"/>
      <c r="OKW10" s="651"/>
      <c r="OKX10" s="651"/>
      <c r="OKY10" s="651"/>
      <c r="OKZ10" s="651"/>
      <c r="OLA10" s="651"/>
      <c r="OLB10" s="651"/>
      <c r="OLC10" s="651"/>
      <c r="OLD10" s="651"/>
      <c r="OLE10" s="651"/>
      <c r="OLF10" s="651"/>
      <c r="OLG10" s="651"/>
      <c r="OLH10" s="651"/>
      <c r="OLI10" s="651"/>
      <c r="OLJ10" s="651"/>
      <c r="OLK10" s="651"/>
      <c r="OLL10" s="651"/>
      <c r="OLM10" s="651"/>
      <c r="OLN10" s="651"/>
      <c r="OLO10" s="651"/>
      <c r="OLP10" s="651"/>
      <c r="OLQ10" s="651"/>
      <c r="OLR10" s="651"/>
      <c r="OLS10" s="651"/>
      <c r="OLT10" s="651"/>
      <c r="OLU10" s="651"/>
      <c r="OLV10" s="651"/>
      <c r="OLW10" s="651"/>
      <c r="OLX10" s="651"/>
      <c r="OLY10" s="651"/>
      <c r="OLZ10" s="651"/>
      <c r="OMA10" s="651"/>
      <c r="OMB10" s="651"/>
      <c r="OMC10" s="651"/>
      <c r="OMD10" s="651"/>
      <c r="OME10" s="651"/>
      <c r="OMF10" s="651"/>
      <c r="OMG10" s="651"/>
      <c r="OMH10" s="651"/>
      <c r="OMI10" s="651"/>
      <c r="OMJ10" s="651"/>
      <c r="OMK10" s="651"/>
      <c r="OML10" s="651"/>
      <c r="OMM10" s="651"/>
      <c r="OMN10" s="651"/>
      <c r="OMO10" s="651"/>
      <c r="OMP10" s="651"/>
      <c r="OMQ10" s="651"/>
      <c r="OMR10" s="651"/>
      <c r="OMS10" s="651"/>
      <c r="OMT10" s="651"/>
      <c r="OMU10" s="651"/>
      <c r="OMV10" s="651"/>
      <c r="OMW10" s="651"/>
      <c r="OMX10" s="651"/>
      <c r="OMY10" s="651"/>
      <c r="OMZ10" s="651"/>
      <c r="ONA10" s="651"/>
      <c r="ONB10" s="651"/>
      <c r="ONC10" s="651"/>
      <c r="OND10" s="651"/>
      <c r="ONE10" s="651"/>
      <c r="ONF10" s="651"/>
      <c r="ONG10" s="651"/>
      <c r="ONH10" s="651"/>
      <c r="ONI10" s="651"/>
      <c r="ONJ10" s="651"/>
      <c r="ONK10" s="651"/>
      <c r="ONL10" s="651"/>
      <c r="ONM10" s="651"/>
      <c r="ONN10" s="651"/>
      <c r="ONO10" s="651"/>
      <c r="ONP10" s="651"/>
      <c r="ONQ10" s="651"/>
      <c r="ONR10" s="651"/>
      <c r="ONS10" s="651"/>
      <c r="ONT10" s="651"/>
      <c r="ONU10" s="651"/>
      <c r="ONV10" s="651"/>
      <c r="ONW10" s="651"/>
      <c r="ONX10" s="651"/>
      <c r="ONY10" s="651"/>
      <c r="ONZ10" s="651"/>
      <c r="OOA10" s="651"/>
      <c r="OOB10" s="651"/>
      <c r="OOC10" s="651"/>
      <c r="OOD10" s="651"/>
      <c r="OOE10" s="651"/>
      <c r="OOF10" s="651"/>
      <c r="OOG10" s="651"/>
      <c r="OOH10" s="651"/>
      <c r="OOI10" s="651"/>
      <c r="OOJ10" s="651"/>
      <c r="OOK10" s="651"/>
      <c r="OOL10" s="651"/>
      <c r="OOM10" s="651"/>
      <c r="OON10" s="651"/>
      <c r="OOO10" s="651"/>
      <c r="OOP10" s="651"/>
      <c r="OOQ10" s="651"/>
      <c r="OOR10" s="651"/>
      <c r="OOS10" s="651"/>
      <c r="OOT10" s="651"/>
      <c r="OOU10" s="651"/>
      <c r="OOV10" s="651"/>
      <c r="OOW10" s="651"/>
      <c r="OOX10" s="651"/>
      <c r="OOY10" s="651"/>
      <c r="OOZ10" s="651"/>
      <c r="OPA10" s="651"/>
      <c r="OPB10" s="651"/>
      <c r="OPC10" s="651"/>
      <c r="OPD10" s="651"/>
      <c r="OPE10" s="651"/>
      <c r="OPF10" s="651"/>
      <c r="OPG10" s="651"/>
      <c r="OPH10" s="651"/>
      <c r="OPI10" s="651"/>
      <c r="OPJ10" s="651"/>
      <c r="OPK10" s="651"/>
      <c r="OPL10" s="651"/>
      <c r="OPM10" s="651"/>
      <c r="OPN10" s="651"/>
      <c r="OPO10" s="651"/>
      <c r="OPP10" s="651"/>
      <c r="OPQ10" s="651"/>
      <c r="OPR10" s="651"/>
      <c r="OPS10" s="651"/>
      <c r="OPT10" s="651"/>
      <c r="OPU10" s="651"/>
      <c r="OPV10" s="651"/>
      <c r="OPW10" s="651"/>
      <c r="OPX10" s="651"/>
      <c r="OPY10" s="651"/>
      <c r="OPZ10" s="651"/>
      <c r="OQA10" s="651"/>
      <c r="OQB10" s="651"/>
      <c r="OQC10" s="651"/>
      <c r="OQD10" s="651"/>
      <c r="OQE10" s="651"/>
      <c r="OQF10" s="651"/>
      <c r="OQG10" s="651"/>
      <c r="OQH10" s="651"/>
      <c r="OQI10" s="651"/>
      <c r="OQJ10" s="651"/>
      <c r="OQK10" s="651"/>
      <c r="OQL10" s="651"/>
      <c r="OQM10" s="651"/>
      <c r="OQN10" s="651"/>
      <c r="OQO10" s="651"/>
      <c r="OQP10" s="651"/>
      <c r="OQQ10" s="651"/>
      <c r="OQR10" s="651"/>
      <c r="OQS10" s="651"/>
      <c r="OQT10" s="651"/>
      <c r="OQU10" s="651"/>
      <c r="OQV10" s="651"/>
      <c r="OQW10" s="651"/>
      <c r="OQX10" s="651"/>
      <c r="OQY10" s="651"/>
      <c r="OQZ10" s="651"/>
      <c r="ORA10" s="651"/>
      <c r="ORB10" s="651"/>
      <c r="ORC10" s="651"/>
      <c r="ORD10" s="651"/>
      <c r="ORE10" s="651"/>
      <c r="ORF10" s="651"/>
      <c r="ORG10" s="651"/>
      <c r="ORH10" s="651"/>
      <c r="ORI10" s="651"/>
      <c r="ORJ10" s="651"/>
      <c r="ORK10" s="651"/>
      <c r="ORL10" s="651"/>
      <c r="ORM10" s="651"/>
      <c r="ORN10" s="651"/>
      <c r="ORO10" s="651"/>
      <c r="ORP10" s="651"/>
      <c r="ORQ10" s="651"/>
      <c r="ORR10" s="651"/>
      <c r="ORS10" s="651"/>
      <c r="ORT10" s="651"/>
      <c r="ORU10" s="651"/>
      <c r="ORV10" s="651"/>
      <c r="ORW10" s="651"/>
      <c r="ORX10" s="651"/>
      <c r="ORY10" s="651"/>
      <c r="ORZ10" s="651"/>
      <c r="OSA10" s="651"/>
      <c r="OSB10" s="651"/>
      <c r="OSC10" s="651"/>
      <c r="OSD10" s="651"/>
      <c r="OSE10" s="651"/>
      <c r="OSF10" s="651"/>
      <c r="OSG10" s="651"/>
      <c r="OSH10" s="651"/>
      <c r="OSI10" s="651"/>
      <c r="OSJ10" s="651"/>
      <c r="OSK10" s="651"/>
      <c r="OSL10" s="651"/>
      <c r="OSM10" s="651"/>
      <c r="OSN10" s="651"/>
      <c r="OSO10" s="651"/>
      <c r="OSP10" s="651"/>
      <c r="OSQ10" s="651"/>
      <c r="OSR10" s="651"/>
      <c r="OSS10" s="651"/>
      <c r="OST10" s="651"/>
      <c r="OSU10" s="651"/>
      <c r="OSV10" s="651"/>
      <c r="OSW10" s="651"/>
      <c r="OSX10" s="651"/>
      <c r="OSY10" s="651"/>
      <c r="OSZ10" s="651"/>
      <c r="OTA10" s="651"/>
      <c r="OTB10" s="651"/>
      <c r="OTC10" s="651"/>
      <c r="OTD10" s="651"/>
      <c r="OTE10" s="651"/>
      <c r="OTF10" s="651"/>
      <c r="OTG10" s="651"/>
      <c r="OTH10" s="651"/>
      <c r="OTI10" s="651"/>
      <c r="OTJ10" s="651"/>
      <c r="OTK10" s="651"/>
      <c r="OTL10" s="651"/>
      <c r="OTM10" s="651"/>
      <c r="OTN10" s="651"/>
      <c r="OTO10" s="651"/>
      <c r="OTP10" s="651"/>
      <c r="OTQ10" s="651"/>
      <c r="OTR10" s="651"/>
      <c r="OTS10" s="651"/>
      <c r="OTT10" s="651"/>
      <c r="OTU10" s="651"/>
      <c r="OTV10" s="651"/>
      <c r="OTW10" s="651"/>
      <c r="OTX10" s="651"/>
      <c r="OTY10" s="651"/>
      <c r="OTZ10" s="651"/>
      <c r="OUA10" s="651"/>
      <c r="OUB10" s="651"/>
      <c r="OUC10" s="651"/>
      <c r="OUD10" s="651"/>
      <c r="OUE10" s="651"/>
      <c r="OUF10" s="651"/>
      <c r="OUG10" s="651"/>
      <c r="OUH10" s="651"/>
      <c r="OUI10" s="651"/>
      <c r="OUJ10" s="651"/>
      <c r="OUK10" s="651"/>
      <c r="OUL10" s="651"/>
      <c r="OUM10" s="651"/>
      <c r="OUN10" s="651"/>
      <c r="OUO10" s="651"/>
      <c r="OUP10" s="651"/>
      <c r="OUQ10" s="651"/>
      <c r="OUR10" s="651"/>
      <c r="OUS10" s="651"/>
      <c r="OUT10" s="651"/>
      <c r="OUU10" s="651"/>
      <c r="OUV10" s="651"/>
      <c r="OUW10" s="651"/>
      <c r="OUX10" s="651"/>
      <c r="OUY10" s="651"/>
      <c r="OUZ10" s="651"/>
      <c r="OVA10" s="651"/>
      <c r="OVB10" s="651"/>
      <c r="OVC10" s="651"/>
      <c r="OVD10" s="651"/>
      <c r="OVE10" s="651"/>
      <c r="OVF10" s="651"/>
      <c r="OVG10" s="651"/>
      <c r="OVH10" s="651"/>
      <c r="OVI10" s="651"/>
      <c r="OVJ10" s="651"/>
      <c r="OVK10" s="651"/>
      <c r="OVL10" s="651"/>
      <c r="OVM10" s="651"/>
      <c r="OVN10" s="651"/>
      <c r="OVO10" s="651"/>
      <c r="OVP10" s="651"/>
      <c r="OVQ10" s="651"/>
      <c r="OVR10" s="651"/>
      <c r="OVS10" s="651"/>
      <c r="OVT10" s="651"/>
      <c r="OVU10" s="651"/>
      <c r="OVV10" s="651"/>
      <c r="OVW10" s="651"/>
      <c r="OVX10" s="651"/>
      <c r="OVY10" s="651"/>
      <c r="OVZ10" s="651"/>
      <c r="OWA10" s="651"/>
      <c r="OWB10" s="651"/>
      <c r="OWC10" s="651"/>
      <c r="OWD10" s="651"/>
      <c r="OWE10" s="651"/>
      <c r="OWF10" s="651"/>
      <c r="OWG10" s="651"/>
      <c r="OWH10" s="651"/>
      <c r="OWI10" s="651"/>
      <c r="OWJ10" s="651"/>
      <c r="OWK10" s="651"/>
      <c r="OWL10" s="651"/>
      <c r="OWM10" s="651"/>
      <c r="OWN10" s="651"/>
      <c r="OWO10" s="651"/>
      <c r="OWP10" s="651"/>
      <c r="OWQ10" s="651"/>
      <c r="OWR10" s="651"/>
      <c r="OWS10" s="651"/>
      <c r="OWT10" s="651"/>
      <c r="OWU10" s="651"/>
      <c r="OWV10" s="651"/>
      <c r="OWW10" s="651"/>
      <c r="OWX10" s="651"/>
      <c r="OWY10" s="651"/>
      <c r="OWZ10" s="651"/>
      <c r="OXA10" s="651"/>
      <c r="OXB10" s="651"/>
      <c r="OXC10" s="651"/>
      <c r="OXD10" s="651"/>
      <c r="OXE10" s="651"/>
      <c r="OXF10" s="651"/>
      <c r="OXG10" s="651"/>
      <c r="OXH10" s="651"/>
      <c r="OXI10" s="651"/>
      <c r="OXJ10" s="651"/>
      <c r="OXK10" s="651"/>
      <c r="OXL10" s="651"/>
      <c r="OXM10" s="651"/>
      <c r="OXN10" s="651"/>
      <c r="OXO10" s="651"/>
      <c r="OXP10" s="651"/>
      <c r="OXQ10" s="651"/>
      <c r="OXR10" s="651"/>
      <c r="OXS10" s="651"/>
      <c r="OXT10" s="651"/>
      <c r="OXU10" s="651"/>
      <c r="OXV10" s="651"/>
      <c r="OXW10" s="651"/>
      <c r="OXX10" s="651"/>
      <c r="OXY10" s="651"/>
      <c r="OXZ10" s="651"/>
      <c r="OYA10" s="651"/>
      <c r="OYB10" s="651"/>
      <c r="OYC10" s="651"/>
      <c r="OYD10" s="651"/>
      <c r="OYE10" s="651"/>
      <c r="OYF10" s="651"/>
      <c r="OYG10" s="651"/>
      <c r="OYH10" s="651"/>
      <c r="OYI10" s="651"/>
      <c r="OYJ10" s="651"/>
      <c r="OYK10" s="651"/>
      <c r="OYL10" s="651"/>
      <c r="OYM10" s="651"/>
      <c r="OYN10" s="651"/>
      <c r="OYO10" s="651"/>
      <c r="OYP10" s="651"/>
      <c r="OYQ10" s="651"/>
      <c r="OYR10" s="651"/>
      <c r="OYS10" s="651"/>
      <c r="OYT10" s="651"/>
      <c r="OYU10" s="651"/>
      <c r="OYV10" s="651"/>
      <c r="OYW10" s="651"/>
      <c r="OYX10" s="651"/>
      <c r="OYY10" s="651"/>
      <c r="OYZ10" s="651"/>
      <c r="OZA10" s="651"/>
      <c r="OZB10" s="651"/>
      <c r="OZC10" s="651"/>
      <c r="OZD10" s="651"/>
      <c r="OZE10" s="651"/>
      <c r="OZF10" s="651"/>
      <c r="OZG10" s="651"/>
      <c r="OZH10" s="651"/>
      <c r="OZI10" s="651"/>
      <c r="OZJ10" s="651"/>
      <c r="OZK10" s="651"/>
      <c r="OZL10" s="651"/>
      <c r="OZM10" s="651"/>
      <c r="OZN10" s="651"/>
      <c r="OZO10" s="651"/>
      <c r="OZP10" s="651"/>
      <c r="OZQ10" s="651"/>
      <c r="OZR10" s="651"/>
      <c r="OZS10" s="651"/>
      <c r="OZT10" s="651"/>
      <c r="OZU10" s="651"/>
      <c r="OZV10" s="651"/>
      <c r="OZW10" s="651"/>
      <c r="OZX10" s="651"/>
      <c r="OZY10" s="651"/>
      <c r="OZZ10" s="651"/>
      <c r="PAA10" s="651"/>
      <c r="PAB10" s="651"/>
      <c r="PAC10" s="651"/>
      <c r="PAD10" s="651"/>
      <c r="PAE10" s="651"/>
      <c r="PAF10" s="651"/>
      <c r="PAG10" s="651"/>
      <c r="PAH10" s="651"/>
      <c r="PAI10" s="651"/>
      <c r="PAJ10" s="651"/>
      <c r="PAK10" s="651"/>
      <c r="PAL10" s="651"/>
      <c r="PAM10" s="651"/>
      <c r="PAN10" s="651"/>
      <c r="PAO10" s="651"/>
      <c r="PAP10" s="651"/>
      <c r="PAQ10" s="651"/>
      <c r="PAR10" s="651"/>
      <c r="PAS10" s="651"/>
      <c r="PAT10" s="651"/>
      <c r="PAU10" s="651"/>
      <c r="PAV10" s="651"/>
      <c r="PAW10" s="651"/>
      <c r="PAX10" s="651"/>
      <c r="PAY10" s="651"/>
      <c r="PAZ10" s="651"/>
      <c r="PBA10" s="651"/>
      <c r="PBB10" s="651"/>
      <c r="PBC10" s="651"/>
      <c r="PBD10" s="651"/>
      <c r="PBE10" s="651"/>
      <c r="PBF10" s="651"/>
      <c r="PBG10" s="651"/>
      <c r="PBH10" s="651"/>
      <c r="PBI10" s="651"/>
      <c r="PBJ10" s="651"/>
      <c r="PBK10" s="651"/>
      <c r="PBL10" s="651"/>
      <c r="PBM10" s="651"/>
      <c r="PBN10" s="651"/>
      <c r="PBO10" s="651"/>
      <c r="PBP10" s="651"/>
      <c r="PBQ10" s="651"/>
      <c r="PBR10" s="651"/>
      <c r="PBS10" s="651"/>
      <c r="PBT10" s="651"/>
      <c r="PBU10" s="651"/>
      <c r="PBV10" s="651"/>
      <c r="PBW10" s="651"/>
      <c r="PBX10" s="651"/>
      <c r="PBY10" s="651"/>
      <c r="PBZ10" s="651"/>
      <c r="PCA10" s="651"/>
      <c r="PCB10" s="651"/>
      <c r="PCC10" s="651"/>
      <c r="PCD10" s="651"/>
      <c r="PCE10" s="651"/>
      <c r="PCF10" s="651"/>
      <c r="PCG10" s="651"/>
      <c r="PCH10" s="651"/>
      <c r="PCI10" s="651"/>
      <c r="PCJ10" s="651"/>
      <c r="PCK10" s="651"/>
      <c r="PCL10" s="651"/>
      <c r="PCM10" s="651"/>
      <c r="PCN10" s="651"/>
      <c r="PCO10" s="651"/>
      <c r="PCP10" s="651"/>
      <c r="PCQ10" s="651"/>
      <c r="PCR10" s="651"/>
      <c r="PCS10" s="651"/>
      <c r="PCT10" s="651"/>
      <c r="PCU10" s="651"/>
      <c r="PCV10" s="651"/>
      <c r="PCW10" s="651"/>
      <c r="PCX10" s="651"/>
      <c r="PCY10" s="651"/>
      <c r="PCZ10" s="651"/>
      <c r="PDA10" s="651"/>
      <c r="PDB10" s="651"/>
      <c r="PDC10" s="651"/>
      <c r="PDD10" s="651"/>
      <c r="PDE10" s="651"/>
      <c r="PDF10" s="651"/>
      <c r="PDG10" s="651"/>
      <c r="PDH10" s="651"/>
      <c r="PDI10" s="651"/>
      <c r="PDJ10" s="651"/>
      <c r="PDK10" s="651"/>
      <c r="PDL10" s="651"/>
      <c r="PDM10" s="651"/>
      <c r="PDN10" s="651"/>
      <c r="PDO10" s="651"/>
      <c r="PDP10" s="651"/>
      <c r="PDQ10" s="651"/>
      <c r="PDR10" s="651"/>
      <c r="PDS10" s="651"/>
      <c r="PDT10" s="651"/>
      <c r="PDU10" s="651"/>
      <c r="PDV10" s="651"/>
      <c r="PDW10" s="651"/>
      <c r="PDX10" s="651"/>
      <c r="PDY10" s="651"/>
      <c r="PDZ10" s="651"/>
      <c r="PEA10" s="651"/>
      <c r="PEB10" s="651"/>
      <c r="PEC10" s="651"/>
      <c r="PED10" s="651"/>
      <c r="PEE10" s="651"/>
      <c r="PEF10" s="651"/>
      <c r="PEG10" s="651"/>
      <c r="PEH10" s="651"/>
      <c r="PEI10" s="651"/>
      <c r="PEJ10" s="651"/>
      <c r="PEK10" s="651"/>
      <c r="PEL10" s="651"/>
      <c r="PEM10" s="651"/>
      <c r="PEN10" s="651"/>
      <c r="PEO10" s="651"/>
      <c r="PEP10" s="651"/>
      <c r="PEQ10" s="651"/>
      <c r="PER10" s="651"/>
      <c r="PES10" s="651"/>
      <c r="PET10" s="651"/>
      <c r="PEU10" s="651"/>
      <c r="PEV10" s="651"/>
      <c r="PEW10" s="651"/>
      <c r="PEX10" s="651"/>
      <c r="PEY10" s="651"/>
      <c r="PEZ10" s="651"/>
      <c r="PFA10" s="651"/>
      <c r="PFB10" s="651"/>
      <c r="PFC10" s="651"/>
      <c r="PFD10" s="651"/>
      <c r="PFE10" s="651"/>
      <c r="PFF10" s="651"/>
      <c r="PFG10" s="651"/>
      <c r="PFH10" s="651"/>
      <c r="PFI10" s="651"/>
      <c r="PFJ10" s="651"/>
      <c r="PFK10" s="651"/>
      <c r="PFL10" s="651"/>
      <c r="PFM10" s="651"/>
      <c r="PFN10" s="651"/>
      <c r="PFO10" s="651"/>
      <c r="PFP10" s="651"/>
      <c r="PFQ10" s="651"/>
      <c r="PFR10" s="651"/>
      <c r="PFS10" s="651"/>
      <c r="PFT10" s="651"/>
      <c r="PFU10" s="651"/>
      <c r="PFV10" s="651"/>
      <c r="PFW10" s="651"/>
      <c r="PFX10" s="651"/>
      <c r="PFY10" s="651"/>
      <c r="PFZ10" s="651"/>
      <c r="PGA10" s="651"/>
      <c r="PGB10" s="651"/>
      <c r="PGC10" s="651"/>
      <c r="PGD10" s="651"/>
      <c r="PGE10" s="651"/>
      <c r="PGF10" s="651"/>
      <c r="PGG10" s="651"/>
      <c r="PGH10" s="651"/>
      <c r="PGI10" s="651"/>
      <c r="PGJ10" s="651"/>
      <c r="PGK10" s="651"/>
      <c r="PGL10" s="651"/>
      <c r="PGM10" s="651"/>
      <c r="PGN10" s="651"/>
      <c r="PGO10" s="651"/>
      <c r="PGP10" s="651"/>
      <c r="PGQ10" s="651"/>
      <c r="PGR10" s="651"/>
      <c r="PGS10" s="651"/>
      <c r="PGT10" s="651"/>
      <c r="PGU10" s="651"/>
      <c r="PGV10" s="651"/>
      <c r="PGW10" s="651"/>
      <c r="PGX10" s="651"/>
      <c r="PGY10" s="651"/>
      <c r="PGZ10" s="651"/>
      <c r="PHA10" s="651"/>
      <c r="PHB10" s="651"/>
      <c r="PHC10" s="651"/>
      <c r="PHD10" s="651"/>
      <c r="PHE10" s="651"/>
      <c r="PHF10" s="651"/>
      <c r="PHG10" s="651"/>
      <c r="PHH10" s="651"/>
      <c r="PHI10" s="651"/>
      <c r="PHJ10" s="651"/>
      <c r="PHK10" s="651"/>
      <c r="PHL10" s="651"/>
      <c r="PHM10" s="651"/>
      <c r="PHN10" s="651"/>
      <c r="PHO10" s="651"/>
      <c r="PHP10" s="651"/>
      <c r="PHQ10" s="651"/>
      <c r="PHR10" s="651"/>
      <c r="PHS10" s="651"/>
      <c r="PHT10" s="651"/>
      <c r="PHU10" s="651"/>
      <c r="PHV10" s="651"/>
      <c r="PHW10" s="651"/>
      <c r="PHX10" s="651"/>
      <c r="PHY10" s="651"/>
      <c r="PHZ10" s="651"/>
      <c r="PIA10" s="651"/>
      <c r="PIB10" s="651"/>
      <c r="PIC10" s="651"/>
      <c r="PID10" s="651"/>
      <c r="PIE10" s="651"/>
      <c r="PIF10" s="651"/>
      <c r="PIG10" s="651"/>
      <c r="PIH10" s="651"/>
      <c r="PII10" s="651"/>
      <c r="PIJ10" s="651"/>
      <c r="PIK10" s="651"/>
      <c r="PIL10" s="651"/>
      <c r="PIM10" s="651"/>
      <c r="PIN10" s="651"/>
      <c r="PIO10" s="651"/>
      <c r="PIP10" s="651"/>
      <c r="PIQ10" s="651"/>
      <c r="PIR10" s="651"/>
      <c r="PIS10" s="651"/>
      <c r="PIT10" s="651"/>
      <c r="PIU10" s="651"/>
      <c r="PIV10" s="651"/>
      <c r="PIW10" s="651"/>
      <c r="PIX10" s="651"/>
      <c r="PIY10" s="651"/>
      <c r="PIZ10" s="651"/>
      <c r="PJA10" s="651"/>
      <c r="PJB10" s="651"/>
      <c r="PJC10" s="651"/>
      <c r="PJD10" s="651"/>
      <c r="PJE10" s="651"/>
      <c r="PJF10" s="651"/>
      <c r="PJG10" s="651"/>
      <c r="PJH10" s="651"/>
      <c r="PJI10" s="651"/>
      <c r="PJJ10" s="651"/>
      <c r="PJK10" s="651"/>
      <c r="PJL10" s="651"/>
      <c r="PJM10" s="651"/>
      <c r="PJN10" s="651"/>
      <c r="PJO10" s="651"/>
      <c r="PJP10" s="651"/>
      <c r="PJQ10" s="651"/>
      <c r="PJR10" s="651"/>
      <c r="PJS10" s="651"/>
      <c r="PJT10" s="651"/>
      <c r="PJU10" s="651"/>
      <c r="PJV10" s="651"/>
      <c r="PJW10" s="651"/>
      <c r="PJX10" s="651"/>
      <c r="PJY10" s="651"/>
      <c r="PJZ10" s="651"/>
      <c r="PKA10" s="651"/>
      <c r="PKB10" s="651"/>
      <c r="PKC10" s="651"/>
      <c r="PKD10" s="651"/>
      <c r="PKE10" s="651"/>
      <c r="PKF10" s="651"/>
      <c r="PKG10" s="651"/>
      <c r="PKH10" s="651"/>
      <c r="PKI10" s="651"/>
      <c r="PKJ10" s="651"/>
      <c r="PKK10" s="651"/>
      <c r="PKL10" s="651"/>
      <c r="PKM10" s="651"/>
      <c r="PKN10" s="651"/>
      <c r="PKO10" s="651"/>
      <c r="PKP10" s="651"/>
      <c r="PKQ10" s="651"/>
      <c r="PKR10" s="651"/>
      <c r="PKS10" s="651"/>
      <c r="PKT10" s="651"/>
      <c r="PKU10" s="651"/>
      <c r="PKV10" s="651"/>
      <c r="PKW10" s="651"/>
      <c r="PKX10" s="651"/>
      <c r="PKY10" s="651"/>
      <c r="PKZ10" s="651"/>
      <c r="PLA10" s="651"/>
      <c r="PLB10" s="651"/>
      <c r="PLC10" s="651"/>
      <c r="PLD10" s="651"/>
      <c r="PLE10" s="651"/>
      <c r="PLF10" s="651"/>
      <c r="PLG10" s="651"/>
      <c r="PLH10" s="651"/>
      <c r="PLI10" s="651"/>
      <c r="PLJ10" s="651"/>
      <c r="PLK10" s="651"/>
      <c r="PLL10" s="651"/>
      <c r="PLM10" s="651"/>
      <c r="PLN10" s="651"/>
      <c r="PLO10" s="651"/>
      <c r="PLP10" s="651"/>
      <c r="PLQ10" s="651"/>
      <c r="PLR10" s="651"/>
      <c r="PLS10" s="651"/>
      <c r="PLT10" s="651"/>
      <c r="PLU10" s="651"/>
      <c r="PLV10" s="651"/>
      <c r="PLW10" s="651"/>
      <c r="PLX10" s="651"/>
      <c r="PLY10" s="651"/>
      <c r="PLZ10" s="651"/>
      <c r="PMA10" s="651"/>
      <c r="PMB10" s="651"/>
      <c r="PMC10" s="651"/>
      <c r="PMD10" s="651"/>
      <c r="PME10" s="651"/>
      <c r="PMF10" s="651"/>
      <c r="PMG10" s="651"/>
      <c r="PMH10" s="651"/>
      <c r="PMI10" s="651"/>
      <c r="PMJ10" s="651"/>
      <c r="PMK10" s="651"/>
      <c r="PML10" s="651"/>
      <c r="PMM10" s="651"/>
      <c r="PMN10" s="651"/>
      <c r="PMO10" s="651"/>
      <c r="PMP10" s="651"/>
      <c r="PMQ10" s="651"/>
      <c r="PMR10" s="651"/>
      <c r="PMS10" s="651"/>
      <c r="PMT10" s="651"/>
      <c r="PMU10" s="651"/>
      <c r="PMV10" s="651"/>
      <c r="PMW10" s="651"/>
      <c r="PMX10" s="651"/>
      <c r="PMY10" s="651"/>
      <c r="PMZ10" s="651"/>
      <c r="PNA10" s="651"/>
      <c r="PNB10" s="651"/>
      <c r="PNC10" s="651"/>
      <c r="PND10" s="651"/>
      <c r="PNE10" s="651"/>
      <c r="PNF10" s="651"/>
      <c r="PNG10" s="651"/>
      <c r="PNH10" s="651"/>
      <c r="PNI10" s="651"/>
      <c r="PNJ10" s="651"/>
      <c r="PNK10" s="651"/>
      <c r="PNL10" s="651"/>
      <c r="PNM10" s="651"/>
      <c r="PNN10" s="651"/>
      <c r="PNO10" s="651"/>
      <c r="PNP10" s="651"/>
      <c r="PNQ10" s="651"/>
      <c r="PNR10" s="651"/>
      <c r="PNS10" s="651"/>
      <c r="PNT10" s="651"/>
      <c r="PNU10" s="651"/>
      <c r="PNV10" s="651"/>
      <c r="PNW10" s="651"/>
      <c r="PNX10" s="651"/>
      <c r="PNY10" s="651"/>
      <c r="PNZ10" s="651"/>
      <c r="POA10" s="651"/>
      <c r="POB10" s="651"/>
      <c r="POC10" s="651"/>
      <c r="POD10" s="651"/>
      <c r="POE10" s="651"/>
      <c r="POF10" s="651"/>
      <c r="POG10" s="651"/>
      <c r="POH10" s="651"/>
      <c r="POI10" s="651"/>
      <c r="POJ10" s="651"/>
      <c r="POK10" s="651"/>
      <c r="POL10" s="651"/>
      <c r="POM10" s="651"/>
      <c r="PON10" s="651"/>
      <c r="POO10" s="651"/>
      <c r="POP10" s="651"/>
      <c r="POQ10" s="651"/>
      <c r="POR10" s="651"/>
      <c r="POS10" s="651"/>
      <c r="POT10" s="651"/>
      <c r="POU10" s="651"/>
      <c r="POV10" s="651"/>
      <c r="POW10" s="651"/>
      <c r="POX10" s="651"/>
      <c r="POY10" s="651"/>
      <c r="POZ10" s="651"/>
      <c r="PPA10" s="651"/>
      <c r="PPB10" s="651"/>
      <c r="PPC10" s="651"/>
      <c r="PPD10" s="651"/>
      <c r="PPE10" s="651"/>
      <c r="PPF10" s="651"/>
      <c r="PPG10" s="651"/>
      <c r="PPH10" s="651"/>
      <c r="PPI10" s="651"/>
      <c r="PPJ10" s="651"/>
      <c r="PPK10" s="651"/>
      <c r="PPL10" s="651"/>
      <c r="PPM10" s="651"/>
      <c r="PPN10" s="651"/>
      <c r="PPO10" s="651"/>
      <c r="PPP10" s="651"/>
      <c r="PPQ10" s="651"/>
      <c r="PPR10" s="651"/>
      <c r="PPS10" s="651"/>
      <c r="PPT10" s="651"/>
      <c r="PPU10" s="651"/>
      <c r="PPV10" s="651"/>
      <c r="PPW10" s="651"/>
      <c r="PPX10" s="651"/>
      <c r="PPY10" s="651"/>
      <c r="PPZ10" s="651"/>
      <c r="PQA10" s="651"/>
      <c r="PQB10" s="651"/>
      <c r="PQC10" s="651"/>
      <c r="PQD10" s="651"/>
      <c r="PQE10" s="651"/>
      <c r="PQF10" s="651"/>
      <c r="PQG10" s="651"/>
      <c r="PQH10" s="651"/>
      <c r="PQI10" s="651"/>
      <c r="PQJ10" s="651"/>
      <c r="PQK10" s="651"/>
      <c r="PQL10" s="651"/>
      <c r="PQM10" s="651"/>
      <c r="PQN10" s="651"/>
      <c r="PQO10" s="651"/>
      <c r="PQP10" s="651"/>
      <c r="PQQ10" s="651"/>
      <c r="PQR10" s="651"/>
      <c r="PQS10" s="651"/>
      <c r="PQT10" s="651"/>
      <c r="PQU10" s="651"/>
      <c r="PQV10" s="651"/>
      <c r="PQW10" s="651"/>
      <c r="PQX10" s="651"/>
      <c r="PQY10" s="651"/>
      <c r="PQZ10" s="651"/>
      <c r="PRA10" s="651"/>
      <c r="PRB10" s="651"/>
      <c r="PRC10" s="651"/>
      <c r="PRD10" s="651"/>
      <c r="PRE10" s="651"/>
      <c r="PRF10" s="651"/>
      <c r="PRG10" s="651"/>
      <c r="PRH10" s="651"/>
      <c r="PRI10" s="651"/>
      <c r="PRJ10" s="651"/>
      <c r="PRK10" s="651"/>
      <c r="PRL10" s="651"/>
      <c r="PRM10" s="651"/>
      <c r="PRN10" s="651"/>
      <c r="PRO10" s="651"/>
      <c r="PRP10" s="651"/>
      <c r="PRQ10" s="651"/>
      <c r="PRR10" s="651"/>
      <c r="PRS10" s="651"/>
      <c r="PRT10" s="651"/>
      <c r="PRU10" s="651"/>
      <c r="PRV10" s="651"/>
      <c r="PRW10" s="651"/>
      <c r="PRX10" s="651"/>
      <c r="PRY10" s="651"/>
      <c r="PRZ10" s="651"/>
      <c r="PSA10" s="651"/>
      <c r="PSB10" s="651"/>
      <c r="PSC10" s="651"/>
      <c r="PSD10" s="651"/>
      <c r="PSE10" s="651"/>
      <c r="PSF10" s="651"/>
      <c r="PSG10" s="651"/>
      <c r="PSH10" s="651"/>
      <c r="PSI10" s="651"/>
      <c r="PSJ10" s="651"/>
      <c r="PSK10" s="651"/>
      <c r="PSL10" s="651"/>
      <c r="PSM10" s="651"/>
      <c r="PSN10" s="651"/>
      <c r="PSO10" s="651"/>
      <c r="PSP10" s="651"/>
      <c r="PSQ10" s="651"/>
      <c r="PSR10" s="651"/>
      <c r="PSS10" s="651"/>
      <c r="PST10" s="651"/>
      <c r="PSU10" s="651"/>
      <c r="PSV10" s="651"/>
      <c r="PSW10" s="651"/>
      <c r="PSX10" s="651"/>
      <c r="PSY10" s="651"/>
      <c r="PSZ10" s="651"/>
      <c r="PTA10" s="651"/>
      <c r="PTB10" s="651"/>
      <c r="PTC10" s="651"/>
      <c r="PTD10" s="651"/>
      <c r="PTE10" s="651"/>
      <c r="PTF10" s="651"/>
      <c r="PTG10" s="651"/>
      <c r="PTH10" s="651"/>
      <c r="PTI10" s="651"/>
      <c r="PTJ10" s="651"/>
      <c r="PTK10" s="651"/>
      <c r="PTL10" s="651"/>
      <c r="PTM10" s="651"/>
      <c r="PTN10" s="651"/>
      <c r="PTO10" s="651"/>
      <c r="PTP10" s="651"/>
      <c r="PTQ10" s="651"/>
      <c r="PTR10" s="651"/>
      <c r="PTS10" s="651"/>
      <c r="PTT10" s="651"/>
      <c r="PTU10" s="651"/>
      <c r="PTV10" s="651"/>
      <c r="PTW10" s="651"/>
      <c r="PTX10" s="651"/>
      <c r="PTY10" s="651"/>
      <c r="PTZ10" s="651"/>
      <c r="PUA10" s="651"/>
      <c r="PUB10" s="651"/>
      <c r="PUC10" s="651"/>
      <c r="PUD10" s="651"/>
      <c r="PUE10" s="651"/>
      <c r="PUF10" s="651"/>
      <c r="PUG10" s="651"/>
      <c r="PUH10" s="651"/>
      <c r="PUI10" s="651"/>
      <c r="PUJ10" s="651"/>
      <c r="PUK10" s="651"/>
      <c r="PUL10" s="651"/>
      <c r="PUM10" s="651"/>
      <c r="PUN10" s="651"/>
      <c r="PUO10" s="651"/>
      <c r="PUP10" s="651"/>
      <c r="PUQ10" s="651"/>
      <c r="PUR10" s="651"/>
      <c r="PUS10" s="651"/>
      <c r="PUT10" s="651"/>
      <c r="PUU10" s="651"/>
      <c r="PUV10" s="651"/>
      <c r="PUW10" s="651"/>
      <c r="PUX10" s="651"/>
      <c r="PUY10" s="651"/>
      <c r="PUZ10" s="651"/>
      <c r="PVA10" s="651"/>
      <c r="PVB10" s="651"/>
      <c r="PVC10" s="651"/>
      <c r="PVD10" s="651"/>
      <c r="PVE10" s="651"/>
      <c r="PVF10" s="651"/>
      <c r="PVG10" s="651"/>
      <c r="PVH10" s="651"/>
      <c r="PVI10" s="651"/>
      <c r="PVJ10" s="651"/>
      <c r="PVK10" s="651"/>
      <c r="PVL10" s="651"/>
      <c r="PVM10" s="651"/>
      <c r="PVN10" s="651"/>
      <c r="PVO10" s="651"/>
      <c r="PVP10" s="651"/>
      <c r="PVQ10" s="651"/>
      <c r="PVR10" s="651"/>
      <c r="PVS10" s="651"/>
      <c r="PVT10" s="651"/>
      <c r="PVU10" s="651"/>
      <c r="PVV10" s="651"/>
      <c r="PVW10" s="651"/>
      <c r="PVX10" s="651"/>
      <c r="PVY10" s="651"/>
      <c r="PVZ10" s="651"/>
      <c r="PWA10" s="651"/>
      <c r="PWB10" s="651"/>
      <c r="PWC10" s="651"/>
      <c r="PWD10" s="651"/>
      <c r="PWE10" s="651"/>
      <c r="PWF10" s="651"/>
      <c r="PWG10" s="651"/>
      <c r="PWH10" s="651"/>
      <c r="PWI10" s="651"/>
      <c r="PWJ10" s="651"/>
      <c r="PWK10" s="651"/>
      <c r="PWL10" s="651"/>
      <c r="PWM10" s="651"/>
      <c r="PWN10" s="651"/>
      <c r="PWO10" s="651"/>
      <c r="PWP10" s="651"/>
      <c r="PWQ10" s="651"/>
      <c r="PWR10" s="651"/>
      <c r="PWS10" s="651"/>
      <c r="PWT10" s="651"/>
      <c r="PWU10" s="651"/>
      <c r="PWV10" s="651"/>
      <c r="PWW10" s="651"/>
      <c r="PWX10" s="651"/>
      <c r="PWY10" s="651"/>
      <c r="PWZ10" s="651"/>
      <c r="PXA10" s="651"/>
      <c r="PXB10" s="651"/>
      <c r="PXC10" s="651"/>
      <c r="PXD10" s="651"/>
      <c r="PXE10" s="651"/>
      <c r="PXF10" s="651"/>
      <c r="PXG10" s="651"/>
      <c r="PXH10" s="651"/>
      <c r="PXI10" s="651"/>
      <c r="PXJ10" s="651"/>
      <c r="PXK10" s="651"/>
      <c r="PXL10" s="651"/>
      <c r="PXM10" s="651"/>
      <c r="PXN10" s="651"/>
      <c r="PXO10" s="651"/>
      <c r="PXP10" s="651"/>
      <c r="PXQ10" s="651"/>
      <c r="PXR10" s="651"/>
      <c r="PXS10" s="651"/>
      <c r="PXT10" s="651"/>
      <c r="PXU10" s="651"/>
      <c r="PXV10" s="651"/>
      <c r="PXW10" s="651"/>
      <c r="PXX10" s="651"/>
      <c r="PXY10" s="651"/>
      <c r="PXZ10" s="651"/>
      <c r="PYA10" s="651"/>
      <c r="PYB10" s="651"/>
      <c r="PYC10" s="651"/>
      <c r="PYD10" s="651"/>
      <c r="PYE10" s="651"/>
      <c r="PYF10" s="651"/>
      <c r="PYG10" s="651"/>
      <c r="PYH10" s="651"/>
      <c r="PYI10" s="651"/>
      <c r="PYJ10" s="651"/>
      <c r="PYK10" s="651"/>
      <c r="PYL10" s="651"/>
      <c r="PYM10" s="651"/>
      <c r="PYN10" s="651"/>
      <c r="PYO10" s="651"/>
      <c r="PYP10" s="651"/>
      <c r="PYQ10" s="651"/>
      <c r="PYR10" s="651"/>
      <c r="PYS10" s="651"/>
      <c r="PYT10" s="651"/>
      <c r="PYU10" s="651"/>
      <c r="PYV10" s="651"/>
      <c r="PYW10" s="651"/>
      <c r="PYX10" s="651"/>
      <c r="PYY10" s="651"/>
      <c r="PYZ10" s="651"/>
      <c r="PZA10" s="651"/>
      <c r="PZB10" s="651"/>
      <c r="PZC10" s="651"/>
      <c r="PZD10" s="651"/>
      <c r="PZE10" s="651"/>
      <c r="PZF10" s="651"/>
      <c r="PZG10" s="651"/>
      <c r="PZH10" s="651"/>
      <c r="PZI10" s="651"/>
      <c r="PZJ10" s="651"/>
      <c r="PZK10" s="651"/>
      <c r="PZL10" s="651"/>
      <c r="PZM10" s="651"/>
      <c r="PZN10" s="651"/>
      <c r="PZO10" s="651"/>
      <c r="PZP10" s="651"/>
      <c r="PZQ10" s="651"/>
      <c r="PZR10" s="651"/>
      <c r="PZS10" s="651"/>
      <c r="PZT10" s="651"/>
      <c r="PZU10" s="651"/>
      <c r="PZV10" s="651"/>
      <c r="PZW10" s="651"/>
      <c r="PZX10" s="651"/>
      <c r="PZY10" s="651"/>
      <c r="PZZ10" s="651"/>
      <c r="QAA10" s="651"/>
      <c r="QAB10" s="651"/>
      <c r="QAC10" s="651"/>
      <c r="QAD10" s="651"/>
      <c r="QAE10" s="651"/>
      <c r="QAF10" s="651"/>
      <c r="QAG10" s="651"/>
      <c r="QAH10" s="651"/>
      <c r="QAI10" s="651"/>
      <c r="QAJ10" s="651"/>
      <c r="QAK10" s="651"/>
      <c r="QAL10" s="651"/>
      <c r="QAM10" s="651"/>
      <c r="QAN10" s="651"/>
      <c r="QAO10" s="651"/>
      <c r="QAP10" s="651"/>
      <c r="QAQ10" s="651"/>
      <c r="QAR10" s="651"/>
      <c r="QAS10" s="651"/>
      <c r="QAT10" s="651"/>
      <c r="QAU10" s="651"/>
      <c r="QAV10" s="651"/>
      <c r="QAW10" s="651"/>
      <c r="QAX10" s="651"/>
      <c r="QAY10" s="651"/>
      <c r="QAZ10" s="651"/>
      <c r="QBA10" s="651"/>
      <c r="QBB10" s="651"/>
      <c r="QBC10" s="651"/>
      <c r="QBD10" s="651"/>
      <c r="QBE10" s="651"/>
      <c r="QBF10" s="651"/>
      <c r="QBG10" s="651"/>
      <c r="QBH10" s="651"/>
      <c r="QBI10" s="651"/>
      <c r="QBJ10" s="651"/>
      <c r="QBK10" s="651"/>
      <c r="QBL10" s="651"/>
      <c r="QBM10" s="651"/>
      <c r="QBN10" s="651"/>
      <c r="QBO10" s="651"/>
      <c r="QBP10" s="651"/>
      <c r="QBQ10" s="651"/>
      <c r="QBR10" s="651"/>
      <c r="QBS10" s="651"/>
      <c r="QBT10" s="651"/>
      <c r="QBU10" s="651"/>
      <c r="QBV10" s="651"/>
      <c r="QBW10" s="651"/>
      <c r="QBX10" s="651"/>
      <c r="QBY10" s="651"/>
      <c r="QBZ10" s="651"/>
      <c r="QCA10" s="651"/>
      <c r="QCB10" s="651"/>
      <c r="QCC10" s="651"/>
      <c r="QCD10" s="651"/>
      <c r="QCE10" s="651"/>
      <c r="QCF10" s="651"/>
      <c r="QCG10" s="651"/>
      <c r="QCH10" s="651"/>
      <c r="QCI10" s="651"/>
      <c r="QCJ10" s="651"/>
      <c r="QCK10" s="651"/>
      <c r="QCL10" s="651"/>
      <c r="QCM10" s="651"/>
      <c r="QCN10" s="651"/>
      <c r="QCO10" s="651"/>
      <c r="QCP10" s="651"/>
      <c r="QCQ10" s="651"/>
      <c r="QCR10" s="651"/>
      <c r="QCS10" s="651"/>
      <c r="QCT10" s="651"/>
      <c r="QCU10" s="651"/>
      <c r="QCV10" s="651"/>
      <c r="QCW10" s="651"/>
      <c r="QCX10" s="651"/>
      <c r="QCY10" s="651"/>
      <c r="QCZ10" s="651"/>
      <c r="QDA10" s="651"/>
      <c r="QDB10" s="651"/>
      <c r="QDC10" s="651"/>
      <c r="QDD10" s="651"/>
      <c r="QDE10" s="651"/>
      <c r="QDF10" s="651"/>
      <c r="QDG10" s="651"/>
      <c r="QDH10" s="651"/>
      <c r="QDI10" s="651"/>
      <c r="QDJ10" s="651"/>
      <c r="QDK10" s="651"/>
      <c r="QDL10" s="651"/>
      <c r="QDM10" s="651"/>
      <c r="QDN10" s="651"/>
      <c r="QDO10" s="651"/>
      <c r="QDP10" s="651"/>
      <c r="QDQ10" s="651"/>
      <c r="QDR10" s="651"/>
      <c r="QDS10" s="651"/>
      <c r="QDT10" s="651"/>
      <c r="QDU10" s="651"/>
      <c r="QDV10" s="651"/>
      <c r="QDW10" s="651"/>
      <c r="QDX10" s="651"/>
      <c r="QDY10" s="651"/>
      <c r="QDZ10" s="651"/>
      <c r="QEA10" s="651"/>
      <c r="QEB10" s="651"/>
      <c r="QEC10" s="651"/>
      <c r="QED10" s="651"/>
      <c r="QEE10" s="651"/>
      <c r="QEF10" s="651"/>
      <c r="QEG10" s="651"/>
      <c r="QEH10" s="651"/>
      <c r="QEI10" s="651"/>
      <c r="QEJ10" s="651"/>
      <c r="QEK10" s="651"/>
      <c r="QEL10" s="651"/>
      <c r="QEM10" s="651"/>
      <c r="QEN10" s="651"/>
      <c r="QEO10" s="651"/>
      <c r="QEP10" s="651"/>
      <c r="QEQ10" s="651"/>
      <c r="QER10" s="651"/>
      <c r="QES10" s="651"/>
      <c r="QET10" s="651"/>
      <c r="QEU10" s="651"/>
      <c r="QEV10" s="651"/>
      <c r="QEW10" s="651"/>
      <c r="QEX10" s="651"/>
      <c r="QEY10" s="651"/>
      <c r="QEZ10" s="651"/>
      <c r="QFA10" s="651"/>
      <c r="QFB10" s="651"/>
      <c r="QFC10" s="651"/>
      <c r="QFD10" s="651"/>
      <c r="QFE10" s="651"/>
      <c r="QFF10" s="651"/>
      <c r="QFG10" s="651"/>
      <c r="QFH10" s="651"/>
      <c r="QFI10" s="651"/>
      <c r="QFJ10" s="651"/>
      <c r="QFK10" s="651"/>
      <c r="QFL10" s="651"/>
      <c r="QFM10" s="651"/>
      <c r="QFN10" s="651"/>
      <c r="QFO10" s="651"/>
      <c r="QFP10" s="651"/>
      <c r="QFQ10" s="651"/>
      <c r="QFR10" s="651"/>
      <c r="QFS10" s="651"/>
      <c r="QFT10" s="651"/>
      <c r="QFU10" s="651"/>
      <c r="QFV10" s="651"/>
      <c r="QFW10" s="651"/>
      <c r="QFX10" s="651"/>
      <c r="QFY10" s="651"/>
      <c r="QFZ10" s="651"/>
      <c r="QGA10" s="651"/>
      <c r="QGB10" s="651"/>
      <c r="QGC10" s="651"/>
      <c r="QGD10" s="651"/>
      <c r="QGE10" s="651"/>
      <c r="QGF10" s="651"/>
      <c r="QGG10" s="651"/>
      <c r="QGH10" s="651"/>
      <c r="QGI10" s="651"/>
      <c r="QGJ10" s="651"/>
      <c r="QGK10" s="651"/>
      <c r="QGL10" s="651"/>
      <c r="QGM10" s="651"/>
      <c r="QGN10" s="651"/>
      <c r="QGO10" s="651"/>
      <c r="QGP10" s="651"/>
      <c r="QGQ10" s="651"/>
      <c r="QGR10" s="651"/>
      <c r="QGS10" s="651"/>
      <c r="QGT10" s="651"/>
      <c r="QGU10" s="651"/>
      <c r="QGV10" s="651"/>
      <c r="QGW10" s="651"/>
      <c r="QGX10" s="651"/>
      <c r="QGY10" s="651"/>
      <c r="QGZ10" s="651"/>
      <c r="QHA10" s="651"/>
      <c r="QHB10" s="651"/>
      <c r="QHC10" s="651"/>
      <c r="QHD10" s="651"/>
      <c r="QHE10" s="651"/>
      <c r="QHF10" s="651"/>
      <c r="QHG10" s="651"/>
      <c r="QHH10" s="651"/>
      <c r="QHI10" s="651"/>
      <c r="QHJ10" s="651"/>
      <c r="QHK10" s="651"/>
      <c r="QHL10" s="651"/>
      <c r="QHM10" s="651"/>
      <c r="QHN10" s="651"/>
      <c r="QHO10" s="651"/>
      <c r="QHP10" s="651"/>
      <c r="QHQ10" s="651"/>
      <c r="QHR10" s="651"/>
      <c r="QHS10" s="651"/>
      <c r="QHT10" s="651"/>
      <c r="QHU10" s="651"/>
      <c r="QHV10" s="651"/>
      <c r="QHW10" s="651"/>
      <c r="QHX10" s="651"/>
      <c r="QHY10" s="651"/>
      <c r="QHZ10" s="651"/>
      <c r="QIA10" s="651"/>
      <c r="QIB10" s="651"/>
      <c r="QIC10" s="651"/>
      <c r="QID10" s="651"/>
      <c r="QIE10" s="651"/>
      <c r="QIF10" s="651"/>
      <c r="QIG10" s="651"/>
      <c r="QIH10" s="651"/>
      <c r="QII10" s="651"/>
      <c r="QIJ10" s="651"/>
      <c r="QIK10" s="651"/>
      <c r="QIL10" s="651"/>
      <c r="QIM10" s="651"/>
      <c r="QIN10" s="651"/>
      <c r="QIO10" s="651"/>
      <c r="QIP10" s="651"/>
      <c r="QIQ10" s="651"/>
      <c r="QIR10" s="651"/>
      <c r="QIS10" s="651"/>
      <c r="QIT10" s="651"/>
      <c r="QIU10" s="651"/>
      <c r="QIV10" s="651"/>
      <c r="QIW10" s="651"/>
      <c r="QIX10" s="651"/>
      <c r="QIY10" s="651"/>
      <c r="QIZ10" s="651"/>
      <c r="QJA10" s="651"/>
      <c r="QJB10" s="651"/>
      <c r="QJC10" s="651"/>
      <c r="QJD10" s="651"/>
      <c r="QJE10" s="651"/>
      <c r="QJF10" s="651"/>
      <c r="QJG10" s="651"/>
      <c r="QJH10" s="651"/>
      <c r="QJI10" s="651"/>
      <c r="QJJ10" s="651"/>
      <c r="QJK10" s="651"/>
      <c r="QJL10" s="651"/>
      <c r="QJM10" s="651"/>
      <c r="QJN10" s="651"/>
      <c r="QJO10" s="651"/>
      <c r="QJP10" s="651"/>
      <c r="QJQ10" s="651"/>
      <c r="QJR10" s="651"/>
      <c r="QJS10" s="651"/>
      <c r="QJT10" s="651"/>
      <c r="QJU10" s="651"/>
      <c r="QJV10" s="651"/>
      <c r="QJW10" s="651"/>
      <c r="QJX10" s="651"/>
      <c r="QJY10" s="651"/>
      <c r="QJZ10" s="651"/>
      <c r="QKA10" s="651"/>
      <c r="QKB10" s="651"/>
      <c r="QKC10" s="651"/>
      <c r="QKD10" s="651"/>
      <c r="QKE10" s="651"/>
      <c r="QKF10" s="651"/>
      <c r="QKG10" s="651"/>
      <c r="QKH10" s="651"/>
      <c r="QKI10" s="651"/>
      <c r="QKJ10" s="651"/>
      <c r="QKK10" s="651"/>
      <c r="QKL10" s="651"/>
      <c r="QKM10" s="651"/>
      <c r="QKN10" s="651"/>
      <c r="QKO10" s="651"/>
      <c r="QKP10" s="651"/>
      <c r="QKQ10" s="651"/>
      <c r="QKR10" s="651"/>
      <c r="QKS10" s="651"/>
      <c r="QKT10" s="651"/>
      <c r="QKU10" s="651"/>
      <c r="QKV10" s="651"/>
      <c r="QKW10" s="651"/>
      <c r="QKX10" s="651"/>
      <c r="QKY10" s="651"/>
      <c r="QKZ10" s="651"/>
      <c r="QLA10" s="651"/>
      <c r="QLB10" s="651"/>
      <c r="QLC10" s="651"/>
      <c r="QLD10" s="651"/>
      <c r="QLE10" s="651"/>
      <c r="QLF10" s="651"/>
      <c r="QLG10" s="651"/>
      <c r="QLH10" s="651"/>
      <c r="QLI10" s="651"/>
      <c r="QLJ10" s="651"/>
      <c r="QLK10" s="651"/>
      <c r="QLL10" s="651"/>
      <c r="QLM10" s="651"/>
      <c r="QLN10" s="651"/>
      <c r="QLO10" s="651"/>
      <c r="QLP10" s="651"/>
      <c r="QLQ10" s="651"/>
      <c r="QLR10" s="651"/>
      <c r="QLS10" s="651"/>
      <c r="QLT10" s="651"/>
      <c r="QLU10" s="651"/>
      <c r="QLV10" s="651"/>
      <c r="QLW10" s="651"/>
      <c r="QLX10" s="651"/>
      <c r="QLY10" s="651"/>
      <c r="QLZ10" s="651"/>
      <c r="QMA10" s="651"/>
      <c r="QMB10" s="651"/>
      <c r="QMC10" s="651"/>
      <c r="QMD10" s="651"/>
      <c r="QME10" s="651"/>
      <c r="QMF10" s="651"/>
      <c r="QMG10" s="651"/>
      <c r="QMH10" s="651"/>
      <c r="QMI10" s="651"/>
      <c r="QMJ10" s="651"/>
      <c r="QMK10" s="651"/>
      <c r="QML10" s="651"/>
      <c r="QMM10" s="651"/>
      <c r="QMN10" s="651"/>
      <c r="QMO10" s="651"/>
      <c r="QMP10" s="651"/>
      <c r="QMQ10" s="651"/>
      <c r="QMR10" s="651"/>
      <c r="QMS10" s="651"/>
      <c r="QMT10" s="651"/>
      <c r="QMU10" s="651"/>
      <c r="QMV10" s="651"/>
      <c r="QMW10" s="651"/>
      <c r="QMX10" s="651"/>
      <c r="QMY10" s="651"/>
      <c r="QMZ10" s="651"/>
      <c r="QNA10" s="651"/>
      <c r="QNB10" s="651"/>
      <c r="QNC10" s="651"/>
      <c r="QND10" s="651"/>
      <c r="QNE10" s="651"/>
      <c r="QNF10" s="651"/>
      <c r="QNG10" s="651"/>
      <c r="QNH10" s="651"/>
      <c r="QNI10" s="651"/>
      <c r="QNJ10" s="651"/>
      <c r="QNK10" s="651"/>
      <c r="QNL10" s="651"/>
      <c r="QNM10" s="651"/>
      <c r="QNN10" s="651"/>
      <c r="QNO10" s="651"/>
      <c r="QNP10" s="651"/>
      <c r="QNQ10" s="651"/>
      <c r="QNR10" s="651"/>
      <c r="QNS10" s="651"/>
      <c r="QNT10" s="651"/>
      <c r="QNU10" s="651"/>
      <c r="QNV10" s="651"/>
      <c r="QNW10" s="651"/>
      <c r="QNX10" s="651"/>
      <c r="QNY10" s="651"/>
      <c r="QNZ10" s="651"/>
      <c r="QOA10" s="651"/>
      <c r="QOB10" s="651"/>
      <c r="QOC10" s="651"/>
      <c r="QOD10" s="651"/>
      <c r="QOE10" s="651"/>
      <c r="QOF10" s="651"/>
      <c r="QOG10" s="651"/>
      <c r="QOH10" s="651"/>
      <c r="QOI10" s="651"/>
      <c r="QOJ10" s="651"/>
      <c r="QOK10" s="651"/>
      <c r="QOL10" s="651"/>
      <c r="QOM10" s="651"/>
      <c r="QON10" s="651"/>
      <c r="QOO10" s="651"/>
      <c r="QOP10" s="651"/>
      <c r="QOQ10" s="651"/>
      <c r="QOR10" s="651"/>
      <c r="QOS10" s="651"/>
      <c r="QOT10" s="651"/>
      <c r="QOU10" s="651"/>
      <c r="QOV10" s="651"/>
      <c r="QOW10" s="651"/>
      <c r="QOX10" s="651"/>
      <c r="QOY10" s="651"/>
      <c r="QOZ10" s="651"/>
      <c r="QPA10" s="651"/>
      <c r="QPB10" s="651"/>
      <c r="QPC10" s="651"/>
      <c r="QPD10" s="651"/>
      <c r="QPE10" s="651"/>
      <c r="QPF10" s="651"/>
      <c r="QPG10" s="651"/>
      <c r="QPH10" s="651"/>
      <c r="QPI10" s="651"/>
      <c r="QPJ10" s="651"/>
      <c r="QPK10" s="651"/>
      <c r="QPL10" s="651"/>
      <c r="QPM10" s="651"/>
      <c r="QPN10" s="651"/>
      <c r="QPO10" s="651"/>
      <c r="QPP10" s="651"/>
      <c r="QPQ10" s="651"/>
      <c r="QPR10" s="651"/>
      <c r="QPS10" s="651"/>
      <c r="QPT10" s="651"/>
      <c r="QPU10" s="651"/>
      <c r="QPV10" s="651"/>
      <c r="QPW10" s="651"/>
      <c r="QPX10" s="651"/>
      <c r="QPY10" s="651"/>
      <c r="QPZ10" s="651"/>
      <c r="QQA10" s="651"/>
      <c r="QQB10" s="651"/>
      <c r="QQC10" s="651"/>
      <c r="QQD10" s="651"/>
      <c r="QQE10" s="651"/>
      <c r="QQF10" s="651"/>
      <c r="QQG10" s="651"/>
      <c r="QQH10" s="651"/>
      <c r="QQI10" s="651"/>
      <c r="QQJ10" s="651"/>
      <c r="QQK10" s="651"/>
      <c r="QQL10" s="651"/>
      <c r="QQM10" s="651"/>
      <c r="QQN10" s="651"/>
      <c r="QQO10" s="651"/>
      <c r="QQP10" s="651"/>
      <c r="QQQ10" s="651"/>
      <c r="QQR10" s="651"/>
      <c r="QQS10" s="651"/>
      <c r="QQT10" s="651"/>
      <c r="QQU10" s="651"/>
      <c r="QQV10" s="651"/>
      <c r="QQW10" s="651"/>
      <c r="QQX10" s="651"/>
      <c r="QQY10" s="651"/>
      <c r="QQZ10" s="651"/>
      <c r="QRA10" s="651"/>
      <c r="QRB10" s="651"/>
      <c r="QRC10" s="651"/>
      <c r="QRD10" s="651"/>
      <c r="QRE10" s="651"/>
      <c r="QRF10" s="651"/>
      <c r="QRG10" s="651"/>
      <c r="QRH10" s="651"/>
      <c r="QRI10" s="651"/>
      <c r="QRJ10" s="651"/>
      <c r="QRK10" s="651"/>
      <c r="QRL10" s="651"/>
      <c r="QRM10" s="651"/>
      <c r="QRN10" s="651"/>
      <c r="QRO10" s="651"/>
      <c r="QRP10" s="651"/>
      <c r="QRQ10" s="651"/>
      <c r="QRR10" s="651"/>
      <c r="QRS10" s="651"/>
      <c r="QRT10" s="651"/>
      <c r="QRU10" s="651"/>
      <c r="QRV10" s="651"/>
      <c r="QRW10" s="651"/>
      <c r="QRX10" s="651"/>
      <c r="QRY10" s="651"/>
      <c r="QRZ10" s="651"/>
      <c r="QSA10" s="651"/>
      <c r="QSB10" s="651"/>
      <c r="QSC10" s="651"/>
      <c r="QSD10" s="651"/>
      <c r="QSE10" s="651"/>
      <c r="QSF10" s="651"/>
      <c r="QSG10" s="651"/>
      <c r="QSH10" s="651"/>
      <c r="QSI10" s="651"/>
      <c r="QSJ10" s="651"/>
      <c r="QSK10" s="651"/>
      <c r="QSL10" s="651"/>
      <c r="QSM10" s="651"/>
      <c r="QSN10" s="651"/>
      <c r="QSO10" s="651"/>
      <c r="QSP10" s="651"/>
      <c r="QSQ10" s="651"/>
      <c r="QSR10" s="651"/>
      <c r="QSS10" s="651"/>
      <c r="QST10" s="651"/>
      <c r="QSU10" s="651"/>
      <c r="QSV10" s="651"/>
      <c r="QSW10" s="651"/>
      <c r="QSX10" s="651"/>
      <c r="QSY10" s="651"/>
      <c r="QSZ10" s="651"/>
      <c r="QTA10" s="651"/>
      <c r="QTB10" s="651"/>
      <c r="QTC10" s="651"/>
      <c r="QTD10" s="651"/>
      <c r="QTE10" s="651"/>
      <c r="QTF10" s="651"/>
      <c r="QTG10" s="651"/>
      <c r="QTH10" s="651"/>
      <c r="QTI10" s="651"/>
      <c r="QTJ10" s="651"/>
      <c r="QTK10" s="651"/>
      <c r="QTL10" s="651"/>
      <c r="QTM10" s="651"/>
      <c r="QTN10" s="651"/>
      <c r="QTO10" s="651"/>
      <c r="QTP10" s="651"/>
      <c r="QTQ10" s="651"/>
      <c r="QTR10" s="651"/>
      <c r="QTS10" s="651"/>
      <c r="QTT10" s="651"/>
      <c r="QTU10" s="651"/>
      <c r="QTV10" s="651"/>
      <c r="QTW10" s="651"/>
      <c r="QTX10" s="651"/>
      <c r="QTY10" s="651"/>
      <c r="QTZ10" s="651"/>
      <c r="QUA10" s="651"/>
      <c r="QUB10" s="651"/>
      <c r="QUC10" s="651"/>
      <c r="QUD10" s="651"/>
      <c r="QUE10" s="651"/>
      <c r="QUF10" s="651"/>
      <c r="QUG10" s="651"/>
      <c r="QUH10" s="651"/>
      <c r="QUI10" s="651"/>
      <c r="QUJ10" s="651"/>
      <c r="QUK10" s="651"/>
      <c r="QUL10" s="651"/>
      <c r="QUM10" s="651"/>
      <c r="QUN10" s="651"/>
      <c r="QUO10" s="651"/>
      <c r="QUP10" s="651"/>
      <c r="QUQ10" s="651"/>
      <c r="QUR10" s="651"/>
      <c r="QUS10" s="651"/>
      <c r="QUT10" s="651"/>
      <c r="QUU10" s="651"/>
      <c r="QUV10" s="651"/>
      <c r="QUW10" s="651"/>
      <c r="QUX10" s="651"/>
      <c r="QUY10" s="651"/>
      <c r="QUZ10" s="651"/>
      <c r="QVA10" s="651"/>
      <c r="QVB10" s="651"/>
      <c r="QVC10" s="651"/>
      <c r="QVD10" s="651"/>
      <c r="QVE10" s="651"/>
      <c r="QVF10" s="651"/>
      <c r="QVG10" s="651"/>
      <c r="QVH10" s="651"/>
      <c r="QVI10" s="651"/>
      <c r="QVJ10" s="651"/>
      <c r="QVK10" s="651"/>
      <c r="QVL10" s="651"/>
      <c r="QVM10" s="651"/>
      <c r="QVN10" s="651"/>
      <c r="QVO10" s="651"/>
      <c r="QVP10" s="651"/>
      <c r="QVQ10" s="651"/>
      <c r="QVR10" s="651"/>
      <c r="QVS10" s="651"/>
      <c r="QVT10" s="651"/>
      <c r="QVU10" s="651"/>
      <c r="QVV10" s="651"/>
      <c r="QVW10" s="651"/>
      <c r="QVX10" s="651"/>
      <c r="QVY10" s="651"/>
      <c r="QVZ10" s="651"/>
      <c r="QWA10" s="651"/>
      <c r="QWB10" s="651"/>
      <c r="QWC10" s="651"/>
      <c r="QWD10" s="651"/>
      <c r="QWE10" s="651"/>
      <c r="QWF10" s="651"/>
      <c r="QWG10" s="651"/>
      <c r="QWH10" s="651"/>
      <c r="QWI10" s="651"/>
      <c r="QWJ10" s="651"/>
      <c r="QWK10" s="651"/>
      <c r="QWL10" s="651"/>
      <c r="QWM10" s="651"/>
      <c r="QWN10" s="651"/>
      <c r="QWO10" s="651"/>
      <c r="QWP10" s="651"/>
      <c r="QWQ10" s="651"/>
      <c r="QWR10" s="651"/>
      <c r="QWS10" s="651"/>
      <c r="QWT10" s="651"/>
      <c r="QWU10" s="651"/>
      <c r="QWV10" s="651"/>
      <c r="QWW10" s="651"/>
      <c r="QWX10" s="651"/>
      <c r="QWY10" s="651"/>
      <c r="QWZ10" s="651"/>
      <c r="QXA10" s="651"/>
      <c r="QXB10" s="651"/>
      <c r="QXC10" s="651"/>
      <c r="QXD10" s="651"/>
      <c r="QXE10" s="651"/>
      <c r="QXF10" s="651"/>
      <c r="QXG10" s="651"/>
      <c r="QXH10" s="651"/>
      <c r="QXI10" s="651"/>
      <c r="QXJ10" s="651"/>
      <c r="QXK10" s="651"/>
      <c r="QXL10" s="651"/>
      <c r="QXM10" s="651"/>
      <c r="QXN10" s="651"/>
      <c r="QXO10" s="651"/>
      <c r="QXP10" s="651"/>
      <c r="QXQ10" s="651"/>
      <c r="QXR10" s="651"/>
      <c r="QXS10" s="651"/>
      <c r="QXT10" s="651"/>
      <c r="QXU10" s="651"/>
      <c r="QXV10" s="651"/>
      <c r="QXW10" s="651"/>
      <c r="QXX10" s="651"/>
      <c r="QXY10" s="651"/>
      <c r="QXZ10" s="651"/>
      <c r="QYA10" s="651"/>
      <c r="QYB10" s="651"/>
      <c r="QYC10" s="651"/>
      <c r="QYD10" s="651"/>
      <c r="QYE10" s="651"/>
      <c r="QYF10" s="651"/>
      <c r="QYG10" s="651"/>
      <c r="QYH10" s="651"/>
      <c r="QYI10" s="651"/>
      <c r="QYJ10" s="651"/>
      <c r="QYK10" s="651"/>
      <c r="QYL10" s="651"/>
      <c r="QYM10" s="651"/>
      <c r="QYN10" s="651"/>
      <c r="QYO10" s="651"/>
      <c r="QYP10" s="651"/>
      <c r="QYQ10" s="651"/>
      <c r="QYR10" s="651"/>
      <c r="QYS10" s="651"/>
      <c r="QYT10" s="651"/>
      <c r="QYU10" s="651"/>
      <c r="QYV10" s="651"/>
      <c r="QYW10" s="651"/>
      <c r="QYX10" s="651"/>
      <c r="QYY10" s="651"/>
      <c r="QYZ10" s="651"/>
      <c r="QZA10" s="651"/>
      <c r="QZB10" s="651"/>
      <c r="QZC10" s="651"/>
      <c r="QZD10" s="651"/>
      <c r="QZE10" s="651"/>
      <c r="QZF10" s="651"/>
      <c r="QZG10" s="651"/>
      <c r="QZH10" s="651"/>
      <c r="QZI10" s="651"/>
      <c r="QZJ10" s="651"/>
      <c r="QZK10" s="651"/>
      <c r="QZL10" s="651"/>
      <c r="QZM10" s="651"/>
      <c r="QZN10" s="651"/>
      <c r="QZO10" s="651"/>
      <c r="QZP10" s="651"/>
      <c r="QZQ10" s="651"/>
      <c r="QZR10" s="651"/>
      <c r="QZS10" s="651"/>
      <c r="QZT10" s="651"/>
      <c r="QZU10" s="651"/>
      <c r="QZV10" s="651"/>
      <c r="QZW10" s="651"/>
      <c r="QZX10" s="651"/>
      <c r="QZY10" s="651"/>
      <c r="QZZ10" s="651"/>
      <c r="RAA10" s="651"/>
      <c r="RAB10" s="651"/>
      <c r="RAC10" s="651"/>
      <c r="RAD10" s="651"/>
      <c r="RAE10" s="651"/>
      <c r="RAF10" s="651"/>
      <c r="RAG10" s="651"/>
      <c r="RAH10" s="651"/>
      <c r="RAI10" s="651"/>
      <c r="RAJ10" s="651"/>
      <c r="RAK10" s="651"/>
      <c r="RAL10" s="651"/>
      <c r="RAM10" s="651"/>
      <c r="RAN10" s="651"/>
      <c r="RAO10" s="651"/>
      <c r="RAP10" s="651"/>
      <c r="RAQ10" s="651"/>
      <c r="RAR10" s="651"/>
      <c r="RAS10" s="651"/>
      <c r="RAT10" s="651"/>
      <c r="RAU10" s="651"/>
      <c r="RAV10" s="651"/>
      <c r="RAW10" s="651"/>
      <c r="RAX10" s="651"/>
      <c r="RAY10" s="651"/>
      <c r="RAZ10" s="651"/>
      <c r="RBA10" s="651"/>
      <c r="RBB10" s="651"/>
      <c r="RBC10" s="651"/>
      <c r="RBD10" s="651"/>
      <c r="RBE10" s="651"/>
      <c r="RBF10" s="651"/>
      <c r="RBG10" s="651"/>
      <c r="RBH10" s="651"/>
      <c r="RBI10" s="651"/>
      <c r="RBJ10" s="651"/>
      <c r="RBK10" s="651"/>
      <c r="RBL10" s="651"/>
      <c r="RBM10" s="651"/>
      <c r="RBN10" s="651"/>
      <c r="RBO10" s="651"/>
      <c r="RBP10" s="651"/>
      <c r="RBQ10" s="651"/>
      <c r="RBR10" s="651"/>
      <c r="RBS10" s="651"/>
      <c r="RBT10" s="651"/>
      <c r="RBU10" s="651"/>
      <c r="RBV10" s="651"/>
      <c r="RBW10" s="651"/>
      <c r="RBX10" s="651"/>
      <c r="RBY10" s="651"/>
      <c r="RBZ10" s="651"/>
      <c r="RCA10" s="651"/>
      <c r="RCB10" s="651"/>
      <c r="RCC10" s="651"/>
      <c r="RCD10" s="651"/>
      <c r="RCE10" s="651"/>
      <c r="RCF10" s="651"/>
      <c r="RCG10" s="651"/>
      <c r="RCH10" s="651"/>
      <c r="RCI10" s="651"/>
      <c r="RCJ10" s="651"/>
      <c r="RCK10" s="651"/>
      <c r="RCL10" s="651"/>
      <c r="RCM10" s="651"/>
      <c r="RCN10" s="651"/>
      <c r="RCO10" s="651"/>
      <c r="RCP10" s="651"/>
      <c r="RCQ10" s="651"/>
      <c r="RCR10" s="651"/>
      <c r="RCS10" s="651"/>
      <c r="RCT10" s="651"/>
      <c r="RCU10" s="651"/>
      <c r="RCV10" s="651"/>
      <c r="RCW10" s="651"/>
      <c r="RCX10" s="651"/>
      <c r="RCY10" s="651"/>
      <c r="RCZ10" s="651"/>
      <c r="RDA10" s="651"/>
      <c r="RDB10" s="651"/>
      <c r="RDC10" s="651"/>
      <c r="RDD10" s="651"/>
      <c r="RDE10" s="651"/>
      <c r="RDF10" s="651"/>
      <c r="RDG10" s="651"/>
      <c r="RDH10" s="651"/>
      <c r="RDI10" s="651"/>
      <c r="RDJ10" s="651"/>
      <c r="RDK10" s="651"/>
      <c r="RDL10" s="651"/>
      <c r="RDM10" s="651"/>
      <c r="RDN10" s="651"/>
      <c r="RDO10" s="651"/>
      <c r="RDP10" s="651"/>
      <c r="RDQ10" s="651"/>
      <c r="RDR10" s="651"/>
      <c r="RDS10" s="651"/>
      <c r="RDT10" s="651"/>
      <c r="RDU10" s="651"/>
      <c r="RDV10" s="651"/>
      <c r="RDW10" s="651"/>
      <c r="RDX10" s="651"/>
      <c r="RDY10" s="651"/>
      <c r="RDZ10" s="651"/>
      <c r="REA10" s="651"/>
      <c r="REB10" s="651"/>
      <c r="REC10" s="651"/>
      <c r="RED10" s="651"/>
      <c r="REE10" s="651"/>
      <c r="REF10" s="651"/>
      <c r="REG10" s="651"/>
      <c r="REH10" s="651"/>
      <c r="REI10" s="651"/>
      <c r="REJ10" s="651"/>
      <c r="REK10" s="651"/>
      <c r="REL10" s="651"/>
      <c r="REM10" s="651"/>
      <c r="REN10" s="651"/>
      <c r="REO10" s="651"/>
      <c r="REP10" s="651"/>
      <c r="REQ10" s="651"/>
      <c r="RER10" s="651"/>
      <c r="RES10" s="651"/>
      <c r="RET10" s="651"/>
      <c r="REU10" s="651"/>
      <c r="REV10" s="651"/>
      <c r="REW10" s="651"/>
      <c r="REX10" s="651"/>
      <c r="REY10" s="651"/>
      <c r="REZ10" s="651"/>
      <c r="RFA10" s="651"/>
      <c r="RFB10" s="651"/>
      <c r="RFC10" s="651"/>
      <c r="RFD10" s="651"/>
      <c r="RFE10" s="651"/>
      <c r="RFF10" s="651"/>
      <c r="RFG10" s="651"/>
      <c r="RFH10" s="651"/>
      <c r="RFI10" s="651"/>
      <c r="RFJ10" s="651"/>
      <c r="RFK10" s="651"/>
      <c r="RFL10" s="651"/>
      <c r="RFM10" s="651"/>
      <c r="RFN10" s="651"/>
      <c r="RFO10" s="651"/>
      <c r="RFP10" s="651"/>
      <c r="RFQ10" s="651"/>
      <c r="RFR10" s="651"/>
      <c r="RFS10" s="651"/>
      <c r="RFT10" s="651"/>
      <c r="RFU10" s="651"/>
      <c r="RFV10" s="651"/>
      <c r="RFW10" s="651"/>
      <c r="RFX10" s="651"/>
      <c r="RFY10" s="651"/>
      <c r="RFZ10" s="651"/>
      <c r="RGA10" s="651"/>
      <c r="RGB10" s="651"/>
      <c r="RGC10" s="651"/>
      <c r="RGD10" s="651"/>
      <c r="RGE10" s="651"/>
      <c r="RGF10" s="651"/>
      <c r="RGG10" s="651"/>
      <c r="RGH10" s="651"/>
      <c r="RGI10" s="651"/>
      <c r="RGJ10" s="651"/>
      <c r="RGK10" s="651"/>
      <c r="RGL10" s="651"/>
      <c r="RGM10" s="651"/>
      <c r="RGN10" s="651"/>
      <c r="RGO10" s="651"/>
      <c r="RGP10" s="651"/>
      <c r="RGQ10" s="651"/>
      <c r="RGR10" s="651"/>
      <c r="RGS10" s="651"/>
      <c r="RGT10" s="651"/>
      <c r="RGU10" s="651"/>
      <c r="RGV10" s="651"/>
      <c r="RGW10" s="651"/>
      <c r="RGX10" s="651"/>
      <c r="RGY10" s="651"/>
      <c r="RGZ10" s="651"/>
      <c r="RHA10" s="651"/>
      <c r="RHB10" s="651"/>
      <c r="RHC10" s="651"/>
      <c r="RHD10" s="651"/>
      <c r="RHE10" s="651"/>
      <c r="RHF10" s="651"/>
      <c r="RHG10" s="651"/>
      <c r="RHH10" s="651"/>
      <c r="RHI10" s="651"/>
      <c r="RHJ10" s="651"/>
      <c r="RHK10" s="651"/>
      <c r="RHL10" s="651"/>
      <c r="RHM10" s="651"/>
      <c r="RHN10" s="651"/>
      <c r="RHO10" s="651"/>
      <c r="RHP10" s="651"/>
      <c r="RHQ10" s="651"/>
      <c r="RHR10" s="651"/>
      <c r="RHS10" s="651"/>
      <c r="RHT10" s="651"/>
      <c r="RHU10" s="651"/>
      <c r="RHV10" s="651"/>
      <c r="RHW10" s="651"/>
      <c r="RHX10" s="651"/>
      <c r="RHY10" s="651"/>
      <c r="RHZ10" s="651"/>
      <c r="RIA10" s="651"/>
      <c r="RIB10" s="651"/>
      <c r="RIC10" s="651"/>
      <c r="RID10" s="651"/>
      <c r="RIE10" s="651"/>
      <c r="RIF10" s="651"/>
      <c r="RIG10" s="651"/>
      <c r="RIH10" s="651"/>
      <c r="RII10" s="651"/>
      <c r="RIJ10" s="651"/>
      <c r="RIK10" s="651"/>
      <c r="RIL10" s="651"/>
      <c r="RIM10" s="651"/>
      <c r="RIN10" s="651"/>
      <c r="RIO10" s="651"/>
      <c r="RIP10" s="651"/>
      <c r="RIQ10" s="651"/>
      <c r="RIR10" s="651"/>
      <c r="RIS10" s="651"/>
      <c r="RIT10" s="651"/>
      <c r="RIU10" s="651"/>
      <c r="RIV10" s="651"/>
      <c r="RIW10" s="651"/>
      <c r="RIX10" s="651"/>
      <c r="RIY10" s="651"/>
      <c r="RIZ10" s="651"/>
      <c r="RJA10" s="651"/>
      <c r="RJB10" s="651"/>
      <c r="RJC10" s="651"/>
      <c r="RJD10" s="651"/>
      <c r="RJE10" s="651"/>
      <c r="RJF10" s="651"/>
      <c r="RJG10" s="651"/>
      <c r="RJH10" s="651"/>
      <c r="RJI10" s="651"/>
      <c r="RJJ10" s="651"/>
      <c r="RJK10" s="651"/>
      <c r="RJL10" s="651"/>
      <c r="RJM10" s="651"/>
      <c r="RJN10" s="651"/>
      <c r="RJO10" s="651"/>
      <c r="RJP10" s="651"/>
      <c r="RJQ10" s="651"/>
      <c r="RJR10" s="651"/>
      <c r="RJS10" s="651"/>
      <c r="RJT10" s="651"/>
      <c r="RJU10" s="651"/>
      <c r="RJV10" s="651"/>
      <c r="RJW10" s="651"/>
      <c r="RJX10" s="651"/>
      <c r="RJY10" s="651"/>
      <c r="RJZ10" s="651"/>
      <c r="RKA10" s="651"/>
      <c r="RKB10" s="651"/>
      <c r="RKC10" s="651"/>
      <c r="RKD10" s="651"/>
      <c r="RKE10" s="651"/>
      <c r="RKF10" s="651"/>
      <c r="RKG10" s="651"/>
      <c r="RKH10" s="651"/>
      <c r="RKI10" s="651"/>
      <c r="RKJ10" s="651"/>
      <c r="RKK10" s="651"/>
      <c r="RKL10" s="651"/>
      <c r="RKM10" s="651"/>
      <c r="RKN10" s="651"/>
      <c r="RKO10" s="651"/>
      <c r="RKP10" s="651"/>
      <c r="RKQ10" s="651"/>
      <c r="RKR10" s="651"/>
      <c r="RKS10" s="651"/>
      <c r="RKT10" s="651"/>
      <c r="RKU10" s="651"/>
      <c r="RKV10" s="651"/>
      <c r="RKW10" s="651"/>
      <c r="RKX10" s="651"/>
      <c r="RKY10" s="651"/>
      <c r="RKZ10" s="651"/>
      <c r="RLA10" s="651"/>
      <c r="RLB10" s="651"/>
      <c r="RLC10" s="651"/>
      <c r="RLD10" s="651"/>
      <c r="RLE10" s="651"/>
      <c r="RLF10" s="651"/>
      <c r="RLG10" s="651"/>
      <c r="RLH10" s="651"/>
      <c r="RLI10" s="651"/>
      <c r="RLJ10" s="651"/>
      <c r="RLK10" s="651"/>
      <c r="RLL10" s="651"/>
      <c r="RLM10" s="651"/>
      <c r="RLN10" s="651"/>
      <c r="RLO10" s="651"/>
      <c r="RLP10" s="651"/>
      <c r="RLQ10" s="651"/>
      <c r="RLR10" s="651"/>
      <c r="RLS10" s="651"/>
      <c r="RLT10" s="651"/>
      <c r="RLU10" s="651"/>
      <c r="RLV10" s="651"/>
      <c r="RLW10" s="651"/>
      <c r="RLX10" s="651"/>
      <c r="RLY10" s="651"/>
      <c r="RLZ10" s="651"/>
      <c r="RMA10" s="651"/>
      <c r="RMB10" s="651"/>
      <c r="RMC10" s="651"/>
      <c r="RMD10" s="651"/>
      <c r="RME10" s="651"/>
      <c r="RMF10" s="651"/>
      <c r="RMG10" s="651"/>
      <c r="RMH10" s="651"/>
      <c r="RMI10" s="651"/>
      <c r="RMJ10" s="651"/>
      <c r="RMK10" s="651"/>
      <c r="RML10" s="651"/>
      <c r="RMM10" s="651"/>
      <c r="RMN10" s="651"/>
      <c r="RMO10" s="651"/>
      <c r="RMP10" s="651"/>
      <c r="RMQ10" s="651"/>
      <c r="RMR10" s="651"/>
      <c r="RMS10" s="651"/>
      <c r="RMT10" s="651"/>
      <c r="RMU10" s="651"/>
      <c r="RMV10" s="651"/>
      <c r="RMW10" s="651"/>
      <c r="RMX10" s="651"/>
      <c r="RMY10" s="651"/>
      <c r="RMZ10" s="651"/>
      <c r="RNA10" s="651"/>
      <c r="RNB10" s="651"/>
      <c r="RNC10" s="651"/>
      <c r="RND10" s="651"/>
      <c r="RNE10" s="651"/>
      <c r="RNF10" s="651"/>
      <c r="RNG10" s="651"/>
      <c r="RNH10" s="651"/>
      <c r="RNI10" s="651"/>
      <c r="RNJ10" s="651"/>
      <c r="RNK10" s="651"/>
      <c r="RNL10" s="651"/>
      <c r="RNM10" s="651"/>
      <c r="RNN10" s="651"/>
      <c r="RNO10" s="651"/>
      <c r="RNP10" s="651"/>
      <c r="RNQ10" s="651"/>
      <c r="RNR10" s="651"/>
      <c r="RNS10" s="651"/>
      <c r="RNT10" s="651"/>
      <c r="RNU10" s="651"/>
      <c r="RNV10" s="651"/>
      <c r="RNW10" s="651"/>
      <c r="RNX10" s="651"/>
      <c r="RNY10" s="651"/>
      <c r="RNZ10" s="651"/>
      <c r="ROA10" s="651"/>
      <c r="ROB10" s="651"/>
      <c r="ROC10" s="651"/>
      <c r="ROD10" s="651"/>
      <c r="ROE10" s="651"/>
      <c r="ROF10" s="651"/>
      <c r="ROG10" s="651"/>
      <c r="ROH10" s="651"/>
      <c r="ROI10" s="651"/>
      <c r="ROJ10" s="651"/>
      <c r="ROK10" s="651"/>
      <c r="ROL10" s="651"/>
      <c r="ROM10" s="651"/>
      <c r="RON10" s="651"/>
      <c r="ROO10" s="651"/>
      <c r="ROP10" s="651"/>
      <c r="ROQ10" s="651"/>
      <c r="ROR10" s="651"/>
      <c r="ROS10" s="651"/>
      <c r="ROT10" s="651"/>
      <c r="ROU10" s="651"/>
      <c r="ROV10" s="651"/>
      <c r="ROW10" s="651"/>
      <c r="ROX10" s="651"/>
      <c r="ROY10" s="651"/>
      <c r="ROZ10" s="651"/>
      <c r="RPA10" s="651"/>
      <c r="RPB10" s="651"/>
      <c r="RPC10" s="651"/>
      <c r="RPD10" s="651"/>
      <c r="RPE10" s="651"/>
      <c r="RPF10" s="651"/>
      <c r="RPG10" s="651"/>
      <c r="RPH10" s="651"/>
      <c r="RPI10" s="651"/>
      <c r="RPJ10" s="651"/>
      <c r="RPK10" s="651"/>
      <c r="RPL10" s="651"/>
      <c r="RPM10" s="651"/>
      <c r="RPN10" s="651"/>
      <c r="RPO10" s="651"/>
      <c r="RPP10" s="651"/>
      <c r="RPQ10" s="651"/>
      <c r="RPR10" s="651"/>
      <c r="RPS10" s="651"/>
      <c r="RPT10" s="651"/>
      <c r="RPU10" s="651"/>
      <c r="RPV10" s="651"/>
      <c r="RPW10" s="651"/>
      <c r="RPX10" s="651"/>
      <c r="RPY10" s="651"/>
      <c r="RPZ10" s="651"/>
      <c r="RQA10" s="651"/>
      <c r="RQB10" s="651"/>
      <c r="RQC10" s="651"/>
      <c r="RQD10" s="651"/>
      <c r="RQE10" s="651"/>
      <c r="RQF10" s="651"/>
      <c r="RQG10" s="651"/>
      <c r="RQH10" s="651"/>
      <c r="RQI10" s="651"/>
      <c r="RQJ10" s="651"/>
      <c r="RQK10" s="651"/>
      <c r="RQL10" s="651"/>
      <c r="RQM10" s="651"/>
      <c r="RQN10" s="651"/>
      <c r="RQO10" s="651"/>
      <c r="RQP10" s="651"/>
      <c r="RQQ10" s="651"/>
      <c r="RQR10" s="651"/>
      <c r="RQS10" s="651"/>
      <c r="RQT10" s="651"/>
      <c r="RQU10" s="651"/>
      <c r="RQV10" s="651"/>
      <c r="RQW10" s="651"/>
      <c r="RQX10" s="651"/>
      <c r="RQY10" s="651"/>
      <c r="RQZ10" s="651"/>
      <c r="RRA10" s="651"/>
      <c r="RRB10" s="651"/>
      <c r="RRC10" s="651"/>
      <c r="RRD10" s="651"/>
      <c r="RRE10" s="651"/>
      <c r="RRF10" s="651"/>
      <c r="RRG10" s="651"/>
      <c r="RRH10" s="651"/>
      <c r="RRI10" s="651"/>
      <c r="RRJ10" s="651"/>
      <c r="RRK10" s="651"/>
      <c r="RRL10" s="651"/>
      <c r="RRM10" s="651"/>
      <c r="RRN10" s="651"/>
      <c r="RRO10" s="651"/>
      <c r="RRP10" s="651"/>
      <c r="RRQ10" s="651"/>
      <c r="RRR10" s="651"/>
      <c r="RRS10" s="651"/>
      <c r="RRT10" s="651"/>
      <c r="RRU10" s="651"/>
      <c r="RRV10" s="651"/>
      <c r="RRW10" s="651"/>
      <c r="RRX10" s="651"/>
      <c r="RRY10" s="651"/>
      <c r="RRZ10" s="651"/>
      <c r="RSA10" s="651"/>
      <c r="RSB10" s="651"/>
      <c r="RSC10" s="651"/>
      <c r="RSD10" s="651"/>
      <c r="RSE10" s="651"/>
      <c r="RSF10" s="651"/>
      <c r="RSG10" s="651"/>
      <c r="RSH10" s="651"/>
      <c r="RSI10" s="651"/>
      <c r="RSJ10" s="651"/>
      <c r="RSK10" s="651"/>
      <c r="RSL10" s="651"/>
      <c r="RSM10" s="651"/>
      <c r="RSN10" s="651"/>
      <c r="RSO10" s="651"/>
      <c r="RSP10" s="651"/>
      <c r="RSQ10" s="651"/>
      <c r="RSR10" s="651"/>
      <c r="RSS10" s="651"/>
      <c r="RST10" s="651"/>
      <c r="RSU10" s="651"/>
      <c r="RSV10" s="651"/>
      <c r="RSW10" s="651"/>
      <c r="RSX10" s="651"/>
      <c r="RSY10" s="651"/>
      <c r="RSZ10" s="651"/>
      <c r="RTA10" s="651"/>
      <c r="RTB10" s="651"/>
      <c r="RTC10" s="651"/>
      <c r="RTD10" s="651"/>
      <c r="RTE10" s="651"/>
      <c r="RTF10" s="651"/>
      <c r="RTG10" s="651"/>
      <c r="RTH10" s="651"/>
      <c r="RTI10" s="651"/>
      <c r="RTJ10" s="651"/>
      <c r="RTK10" s="651"/>
      <c r="RTL10" s="651"/>
      <c r="RTM10" s="651"/>
      <c r="RTN10" s="651"/>
      <c r="RTO10" s="651"/>
      <c r="RTP10" s="651"/>
      <c r="RTQ10" s="651"/>
      <c r="RTR10" s="651"/>
      <c r="RTS10" s="651"/>
      <c r="RTT10" s="651"/>
      <c r="RTU10" s="651"/>
      <c r="RTV10" s="651"/>
      <c r="RTW10" s="651"/>
      <c r="RTX10" s="651"/>
      <c r="RTY10" s="651"/>
      <c r="RTZ10" s="651"/>
      <c r="RUA10" s="651"/>
      <c r="RUB10" s="651"/>
      <c r="RUC10" s="651"/>
      <c r="RUD10" s="651"/>
      <c r="RUE10" s="651"/>
      <c r="RUF10" s="651"/>
      <c r="RUG10" s="651"/>
      <c r="RUH10" s="651"/>
      <c r="RUI10" s="651"/>
      <c r="RUJ10" s="651"/>
      <c r="RUK10" s="651"/>
      <c r="RUL10" s="651"/>
      <c r="RUM10" s="651"/>
      <c r="RUN10" s="651"/>
      <c r="RUO10" s="651"/>
      <c r="RUP10" s="651"/>
      <c r="RUQ10" s="651"/>
      <c r="RUR10" s="651"/>
      <c r="RUS10" s="651"/>
      <c r="RUT10" s="651"/>
      <c r="RUU10" s="651"/>
      <c r="RUV10" s="651"/>
      <c r="RUW10" s="651"/>
      <c r="RUX10" s="651"/>
      <c r="RUY10" s="651"/>
      <c r="RUZ10" s="651"/>
      <c r="RVA10" s="651"/>
      <c r="RVB10" s="651"/>
      <c r="RVC10" s="651"/>
      <c r="RVD10" s="651"/>
      <c r="RVE10" s="651"/>
      <c r="RVF10" s="651"/>
      <c r="RVG10" s="651"/>
      <c r="RVH10" s="651"/>
      <c r="RVI10" s="651"/>
      <c r="RVJ10" s="651"/>
      <c r="RVK10" s="651"/>
      <c r="RVL10" s="651"/>
      <c r="RVM10" s="651"/>
      <c r="RVN10" s="651"/>
      <c r="RVO10" s="651"/>
      <c r="RVP10" s="651"/>
      <c r="RVQ10" s="651"/>
      <c r="RVR10" s="651"/>
      <c r="RVS10" s="651"/>
      <c r="RVT10" s="651"/>
      <c r="RVU10" s="651"/>
      <c r="RVV10" s="651"/>
      <c r="RVW10" s="651"/>
      <c r="RVX10" s="651"/>
      <c r="RVY10" s="651"/>
      <c r="RVZ10" s="651"/>
      <c r="RWA10" s="651"/>
      <c r="RWB10" s="651"/>
      <c r="RWC10" s="651"/>
      <c r="RWD10" s="651"/>
      <c r="RWE10" s="651"/>
      <c r="RWF10" s="651"/>
      <c r="RWG10" s="651"/>
      <c r="RWH10" s="651"/>
      <c r="RWI10" s="651"/>
      <c r="RWJ10" s="651"/>
      <c r="RWK10" s="651"/>
      <c r="RWL10" s="651"/>
      <c r="RWM10" s="651"/>
      <c r="RWN10" s="651"/>
      <c r="RWO10" s="651"/>
      <c r="RWP10" s="651"/>
      <c r="RWQ10" s="651"/>
      <c r="RWR10" s="651"/>
      <c r="RWS10" s="651"/>
      <c r="RWT10" s="651"/>
      <c r="RWU10" s="651"/>
      <c r="RWV10" s="651"/>
      <c r="RWW10" s="651"/>
      <c r="RWX10" s="651"/>
      <c r="RWY10" s="651"/>
      <c r="RWZ10" s="651"/>
      <c r="RXA10" s="651"/>
      <c r="RXB10" s="651"/>
      <c r="RXC10" s="651"/>
      <c r="RXD10" s="651"/>
      <c r="RXE10" s="651"/>
      <c r="RXF10" s="651"/>
      <c r="RXG10" s="651"/>
      <c r="RXH10" s="651"/>
      <c r="RXI10" s="651"/>
      <c r="RXJ10" s="651"/>
      <c r="RXK10" s="651"/>
      <c r="RXL10" s="651"/>
      <c r="RXM10" s="651"/>
      <c r="RXN10" s="651"/>
      <c r="RXO10" s="651"/>
      <c r="RXP10" s="651"/>
      <c r="RXQ10" s="651"/>
      <c r="RXR10" s="651"/>
      <c r="RXS10" s="651"/>
      <c r="RXT10" s="651"/>
      <c r="RXU10" s="651"/>
      <c r="RXV10" s="651"/>
      <c r="RXW10" s="651"/>
      <c r="RXX10" s="651"/>
      <c r="RXY10" s="651"/>
      <c r="RXZ10" s="651"/>
      <c r="RYA10" s="651"/>
      <c r="RYB10" s="651"/>
      <c r="RYC10" s="651"/>
      <c r="RYD10" s="651"/>
      <c r="RYE10" s="651"/>
      <c r="RYF10" s="651"/>
      <c r="RYG10" s="651"/>
      <c r="RYH10" s="651"/>
      <c r="RYI10" s="651"/>
      <c r="RYJ10" s="651"/>
      <c r="RYK10" s="651"/>
      <c r="RYL10" s="651"/>
      <c r="RYM10" s="651"/>
      <c r="RYN10" s="651"/>
      <c r="RYO10" s="651"/>
      <c r="RYP10" s="651"/>
      <c r="RYQ10" s="651"/>
      <c r="RYR10" s="651"/>
      <c r="RYS10" s="651"/>
      <c r="RYT10" s="651"/>
      <c r="RYU10" s="651"/>
      <c r="RYV10" s="651"/>
      <c r="RYW10" s="651"/>
      <c r="RYX10" s="651"/>
      <c r="RYY10" s="651"/>
      <c r="RYZ10" s="651"/>
      <c r="RZA10" s="651"/>
      <c r="RZB10" s="651"/>
      <c r="RZC10" s="651"/>
      <c r="RZD10" s="651"/>
      <c r="RZE10" s="651"/>
      <c r="RZF10" s="651"/>
      <c r="RZG10" s="651"/>
      <c r="RZH10" s="651"/>
      <c r="RZI10" s="651"/>
      <c r="RZJ10" s="651"/>
      <c r="RZK10" s="651"/>
      <c r="RZL10" s="651"/>
      <c r="RZM10" s="651"/>
      <c r="RZN10" s="651"/>
      <c r="RZO10" s="651"/>
      <c r="RZP10" s="651"/>
      <c r="RZQ10" s="651"/>
      <c r="RZR10" s="651"/>
      <c r="RZS10" s="651"/>
      <c r="RZT10" s="651"/>
      <c r="RZU10" s="651"/>
      <c r="RZV10" s="651"/>
      <c r="RZW10" s="651"/>
      <c r="RZX10" s="651"/>
      <c r="RZY10" s="651"/>
      <c r="RZZ10" s="651"/>
      <c r="SAA10" s="651"/>
      <c r="SAB10" s="651"/>
      <c r="SAC10" s="651"/>
      <c r="SAD10" s="651"/>
      <c r="SAE10" s="651"/>
      <c r="SAF10" s="651"/>
      <c r="SAG10" s="651"/>
      <c r="SAH10" s="651"/>
      <c r="SAI10" s="651"/>
      <c r="SAJ10" s="651"/>
      <c r="SAK10" s="651"/>
      <c r="SAL10" s="651"/>
      <c r="SAM10" s="651"/>
      <c r="SAN10" s="651"/>
      <c r="SAO10" s="651"/>
      <c r="SAP10" s="651"/>
      <c r="SAQ10" s="651"/>
      <c r="SAR10" s="651"/>
      <c r="SAS10" s="651"/>
      <c r="SAT10" s="651"/>
      <c r="SAU10" s="651"/>
      <c r="SAV10" s="651"/>
      <c r="SAW10" s="651"/>
      <c r="SAX10" s="651"/>
      <c r="SAY10" s="651"/>
      <c r="SAZ10" s="651"/>
      <c r="SBA10" s="651"/>
      <c r="SBB10" s="651"/>
      <c r="SBC10" s="651"/>
      <c r="SBD10" s="651"/>
      <c r="SBE10" s="651"/>
      <c r="SBF10" s="651"/>
      <c r="SBG10" s="651"/>
      <c r="SBH10" s="651"/>
      <c r="SBI10" s="651"/>
      <c r="SBJ10" s="651"/>
      <c r="SBK10" s="651"/>
      <c r="SBL10" s="651"/>
      <c r="SBM10" s="651"/>
      <c r="SBN10" s="651"/>
      <c r="SBO10" s="651"/>
      <c r="SBP10" s="651"/>
      <c r="SBQ10" s="651"/>
      <c r="SBR10" s="651"/>
      <c r="SBS10" s="651"/>
      <c r="SBT10" s="651"/>
      <c r="SBU10" s="651"/>
      <c r="SBV10" s="651"/>
      <c r="SBW10" s="651"/>
      <c r="SBX10" s="651"/>
      <c r="SBY10" s="651"/>
      <c r="SBZ10" s="651"/>
      <c r="SCA10" s="651"/>
      <c r="SCB10" s="651"/>
      <c r="SCC10" s="651"/>
      <c r="SCD10" s="651"/>
      <c r="SCE10" s="651"/>
      <c r="SCF10" s="651"/>
      <c r="SCG10" s="651"/>
      <c r="SCH10" s="651"/>
      <c r="SCI10" s="651"/>
      <c r="SCJ10" s="651"/>
      <c r="SCK10" s="651"/>
      <c r="SCL10" s="651"/>
      <c r="SCM10" s="651"/>
      <c r="SCN10" s="651"/>
      <c r="SCO10" s="651"/>
      <c r="SCP10" s="651"/>
      <c r="SCQ10" s="651"/>
      <c r="SCR10" s="651"/>
      <c r="SCS10" s="651"/>
      <c r="SCT10" s="651"/>
      <c r="SCU10" s="651"/>
      <c r="SCV10" s="651"/>
      <c r="SCW10" s="651"/>
      <c r="SCX10" s="651"/>
      <c r="SCY10" s="651"/>
      <c r="SCZ10" s="651"/>
      <c r="SDA10" s="651"/>
      <c r="SDB10" s="651"/>
      <c r="SDC10" s="651"/>
      <c r="SDD10" s="651"/>
      <c r="SDE10" s="651"/>
      <c r="SDF10" s="651"/>
      <c r="SDG10" s="651"/>
      <c r="SDH10" s="651"/>
      <c r="SDI10" s="651"/>
      <c r="SDJ10" s="651"/>
      <c r="SDK10" s="651"/>
      <c r="SDL10" s="651"/>
      <c r="SDM10" s="651"/>
      <c r="SDN10" s="651"/>
      <c r="SDO10" s="651"/>
      <c r="SDP10" s="651"/>
      <c r="SDQ10" s="651"/>
      <c r="SDR10" s="651"/>
      <c r="SDS10" s="651"/>
      <c r="SDT10" s="651"/>
      <c r="SDU10" s="651"/>
      <c r="SDV10" s="651"/>
      <c r="SDW10" s="651"/>
      <c r="SDX10" s="651"/>
      <c r="SDY10" s="651"/>
      <c r="SDZ10" s="651"/>
      <c r="SEA10" s="651"/>
      <c r="SEB10" s="651"/>
      <c r="SEC10" s="651"/>
      <c r="SED10" s="651"/>
      <c r="SEE10" s="651"/>
      <c r="SEF10" s="651"/>
      <c r="SEG10" s="651"/>
      <c r="SEH10" s="651"/>
      <c r="SEI10" s="651"/>
      <c r="SEJ10" s="651"/>
      <c r="SEK10" s="651"/>
      <c r="SEL10" s="651"/>
      <c r="SEM10" s="651"/>
      <c r="SEN10" s="651"/>
      <c r="SEO10" s="651"/>
      <c r="SEP10" s="651"/>
      <c r="SEQ10" s="651"/>
      <c r="SER10" s="651"/>
      <c r="SES10" s="651"/>
      <c r="SET10" s="651"/>
      <c r="SEU10" s="651"/>
      <c r="SEV10" s="651"/>
      <c r="SEW10" s="651"/>
      <c r="SEX10" s="651"/>
      <c r="SEY10" s="651"/>
      <c r="SEZ10" s="651"/>
      <c r="SFA10" s="651"/>
      <c r="SFB10" s="651"/>
      <c r="SFC10" s="651"/>
      <c r="SFD10" s="651"/>
      <c r="SFE10" s="651"/>
      <c r="SFF10" s="651"/>
      <c r="SFG10" s="651"/>
      <c r="SFH10" s="651"/>
      <c r="SFI10" s="651"/>
      <c r="SFJ10" s="651"/>
      <c r="SFK10" s="651"/>
      <c r="SFL10" s="651"/>
      <c r="SFM10" s="651"/>
      <c r="SFN10" s="651"/>
      <c r="SFO10" s="651"/>
      <c r="SFP10" s="651"/>
      <c r="SFQ10" s="651"/>
      <c r="SFR10" s="651"/>
      <c r="SFS10" s="651"/>
      <c r="SFT10" s="651"/>
      <c r="SFU10" s="651"/>
      <c r="SFV10" s="651"/>
      <c r="SFW10" s="651"/>
      <c r="SFX10" s="651"/>
      <c r="SFY10" s="651"/>
      <c r="SFZ10" s="651"/>
      <c r="SGA10" s="651"/>
      <c r="SGB10" s="651"/>
      <c r="SGC10" s="651"/>
      <c r="SGD10" s="651"/>
      <c r="SGE10" s="651"/>
      <c r="SGF10" s="651"/>
      <c r="SGG10" s="651"/>
      <c r="SGH10" s="651"/>
      <c r="SGI10" s="651"/>
      <c r="SGJ10" s="651"/>
      <c r="SGK10" s="651"/>
      <c r="SGL10" s="651"/>
      <c r="SGM10" s="651"/>
      <c r="SGN10" s="651"/>
      <c r="SGO10" s="651"/>
      <c r="SGP10" s="651"/>
      <c r="SGQ10" s="651"/>
      <c r="SGR10" s="651"/>
      <c r="SGS10" s="651"/>
      <c r="SGT10" s="651"/>
      <c r="SGU10" s="651"/>
      <c r="SGV10" s="651"/>
      <c r="SGW10" s="651"/>
      <c r="SGX10" s="651"/>
      <c r="SGY10" s="651"/>
      <c r="SGZ10" s="651"/>
      <c r="SHA10" s="651"/>
      <c r="SHB10" s="651"/>
      <c r="SHC10" s="651"/>
      <c r="SHD10" s="651"/>
      <c r="SHE10" s="651"/>
      <c r="SHF10" s="651"/>
      <c r="SHG10" s="651"/>
      <c r="SHH10" s="651"/>
      <c r="SHI10" s="651"/>
      <c r="SHJ10" s="651"/>
      <c r="SHK10" s="651"/>
      <c r="SHL10" s="651"/>
      <c r="SHM10" s="651"/>
      <c r="SHN10" s="651"/>
      <c r="SHO10" s="651"/>
      <c r="SHP10" s="651"/>
      <c r="SHQ10" s="651"/>
      <c r="SHR10" s="651"/>
      <c r="SHS10" s="651"/>
      <c r="SHT10" s="651"/>
      <c r="SHU10" s="651"/>
      <c r="SHV10" s="651"/>
      <c r="SHW10" s="651"/>
      <c r="SHX10" s="651"/>
      <c r="SHY10" s="651"/>
      <c r="SHZ10" s="651"/>
      <c r="SIA10" s="651"/>
      <c r="SIB10" s="651"/>
      <c r="SIC10" s="651"/>
      <c r="SID10" s="651"/>
      <c r="SIE10" s="651"/>
      <c r="SIF10" s="651"/>
      <c r="SIG10" s="651"/>
      <c r="SIH10" s="651"/>
      <c r="SII10" s="651"/>
      <c r="SIJ10" s="651"/>
      <c r="SIK10" s="651"/>
      <c r="SIL10" s="651"/>
      <c r="SIM10" s="651"/>
      <c r="SIN10" s="651"/>
      <c r="SIO10" s="651"/>
      <c r="SIP10" s="651"/>
      <c r="SIQ10" s="651"/>
      <c r="SIR10" s="651"/>
      <c r="SIS10" s="651"/>
      <c r="SIT10" s="651"/>
      <c r="SIU10" s="651"/>
      <c r="SIV10" s="651"/>
      <c r="SIW10" s="651"/>
      <c r="SIX10" s="651"/>
      <c r="SIY10" s="651"/>
      <c r="SIZ10" s="651"/>
      <c r="SJA10" s="651"/>
      <c r="SJB10" s="651"/>
      <c r="SJC10" s="651"/>
      <c r="SJD10" s="651"/>
      <c r="SJE10" s="651"/>
      <c r="SJF10" s="651"/>
      <c r="SJG10" s="651"/>
      <c r="SJH10" s="651"/>
      <c r="SJI10" s="651"/>
      <c r="SJJ10" s="651"/>
      <c r="SJK10" s="651"/>
      <c r="SJL10" s="651"/>
      <c r="SJM10" s="651"/>
      <c r="SJN10" s="651"/>
      <c r="SJO10" s="651"/>
      <c r="SJP10" s="651"/>
      <c r="SJQ10" s="651"/>
      <c r="SJR10" s="651"/>
      <c r="SJS10" s="651"/>
      <c r="SJT10" s="651"/>
      <c r="SJU10" s="651"/>
      <c r="SJV10" s="651"/>
      <c r="SJW10" s="651"/>
      <c r="SJX10" s="651"/>
      <c r="SJY10" s="651"/>
      <c r="SJZ10" s="651"/>
      <c r="SKA10" s="651"/>
      <c r="SKB10" s="651"/>
      <c r="SKC10" s="651"/>
      <c r="SKD10" s="651"/>
      <c r="SKE10" s="651"/>
      <c r="SKF10" s="651"/>
      <c r="SKG10" s="651"/>
      <c r="SKH10" s="651"/>
      <c r="SKI10" s="651"/>
      <c r="SKJ10" s="651"/>
      <c r="SKK10" s="651"/>
      <c r="SKL10" s="651"/>
      <c r="SKM10" s="651"/>
      <c r="SKN10" s="651"/>
      <c r="SKO10" s="651"/>
      <c r="SKP10" s="651"/>
      <c r="SKQ10" s="651"/>
      <c r="SKR10" s="651"/>
      <c r="SKS10" s="651"/>
      <c r="SKT10" s="651"/>
      <c r="SKU10" s="651"/>
      <c r="SKV10" s="651"/>
      <c r="SKW10" s="651"/>
      <c r="SKX10" s="651"/>
      <c r="SKY10" s="651"/>
      <c r="SKZ10" s="651"/>
      <c r="SLA10" s="651"/>
      <c r="SLB10" s="651"/>
      <c r="SLC10" s="651"/>
      <c r="SLD10" s="651"/>
      <c r="SLE10" s="651"/>
      <c r="SLF10" s="651"/>
      <c r="SLG10" s="651"/>
      <c r="SLH10" s="651"/>
      <c r="SLI10" s="651"/>
      <c r="SLJ10" s="651"/>
      <c r="SLK10" s="651"/>
      <c r="SLL10" s="651"/>
      <c r="SLM10" s="651"/>
      <c r="SLN10" s="651"/>
      <c r="SLO10" s="651"/>
      <c r="SLP10" s="651"/>
      <c r="SLQ10" s="651"/>
      <c r="SLR10" s="651"/>
      <c r="SLS10" s="651"/>
      <c r="SLT10" s="651"/>
      <c r="SLU10" s="651"/>
      <c r="SLV10" s="651"/>
      <c r="SLW10" s="651"/>
      <c r="SLX10" s="651"/>
      <c r="SLY10" s="651"/>
      <c r="SLZ10" s="651"/>
      <c r="SMA10" s="651"/>
      <c r="SMB10" s="651"/>
      <c r="SMC10" s="651"/>
      <c r="SMD10" s="651"/>
      <c r="SME10" s="651"/>
      <c r="SMF10" s="651"/>
      <c r="SMG10" s="651"/>
      <c r="SMH10" s="651"/>
      <c r="SMI10" s="651"/>
      <c r="SMJ10" s="651"/>
      <c r="SMK10" s="651"/>
      <c r="SML10" s="651"/>
      <c r="SMM10" s="651"/>
      <c r="SMN10" s="651"/>
      <c r="SMO10" s="651"/>
      <c r="SMP10" s="651"/>
      <c r="SMQ10" s="651"/>
      <c r="SMR10" s="651"/>
      <c r="SMS10" s="651"/>
      <c r="SMT10" s="651"/>
      <c r="SMU10" s="651"/>
      <c r="SMV10" s="651"/>
      <c r="SMW10" s="651"/>
      <c r="SMX10" s="651"/>
      <c r="SMY10" s="651"/>
      <c r="SMZ10" s="651"/>
      <c r="SNA10" s="651"/>
      <c r="SNB10" s="651"/>
      <c r="SNC10" s="651"/>
      <c r="SND10" s="651"/>
      <c r="SNE10" s="651"/>
      <c r="SNF10" s="651"/>
      <c r="SNG10" s="651"/>
      <c r="SNH10" s="651"/>
      <c r="SNI10" s="651"/>
      <c r="SNJ10" s="651"/>
      <c r="SNK10" s="651"/>
      <c r="SNL10" s="651"/>
      <c r="SNM10" s="651"/>
      <c r="SNN10" s="651"/>
      <c r="SNO10" s="651"/>
      <c r="SNP10" s="651"/>
      <c r="SNQ10" s="651"/>
      <c r="SNR10" s="651"/>
      <c r="SNS10" s="651"/>
      <c r="SNT10" s="651"/>
      <c r="SNU10" s="651"/>
      <c r="SNV10" s="651"/>
      <c r="SNW10" s="651"/>
      <c r="SNX10" s="651"/>
      <c r="SNY10" s="651"/>
      <c r="SNZ10" s="651"/>
      <c r="SOA10" s="651"/>
      <c r="SOB10" s="651"/>
      <c r="SOC10" s="651"/>
      <c r="SOD10" s="651"/>
      <c r="SOE10" s="651"/>
      <c r="SOF10" s="651"/>
      <c r="SOG10" s="651"/>
      <c r="SOH10" s="651"/>
      <c r="SOI10" s="651"/>
      <c r="SOJ10" s="651"/>
      <c r="SOK10" s="651"/>
      <c r="SOL10" s="651"/>
      <c r="SOM10" s="651"/>
      <c r="SON10" s="651"/>
      <c r="SOO10" s="651"/>
      <c r="SOP10" s="651"/>
      <c r="SOQ10" s="651"/>
      <c r="SOR10" s="651"/>
      <c r="SOS10" s="651"/>
      <c r="SOT10" s="651"/>
      <c r="SOU10" s="651"/>
      <c r="SOV10" s="651"/>
      <c r="SOW10" s="651"/>
      <c r="SOX10" s="651"/>
      <c r="SOY10" s="651"/>
      <c r="SOZ10" s="651"/>
      <c r="SPA10" s="651"/>
      <c r="SPB10" s="651"/>
      <c r="SPC10" s="651"/>
      <c r="SPD10" s="651"/>
      <c r="SPE10" s="651"/>
      <c r="SPF10" s="651"/>
      <c r="SPG10" s="651"/>
      <c r="SPH10" s="651"/>
      <c r="SPI10" s="651"/>
      <c r="SPJ10" s="651"/>
      <c r="SPK10" s="651"/>
      <c r="SPL10" s="651"/>
      <c r="SPM10" s="651"/>
      <c r="SPN10" s="651"/>
      <c r="SPO10" s="651"/>
      <c r="SPP10" s="651"/>
      <c r="SPQ10" s="651"/>
      <c r="SPR10" s="651"/>
      <c r="SPS10" s="651"/>
      <c r="SPT10" s="651"/>
      <c r="SPU10" s="651"/>
      <c r="SPV10" s="651"/>
      <c r="SPW10" s="651"/>
      <c r="SPX10" s="651"/>
      <c r="SPY10" s="651"/>
      <c r="SPZ10" s="651"/>
      <c r="SQA10" s="651"/>
      <c r="SQB10" s="651"/>
      <c r="SQC10" s="651"/>
      <c r="SQD10" s="651"/>
      <c r="SQE10" s="651"/>
      <c r="SQF10" s="651"/>
      <c r="SQG10" s="651"/>
      <c r="SQH10" s="651"/>
      <c r="SQI10" s="651"/>
      <c r="SQJ10" s="651"/>
      <c r="SQK10" s="651"/>
      <c r="SQL10" s="651"/>
      <c r="SQM10" s="651"/>
      <c r="SQN10" s="651"/>
      <c r="SQO10" s="651"/>
      <c r="SQP10" s="651"/>
      <c r="SQQ10" s="651"/>
      <c r="SQR10" s="651"/>
      <c r="SQS10" s="651"/>
      <c r="SQT10" s="651"/>
      <c r="SQU10" s="651"/>
      <c r="SQV10" s="651"/>
      <c r="SQW10" s="651"/>
      <c r="SQX10" s="651"/>
      <c r="SQY10" s="651"/>
      <c r="SQZ10" s="651"/>
      <c r="SRA10" s="651"/>
      <c r="SRB10" s="651"/>
      <c r="SRC10" s="651"/>
      <c r="SRD10" s="651"/>
      <c r="SRE10" s="651"/>
      <c r="SRF10" s="651"/>
      <c r="SRG10" s="651"/>
      <c r="SRH10" s="651"/>
      <c r="SRI10" s="651"/>
      <c r="SRJ10" s="651"/>
      <c r="SRK10" s="651"/>
      <c r="SRL10" s="651"/>
      <c r="SRM10" s="651"/>
      <c r="SRN10" s="651"/>
      <c r="SRO10" s="651"/>
      <c r="SRP10" s="651"/>
      <c r="SRQ10" s="651"/>
      <c r="SRR10" s="651"/>
      <c r="SRS10" s="651"/>
      <c r="SRT10" s="651"/>
      <c r="SRU10" s="651"/>
      <c r="SRV10" s="651"/>
      <c r="SRW10" s="651"/>
      <c r="SRX10" s="651"/>
      <c r="SRY10" s="651"/>
      <c r="SRZ10" s="651"/>
      <c r="SSA10" s="651"/>
      <c r="SSB10" s="651"/>
      <c r="SSC10" s="651"/>
      <c r="SSD10" s="651"/>
      <c r="SSE10" s="651"/>
      <c r="SSF10" s="651"/>
      <c r="SSG10" s="651"/>
      <c r="SSH10" s="651"/>
      <c r="SSI10" s="651"/>
      <c r="SSJ10" s="651"/>
      <c r="SSK10" s="651"/>
      <c r="SSL10" s="651"/>
      <c r="SSM10" s="651"/>
      <c r="SSN10" s="651"/>
      <c r="SSO10" s="651"/>
      <c r="SSP10" s="651"/>
      <c r="SSQ10" s="651"/>
      <c r="SSR10" s="651"/>
      <c r="SSS10" s="651"/>
      <c r="SST10" s="651"/>
      <c r="SSU10" s="651"/>
      <c r="SSV10" s="651"/>
      <c r="SSW10" s="651"/>
      <c r="SSX10" s="651"/>
      <c r="SSY10" s="651"/>
      <c r="SSZ10" s="651"/>
      <c r="STA10" s="651"/>
      <c r="STB10" s="651"/>
      <c r="STC10" s="651"/>
      <c r="STD10" s="651"/>
      <c r="STE10" s="651"/>
      <c r="STF10" s="651"/>
      <c r="STG10" s="651"/>
      <c r="STH10" s="651"/>
      <c r="STI10" s="651"/>
      <c r="STJ10" s="651"/>
      <c r="STK10" s="651"/>
      <c r="STL10" s="651"/>
      <c r="STM10" s="651"/>
      <c r="STN10" s="651"/>
      <c r="STO10" s="651"/>
      <c r="STP10" s="651"/>
      <c r="STQ10" s="651"/>
      <c r="STR10" s="651"/>
      <c r="STS10" s="651"/>
      <c r="STT10" s="651"/>
      <c r="STU10" s="651"/>
      <c r="STV10" s="651"/>
      <c r="STW10" s="651"/>
      <c r="STX10" s="651"/>
      <c r="STY10" s="651"/>
      <c r="STZ10" s="651"/>
      <c r="SUA10" s="651"/>
      <c r="SUB10" s="651"/>
      <c r="SUC10" s="651"/>
      <c r="SUD10" s="651"/>
      <c r="SUE10" s="651"/>
      <c r="SUF10" s="651"/>
      <c r="SUG10" s="651"/>
      <c r="SUH10" s="651"/>
      <c r="SUI10" s="651"/>
      <c r="SUJ10" s="651"/>
      <c r="SUK10" s="651"/>
      <c r="SUL10" s="651"/>
      <c r="SUM10" s="651"/>
      <c r="SUN10" s="651"/>
      <c r="SUO10" s="651"/>
      <c r="SUP10" s="651"/>
      <c r="SUQ10" s="651"/>
      <c r="SUR10" s="651"/>
      <c r="SUS10" s="651"/>
      <c r="SUT10" s="651"/>
      <c r="SUU10" s="651"/>
      <c r="SUV10" s="651"/>
      <c r="SUW10" s="651"/>
      <c r="SUX10" s="651"/>
      <c r="SUY10" s="651"/>
      <c r="SUZ10" s="651"/>
      <c r="SVA10" s="651"/>
      <c r="SVB10" s="651"/>
      <c r="SVC10" s="651"/>
      <c r="SVD10" s="651"/>
      <c r="SVE10" s="651"/>
      <c r="SVF10" s="651"/>
      <c r="SVG10" s="651"/>
      <c r="SVH10" s="651"/>
      <c r="SVI10" s="651"/>
      <c r="SVJ10" s="651"/>
      <c r="SVK10" s="651"/>
      <c r="SVL10" s="651"/>
      <c r="SVM10" s="651"/>
      <c r="SVN10" s="651"/>
      <c r="SVO10" s="651"/>
      <c r="SVP10" s="651"/>
      <c r="SVQ10" s="651"/>
      <c r="SVR10" s="651"/>
      <c r="SVS10" s="651"/>
      <c r="SVT10" s="651"/>
      <c r="SVU10" s="651"/>
      <c r="SVV10" s="651"/>
      <c r="SVW10" s="651"/>
      <c r="SVX10" s="651"/>
      <c r="SVY10" s="651"/>
      <c r="SVZ10" s="651"/>
      <c r="SWA10" s="651"/>
      <c r="SWB10" s="651"/>
      <c r="SWC10" s="651"/>
      <c r="SWD10" s="651"/>
      <c r="SWE10" s="651"/>
      <c r="SWF10" s="651"/>
      <c r="SWG10" s="651"/>
      <c r="SWH10" s="651"/>
      <c r="SWI10" s="651"/>
      <c r="SWJ10" s="651"/>
      <c r="SWK10" s="651"/>
      <c r="SWL10" s="651"/>
      <c r="SWM10" s="651"/>
      <c r="SWN10" s="651"/>
      <c r="SWO10" s="651"/>
      <c r="SWP10" s="651"/>
      <c r="SWQ10" s="651"/>
      <c r="SWR10" s="651"/>
      <c r="SWS10" s="651"/>
      <c r="SWT10" s="651"/>
      <c r="SWU10" s="651"/>
      <c r="SWV10" s="651"/>
      <c r="SWW10" s="651"/>
      <c r="SWX10" s="651"/>
      <c r="SWY10" s="651"/>
      <c r="SWZ10" s="651"/>
      <c r="SXA10" s="651"/>
      <c r="SXB10" s="651"/>
      <c r="SXC10" s="651"/>
      <c r="SXD10" s="651"/>
      <c r="SXE10" s="651"/>
      <c r="SXF10" s="651"/>
      <c r="SXG10" s="651"/>
      <c r="SXH10" s="651"/>
      <c r="SXI10" s="651"/>
      <c r="SXJ10" s="651"/>
      <c r="SXK10" s="651"/>
      <c r="SXL10" s="651"/>
      <c r="SXM10" s="651"/>
      <c r="SXN10" s="651"/>
      <c r="SXO10" s="651"/>
      <c r="SXP10" s="651"/>
      <c r="SXQ10" s="651"/>
      <c r="SXR10" s="651"/>
      <c r="SXS10" s="651"/>
      <c r="SXT10" s="651"/>
      <c r="SXU10" s="651"/>
      <c r="SXV10" s="651"/>
      <c r="SXW10" s="651"/>
      <c r="SXX10" s="651"/>
      <c r="SXY10" s="651"/>
      <c r="SXZ10" s="651"/>
      <c r="SYA10" s="651"/>
      <c r="SYB10" s="651"/>
      <c r="SYC10" s="651"/>
      <c r="SYD10" s="651"/>
      <c r="SYE10" s="651"/>
      <c r="SYF10" s="651"/>
      <c r="SYG10" s="651"/>
      <c r="SYH10" s="651"/>
      <c r="SYI10" s="651"/>
      <c r="SYJ10" s="651"/>
      <c r="SYK10" s="651"/>
      <c r="SYL10" s="651"/>
      <c r="SYM10" s="651"/>
      <c r="SYN10" s="651"/>
      <c r="SYO10" s="651"/>
      <c r="SYP10" s="651"/>
      <c r="SYQ10" s="651"/>
      <c r="SYR10" s="651"/>
      <c r="SYS10" s="651"/>
      <c r="SYT10" s="651"/>
      <c r="SYU10" s="651"/>
      <c r="SYV10" s="651"/>
      <c r="SYW10" s="651"/>
      <c r="SYX10" s="651"/>
      <c r="SYY10" s="651"/>
      <c r="SYZ10" s="651"/>
      <c r="SZA10" s="651"/>
      <c r="SZB10" s="651"/>
      <c r="SZC10" s="651"/>
      <c r="SZD10" s="651"/>
      <c r="SZE10" s="651"/>
      <c r="SZF10" s="651"/>
      <c r="SZG10" s="651"/>
      <c r="SZH10" s="651"/>
      <c r="SZI10" s="651"/>
      <c r="SZJ10" s="651"/>
      <c r="SZK10" s="651"/>
      <c r="SZL10" s="651"/>
      <c r="SZM10" s="651"/>
      <c r="SZN10" s="651"/>
      <c r="SZO10" s="651"/>
      <c r="SZP10" s="651"/>
      <c r="SZQ10" s="651"/>
      <c r="SZR10" s="651"/>
      <c r="SZS10" s="651"/>
      <c r="SZT10" s="651"/>
      <c r="SZU10" s="651"/>
      <c r="SZV10" s="651"/>
      <c r="SZW10" s="651"/>
      <c r="SZX10" s="651"/>
      <c r="SZY10" s="651"/>
      <c r="SZZ10" s="651"/>
      <c r="TAA10" s="651"/>
      <c r="TAB10" s="651"/>
      <c r="TAC10" s="651"/>
      <c r="TAD10" s="651"/>
      <c r="TAE10" s="651"/>
      <c r="TAF10" s="651"/>
      <c r="TAG10" s="651"/>
      <c r="TAH10" s="651"/>
      <c r="TAI10" s="651"/>
      <c r="TAJ10" s="651"/>
      <c r="TAK10" s="651"/>
      <c r="TAL10" s="651"/>
      <c r="TAM10" s="651"/>
      <c r="TAN10" s="651"/>
      <c r="TAO10" s="651"/>
      <c r="TAP10" s="651"/>
      <c r="TAQ10" s="651"/>
      <c r="TAR10" s="651"/>
      <c r="TAS10" s="651"/>
      <c r="TAT10" s="651"/>
      <c r="TAU10" s="651"/>
      <c r="TAV10" s="651"/>
      <c r="TAW10" s="651"/>
      <c r="TAX10" s="651"/>
      <c r="TAY10" s="651"/>
      <c r="TAZ10" s="651"/>
      <c r="TBA10" s="651"/>
      <c r="TBB10" s="651"/>
      <c r="TBC10" s="651"/>
      <c r="TBD10" s="651"/>
      <c r="TBE10" s="651"/>
      <c r="TBF10" s="651"/>
      <c r="TBG10" s="651"/>
      <c r="TBH10" s="651"/>
      <c r="TBI10" s="651"/>
      <c r="TBJ10" s="651"/>
      <c r="TBK10" s="651"/>
      <c r="TBL10" s="651"/>
      <c r="TBM10" s="651"/>
      <c r="TBN10" s="651"/>
      <c r="TBO10" s="651"/>
      <c r="TBP10" s="651"/>
      <c r="TBQ10" s="651"/>
      <c r="TBR10" s="651"/>
      <c r="TBS10" s="651"/>
      <c r="TBT10" s="651"/>
      <c r="TBU10" s="651"/>
      <c r="TBV10" s="651"/>
      <c r="TBW10" s="651"/>
      <c r="TBX10" s="651"/>
      <c r="TBY10" s="651"/>
      <c r="TBZ10" s="651"/>
      <c r="TCA10" s="651"/>
      <c r="TCB10" s="651"/>
      <c r="TCC10" s="651"/>
      <c r="TCD10" s="651"/>
      <c r="TCE10" s="651"/>
      <c r="TCF10" s="651"/>
      <c r="TCG10" s="651"/>
      <c r="TCH10" s="651"/>
      <c r="TCI10" s="651"/>
      <c r="TCJ10" s="651"/>
      <c r="TCK10" s="651"/>
      <c r="TCL10" s="651"/>
      <c r="TCM10" s="651"/>
      <c r="TCN10" s="651"/>
      <c r="TCO10" s="651"/>
      <c r="TCP10" s="651"/>
      <c r="TCQ10" s="651"/>
      <c r="TCR10" s="651"/>
      <c r="TCS10" s="651"/>
      <c r="TCT10" s="651"/>
      <c r="TCU10" s="651"/>
      <c r="TCV10" s="651"/>
      <c r="TCW10" s="651"/>
      <c r="TCX10" s="651"/>
      <c r="TCY10" s="651"/>
      <c r="TCZ10" s="651"/>
      <c r="TDA10" s="651"/>
      <c r="TDB10" s="651"/>
      <c r="TDC10" s="651"/>
      <c r="TDD10" s="651"/>
      <c r="TDE10" s="651"/>
      <c r="TDF10" s="651"/>
      <c r="TDG10" s="651"/>
      <c r="TDH10" s="651"/>
      <c r="TDI10" s="651"/>
      <c r="TDJ10" s="651"/>
      <c r="TDK10" s="651"/>
      <c r="TDL10" s="651"/>
      <c r="TDM10" s="651"/>
      <c r="TDN10" s="651"/>
      <c r="TDO10" s="651"/>
      <c r="TDP10" s="651"/>
      <c r="TDQ10" s="651"/>
      <c r="TDR10" s="651"/>
      <c r="TDS10" s="651"/>
      <c r="TDT10" s="651"/>
      <c r="TDU10" s="651"/>
      <c r="TDV10" s="651"/>
      <c r="TDW10" s="651"/>
      <c r="TDX10" s="651"/>
      <c r="TDY10" s="651"/>
      <c r="TDZ10" s="651"/>
      <c r="TEA10" s="651"/>
      <c r="TEB10" s="651"/>
      <c r="TEC10" s="651"/>
      <c r="TED10" s="651"/>
      <c r="TEE10" s="651"/>
      <c r="TEF10" s="651"/>
      <c r="TEG10" s="651"/>
      <c r="TEH10" s="651"/>
      <c r="TEI10" s="651"/>
      <c r="TEJ10" s="651"/>
      <c r="TEK10" s="651"/>
      <c r="TEL10" s="651"/>
      <c r="TEM10" s="651"/>
      <c r="TEN10" s="651"/>
      <c r="TEO10" s="651"/>
      <c r="TEP10" s="651"/>
      <c r="TEQ10" s="651"/>
      <c r="TER10" s="651"/>
      <c r="TES10" s="651"/>
      <c r="TET10" s="651"/>
      <c r="TEU10" s="651"/>
      <c r="TEV10" s="651"/>
      <c r="TEW10" s="651"/>
      <c r="TEX10" s="651"/>
      <c r="TEY10" s="651"/>
      <c r="TEZ10" s="651"/>
      <c r="TFA10" s="651"/>
      <c r="TFB10" s="651"/>
      <c r="TFC10" s="651"/>
      <c r="TFD10" s="651"/>
      <c r="TFE10" s="651"/>
      <c r="TFF10" s="651"/>
      <c r="TFG10" s="651"/>
      <c r="TFH10" s="651"/>
      <c r="TFI10" s="651"/>
      <c r="TFJ10" s="651"/>
      <c r="TFK10" s="651"/>
      <c r="TFL10" s="651"/>
      <c r="TFM10" s="651"/>
      <c r="TFN10" s="651"/>
      <c r="TFO10" s="651"/>
      <c r="TFP10" s="651"/>
      <c r="TFQ10" s="651"/>
      <c r="TFR10" s="651"/>
      <c r="TFS10" s="651"/>
      <c r="TFT10" s="651"/>
      <c r="TFU10" s="651"/>
      <c r="TFV10" s="651"/>
      <c r="TFW10" s="651"/>
      <c r="TFX10" s="651"/>
      <c r="TFY10" s="651"/>
      <c r="TFZ10" s="651"/>
      <c r="TGA10" s="651"/>
      <c r="TGB10" s="651"/>
      <c r="TGC10" s="651"/>
      <c r="TGD10" s="651"/>
      <c r="TGE10" s="651"/>
      <c r="TGF10" s="651"/>
      <c r="TGG10" s="651"/>
      <c r="TGH10" s="651"/>
      <c r="TGI10" s="651"/>
      <c r="TGJ10" s="651"/>
      <c r="TGK10" s="651"/>
      <c r="TGL10" s="651"/>
      <c r="TGM10" s="651"/>
      <c r="TGN10" s="651"/>
      <c r="TGO10" s="651"/>
      <c r="TGP10" s="651"/>
      <c r="TGQ10" s="651"/>
      <c r="TGR10" s="651"/>
      <c r="TGS10" s="651"/>
      <c r="TGT10" s="651"/>
      <c r="TGU10" s="651"/>
      <c r="TGV10" s="651"/>
      <c r="TGW10" s="651"/>
      <c r="TGX10" s="651"/>
      <c r="TGY10" s="651"/>
      <c r="TGZ10" s="651"/>
      <c r="THA10" s="651"/>
      <c r="THB10" s="651"/>
      <c r="THC10" s="651"/>
      <c r="THD10" s="651"/>
      <c r="THE10" s="651"/>
      <c r="THF10" s="651"/>
      <c r="THG10" s="651"/>
      <c r="THH10" s="651"/>
      <c r="THI10" s="651"/>
      <c r="THJ10" s="651"/>
      <c r="THK10" s="651"/>
      <c r="THL10" s="651"/>
      <c r="THM10" s="651"/>
      <c r="THN10" s="651"/>
      <c r="THO10" s="651"/>
      <c r="THP10" s="651"/>
      <c r="THQ10" s="651"/>
      <c r="THR10" s="651"/>
      <c r="THS10" s="651"/>
      <c r="THT10" s="651"/>
      <c r="THU10" s="651"/>
      <c r="THV10" s="651"/>
      <c r="THW10" s="651"/>
      <c r="THX10" s="651"/>
      <c r="THY10" s="651"/>
      <c r="THZ10" s="651"/>
      <c r="TIA10" s="651"/>
      <c r="TIB10" s="651"/>
      <c r="TIC10" s="651"/>
      <c r="TID10" s="651"/>
      <c r="TIE10" s="651"/>
      <c r="TIF10" s="651"/>
      <c r="TIG10" s="651"/>
      <c r="TIH10" s="651"/>
      <c r="TII10" s="651"/>
      <c r="TIJ10" s="651"/>
      <c r="TIK10" s="651"/>
      <c r="TIL10" s="651"/>
      <c r="TIM10" s="651"/>
      <c r="TIN10" s="651"/>
      <c r="TIO10" s="651"/>
      <c r="TIP10" s="651"/>
      <c r="TIQ10" s="651"/>
      <c r="TIR10" s="651"/>
      <c r="TIS10" s="651"/>
      <c r="TIT10" s="651"/>
      <c r="TIU10" s="651"/>
      <c r="TIV10" s="651"/>
      <c r="TIW10" s="651"/>
      <c r="TIX10" s="651"/>
      <c r="TIY10" s="651"/>
      <c r="TIZ10" s="651"/>
      <c r="TJA10" s="651"/>
      <c r="TJB10" s="651"/>
      <c r="TJC10" s="651"/>
      <c r="TJD10" s="651"/>
      <c r="TJE10" s="651"/>
      <c r="TJF10" s="651"/>
      <c r="TJG10" s="651"/>
      <c r="TJH10" s="651"/>
      <c r="TJI10" s="651"/>
      <c r="TJJ10" s="651"/>
      <c r="TJK10" s="651"/>
      <c r="TJL10" s="651"/>
      <c r="TJM10" s="651"/>
      <c r="TJN10" s="651"/>
      <c r="TJO10" s="651"/>
      <c r="TJP10" s="651"/>
      <c r="TJQ10" s="651"/>
      <c r="TJR10" s="651"/>
      <c r="TJS10" s="651"/>
      <c r="TJT10" s="651"/>
      <c r="TJU10" s="651"/>
      <c r="TJV10" s="651"/>
      <c r="TJW10" s="651"/>
      <c r="TJX10" s="651"/>
      <c r="TJY10" s="651"/>
      <c r="TJZ10" s="651"/>
      <c r="TKA10" s="651"/>
      <c r="TKB10" s="651"/>
      <c r="TKC10" s="651"/>
      <c r="TKD10" s="651"/>
      <c r="TKE10" s="651"/>
      <c r="TKF10" s="651"/>
      <c r="TKG10" s="651"/>
      <c r="TKH10" s="651"/>
      <c r="TKI10" s="651"/>
      <c r="TKJ10" s="651"/>
      <c r="TKK10" s="651"/>
      <c r="TKL10" s="651"/>
      <c r="TKM10" s="651"/>
      <c r="TKN10" s="651"/>
      <c r="TKO10" s="651"/>
      <c r="TKP10" s="651"/>
      <c r="TKQ10" s="651"/>
      <c r="TKR10" s="651"/>
      <c r="TKS10" s="651"/>
      <c r="TKT10" s="651"/>
      <c r="TKU10" s="651"/>
      <c r="TKV10" s="651"/>
      <c r="TKW10" s="651"/>
      <c r="TKX10" s="651"/>
      <c r="TKY10" s="651"/>
      <c r="TKZ10" s="651"/>
      <c r="TLA10" s="651"/>
      <c r="TLB10" s="651"/>
      <c r="TLC10" s="651"/>
      <c r="TLD10" s="651"/>
      <c r="TLE10" s="651"/>
      <c r="TLF10" s="651"/>
      <c r="TLG10" s="651"/>
      <c r="TLH10" s="651"/>
      <c r="TLI10" s="651"/>
      <c r="TLJ10" s="651"/>
      <c r="TLK10" s="651"/>
      <c r="TLL10" s="651"/>
      <c r="TLM10" s="651"/>
      <c r="TLN10" s="651"/>
      <c r="TLO10" s="651"/>
      <c r="TLP10" s="651"/>
      <c r="TLQ10" s="651"/>
      <c r="TLR10" s="651"/>
      <c r="TLS10" s="651"/>
      <c r="TLT10" s="651"/>
      <c r="TLU10" s="651"/>
      <c r="TLV10" s="651"/>
      <c r="TLW10" s="651"/>
      <c r="TLX10" s="651"/>
      <c r="TLY10" s="651"/>
      <c r="TLZ10" s="651"/>
      <c r="TMA10" s="651"/>
      <c r="TMB10" s="651"/>
      <c r="TMC10" s="651"/>
      <c r="TMD10" s="651"/>
      <c r="TME10" s="651"/>
      <c r="TMF10" s="651"/>
      <c r="TMG10" s="651"/>
      <c r="TMH10" s="651"/>
      <c r="TMI10" s="651"/>
      <c r="TMJ10" s="651"/>
      <c r="TMK10" s="651"/>
      <c r="TML10" s="651"/>
      <c r="TMM10" s="651"/>
      <c r="TMN10" s="651"/>
      <c r="TMO10" s="651"/>
      <c r="TMP10" s="651"/>
      <c r="TMQ10" s="651"/>
      <c r="TMR10" s="651"/>
      <c r="TMS10" s="651"/>
      <c r="TMT10" s="651"/>
      <c r="TMU10" s="651"/>
      <c r="TMV10" s="651"/>
      <c r="TMW10" s="651"/>
      <c r="TMX10" s="651"/>
      <c r="TMY10" s="651"/>
      <c r="TMZ10" s="651"/>
      <c r="TNA10" s="651"/>
      <c r="TNB10" s="651"/>
      <c r="TNC10" s="651"/>
      <c r="TND10" s="651"/>
      <c r="TNE10" s="651"/>
      <c r="TNF10" s="651"/>
      <c r="TNG10" s="651"/>
      <c r="TNH10" s="651"/>
      <c r="TNI10" s="651"/>
      <c r="TNJ10" s="651"/>
      <c r="TNK10" s="651"/>
      <c r="TNL10" s="651"/>
      <c r="TNM10" s="651"/>
      <c r="TNN10" s="651"/>
      <c r="TNO10" s="651"/>
      <c r="TNP10" s="651"/>
      <c r="TNQ10" s="651"/>
      <c r="TNR10" s="651"/>
      <c r="TNS10" s="651"/>
      <c r="TNT10" s="651"/>
      <c r="TNU10" s="651"/>
      <c r="TNV10" s="651"/>
      <c r="TNW10" s="651"/>
      <c r="TNX10" s="651"/>
      <c r="TNY10" s="651"/>
      <c r="TNZ10" s="651"/>
      <c r="TOA10" s="651"/>
      <c r="TOB10" s="651"/>
      <c r="TOC10" s="651"/>
      <c r="TOD10" s="651"/>
      <c r="TOE10" s="651"/>
      <c r="TOF10" s="651"/>
      <c r="TOG10" s="651"/>
      <c r="TOH10" s="651"/>
      <c r="TOI10" s="651"/>
      <c r="TOJ10" s="651"/>
      <c r="TOK10" s="651"/>
      <c r="TOL10" s="651"/>
      <c r="TOM10" s="651"/>
      <c r="TON10" s="651"/>
      <c r="TOO10" s="651"/>
      <c r="TOP10" s="651"/>
      <c r="TOQ10" s="651"/>
      <c r="TOR10" s="651"/>
      <c r="TOS10" s="651"/>
      <c r="TOT10" s="651"/>
      <c r="TOU10" s="651"/>
      <c r="TOV10" s="651"/>
      <c r="TOW10" s="651"/>
      <c r="TOX10" s="651"/>
      <c r="TOY10" s="651"/>
      <c r="TOZ10" s="651"/>
      <c r="TPA10" s="651"/>
      <c r="TPB10" s="651"/>
      <c r="TPC10" s="651"/>
      <c r="TPD10" s="651"/>
      <c r="TPE10" s="651"/>
      <c r="TPF10" s="651"/>
      <c r="TPG10" s="651"/>
      <c r="TPH10" s="651"/>
      <c r="TPI10" s="651"/>
      <c r="TPJ10" s="651"/>
      <c r="TPK10" s="651"/>
      <c r="TPL10" s="651"/>
      <c r="TPM10" s="651"/>
      <c r="TPN10" s="651"/>
      <c r="TPO10" s="651"/>
      <c r="TPP10" s="651"/>
      <c r="TPQ10" s="651"/>
      <c r="TPR10" s="651"/>
      <c r="TPS10" s="651"/>
      <c r="TPT10" s="651"/>
      <c r="TPU10" s="651"/>
      <c r="TPV10" s="651"/>
      <c r="TPW10" s="651"/>
      <c r="TPX10" s="651"/>
      <c r="TPY10" s="651"/>
      <c r="TPZ10" s="651"/>
      <c r="TQA10" s="651"/>
      <c r="TQB10" s="651"/>
      <c r="TQC10" s="651"/>
      <c r="TQD10" s="651"/>
      <c r="TQE10" s="651"/>
      <c r="TQF10" s="651"/>
      <c r="TQG10" s="651"/>
      <c r="TQH10" s="651"/>
      <c r="TQI10" s="651"/>
      <c r="TQJ10" s="651"/>
      <c r="TQK10" s="651"/>
      <c r="TQL10" s="651"/>
      <c r="TQM10" s="651"/>
      <c r="TQN10" s="651"/>
      <c r="TQO10" s="651"/>
      <c r="TQP10" s="651"/>
      <c r="TQQ10" s="651"/>
      <c r="TQR10" s="651"/>
      <c r="TQS10" s="651"/>
      <c r="TQT10" s="651"/>
      <c r="TQU10" s="651"/>
      <c r="TQV10" s="651"/>
      <c r="TQW10" s="651"/>
      <c r="TQX10" s="651"/>
      <c r="TQY10" s="651"/>
      <c r="TQZ10" s="651"/>
      <c r="TRA10" s="651"/>
      <c r="TRB10" s="651"/>
      <c r="TRC10" s="651"/>
      <c r="TRD10" s="651"/>
      <c r="TRE10" s="651"/>
      <c r="TRF10" s="651"/>
      <c r="TRG10" s="651"/>
      <c r="TRH10" s="651"/>
      <c r="TRI10" s="651"/>
      <c r="TRJ10" s="651"/>
      <c r="TRK10" s="651"/>
      <c r="TRL10" s="651"/>
      <c r="TRM10" s="651"/>
      <c r="TRN10" s="651"/>
      <c r="TRO10" s="651"/>
      <c r="TRP10" s="651"/>
      <c r="TRQ10" s="651"/>
      <c r="TRR10" s="651"/>
      <c r="TRS10" s="651"/>
      <c r="TRT10" s="651"/>
      <c r="TRU10" s="651"/>
      <c r="TRV10" s="651"/>
      <c r="TRW10" s="651"/>
      <c r="TRX10" s="651"/>
      <c r="TRY10" s="651"/>
      <c r="TRZ10" s="651"/>
      <c r="TSA10" s="651"/>
      <c r="TSB10" s="651"/>
      <c r="TSC10" s="651"/>
      <c r="TSD10" s="651"/>
      <c r="TSE10" s="651"/>
      <c r="TSF10" s="651"/>
      <c r="TSG10" s="651"/>
      <c r="TSH10" s="651"/>
      <c r="TSI10" s="651"/>
      <c r="TSJ10" s="651"/>
      <c r="TSK10" s="651"/>
      <c r="TSL10" s="651"/>
      <c r="TSM10" s="651"/>
      <c r="TSN10" s="651"/>
      <c r="TSO10" s="651"/>
      <c r="TSP10" s="651"/>
      <c r="TSQ10" s="651"/>
      <c r="TSR10" s="651"/>
      <c r="TSS10" s="651"/>
      <c r="TST10" s="651"/>
      <c r="TSU10" s="651"/>
      <c r="TSV10" s="651"/>
      <c r="TSW10" s="651"/>
      <c r="TSX10" s="651"/>
      <c r="TSY10" s="651"/>
      <c r="TSZ10" s="651"/>
      <c r="TTA10" s="651"/>
      <c r="TTB10" s="651"/>
      <c r="TTC10" s="651"/>
      <c r="TTD10" s="651"/>
      <c r="TTE10" s="651"/>
      <c r="TTF10" s="651"/>
      <c r="TTG10" s="651"/>
      <c r="TTH10" s="651"/>
      <c r="TTI10" s="651"/>
      <c r="TTJ10" s="651"/>
      <c r="TTK10" s="651"/>
      <c r="TTL10" s="651"/>
      <c r="TTM10" s="651"/>
      <c r="TTN10" s="651"/>
      <c r="TTO10" s="651"/>
      <c r="TTP10" s="651"/>
      <c r="TTQ10" s="651"/>
      <c r="TTR10" s="651"/>
      <c r="TTS10" s="651"/>
      <c r="TTT10" s="651"/>
      <c r="TTU10" s="651"/>
      <c r="TTV10" s="651"/>
      <c r="TTW10" s="651"/>
      <c r="TTX10" s="651"/>
      <c r="TTY10" s="651"/>
      <c r="TTZ10" s="651"/>
      <c r="TUA10" s="651"/>
      <c r="TUB10" s="651"/>
      <c r="TUC10" s="651"/>
      <c r="TUD10" s="651"/>
      <c r="TUE10" s="651"/>
      <c r="TUF10" s="651"/>
      <c r="TUG10" s="651"/>
      <c r="TUH10" s="651"/>
      <c r="TUI10" s="651"/>
      <c r="TUJ10" s="651"/>
      <c r="TUK10" s="651"/>
      <c r="TUL10" s="651"/>
      <c r="TUM10" s="651"/>
      <c r="TUN10" s="651"/>
      <c r="TUO10" s="651"/>
      <c r="TUP10" s="651"/>
      <c r="TUQ10" s="651"/>
      <c r="TUR10" s="651"/>
      <c r="TUS10" s="651"/>
      <c r="TUT10" s="651"/>
      <c r="TUU10" s="651"/>
      <c r="TUV10" s="651"/>
      <c r="TUW10" s="651"/>
      <c r="TUX10" s="651"/>
      <c r="TUY10" s="651"/>
      <c r="TUZ10" s="651"/>
      <c r="TVA10" s="651"/>
      <c r="TVB10" s="651"/>
      <c r="TVC10" s="651"/>
      <c r="TVD10" s="651"/>
      <c r="TVE10" s="651"/>
      <c r="TVF10" s="651"/>
      <c r="TVG10" s="651"/>
      <c r="TVH10" s="651"/>
      <c r="TVI10" s="651"/>
      <c r="TVJ10" s="651"/>
      <c r="TVK10" s="651"/>
      <c r="TVL10" s="651"/>
      <c r="TVM10" s="651"/>
      <c r="TVN10" s="651"/>
      <c r="TVO10" s="651"/>
      <c r="TVP10" s="651"/>
      <c r="TVQ10" s="651"/>
      <c r="TVR10" s="651"/>
      <c r="TVS10" s="651"/>
      <c r="TVT10" s="651"/>
      <c r="TVU10" s="651"/>
      <c r="TVV10" s="651"/>
      <c r="TVW10" s="651"/>
      <c r="TVX10" s="651"/>
      <c r="TVY10" s="651"/>
      <c r="TVZ10" s="651"/>
      <c r="TWA10" s="651"/>
      <c r="TWB10" s="651"/>
      <c r="TWC10" s="651"/>
      <c r="TWD10" s="651"/>
      <c r="TWE10" s="651"/>
      <c r="TWF10" s="651"/>
      <c r="TWG10" s="651"/>
      <c r="TWH10" s="651"/>
      <c r="TWI10" s="651"/>
      <c r="TWJ10" s="651"/>
      <c r="TWK10" s="651"/>
      <c r="TWL10" s="651"/>
      <c r="TWM10" s="651"/>
      <c r="TWN10" s="651"/>
      <c r="TWO10" s="651"/>
      <c r="TWP10" s="651"/>
      <c r="TWQ10" s="651"/>
      <c r="TWR10" s="651"/>
      <c r="TWS10" s="651"/>
      <c r="TWT10" s="651"/>
      <c r="TWU10" s="651"/>
      <c r="TWV10" s="651"/>
      <c r="TWW10" s="651"/>
      <c r="TWX10" s="651"/>
      <c r="TWY10" s="651"/>
      <c r="TWZ10" s="651"/>
      <c r="TXA10" s="651"/>
      <c r="TXB10" s="651"/>
      <c r="TXC10" s="651"/>
      <c r="TXD10" s="651"/>
      <c r="TXE10" s="651"/>
      <c r="TXF10" s="651"/>
      <c r="TXG10" s="651"/>
      <c r="TXH10" s="651"/>
      <c r="TXI10" s="651"/>
      <c r="TXJ10" s="651"/>
      <c r="TXK10" s="651"/>
      <c r="TXL10" s="651"/>
      <c r="TXM10" s="651"/>
      <c r="TXN10" s="651"/>
      <c r="TXO10" s="651"/>
      <c r="TXP10" s="651"/>
      <c r="TXQ10" s="651"/>
      <c r="TXR10" s="651"/>
      <c r="TXS10" s="651"/>
      <c r="TXT10" s="651"/>
      <c r="TXU10" s="651"/>
      <c r="TXV10" s="651"/>
      <c r="TXW10" s="651"/>
      <c r="TXX10" s="651"/>
      <c r="TXY10" s="651"/>
      <c r="TXZ10" s="651"/>
      <c r="TYA10" s="651"/>
      <c r="TYB10" s="651"/>
      <c r="TYC10" s="651"/>
      <c r="TYD10" s="651"/>
      <c r="TYE10" s="651"/>
      <c r="TYF10" s="651"/>
      <c r="TYG10" s="651"/>
      <c r="TYH10" s="651"/>
      <c r="TYI10" s="651"/>
      <c r="TYJ10" s="651"/>
      <c r="TYK10" s="651"/>
      <c r="TYL10" s="651"/>
      <c r="TYM10" s="651"/>
      <c r="TYN10" s="651"/>
      <c r="TYO10" s="651"/>
      <c r="TYP10" s="651"/>
      <c r="TYQ10" s="651"/>
      <c r="TYR10" s="651"/>
      <c r="TYS10" s="651"/>
      <c r="TYT10" s="651"/>
      <c r="TYU10" s="651"/>
      <c r="TYV10" s="651"/>
      <c r="TYW10" s="651"/>
      <c r="TYX10" s="651"/>
      <c r="TYY10" s="651"/>
      <c r="TYZ10" s="651"/>
      <c r="TZA10" s="651"/>
      <c r="TZB10" s="651"/>
      <c r="TZC10" s="651"/>
      <c r="TZD10" s="651"/>
      <c r="TZE10" s="651"/>
      <c r="TZF10" s="651"/>
      <c r="TZG10" s="651"/>
      <c r="TZH10" s="651"/>
      <c r="TZI10" s="651"/>
      <c r="TZJ10" s="651"/>
      <c r="TZK10" s="651"/>
      <c r="TZL10" s="651"/>
      <c r="TZM10" s="651"/>
      <c r="TZN10" s="651"/>
      <c r="TZO10" s="651"/>
      <c r="TZP10" s="651"/>
      <c r="TZQ10" s="651"/>
      <c r="TZR10" s="651"/>
      <c r="TZS10" s="651"/>
      <c r="TZT10" s="651"/>
      <c r="TZU10" s="651"/>
      <c r="TZV10" s="651"/>
      <c r="TZW10" s="651"/>
      <c r="TZX10" s="651"/>
      <c r="TZY10" s="651"/>
      <c r="TZZ10" s="651"/>
      <c r="UAA10" s="651"/>
      <c r="UAB10" s="651"/>
      <c r="UAC10" s="651"/>
      <c r="UAD10" s="651"/>
      <c r="UAE10" s="651"/>
      <c r="UAF10" s="651"/>
      <c r="UAG10" s="651"/>
      <c r="UAH10" s="651"/>
      <c r="UAI10" s="651"/>
      <c r="UAJ10" s="651"/>
      <c r="UAK10" s="651"/>
      <c r="UAL10" s="651"/>
      <c r="UAM10" s="651"/>
      <c r="UAN10" s="651"/>
      <c r="UAO10" s="651"/>
      <c r="UAP10" s="651"/>
      <c r="UAQ10" s="651"/>
      <c r="UAR10" s="651"/>
      <c r="UAS10" s="651"/>
      <c r="UAT10" s="651"/>
      <c r="UAU10" s="651"/>
      <c r="UAV10" s="651"/>
      <c r="UAW10" s="651"/>
      <c r="UAX10" s="651"/>
      <c r="UAY10" s="651"/>
      <c r="UAZ10" s="651"/>
      <c r="UBA10" s="651"/>
      <c r="UBB10" s="651"/>
      <c r="UBC10" s="651"/>
      <c r="UBD10" s="651"/>
      <c r="UBE10" s="651"/>
      <c r="UBF10" s="651"/>
      <c r="UBG10" s="651"/>
      <c r="UBH10" s="651"/>
      <c r="UBI10" s="651"/>
      <c r="UBJ10" s="651"/>
      <c r="UBK10" s="651"/>
      <c r="UBL10" s="651"/>
      <c r="UBM10" s="651"/>
      <c r="UBN10" s="651"/>
      <c r="UBO10" s="651"/>
      <c r="UBP10" s="651"/>
      <c r="UBQ10" s="651"/>
      <c r="UBR10" s="651"/>
      <c r="UBS10" s="651"/>
      <c r="UBT10" s="651"/>
      <c r="UBU10" s="651"/>
      <c r="UBV10" s="651"/>
      <c r="UBW10" s="651"/>
      <c r="UBX10" s="651"/>
      <c r="UBY10" s="651"/>
      <c r="UBZ10" s="651"/>
      <c r="UCA10" s="651"/>
      <c r="UCB10" s="651"/>
      <c r="UCC10" s="651"/>
      <c r="UCD10" s="651"/>
      <c r="UCE10" s="651"/>
      <c r="UCF10" s="651"/>
      <c r="UCG10" s="651"/>
      <c r="UCH10" s="651"/>
      <c r="UCI10" s="651"/>
      <c r="UCJ10" s="651"/>
      <c r="UCK10" s="651"/>
      <c r="UCL10" s="651"/>
      <c r="UCM10" s="651"/>
      <c r="UCN10" s="651"/>
      <c r="UCO10" s="651"/>
      <c r="UCP10" s="651"/>
      <c r="UCQ10" s="651"/>
      <c r="UCR10" s="651"/>
      <c r="UCS10" s="651"/>
      <c r="UCT10" s="651"/>
      <c r="UCU10" s="651"/>
      <c r="UCV10" s="651"/>
      <c r="UCW10" s="651"/>
      <c r="UCX10" s="651"/>
      <c r="UCY10" s="651"/>
      <c r="UCZ10" s="651"/>
      <c r="UDA10" s="651"/>
      <c r="UDB10" s="651"/>
      <c r="UDC10" s="651"/>
      <c r="UDD10" s="651"/>
      <c r="UDE10" s="651"/>
      <c r="UDF10" s="651"/>
      <c r="UDG10" s="651"/>
      <c r="UDH10" s="651"/>
      <c r="UDI10" s="651"/>
      <c r="UDJ10" s="651"/>
      <c r="UDK10" s="651"/>
      <c r="UDL10" s="651"/>
      <c r="UDM10" s="651"/>
      <c r="UDN10" s="651"/>
      <c r="UDO10" s="651"/>
      <c r="UDP10" s="651"/>
      <c r="UDQ10" s="651"/>
      <c r="UDR10" s="651"/>
      <c r="UDS10" s="651"/>
      <c r="UDT10" s="651"/>
      <c r="UDU10" s="651"/>
      <c r="UDV10" s="651"/>
      <c r="UDW10" s="651"/>
      <c r="UDX10" s="651"/>
      <c r="UDY10" s="651"/>
      <c r="UDZ10" s="651"/>
      <c r="UEA10" s="651"/>
      <c r="UEB10" s="651"/>
      <c r="UEC10" s="651"/>
      <c r="UED10" s="651"/>
      <c r="UEE10" s="651"/>
      <c r="UEF10" s="651"/>
      <c r="UEG10" s="651"/>
      <c r="UEH10" s="651"/>
      <c r="UEI10" s="651"/>
      <c r="UEJ10" s="651"/>
      <c r="UEK10" s="651"/>
      <c r="UEL10" s="651"/>
      <c r="UEM10" s="651"/>
      <c r="UEN10" s="651"/>
      <c r="UEO10" s="651"/>
      <c r="UEP10" s="651"/>
      <c r="UEQ10" s="651"/>
      <c r="UER10" s="651"/>
      <c r="UES10" s="651"/>
      <c r="UET10" s="651"/>
      <c r="UEU10" s="651"/>
      <c r="UEV10" s="651"/>
      <c r="UEW10" s="651"/>
      <c r="UEX10" s="651"/>
      <c r="UEY10" s="651"/>
      <c r="UEZ10" s="651"/>
      <c r="UFA10" s="651"/>
      <c r="UFB10" s="651"/>
      <c r="UFC10" s="651"/>
      <c r="UFD10" s="651"/>
      <c r="UFE10" s="651"/>
      <c r="UFF10" s="651"/>
      <c r="UFG10" s="651"/>
      <c r="UFH10" s="651"/>
      <c r="UFI10" s="651"/>
      <c r="UFJ10" s="651"/>
      <c r="UFK10" s="651"/>
      <c r="UFL10" s="651"/>
      <c r="UFM10" s="651"/>
      <c r="UFN10" s="651"/>
      <c r="UFO10" s="651"/>
      <c r="UFP10" s="651"/>
      <c r="UFQ10" s="651"/>
      <c r="UFR10" s="651"/>
      <c r="UFS10" s="651"/>
      <c r="UFT10" s="651"/>
      <c r="UFU10" s="651"/>
      <c r="UFV10" s="651"/>
      <c r="UFW10" s="651"/>
      <c r="UFX10" s="651"/>
      <c r="UFY10" s="651"/>
      <c r="UFZ10" s="651"/>
      <c r="UGA10" s="651"/>
      <c r="UGB10" s="651"/>
      <c r="UGC10" s="651"/>
      <c r="UGD10" s="651"/>
      <c r="UGE10" s="651"/>
      <c r="UGF10" s="651"/>
      <c r="UGG10" s="651"/>
      <c r="UGH10" s="651"/>
      <c r="UGI10" s="651"/>
      <c r="UGJ10" s="651"/>
      <c r="UGK10" s="651"/>
      <c r="UGL10" s="651"/>
      <c r="UGM10" s="651"/>
      <c r="UGN10" s="651"/>
      <c r="UGO10" s="651"/>
      <c r="UGP10" s="651"/>
      <c r="UGQ10" s="651"/>
      <c r="UGR10" s="651"/>
      <c r="UGS10" s="651"/>
      <c r="UGT10" s="651"/>
      <c r="UGU10" s="651"/>
      <c r="UGV10" s="651"/>
      <c r="UGW10" s="651"/>
      <c r="UGX10" s="651"/>
      <c r="UGY10" s="651"/>
      <c r="UGZ10" s="651"/>
      <c r="UHA10" s="651"/>
      <c r="UHB10" s="651"/>
      <c r="UHC10" s="651"/>
      <c r="UHD10" s="651"/>
      <c r="UHE10" s="651"/>
      <c r="UHF10" s="651"/>
      <c r="UHG10" s="651"/>
      <c r="UHH10" s="651"/>
      <c r="UHI10" s="651"/>
      <c r="UHJ10" s="651"/>
      <c r="UHK10" s="651"/>
      <c r="UHL10" s="651"/>
      <c r="UHM10" s="651"/>
      <c r="UHN10" s="651"/>
      <c r="UHO10" s="651"/>
      <c r="UHP10" s="651"/>
      <c r="UHQ10" s="651"/>
      <c r="UHR10" s="651"/>
      <c r="UHS10" s="651"/>
      <c r="UHT10" s="651"/>
      <c r="UHU10" s="651"/>
      <c r="UHV10" s="651"/>
      <c r="UHW10" s="651"/>
      <c r="UHX10" s="651"/>
      <c r="UHY10" s="651"/>
      <c r="UHZ10" s="651"/>
      <c r="UIA10" s="651"/>
      <c r="UIB10" s="651"/>
      <c r="UIC10" s="651"/>
      <c r="UID10" s="651"/>
      <c r="UIE10" s="651"/>
      <c r="UIF10" s="651"/>
      <c r="UIG10" s="651"/>
      <c r="UIH10" s="651"/>
      <c r="UII10" s="651"/>
      <c r="UIJ10" s="651"/>
      <c r="UIK10" s="651"/>
      <c r="UIL10" s="651"/>
      <c r="UIM10" s="651"/>
      <c r="UIN10" s="651"/>
      <c r="UIO10" s="651"/>
      <c r="UIP10" s="651"/>
      <c r="UIQ10" s="651"/>
      <c r="UIR10" s="651"/>
      <c r="UIS10" s="651"/>
      <c r="UIT10" s="651"/>
      <c r="UIU10" s="651"/>
      <c r="UIV10" s="651"/>
      <c r="UIW10" s="651"/>
      <c r="UIX10" s="651"/>
      <c r="UIY10" s="651"/>
      <c r="UIZ10" s="651"/>
      <c r="UJA10" s="651"/>
      <c r="UJB10" s="651"/>
      <c r="UJC10" s="651"/>
      <c r="UJD10" s="651"/>
      <c r="UJE10" s="651"/>
      <c r="UJF10" s="651"/>
      <c r="UJG10" s="651"/>
      <c r="UJH10" s="651"/>
      <c r="UJI10" s="651"/>
      <c r="UJJ10" s="651"/>
      <c r="UJK10" s="651"/>
      <c r="UJL10" s="651"/>
      <c r="UJM10" s="651"/>
      <c r="UJN10" s="651"/>
      <c r="UJO10" s="651"/>
      <c r="UJP10" s="651"/>
      <c r="UJQ10" s="651"/>
      <c r="UJR10" s="651"/>
      <c r="UJS10" s="651"/>
      <c r="UJT10" s="651"/>
      <c r="UJU10" s="651"/>
      <c r="UJV10" s="651"/>
      <c r="UJW10" s="651"/>
      <c r="UJX10" s="651"/>
      <c r="UJY10" s="651"/>
      <c r="UJZ10" s="651"/>
      <c r="UKA10" s="651"/>
      <c r="UKB10" s="651"/>
      <c r="UKC10" s="651"/>
      <c r="UKD10" s="651"/>
      <c r="UKE10" s="651"/>
      <c r="UKF10" s="651"/>
      <c r="UKG10" s="651"/>
      <c r="UKH10" s="651"/>
      <c r="UKI10" s="651"/>
      <c r="UKJ10" s="651"/>
      <c r="UKK10" s="651"/>
      <c r="UKL10" s="651"/>
      <c r="UKM10" s="651"/>
      <c r="UKN10" s="651"/>
      <c r="UKO10" s="651"/>
      <c r="UKP10" s="651"/>
      <c r="UKQ10" s="651"/>
      <c r="UKR10" s="651"/>
      <c r="UKS10" s="651"/>
      <c r="UKT10" s="651"/>
      <c r="UKU10" s="651"/>
      <c r="UKV10" s="651"/>
      <c r="UKW10" s="651"/>
      <c r="UKX10" s="651"/>
      <c r="UKY10" s="651"/>
      <c r="UKZ10" s="651"/>
      <c r="ULA10" s="651"/>
      <c r="ULB10" s="651"/>
      <c r="ULC10" s="651"/>
      <c r="ULD10" s="651"/>
      <c r="ULE10" s="651"/>
      <c r="ULF10" s="651"/>
      <c r="ULG10" s="651"/>
      <c r="ULH10" s="651"/>
      <c r="ULI10" s="651"/>
      <c r="ULJ10" s="651"/>
      <c r="ULK10" s="651"/>
      <c r="ULL10" s="651"/>
      <c r="ULM10" s="651"/>
      <c r="ULN10" s="651"/>
      <c r="ULO10" s="651"/>
      <c r="ULP10" s="651"/>
      <c r="ULQ10" s="651"/>
      <c r="ULR10" s="651"/>
      <c r="ULS10" s="651"/>
      <c r="ULT10" s="651"/>
      <c r="ULU10" s="651"/>
      <c r="ULV10" s="651"/>
      <c r="ULW10" s="651"/>
      <c r="ULX10" s="651"/>
      <c r="ULY10" s="651"/>
      <c r="ULZ10" s="651"/>
      <c r="UMA10" s="651"/>
      <c r="UMB10" s="651"/>
      <c r="UMC10" s="651"/>
      <c r="UMD10" s="651"/>
      <c r="UME10" s="651"/>
      <c r="UMF10" s="651"/>
      <c r="UMG10" s="651"/>
      <c r="UMH10" s="651"/>
      <c r="UMI10" s="651"/>
      <c r="UMJ10" s="651"/>
      <c r="UMK10" s="651"/>
      <c r="UML10" s="651"/>
      <c r="UMM10" s="651"/>
      <c r="UMN10" s="651"/>
      <c r="UMO10" s="651"/>
      <c r="UMP10" s="651"/>
      <c r="UMQ10" s="651"/>
      <c r="UMR10" s="651"/>
      <c r="UMS10" s="651"/>
      <c r="UMT10" s="651"/>
      <c r="UMU10" s="651"/>
      <c r="UMV10" s="651"/>
      <c r="UMW10" s="651"/>
      <c r="UMX10" s="651"/>
      <c r="UMY10" s="651"/>
      <c r="UMZ10" s="651"/>
      <c r="UNA10" s="651"/>
      <c r="UNB10" s="651"/>
      <c r="UNC10" s="651"/>
      <c r="UND10" s="651"/>
      <c r="UNE10" s="651"/>
      <c r="UNF10" s="651"/>
      <c r="UNG10" s="651"/>
      <c r="UNH10" s="651"/>
      <c r="UNI10" s="651"/>
      <c r="UNJ10" s="651"/>
      <c r="UNK10" s="651"/>
      <c r="UNL10" s="651"/>
      <c r="UNM10" s="651"/>
      <c r="UNN10" s="651"/>
      <c r="UNO10" s="651"/>
      <c r="UNP10" s="651"/>
      <c r="UNQ10" s="651"/>
      <c r="UNR10" s="651"/>
      <c r="UNS10" s="651"/>
      <c r="UNT10" s="651"/>
      <c r="UNU10" s="651"/>
      <c r="UNV10" s="651"/>
      <c r="UNW10" s="651"/>
      <c r="UNX10" s="651"/>
      <c r="UNY10" s="651"/>
      <c r="UNZ10" s="651"/>
      <c r="UOA10" s="651"/>
      <c r="UOB10" s="651"/>
      <c r="UOC10" s="651"/>
      <c r="UOD10" s="651"/>
      <c r="UOE10" s="651"/>
      <c r="UOF10" s="651"/>
      <c r="UOG10" s="651"/>
      <c r="UOH10" s="651"/>
      <c r="UOI10" s="651"/>
      <c r="UOJ10" s="651"/>
      <c r="UOK10" s="651"/>
      <c r="UOL10" s="651"/>
      <c r="UOM10" s="651"/>
      <c r="UON10" s="651"/>
      <c r="UOO10" s="651"/>
      <c r="UOP10" s="651"/>
      <c r="UOQ10" s="651"/>
      <c r="UOR10" s="651"/>
      <c r="UOS10" s="651"/>
      <c r="UOT10" s="651"/>
      <c r="UOU10" s="651"/>
      <c r="UOV10" s="651"/>
      <c r="UOW10" s="651"/>
      <c r="UOX10" s="651"/>
      <c r="UOY10" s="651"/>
      <c r="UOZ10" s="651"/>
      <c r="UPA10" s="651"/>
      <c r="UPB10" s="651"/>
      <c r="UPC10" s="651"/>
      <c r="UPD10" s="651"/>
      <c r="UPE10" s="651"/>
      <c r="UPF10" s="651"/>
      <c r="UPG10" s="651"/>
      <c r="UPH10" s="651"/>
      <c r="UPI10" s="651"/>
      <c r="UPJ10" s="651"/>
      <c r="UPK10" s="651"/>
      <c r="UPL10" s="651"/>
      <c r="UPM10" s="651"/>
      <c r="UPN10" s="651"/>
      <c r="UPO10" s="651"/>
      <c r="UPP10" s="651"/>
      <c r="UPQ10" s="651"/>
      <c r="UPR10" s="651"/>
      <c r="UPS10" s="651"/>
      <c r="UPT10" s="651"/>
      <c r="UPU10" s="651"/>
      <c r="UPV10" s="651"/>
      <c r="UPW10" s="651"/>
      <c r="UPX10" s="651"/>
      <c r="UPY10" s="651"/>
      <c r="UPZ10" s="651"/>
      <c r="UQA10" s="651"/>
      <c r="UQB10" s="651"/>
      <c r="UQC10" s="651"/>
      <c r="UQD10" s="651"/>
      <c r="UQE10" s="651"/>
      <c r="UQF10" s="651"/>
      <c r="UQG10" s="651"/>
      <c r="UQH10" s="651"/>
      <c r="UQI10" s="651"/>
      <c r="UQJ10" s="651"/>
      <c r="UQK10" s="651"/>
      <c r="UQL10" s="651"/>
      <c r="UQM10" s="651"/>
      <c r="UQN10" s="651"/>
      <c r="UQO10" s="651"/>
      <c r="UQP10" s="651"/>
      <c r="UQQ10" s="651"/>
      <c r="UQR10" s="651"/>
      <c r="UQS10" s="651"/>
      <c r="UQT10" s="651"/>
      <c r="UQU10" s="651"/>
      <c r="UQV10" s="651"/>
      <c r="UQW10" s="651"/>
      <c r="UQX10" s="651"/>
      <c r="UQY10" s="651"/>
      <c r="UQZ10" s="651"/>
      <c r="URA10" s="651"/>
      <c r="URB10" s="651"/>
      <c r="URC10" s="651"/>
      <c r="URD10" s="651"/>
      <c r="URE10" s="651"/>
      <c r="URF10" s="651"/>
      <c r="URG10" s="651"/>
      <c r="URH10" s="651"/>
      <c r="URI10" s="651"/>
      <c r="URJ10" s="651"/>
      <c r="URK10" s="651"/>
      <c r="URL10" s="651"/>
      <c r="URM10" s="651"/>
      <c r="URN10" s="651"/>
      <c r="URO10" s="651"/>
      <c r="URP10" s="651"/>
      <c r="URQ10" s="651"/>
      <c r="URR10" s="651"/>
      <c r="URS10" s="651"/>
      <c r="URT10" s="651"/>
      <c r="URU10" s="651"/>
      <c r="URV10" s="651"/>
      <c r="URW10" s="651"/>
      <c r="URX10" s="651"/>
      <c r="URY10" s="651"/>
      <c r="URZ10" s="651"/>
      <c r="USA10" s="651"/>
      <c r="USB10" s="651"/>
      <c r="USC10" s="651"/>
      <c r="USD10" s="651"/>
      <c r="USE10" s="651"/>
      <c r="USF10" s="651"/>
      <c r="USG10" s="651"/>
      <c r="USH10" s="651"/>
      <c r="USI10" s="651"/>
      <c r="USJ10" s="651"/>
      <c r="USK10" s="651"/>
      <c r="USL10" s="651"/>
      <c r="USM10" s="651"/>
      <c r="USN10" s="651"/>
      <c r="USO10" s="651"/>
      <c r="USP10" s="651"/>
      <c r="USQ10" s="651"/>
      <c r="USR10" s="651"/>
      <c r="USS10" s="651"/>
      <c r="UST10" s="651"/>
      <c r="USU10" s="651"/>
      <c r="USV10" s="651"/>
      <c r="USW10" s="651"/>
      <c r="USX10" s="651"/>
      <c r="USY10" s="651"/>
      <c r="USZ10" s="651"/>
      <c r="UTA10" s="651"/>
      <c r="UTB10" s="651"/>
      <c r="UTC10" s="651"/>
      <c r="UTD10" s="651"/>
      <c r="UTE10" s="651"/>
      <c r="UTF10" s="651"/>
      <c r="UTG10" s="651"/>
      <c r="UTH10" s="651"/>
      <c r="UTI10" s="651"/>
      <c r="UTJ10" s="651"/>
      <c r="UTK10" s="651"/>
      <c r="UTL10" s="651"/>
      <c r="UTM10" s="651"/>
      <c r="UTN10" s="651"/>
      <c r="UTO10" s="651"/>
      <c r="UTP10" s="651"/>
      <c r="UTQ10" s="651"/>
      <c r="UTR10" s="651"/>
      <c r="UTS10" s="651"/>
      <c r="UTT10" s="651"/>
      <c r="UTU10" s="651"/>
      <c r="UTV10" s="651"/>
      <c r="UTW10" s="651"/>
      <c r="UTX10" s="651"/>
      <c r="UTY10" s="651"/>
      <c r="UTZ10" s="651"/>
      <c r="UUA10" s="651"/>
      <c r="UUB10" s="651"/>
      <c r="UUC10" s="651"/>
      <c r="UUD10" s="651"/>
      <c r="UUE10" s="651"/>
      <c r="UUF10" s="651"/>
      <c r="UUG10" s="651"/>
      <c r="UUH10" s="651"/>
      <c r="UUI10" s="651"/>
      <c r="UUJ10" s="651"/>
      <c r="UUK10" s="651"/>
      <c r="UUL10" s="651"/>
      <c r="UUM10" s="651"/>
      <c r="UUN10" s="651"/>
      <c r="UUO10" s="651"/>
      <c r="UUP10" s="651"/>
      <c r="UUQ10" s="651"/>
      <c r="UUR10" s="651"/>
      <c r="UUS10" s="651"/>
      <c r="UUT10" s="651"/>
      <c r="UUU10" s="651"/>
      <c r="UUV10" s="651"/>
      <c r="UUW10" s="651"/>
      <c r="UUX10" s="651"/>
      <c r="UUY10" s="651"/>
      <c r="UUZ10" s="651"/>
      <c r="UVA10" s="651"/>
      <c r="UVB10" s="651"/>
      <c r="UVC10" s="651"/>
      <c r="UVD10" s="651"/>
      <c r="UVE10" s="651"/>
      <c r="UVF10" s="651"/>
      <c r="UVG10" s="651"/>
      <c r="UVH10" s="651"/>
      <c r="UVI10" s="651"/>
      <c r="UVJ10" s="651"/>
      <c r="UVK10" s="651"/>
      <c r="UVL10" s="651"/>
      <c r="UVM10" s="651"/>
      <c r="UVN10" s="651"/>
      <c r="UVO10" s="651"/>
      <c r="UVP10" s="651"/>
      <c r="UVQ10" s="651"/>
      <c r="UVR10" s="651"/>
      <c r="UVS10" s="651"/>
      <c r="UVT10" s="651"/>
      <c r="UVU10" s="651"/>
      <c r="UVV10" s="651"/>
      <c r="UVW10" s="651"/>
      <c r="UVX10" s="651"/>
      <c r="UVY10" s="651"/>
      <c r="UVZ10" s="651"/>
      <c r="UWA10" s="651"/>
      <c r="UWB10" s="651"/>
      <c r="UWC10" s="651"/>
      <c r="UWD10" s="651"/>
      <c r="UWE10" s="651"/>
      <c r="UWF10" s="651"/>
      <c r="UWG10" s="651"/>
      <c r="UWH10" s="651"/>
      <c r="UWI10" s="651"/>
      <c r="UWJ10" s="651"/>
      <c r="UWK10" s="651"/>
      <c r="UWL10" s="651"/>
      <c r="UWM10" s="651"/>
      <c r="UWN10" s="651"/>
      <c r="UWO10" s="651"/>
      <c r="UWP10" s="651"/>
      <c r="UWQ10" s="651"/>
      <c r="UWR10" s="651"/>
      <c r="UWS10" s="651"/>
      <c r="UWT10" s="651"/>
      <c r="UWU10" s="651"/>
      <c r="UWV10" s="651"/>
      <c r="UWW10" s="651"/>
      <c r="UWX10" s="651"/>
      <c r="UWY10" s="651"/>
      <c r="UWZ10" s="651"/>
      <c r="UXA10" s="651"/>
      <c r="UXB10" s="651"/>
      <c r="UXC10" s="651"/>
      <c r="UXD10" s="651"/>
      <c r="UXE10" s="651"/>
      <c r="UXF10" s="651"/>
      <c r="UXG10" s="651"/>
      <c r="UXH10" s="651"/>
      <c r="UXI10" s="651"/>
      <c r="UXJ10" s="651"/>
      <c r="UXK10" s="651"/>
      <c r="UXL10" s="651"/>
      <c r="UXM10" s="651"/>
      <c r="UXN10" s="651"/>
      <c r="UXO10" s="651"/>
      <c r="UXP10" s="651"/>
      <c r="UXQ10" s="651"/>
      <c r="UXR10" s="651"/>
      <c r="UXS10" s="651"/>
      <c r="UXT10" s="651"/>
      <c r="UXU10" s="651"/>
      <c r="UXV10" s="651"/>
      <c r="UXW10" s="651"/>
      <c r="UXX10" s="651"/>
      <c r="UXY10" s="651"/>
      <c r="UXZ10" s="651"/>
      <c r="UYA10" s="651"/>
      <c r="UYB10" s="651"/>
      <c r="UYC10" s="651"/>
      <c r="UYD10" s="651"/>
      <c r="UYE10" s="651"/>
      <c r="UYF10" s="651"/>
      <c r="UYG10" s="651"/>
      <c r="UYH10" s="651"/>
      <c r="UYI10" s="651"/>
      <c r="UYJ10" s="651"/>
      <c r="UYK10" s="651"/>
      <c r="UYL10" s="651"/>
      <c r="UYM10" s="651"/>
      <c r="UYN10" s="651"/>
      <c r="UYO10" s="651"/>
      <c r="UYP10" s="651"/>
      <c r="UYQ10" s="651"/>
      <c r="UYR10" s="651"/>
      <c r="UYS10" s="651"/>
      <c r="UYT10" s="651"/>
      <c r="UYU10" s="651"/>
      <c r="UYV10" s="651"/>
      <c r="UYW10" s="651"/>
      <c r="UYX10" s="651"/>
      <c r="UYY10" s="651"/>
      <c r="UYZ10" s="651"/>
      <c r="UZA10" s="651"/>
      <c r="UZB10" s="651"/>
      <c r="UZC10" s="651"/>
      <c r="UZD10" s="651"/>
      <c r="UZE10" s="651"/>
      <c r="UZF10" s="651"/>
      <c r="UZG10" s="651"/>
      <c r="UZH10" s="651"/>
      <c r="UZI10" s="651"/>
      <c r="UZJ10" s="651"/>
      <c r="UZK10" s="651"/>
      <c r="UZL10" s="651"/>
      <c r="UZM10" s="651"/>
      <c r="UZN10" s="651"/>
      <c r="UZO10" s="651"/>
      <c r="UZP10" s="651"/>
      <c r="UZQ10" s="651"/>
      <c r="UZR10" s="651"/>
      <c r="UZS10" s="651"/>
      <c r="UZT10" s="651"/>
      <c r="UZU10" s="651"/>
      <c r="UZV10" s="651"/>
      <c r="UZW10" s="651"/>
      <c r="UZX10" s="651"/>
      <c r="UZY10" s="651"/>
      <c r="UZZ10" s="651"/>
      <c r="VAA10" s="651"/>
      <c r="VAB10" s="651"/>
      <c r="VAC10" s="651"/>
      <c r="VAD10" s="651"/>
      <c r="VAE10" s="651"/>
      <c r="VAF10" s="651"/>
      <c r="VAG10" s="651"/>
      <c r="VAH10" s="651"/>
      <c r="VAI10" s="651"/>
      <c r="VAJ10" s="651"/>
      <c r="VAK10" s="651"/>
      <c r="VAL10" s="651"/>
      <c r="VAM10" s="651"/>
      <c r="VAN10" s="651"/>
      <c r="VAO10" s="651"/>
      <c r="VAP10" s="651"/>
      <c r="VAQ10" s="651"/>
      <c r="VAR10" s="651"/>
      <c r="VAS10" s="651"/>
      <c r="VAT10" s="651"/>
      <c r="VAU10" s="651"/>
      <c r="VAV10" s="651"/>
      <c r="VAW10" s="651"/>
      <c r="VAX10" s="651"/>
      <c r="VAY10" s="651"/>
      <c r="VAZ10" s="651"/>
      <c r="VBA10" s="651"/>
      <c r="VBB10" s="651"/>
      <c r="VBC10" s="651"/>
      <c r="VBD10" s="651"/>
      <c r="VBE10" s="651"/>
      <c r="VBF10" s="651"/>
      <c r="VBG10" s="651"/>
      <c r="VBH10" s="651"/>
      <c r="VBI10" s="651"/>
      <c r="VBJ10" s="651"/>
      <c r="VBK10" s="651"/>
      <c r="VBL10" s="651"/>
      <c r="VBM10" s="651"/>
      <c r="VBN10" s="651"/>
      <c r="VBO10" s="651"/>
      <c r="VBP10" s="651"/>
      <c r="VBQ10" s="651"/>
      <c r="VBR10" s="651"/>
      <c r="VBS10" s="651"/>
      <c r="VBT10" s="651"/>
      <c r="VBU10" s="651"/>
      <c r="VBV10" s="651"/>
      <c r="VBW10" s="651"/>
      <c r="VBX10" s="651"/>
      <c r="VBY10" s="651"/>
      <c r="VBZ10" s="651"/>
      <c r="VCA10" s="651"/>
      <c r="VCB10" s="651"/>
      <c r="VCC10" s="651"/>
      <c r="VCD10" s="651"/>
      <c r="VCE10" s="651"/>
      <c r="VCF10" s="651"/>
      <c r="VCG10" s="651"/>
      <c r="VCH10" s="651"/>
      <c r="VCI10" s="651"/>
      <c r="VCJ10" s="651"/>
      <c r="VCK10" s="651"/>
      <c r="VCL10" s="651"/>
      <c r="VCM10" s="651"/>
      <c r="VCN10" s="651"/>
      <c r="VCO10" s="651"/>
      <c r="VCP10" s="651"/>
      <c r="VCQ10" s="651"/>
      <c r="VCR10" s="651"/>
      <c r="VCS10" s="651"/>
      <c r="VCT10" s="651"/>
      <c r="VCU10" s="651"/>
      <c r="VCV10" s="651"/>
      <c r="VCW10" s="651"/>
      <c r="VCX10" s="651"/>
      <c r="VCY10" s="651"/>
      <c r="VCZ10" s="651"/>
      <c r="VDA10" s="651"/>
      <c r="VDB10" s="651"/>
      <c r="VDC10" s="651"/>
      <c r="VDD10" s="651"/>
      <c r="VDE10" s="651"/>
      <c r="VDF10" s="651"/>
      <c r="VDG10" s="651"/>
      <c r="VDH10" s="651"/>
      <c r="VDI10" s="651"/>
      <c r="VDJ10" s="651"/>
      <c r="VDK10" s="651"/>
      <c r="VDL10" s="651"/>
      <c r="VDM10" s="651"/>
      <c r="VDN10" s="651"/>
      <c r="VDO10" s="651"/>
      <c r="VDP10" s="651"/>
      <c r="VDQ10" s="651"/>
      <c r="VDR10" s="651"/>
      <c r="VDS10" s="651"/>
      <c r="VDT10" s="651"/>
      <c r="VDU10" s="651"/>
      <c r="VDV10" s="651"/>
      <c r="VDW10" s="651"/>
      <c r="VDX10" s="651"/>
      <c r="VDY10" s="651"/>
      <c r="VDZ10" s="651"/>
      <c r="VEA10" s="651"/>
      <c r="VEB10" s="651"/>
      <c r="VEC10" s="651"/>
      <c r="VED10" s="651"/>
      <c r="VEE10" s="651"/>
      <c r="VEF10" s="651"/>
      <c r="VEG10" s="651"/>
      <c r="VEH10" s="651"/>
      <c r="VEI10" s="651"/>
      <c r="VEJ10" s="651"/>
      <c r="VEK10" s="651"/>
      <c r="VEL10" s="651"/>
      <c r="VEM10" s="651"/>
      <c r="VEN10" s="651"/>
      <c r="VEO10" s="651"/>
      <c r="VEP10" s="651"/>
      <c r="VEQ10" s="651"/>
      <c r="VER10" s="651"/>
      <c r="VES10" s="651"/>
      <c r="VET10" s="651"/>
      <c r="VEU10" s="651"/>
      <c r="VEV10" s="651"/>
      <c r="VEW10" s="651"/>
      <c r="VEX10" s="651"/>
      <c r="VEY10" s="651"/>
      <c r="VEZ10" s="651"/>
      <c r="VFA10" s="651"/>
      <c r="VFB10" s="651"/>
      <c r="VFC10" s="651"/>
      <c r="VFD10" s="651"/>
      <c r="VFE10" s="651"/>
      <c r="VFF10" s="651"/>
      <c r="VFG10" s="651"/>
      <c r="VFH10" s="651"/>
      <c r="VFI10" s="651"/>
      <c r="VFJ10" s="651"/>
      <c r="VFK10" s="651"/>
      <c r="VFL10" s="651"/>
      <c r="VFM10" s="651"/>
      <c r="VFN10" s="651"/>
      <c r="VFO10" s="651"/>
      <c r="VFP10" s="651"/>
      <c r="VFQ10" s="651"/>
      <c r="VFR10" s="651"/>
      <c r="VFS10" s="651"/>
      <c r="VFT10" s="651"/>
      <c r="VFU10" s="651"/>
      <c r="VFV10" s="651"/>
      <c r="VFW10" s="651"/>
      <c r="VFX10" s="651"/>
      <c r="VFY10" s="651"/>
      <c r="VFZ10" s="651"/>
      <c r="VGA10" s="651"/>
      <c r="VGB10" s="651"/>
      <c r="VGC10" s="651"/>
      <c r="VGD10" s="651"/>
      <c r="VGE10" s="651"/>
      <c r="VGF10" s="651"/>
      <c r="VGG10" s="651"/>
      <c r="VGH10" s="651"/>
      <c r="VGI10" s="651"/>
      <c r="VGJ10" s="651"/>
      <c r="VGK10" s="651"/>
      <c r="VGL10" s="651"/>
      <c r="VGM10" s="651"/>
      <c r="VGN10" s="651"/>
      <c r="VGO10" s="651"/>
      <c r="VGP10" s="651"/>
      <c r="VGQ10" s="651"/>
      <c r="VGR10" s="651"/>
      <c r="VGS10" s="651"/>
      <c r="VGT10" s="651"/>
      <c r="VGU10" s="651"/>
      <c r="VGV10" s="651"/>
      <c r="VGW10" s="651"/>
      <c r="VGX10" s="651"/>
      <c r="VGY10" s="651"/>
      <c r="VGZ10" s="651"/>
      <c r="VHA10" s="651"/>
      <c r="VHB10" s="651"/>
      <c r="VHC10" s="651"/>
      <c r="VHD10" s="651"/>
      <c r="VHE10" s="651"/>
      <c r="VHF10" s="651"/>
      <c r="VHG10" s="651"/>
      <c r="VHH10" s="651"/>
      <c r="VHI10" s="651"/>
      <c r="VHJ10" s="651"/>
      <c r="VHK10" s="651"/>
      <c r="VHL10" s="651"/>
      <c r="VHM10" s="651"/>
      <c r="VHN10" s="651"/>
      <c r="VHO10" s="651"/>
      <c r="VHP10" s="651"/>
      <c r="VHQ10" s="651"/>
      <c r="VHR10" s="651"/>
      <c r="VHS10" s="651"/>
      <c r="VHT10" s="651"/>
      <c r="VHU10" s="651"/>
      <c r="VHV10" s="651"/>
      <c r="VHW10" s="651"/>
      <c r="VHX10" s="651"/>
      <c r="VHY10" s="651"/>
      <c r="VHZ10" s="651"/>
      <c r="VIA10" s="651"/>
      <c r="VIB10" s="651"/>
      <c r="VIC10" s="651"/>
      <c r="VID10" s="651"/>
      <c r="VIE10" s="651"/>
      <c r="VIF10" s="651"/>
      <c r="VIG10" s="651"/>
      <c r="VIH10" s="651"/>
      <c r="VII10" s="651"/>
      <c r="VIJ10" s="651"/>
      <c r="VIK10" s="651"/>
      <c r="VIL10" s="651"/>
      <c r="VIM10" s="651"/>
      <c r="VIN10" s="651"/>
      <c r="VIO10" s="651"/>
      <c r="VIP10" s="651"/>
      <c r="VIQ10" s="651"/>
      <c r="VIR10" s="651"/>
      <c r="VIS10" s="651"/>
      <c r="VIT10" s="651"/>
      <c r="VIU10" s="651"/>
      <c r="VIV10" s="651"/>
      <c r="VIW10" s="651"/>
      <c r="VIX10" s="651"/>
      <c r="VIY10" s="651"/>
      <c r="VIZ10" s="651"/>
      <c r="VJA10" s="651"/>
      <c r="VJB10" s="651"/>
      <c r="VJC10" s="651"/>
      <c r="VJD10" s="651"/>
      <c r="VJE10" s="651"/>
      <c r="VJF10" s="651"/>
      <c r="VJG10" s="651"/>
      <c r="VJH10" s="651"/>
      <c r="VJI10" s="651"/>
      <c r="VJJ10" s="651"/>
      <c r="VJK10" s="651"/>
      <c r="VJL10" s="651"/>
      <c r="VJM10" s="651"/>
      <c r="VJN10" s="651"/>
      <c r="VJO10" s="651"/>
      <c r="VJP10" s="651"/>
      <c r="VJQ10" s="651"/>
      <c r="VJR10" s="651"/>
      <c r="VJS10" s="651"/>
      <c r="VJT10" s="651"/>
      <c r="VJU10" s="651"/>
      <c r="VJV10" s="651"/>
      <c r="VJW10" s="651"/>
      <c r="VJX10" s="651"/>
      <c r="VJY10" s="651"/>
      <c r="VJZ10" s="651"/>
      <c r="VKA10" s="651"/>
      <c r="VKB10" s="651"/>
      <c r="VKC10" s="651"/>
      <c r="VKD10" s="651"/>
      <c r="VKE10" s="651"/>
      <c r="VKF10" s="651"/>
      <c r="VKG10" s="651"/>
      <c r="VKH10" s="651"/>
      <c r="VKI10" s="651"/>
      <c r="VKJ10" s="651"/>
      <c r="VKK10" s="651"/>
      <c r="VKL10" s="651"/>
      <c r="VKM10" s="651"/>
      <c r="VKN10" s="651"/>
      <c r="VKO10" s="651"/>
      <c r="VKP10" s="651"/>
      <c r="VKQ10" s="651"/>
      <c r="VKR10" s="651"/>
      <c r="VKS10" s="651"/>
      <c r="VKT10" s="651"/>
      <c r="VKU10" s="651"/>
      <c r="VKV10" s="651"/>
      <c r="VKW10" s="651"/>
      <c r="VKX10" s="651"/>
      <c r="VKY10" s="651"/>
      <c r="VKZ10" s="651"/>
      <c r="VLA10" s="651"/>
      <c r="VLB10" s="651"/>
      <c r="VLC10" s="651"/>
      <c r="VLD10" s="651"/>
      <c r="VLE10" s="651"/>
      <c r="VLF10" s="651"/>
      <c r="VLG10" s="651"/>
      <c r="VLH10" s="651"/>
      <c r="VLI10" s="651"/>
      <c r="VLJ10" s="651"/>
      <c r="VLK10" s="651"/>
      <c r="VLL10" s="651"/>
      <c r="VLM10" s="651"/>
      <c r="VLN10" s="651"/>
      <c r="VLO10" s="651"/>
      <c r="VLP10" s="651"/>
      <c r="VLQ10" s="651"/>
      <c r="VLR10" s="651"/>
      <c r="VLS10" s="651"/>
      <c r="VLT10" s="651"/>
      <c r="VLU10" s="651"/>
      <c r="VLV10" s="651"/>
      <c r="VLW10" s="651"/>
      <c r="VLX10" s="651"/>
      <c r="VLY10" s="651"/>
      <c r="VLZ10" s="651"/>
      <c r="VMA10" s="651"/>
      <c r="VMB10" s="651"/>
      <c r="VMC10" s="651"/>
      <c r="VMD10" s="651"/>
      <c r="VME10" s="651"/>
      <c r="VMF10" s="651"/>
      <c r="VMG10" s="651"/>
      <c r="VMH10" s="651"/>
      <c r="VMI10" s="651"/>
      <c r="VMJ10" s="651"/>
      <c r="VMK10" s="651"/>
      <c r="VML10" s="651"/>
      <c r="VMM10" s="651"/>
      <c r="VMN10" s="651"/>
      <c r="VMO10" s="651"/>
      <c r="VMP10" s="651"/>
      <c r="VMQ10" s="651"/>
      <c r="VMR10" s="651"/>
      <c r="VMS10" s="651"/>
      <c r="VMT10" s="651"/>
      <c r="VMU10" s="651"/>
      <c r="VMV10" s="651"/>
      <c r="VMW10" s="651"/>
      <c r="VMX10" s="651"/>
      <c r="VMY10" s="651"/>
      <c r="VMZ10" s="651"/>
      <c r="VNA10" s="651"/>
      <c r="VNB10" s="651"/>
      <c r="VNC10" s="651"/>
      <c r="VND10" s="651"/>
      <c r="VNE10" s="651"/>
      <c r="VNF10" s="651"/>
      <c r="VNG10" s="651"/>
      <c r="VNH10" s="651"/>
      <c r="VNI10" s="651"/>
      <c r="VNJ10" s="651"/>
      <c r="VNK10" s="651"/>
      <c r="VNL10" s="651"/>
      <c r="VNM10" s="651"/>
      <c r="VNN10" s="651"/>
      <c r="VNO10" s="651"/>
      <c r="VNP10" s="651"/>
      <c r="VNQ10" s="651"/>
      <c r="VNR10" s="651"/>
      <c r="VNS10" s="651"/>
      <c r="VNT10" s="651"/>
      <c r="VNU10" s="651"/>
      <c r="VNV10" s="651"/>
      <c r="VNW10" s="651"/>
      <c r="VNX10" s="651"/>
      <c r="VNY10" s="651"/>
      <c r="VNZ10" s="651"/>
      <c r="VOA10" s="651"/>
      <c r="VOB10" s="651"/>
      <c r="VOC10" s="651"/>
      <c r="VOD10" s="651"/>
      <c r="VOE10" s="651"/>
      <c r="VOF10" s="651"/>
      <c r="VOG10" s="651"/>
      <c r="VOH10" s="651"/>
      <c r="VOI10" s="651"/>
      <c r="VOJ10" s="651"/>
      <c r="VOK10" s="651"/>
      <c r="VOL10" s="651"/>
      <c r="VOM10" s="651"/>
      <c r="VON10" s="651"/>
      <c r="VOO10" s="651"/>
      <c r="VOP10" s="651"/>
      <c r="VOQ10" s="651"/>
      <c r="VOR10" s="651"/>
      <c r="VOS10" s="651"/>
      <c r="VOT10" s="651"/>
      <c r="VOU10" s="651"/>
      <c r="VOV10" s="651"/>
      <c r="VOW10" s="651"/>
      <c r="VOX10" s="651"/>
      <c r="VOY10" s="651"/>
      <c r="VOZ10" s="651"/>
      <c r="VPA10" s="651"/>
      <c r="VPB10" s="651"/>
      <c r="VPC10" s="651"/>
      <c r="VPD10" s="651"/>
      <c r="VPE10" s="651"/>
      <c r="VPF10" s="651"/>
      <c r="VPG10" s="651"/>
      <c r="VPH10" s="651"/>
      <c r="VPI10" s="651"/>
      <c r="VPJ10" s="651"/>
      <c r="VPK10" s="651"/>
      <c r="VPL10" s="651"/>
      <c r="VPM10" s="651"/>
      <c r="VPN10" s="651"/>
      <c r="VPO10" s="651"/>
      <c r="VPP10" s="651"/>
      <c r="VPQ10" s="651"/>
      <c r="VPR10" s="651"/>
      <c r="VPS10" s="651"/>
      <c r="VPT10" s="651"/>
      <c r="VPU10" s="651"/>
      <c r="VPV10" s="651"/>
      <c r="VPW10" s="651"/>
      <c r="VPX10" s="651"/>
      <c r="VPY10" s="651"/>
      <c r="VPZ10" s="651"/>
      <c r="VQA10" s="651"/>
      <c r="VQB10" s="651"/>
      <c r="VQC10" s="651"/>
      <c r="VQD10" s="651"/>
      <c r="VQE10" s="651"/>
      <c r="VQF10" s="651"/>
      <c r="VQG10" s="651"/>
      <c r="VQH10" s="651"/>
      <c r="VQI10" s="651"/>
      <c r="VQJ10" s="651"/>
      <c r="VQK10" s="651"/>
      <c r="VQL10" s="651"/>
      <c r="VQM10" s="651"/>
      <c r="VQN10" s="651"/>
      <c r="VQO10" s="651"/>
      <c r="VQP10" s="651"/>
      <c r="VQQ10" s="651"/>
      <c r="VQR10" s="651"/>
      <c r="VQS10" s="651"/>
      <c r="VQT10" s="651"/>
      <c r="VQU10" s="651"/>
      <c r="VQV10" s="651"/>
      <c r="VQW10" s="651"/>
      <c r="VQX10" s="651"/>
      <c r="VQY10" s="651"/>
      <c r="VQZ10" s="651"/>
      <c r="VRA10" s="651"/>
      <c r="VRB10" s="651"/>
      <c r="VRC10" s="651"/>
      <c r="VRD10" s="651"/>
      <c r="VRE10" s="651"/>
      <c r="VRF10" s="651"/>
      <c r="VRG10" s="651"/>
      <c r="VRH10" s="651"/>
      <c r="VRI10" s="651"/>
      <c r="VRJ10" s="651"/>
      <c r="VRK10" s="651"/>
      <c r="VRL10" s="651"/>
      <c r="VRM10" s="651"/>
      <c r="VRN10" s="651"/>
      <c r="VRO10" s="651"/>
      <c r="VRP10" s="651"/>
      <c r="VRQ10" s="651"/>
      <c r="VRR10" s="651"/>
      <c r="VRS10" s="651"/>
      <c r="VRT10" s="651"/>
      <c r="VRU10" s="651"/>
      <c r="VRV10" s="651"/>
      <c r="VRW10" s="651"/>
      <c r="VRX10" s="651"/>
      <c r="VRY10" s="651"/>
      <c r="VRZ10" s="651"/>
      <c r="VSA10" s="651"/>
      <c r="VSB10" s="651"/>
      <c r="VSC10" s="651"/>
      <c r="VSD10" s="651"/>
      <c r="VSE10" s="651"/>
      <c r="VSF10" s="651"/>
      <c r="VSG10" s="651"/>
      <c r="VSH10" s="651"/>
      <c r="VSI10" s="651"/>
      <c r="VSJ10" s="651"/>
      <c r="VSK10" s="651"/>
      <c r="VSL10" s="651"/>
      <c r="VSM10" s="651"/>
      <c r="VSN10" s="651"/>
      <c r="VSO10" s="651"/>
      <c r="VSP10" s="651"/>
      <c r="VSQ10" s="651"/>
      <c r="VSR10" s="651"/>
      <c r="VSS10" s="651"/>
      <c r="VST10" s="651"/>
      <c r="VSU10" s="651"/>
      <c r="VSV10" s="651"/>
      <c r="VSW10" s="651"/>
      <c r="VSX10" s="651"/>
      <c r="VSY10" s="651"/>
      <c r="VSZ10" s="651"/>
      <c r="VTA10" s="651"/>
      <c r="VTB10" s="651"/>
      <c r="VTC10" s="651"/>
      <c r="VTD10" s="651"/>
      <c r="VTE10" s="651"/>
      <c r="VTF10" s="651"/>
      <c r="VTG10" s="651"/>
      <c r="VTH10" s="651"/>
      <c r="VTI10" s="651"/>
      <c r="VTJ10" s="651"/>
      <c r="VTK10" s="651"/>
      <c r="VTL10" s="651"/>
      <c r="VTM10" s="651"/>
      <c r="VTN10" s="651"/>
      <c r="VTO10" s="651"/>
      <c r="VTP10" s="651"/>
      <c r="VTQ10" s="651"/>
      <c r="VTR10" s="651"/>
      <c r="VTS10" s="651"/>
      <c r="VTT10" s="651"/>
      <c r="VTU10" s="651"/>
      <c r="VTV10" s="651"/>
      <c r="VTW10" s="651"/>
      <c r="VTX10" s="651"/>
      <c r="VTY10" s="651"/>
      <c r="VTZ10" s="651"/>
      <c r="VUA10" s="651"/>
      <c r="VUB10" s="651"/>
      <c r="VUC10" s="651"/>
      <c r="VUD10" s="651"/>
      <c r="VUE10" s="651"/>
      <c r="VUF10" s="651"/>
      <c r="VUG10" s="651"/>
      <c r="VUH10" s="651"/>
      <c r="VUI10" s="651"/>
      <c r="VUJ10" s="651"/>
      <c r="VUK10" s="651"/>
      <c r="VUL10" s="651"/>
      <c r="VUM10" s="651"/>
      <c r="VUN10" s="651"/>
      <c r="VUO10" s="651"/>
      <c r="VUP10" s="651"/>
      <c r="VUQ10" s="651"/>
      <c r="VUR10" s="651"/>
      <c r="VUS10" s="651"/>
      <c r="VUT10" s="651"/>
      <c r="VUU10" s="651"/>
      <c r="VUV10" s="651"/>
      <c r="VUW10" s="651"/>
      <c r="VUX10" s="651"/>
      <c r="VUY10" s="651"/>
      <c r="VUZ10" s="651"/>
      <c r="VVA10" s="651"/>
      <c r="VVB10" s="651"/>
      <c r="VVC10" s="651"/>
      <c r="VVD10" s="651"/>
      <c r="VVE10" s="651"/>
      <c r="VVF10" s="651"/>
      <c r="VVG10" s="651"/>
      <c r="VVH10" s="651"/>
      <c r="VVI10" s="651"/>
      <c r="VVJ10" s="651"/>
      <c r="VVK10" s="651"/>
      <c r="VVL10" s="651"/>
      <c r="VVM10" s="651"/>
      <c r="VVN10" s="651"/>
      <c r="VVO10" s="651"/>
      <c r="VVP10" s="651"/>
      <c r="VVQ10" s="651"/>
      <c r="VVR10" s="651"/>
      <c r="VVS10" s="651"/>
      <c r="VVT10" s="651"/>
      <c r="VVU10" s="651"/>
      <c r="VVV10" s="651"/>
      <c r="VVW10" s="651"/>
      <c r="VVX10" s="651"/>
      <c r="VVY10" s="651"/>
      <c r="VVZ10" s="651"/>
      <c r="VWA10" s="651"/>
      <c r="VWB10" s="651"/>
      <c r="VWC10" s="651"/>
      <c r="VWD10" s="651"/>
      <c r="VWE10" s="651"/>
      <c r="VWF10" s="651"/>
      <c r="VWG10" s="651"/>
      <c r="VWH10" s="651"/>
      <c r="VWI10" s="651"/>
      <c r="VWJ10" s="651"/>
      <c r="VWK10" s="651"/>
      <c r="VWL10" s="651"/>
      <c r="VWM10" s="651"/>
      <c r="VWN10" s="651"/>
      <c r="VWO10" s="651"/>
      <c r="VWP10" s="651"/>
      <c r="VWQ10" s="651"/>
      <c r="VWR10" s="651"/>
      <c r="VWS10" s="651"/>
      <c r="VWT10" s="651"/>
      <c r="VWU10" s="651"/>
      <c r="VWV10" s="651"/>
      <c r="VWW10" s="651"/>
      <c r="VWX10" s="651"/>
      <c r="VWY10" s="651"/>
      <c r="VWZ10" s="651"/>
      <c r="VXA10" s="651"/>
      <c r="VXB10" s="651"/>
      <c r="VXC10" s="651"/>
      <c r="VXD10" s="651"/>
      <c r="VXE10" s="651"/>
      <c r="VXF10" s="651"/>
      <c r="VXG10" s="651"/>
      <c r="VXH10" s="651"/>
      <c r="VXI10" s="651"/>
      <c r="VXJ10" s="651"/>
      <c r="VXK10" s="651"/>
      <c r="VXL10" s="651"/>
      <c r="VXM10" s="651"/>
      <c r="VXN10" s="651"/>
      <c r="VXO10" s="651"/>
      <c r="VXP10" s="651"/>
      <c r="VXQ10" s="651"/>
      <c r="VXR10" s="651"/>
      <c r="VXS10" s="651"/>
      <c r="VXT10" s="651"/>
      <c r="VXU10" s="651"/>
      <c r="VXV10" s="651"/>
      <c r="VXW10" s="651"/>
      <c r="VXX10" s="651"/>
      <c r="VXY10" s="651"/>
      <c r="VXZ10" s="651"/>
      <c r="VYA10" s="651"/>
      <c r="VYB10" s="651"/>
      <c r="VYC10" s="651"/>
      <c r="VYD10" s="651"/>
      <c r="VYE10" s="651"/>
      <c r="VYF10" s="651"/>
      <c r="VYG10" s="651"/>
      <c r="VYH10" s="651"/>
      <c r="VYI10" s="651"/>
      <c r="VYJ10" s="651"/>
      <c r="VYK10" s="651"/>
      <c r="VYL10" s="651"/>
      <c r="VYM10" s="651"/>
      <c r="VYN10" s="651"/>
      <c r="VYO10" s="651"/>
      <c r="VYP10" s="651"/>
      <c r="VYQ10" s="651"/>
      <c r="VYR10" s="651"/>
      <c r="VYS10" s="651"/>
      <c r="VYT10" s="651"/>
      <c r="VYU10" s="651"/>
      <c r="VYV10" s="651"/>
      <c r="VYW10" s="651"/>
      <c r="VYX10" s="651"/>
      <c r="VYY10" s="651"/>
      <c r="VYZ10" s="651"/>
      <c r="VZA10" s="651"/>
      <c r="VZB10" s="651"/>
      <c r="VZC10" s="651"/>
      <c r="VZD10" s="651"/>
      <c r="VZE10" s="651"/>
      <c r="VZF10" s="651"/>
      <c r="VZG10" s="651"/>
      <c r="VZH10" s="651"/>
      <c r="VZI10" s="651"/>
      <c r="VZJ10" s="651"/>
      <c r="VZK10" s="651"/>
      <c r="VZL10" s="651"/>
      <c r="VZM10" s="651"/>
      <c r="VZN10" s="651"/>
      <c r="VZO10" s="651"/>
      <c r="VZP10" s="651"/>
      <c r="VZQ10" s="651"/>
      <c r="VZR10" s="651"/>
      <c r="VZS10" s="651"/>
      <c r="VZT10" s="651"/>
      <c r="VZU10" s="651"/>
      <c r="VZV10" s="651"/>
      <c r="VZW10" s="651"/>
      <c r="VZX10" s="651"/>
      <c r="VZY10" s="651"/>
      <c r="VZZ10" s="651"/>
      <c r="WAA10" s="651"/>
      <c r="WAB10" s="651"/>
      <c r="WAC10" s="651"/>
      <c r="WAD10" s="651"/>
      <c r="WAE10" s="651"/>
      <c r="WAF10" s="651"/>
      <c r="WAG10" s="651"/>
      <c r="WAH10" s="651"/>
      <c r="WAI10" s="651"/>
      <c r="WAJ10" s="651"/>
      <c r="WAK10" s="651"/>
      <c r="WAL10" s="651"/>
      <c r="WAM10" s="651"/>
      <c r="WAN10" s="651"/>
      <c r="WAO10" s="651"/>
      <c r="WAP10" s="651"/>
      <c r="WAQ10" s="651"/>
      <c r="WAR10" s="651"/>
      <c r="WAS10" s="651"/>
      <c r="WAT10" s="651"/>
      <c r="WAU10" s="651"/>
      <c r="WAV10" s="651"/>
      <c r="WAW10" s="651"/>
      <c r="WAX10" s="651"/>
      <c r="WAY10" s="651"/>
      <c r="WAZ10" s="651"/>
      <c r="WBA10" s="651"/>
      <c r="WBB10" s="651"/>
      <c r="WBC10" s="651"/>
      <c r="WBD10" s="651"/>
      <c r="WBE10" s="651"/>
      <c r="WBF10" s="651"/>
      <c r="WBG10" s="651"/>
      <c r="WBH10" s="651"/>
      <c r="WBI10" s="651"/>
      <c r="WBJ10" s="651"/>
      <c r="WBK10" s="651"/>
      <c r="WBL10" s="651"/>
      <c r="WBM10" s="651"/>
      <c r="WBN10" s="651"/>
      <c r="WBO10" s="651"/>
      <c r="WBP10" s="651"/>
      <c r="WBQ10" s="651"/>
      <c r="WBR10" s="651"/>
      <c r="WBS10" s="651"/>
      <c r="WBT10" s="651"/>
      <c r="WBU10" s="651"/>
      <c r="WBV10" s="651"/>
      <c r="WBW10" s="651"/>
      <c r="WBX10" s="651"/>
      <c r="WBY10" s="651"/>
      <c r="WBZ10" s="651"/>
      <c r="WCA10" s="651"/>
      <c r="WCB10" s="651"/>
      <c r="WCC10" s="651"/>
      <c r="WCD10" s="651"/>
      <c r="WCE10" s="651"/>
      <c r="WCF10" s="651"/>
      <c r="WCG10" s="651"/>
      <c r="WCH10" s="651"/>
      <c r="WCI10" s="651"/>
      <c r="WCJ10" s="651"/>
      <c r="WCK10" s="651"/>
      <c r="WCL10" s="651"/>
      <c r="WCM10" s="651"/>
      <c r="WCN10" s="651"/>
      <c r="WCO10" s="651"/>
      <c r="WCP10" s="651"/>
      <c r="WCQ10" s="651"/>
      <c r="WCR10" s="651"/>
      <c r="WCS10" s="651"/>
      <c r="WCT10" s="651"/>
      <c r="WCU10" s="651"/>
      <c r="WCV10" s="651"/>
      <c r="WCW10" s="651"/>
      <c r="WCX10" s="651"/>
      <c r="WCY10" s="651"/>
      <c r="WCZ10" s="651"/>
      <c r="WDA10" s="651"/>
      <c r="WDB10" s="651"/>
      <c r="WDC10" s="651"/>
      <c r="WDD10" s="651"/>
      <c r="WDE10" s="651"/>
      <c r="WDF10" s="651"/>
      <c r="WDG10" s="651"/>
      <c r="WDH10" s="651"/>
      <c r="WDI10" s="651"/>
      <c r="WDJ10" s="651"/>
      <c r="WDK10" s="651"/>
      <c r="WDL10" s="651"/>
      <c r="WDM10" s="651"/>
      <c r="WDN10" s="651"/>
      <c r="WDO10" s="651"/>
      <c r="WDP10" s="651"/>
      <c r="WDQ10" s="651"/>
      <c r="WDR10" s="651"/>
      <c r="WDS10" s="651"/>
      <c r="WDT10" s="651"/>
      <c r="WDU10" s="651"/>
      <c r="WDV10" s="651"/>
      <c r="WDW10" s="651"/>
      <c r="WDX10" s="651"/>
      <c r="WDY10" s="651"/>
      <c r="WDZ10" s="651"/>
      <c r="WEA10" s="651"/>
      <c r="WEB10" s="651"/>
      <c r="WEC10" s="651"/>
      <c r="WED10" s="651"/>
      <c r="WEE10" s="651"/>
      <c r="WEF10" s="651"/>
      <c r="WEG10" s="651"/>
      <c r="WEH10" s="651"/>
      <c r="WEI10" s="651"/>
      <c r="WEJ10" s="651"/>
      <c r="WEK10" s="651"/>
      <c r="WEL10" s="651"/>
      <c r="WEM10" s="651"/>
      <c r="WEN10" s="651"/>
      <c r="WEO10" s="651"/>
      <c r="WEP10" s="651"/>
      <c r="WEQ10" s="651"/>
      <c r="WER10" s="651"/>
      <c r="WES10" s="651"/>
      <c r="WET10" s="651"/>
      <c r="WEU10" s="651"/>
      <c r="WEV10" s="651"/>
      <c r="WEW10" s="651"/>
      <c r="WEX10" s="651"/>
      <c r="WEY10" s="651"/>
      <c r="WEZ10" s="651"/>
      <c r="WFA10" s="651"/>
      <c r="WFB10" s="651"/>
      <c r="WFC10" s="651"/>
      <c r="WFD10" s="651"/>
      <c r="WFE10" s="651"/>
      <c r="WFF10" s="651"/>
      <c r="WFG10" s="651"/>
      <c r="WFH10" s="651"/>
      <c r="WFI10" s="651"/>
      <c r="WFJ10" s="651"/>
      <c r="WFK10" s="651"/>
      <c r="WFL10" s="651"/>
      <c r="WFM10" s="651"/>
      <c r="WFN10" s="651"/>
      <c r="WFO10" s="651"/>
      <c r="WFP10" s="651"/>
      <c r="WFQ10" s="651"/>
      <c r="WFR10" s="651"/>
      <c r="WFS10" s="651"/>
      <c r="WFT10" s="651"/>
      <c r="WFU10" s="651"/>
      <c r="WFV10" s="651"/>
      <c r="WFW10" s="651"/>
      <c r="WFX10" s="651"/>
      <c r="WFY10" s="651"/>
      <c r="WFZ10" s="651"/>
      <c r="WGA10" s="651"/>
      <c r="WGB10" s="651"/>
      <c r="WGC10" s="651"/>
      <c r="WGD10" s="651"/>
      <c r="WGE10" s="651"/>
      <c r="WGF10" s="651"/>
      <c r="WGG10" s="651"/>
      <c r="WGH10" s="651"/>
      <c r="WGI10" s="651"/>
      <c r="WGJ10" s="651"/>
      <c r="WGK10" s="651"/>
      <c r="WGL10" s="651"/>
      <c r="WGM10" s="651"/>
      <c r="WGN10" s="651"/>
      <c r="WGO10" s="651"/>
      <c r="WGP10" s="651"/>
      <c r="WGQ10" s="651"/>
      <c r="WGR10" s="651"/>
      <c r="WGS10" s="651"/>
      <c r="WGT10" s="651"/>
      <c r="WGU10" s="651"/>
      <c r="WGV10" s="651"/>
      <c r="WGW10" s="651"/>
      <c r="WGX10" s="651"/>
      <c r="WGY10" s="651"/>
      <c r="WGZ10" s="651"/>
      <c r="WHA10" s="651"/>
      <c r="WHB10" s="651"/>
      <c r="WHC10" s="651"/>
      <c r="WHD10" s="651"/>
      <c r="WHE10" s="651"/>
      <c r="WHF10" s="651"/>
      <c r="WHG10" s="651"/>
      <c r="WHH10" s="651"/>
      <c r="WHI10" s="651"/>
      <c r="WHJ10" s="651"/>
      <c r="WHK10" s="651"/>
      <c r="WHL10" s="651"/>
      <c r="WHM10" s="651"/>
      <c r="WHN10" s="651"/>
      <c r="WHO10" s="651"/>
      <c r="WHP10" s="651"/>
      <c r="WHQ10" s="651"/>
      <c r="WHR10" s="651"/>
      <c r="WHS10" s="651"/>
      <c r="WHT10" s="651"/>
      <c r="WHU10" s="651"/>
      <c r="WHV10" s="651"/>
      <c r="WHW10" s="651"/>
      <c r="WHX10" s="651"/>
      <c r="WHY10" s="651"/>
      <c r="WHZ10" s="651"/>
      <c r="WIA10" s="651"/>
      <c r="WIB10" s="651"/>
      <c r="WIC10" s="651"/>
      <c r="WID10" s="651"/>
      <c r="WIE10" s="651"/>
      <c r="WIF10" s="651"/>
      <c r="WIG10" s="651"/>
      <c r="WIH10" s="651"/>
      <c r="WII10" s="651"/>
      <c r="WIJ10" s="651"/>
      <c r="WIK10" s="651"/>
      <c r="WIL10" s="651"/>
      <c r="WIM10" s="651"/>
      <c r="WIN10" s="651"/>
      <c r="WIO10" s="651"/>
      <c r="WIP10" s="651"/>
      <c r="WIQ10" s="651"/>
      <c r="WIR10" s="651"/>
      <c r="WIS10" s="651"/>
      <c r="WIT10" s="651"/>
      <c r="WIU10" s="651"/>
      <c r="WIV10" s="651"/>
      <c r="WIW10" s="651"/>
      <c r="WIX10" s="651"/>
      <c r="WIY10" s="651"/>
      <c r="WIZ10" s="651"/>
      <c r="WJA10" s="651"/>
      <c r="WJB10" s="651"/>
      <c r="WJC10" s="651"/>
      <c r="WJD10" s="651"/>
      <c r="WJE10" s="651"/>
      <c r="WJF10" s="651"/>
      <c r="WJG10" s="651"/>
      <c r="WJH10" s="651"/>
      <c r="WJI10" s="651"/>
      <c r="WJJ10" s="651"/>
      <c r="WJK10" s="651"/>
      <c r="WJL10" s="651"/>
      <c r="WJM10" s="651"/>
      <c r="WJN10" s="651"/>
      <c r="WJO10" s="651"/>
      <c r="WJP10" s="651"/>
      <c r="WJQ10" s="651"/>
      <c r="WJR10" s="651"/>
      <c r="WJS10" s="651"/>
      <c r="WJT10" s="651"/>
      <c r="WJU10" s="651"/>
      <c r="WJV10" s="651"/>
      <c r="WJW10" s="651"/>
      <c r="WJX10" s="651"/>
      <c r="WJY10" s="651"/>
      <c r="WJZ10" s="651"/>
      <c r="WKA10" s="651"/>
      <c r="WKB10" s="651"/>
      <c r="WKC10" s="651"/>
      <c r="WKD10" s="651"/>
      <c r="WKE10" s="651"/>
      <c r="WKF10" s="651"/>
      <c r="WKG10" s="651"/>
      <c r="WKH10" s="651"/>
      <c r="WKI10" s="651"/>
      <c r="WKJ10" s="651"/>
      <c r="WKK10" s="651"/>
      <c r="WKL10" s="651"/>
      <c r="WKM10" s="651"/>
      <c r="WKN10" s="651"/>
      <c r="WKO10" s="651"/>
      <c r="WKP10" s="651"/>
      <c r="WKQ10" s="651"/>
      <c r="WKR10" s="651"/>
      <c r="WKS10" s="651"/>
      <c r="WKT10" s="651"/>
      <c r="WKU10" s="651"/>
      <c r="WKV10" s="651"/>
      <c r="WKW10" s="651"/>
      <c r="WKX10" s="651"/>
      <c r="WKY10" s="651"/>
      <c r="WKZ10" s="651"/>
      <c r="WLA10" s="651"/>
      <c r="WLB10" s="651"/>
      <c r="WLC10" s="651"/>
      <c r="WLD10" s="651"/>
      <c r="WLE10" s="651"/>
      <c r="WLF10" s="651"/>
      <c r="WLG10" s="651"/>
      <c r="WLH10" s="651"/>
      <c r="WLI10" s="651"/>
      <c r="WLJ10" s="651"/>
      <c r="WLK10" s="651"/>
      <c r="WLL10" s="651"/>
      <c r="WLM10" s="651"/>
      <c r="WLN10" s="651"/>
      <c r="WLO10" s="651"/>
      <c r="WLP10" s="651"/>
      <c r="WLQ10" s="651"/>
      <c r="WLR10" s="651"/>
      <c r="WLS10" s="651"/>
      <c r="WLT10" s="651"/>
      <c r="WLU10" s="651"/>
      <c r="WLV10" s="651"/>
      <c r="WLW10" s="651"/>
      <c r="WLX10" s="651"/>
      <c r="WLY10" s="651"/>
      <c r="WLZ10" s="651"/>
      <c r="WMA10" s="651"/>
      <c r="WMB10" s="651"/>
      <c r="WMC10" s="651"/>
      <c r="WMD10" s="651"/>
      <c r="WME10" s="651"/>
      <c r="WMF10" s="651"/>
      <c r="WMG10" s="651"/>
      <c r="WMH10" s="651"/>
      <c r="WMI10" s="651"/>
      <c r="WMJ10" s="651"/>
      <c r="WMK10" s="651"/>
      <c r="WML10" s="651"/>
      <c r="WMM10" s="651"/>
      <c r="WMN10" s="651"/>
      <c r="WMO10" s="651"/>
      <c r="WMP10" s="651"/>
      <c r="WMQ10" s="651"/>
      <c r="WMR10" s="651"/>
      <c r="WMS10" s="651"/>
      <c r="WMT10" s="651"/>
      <c r="WMU10" s="651"/>
      <c r="WMV10" s="651"/>
      <c r="WMW10" s="651"/>
      <c r="WMX10" s="651"/>
      <c r="WMY10" s="651"/>
      <c r="WMZ10" s="651"/>
      <c r="WNA10" s="651"/>
      <c r="WNB10" s="651"/>
      <c r="WNC10" s="651"/>
      <c r="WND10" s="651"/>
      <c r="WNE10" s="651"/>
      <c r="WNF10" s="651"/>
      <c r="WNG10" s="651"/>
      <c r="WNH10" s="651"/>
      <c r="WNI10" s="651"/>
      <c r="WNJ10" s="651"/>
      <c r="WNK10" s="651"/>
      <c r="WNL10" s="651"/>
      <c r="WNM10" s="651"/>
      <c r="WNN10" s="651"/>
      <c r="WNO10" s="651"/>
      <c r="WNP10" s="651"/>
      <c r="WNQ10" s="651"/>
      <c r="WNR10" s="651"/>
      <c r="WNS10" s="651"/>
      <c r="WNT10" s="651"/>
      <c r="WNU10" s="651"/>
      <c r="WNV10" s="651"/>
      <c r="WNW10" s="651"/>
      <c r="WNX10" s="651"/>
      <c r="WNY10" s="651"/>
      <c r="WNZ10" s="651"/>
      <c r="WOA10" s="651"/>
      <c r="WOB10" s="651"/>
      <c r="WOC10" s="651"/>
      <c r="WOD10" s="651"/>
      <c r="WOE10" s="651"/>
      <c r="WOF10" s="651"/>
      <c r="WOG10" s="651"/>
      <c r="WOH10" s="651"/>
      <c r="WOI10" s="651"/>
      <c r="WOJ10" s="651"/>
      <c r="WOK10" s="651"/>
      <c r="WOL10" s="651"/>
      <c r="WOM10" s="651"/>
      <c r="WON10" s="651"/>
      <c r="WOO10" s="651"/>
      <c r="WOP10" s="651"/>
      <c r="WOQ10" s="651"/>
      <c r="WOR10" s="651"/>
      <c r="WOS10" s="651"/>
      <c r="WOT10" s="651"/>
      <c r="WOU10" s="651"/>
      <c r="WOV10" s="651"/>
      <c r="WOW10" s="651"/>
      <c r="WOX10" s="651"/>
      <c r="WOY10" s="651"/>
      <c r="WOZ10" s="651"/>
      <c r="WPA10" s="651"/>
      <c r="WPB10" s="651"/>
      <c r="WPC10" s="651"/>
      <c r="WPD10" s="651"/>
      <c r="WPE10" s="651"/>
      <c r="WPF10" s="651"/>
      <c r="WPG10" s="651"/>
      <c r="WPH10" s="651"/>
      <c r="WPI10" s="651"/>
      <c r="WPJ10" s="651"/>
      <c r="WPK10" s="651"/>
      <c r="WPL10" s="651"/>
      <c r="WPM10" s="651"/>
      <c r="WPN10" s="651"/>
      <c r="WPO10" s="651"/>
      <c r="WPP10" s="651"/>
      <c r="WPQ10" s="651"/>
      <c r="WPR10" s="651"/>
      <c r="WPS10" s="651"/>
      <c r="WPT10" s="651"/>
      <c r="WPU10" s="651"/>
      <c r="WPV10" s="651"/>
      <c r="WPW10" s="651"/>
      <c r="WPX10" s="651"/>
      <c r="WPY10" s="651"/>
      <c r="WPZ10" s="651"/>
      <c r="WQA10" s="651"/>
      <c r="WQB10" s="651"/>
      <c r="WQC10" s="651"/>
      <c r="WQD10" s="651"/>
      <c r="WQE10" s="651"/>
      <c r="WQF10" s="651"/>
      <c r="WQG10" s="651"/>
      <c r="WQH10" s="651"/>
      <c r="WQI10" s="651"/>
      <c r="WQJ10" s="651"/>
      <c r="WQK10" s="651"/>
      <c r="WQL10" s="651"/>
      <c r="WQM10" s="651"/>
      <c r="WQN10" s="651"/>
      <c r="WQO10" s="651"/>
      <c r="WQP10" s="651"/>
      <c r="WQQ10" s="651"/>
      <c r="WQR10" s="651"/>
      <c r="WQS10" s="651"/>
      <c r="WQT10" s="651"/>
      <c r="WQU10" s="651"/>
      <c r="WQV10" s="651"/>
      <c r="WQW10" s="651"/>
      <c r="WQX10" s="651"/>
      <c r="WQY10" s="651"/>
      <c r="WQZ10" s="651"/>
      <c r="WRA10" s="651"/>
      <c r="WRB10" s="651"/>
      <c r="WRC10" s="651"/>
      <c r="WRD10" s="651"/>
      <c r="WRE10" s="651"/>
      <c r="WRF10" s="651"/>
      <c r="WRG10" s="651"/>
      <c r="WRH10" s="651"/>
      <c r="WRI10" s="651"/>
      <c r="WRJ10" s="651"/>
      <c r="WRK10" s="651"/>
      <c r="WRL10" s="651"/>
      <c r="WRM10" s="651"/>
      <c r="WRN10" s="651"/>
      <c r="WRO10" s="651"/>
      <c r="WRP10" s="651"/>
      <c r="WRQ10" s="651"/>
      <c r="WRR10" s="651"/>
      <c r="WRS10" s="651"/>
      <c r="WRT10" s="651"/>
      <c r="WRU10" s="651"/>
      <c r="WRV10" s="651"/>
      <c r="WRW10" s="651"/>
      <c r="WRX10" s="651"/>
      <c r="WRY10" s="651"/>
      <c r="WRZ10" s="651"/>
      <c r="WSA10" s="651"/>
      <c r="WSB10" s="651"/>
      <c r="WSC10" s="651"/>
      <c r="WSD10" s="651"/>
      <c r="WSE10" s="651"/>
      <c r="WSF10" s="651"/>
      <c r="WSG10" s="651"/>
      <c r="WSH10" s="651"/>
      <c r="WSI10" s="651"/>
      <c r="WSJ10" s="651"/>
      <c r="WSK10" s="651"/>
      <c r="WSL10" s="651"/>
      <c r="WSM10" s="651"/>
      <c r="WSN10" s="651"/>
      <c r="WSO10" s="651"/>
      <c r="WSP10" s="651"/>
      <c r="WSQ10" s="651"/>
      <c r="WSR10" s="651"/>
      <c r="WSS10" s="651"/>
      <c r="WST10" s="651"/>
      <c r="WSU10" s="651"/>
      <c r="WSV10" s="651"/>
      <c r="WSW10" s="651"/>
      <c r="WSX10" s="651"/>
      <c r="WSY10" s="651"/>
      <c r="WSZ10" s="651"/>
      <c r="WTA10" s="651"/>
      <c r="WTB10" s="651"/>
      <c r="WTC10" s="651"/>
      <c r="WTD10" s="651"/>
      <c r="WTE10" s="651"/>
      <c r="WTF10" s="651"/>
      <c r="WTG10" s="651"/>
      <c r="WTH10" s="651"/>
      <c r="WTI10" s="651"/>
      <c r="WTJ10" s="651"/>
      <c r="WTK10" s="651"/>
      <c r="WTL10" s="651"/>
      <c r="WTM10" s="651"/>
      <c r="WTN10" s="651"/>
      <c r="WTO10" s="651"/>
      <c r="WTP10" s="651"/>
      <c r="WTQ10" s="651"/>
      <c r="WTR10" s="651"/>
      <c r="WTS10" s="651"/>
      <c r="WTT10" s="651"/>
      <c r="WTU10" s="651"/>
      <c r="WTV10" s="651"/>
      <c r="WTW10" s="651"/>
      <c r="WTX10" s="651"/>
      <c r="WTY10" s="651"/>
      <c r="WTZ10" s="651"/>
      <c r="WUA10" s="651"/>
      <c r="WUB10" s="651"/>
      <c r="WUC10" s="651"/>
      <c r="WUD10" s="651"/>
      <c r="WUE10" s="651"/>
      <c r="WUF10" s="651"/>
      <c r="WUG10" s="651"/>
      <c r="WUH10" s="651"/>
      <c r="WUI10" s="651"/>
      <c r="WUJ10" s="651"/>
      <c r="WUK10" s="651"/>
      <c r="WUL10" s="651"/>
      <c r="WUM10" s="651"/>
      <c r="WUN10" s="651"/>
      <c r="WUO10" s="651"/>
      <c r="WUP10" s="651"/>
      <c r="WUQ10" s="651"/>
      <c r="WUR10" s="651"/>
      <c r="WUS10" s="651"/>
      <c r="WUT10" s="651"/>
      <c r="WUU10" s="651"/>
      <c r="WUV10" s="651"/>
      <c r="WUW10" s="651"/>
      <c r="WUX10" s="651"/>
      <c r="WUY10" s="651"/>
      <c r="WUZ10" s="651"/>
      <c r="WVA10" s="651"/>
      <c r="WVB10" s="651"/>
      <c r="WVC10" s="651"/>
      <c r="WVD10" s="651"/>
      <c r="WVE10" s="651"/>
      <c r="WVF10" s="651"/>
      <c r="WVG10" s="651"/>
      <c r="WVH10" s="651"/>
      <c r="WVI10" s="651"/>
      <c r="WVJ10" s="651"/>
      <c r="WVK10" s="651"/>
      <c r="WVL10" s="651"/>
      <c r="WVM10" s="651"/>
      <c r="WVN10" s="651"/>
      <c r="WVO10" s="651"/>
      <c r="WVP10" s="651"/>
      <c r="WVQ10" s="651"/>
      <c r="WVR10" s="651"/>
      <c r="WVS10" s="651"/>
      <c r="WVT10" s="651"/>
      <c r="WVU10" s="651"/>
      <c r="WVV10" s="651"/>
      <c r="WVW10" s="651"/>
      <c r="WVX10" s="651"/>
      <c r="WVY10" s="651"/>
      <c r="WVZ10" s="651"/>
      <c r="WWA10" s="651"/>
      <c r="WWB10" s="651"/>
      <c r="WWC10" s="651"/>
      <c r="WWD10" s="651"/>
      <c r="WWE10" s="651"/>
      <c r="WWF10" s="651"/>
      <c r="WWG10" s="651"/>
      <c r="WWH10" s="651"/>
      <c r="WWI10" s="651"/>
      <c r="WWJ10" s="651"/>
      <c r="WWK10" s="651"/>
      <c r="WWL10" s="651"/>
      <c r="WWM10" s="651"/>
      <c r="WWN10" s="651"/>
      <c r="WWO10" s="651"/>
      <c r="WWP10" s="651"/>
      <c r="WWQ10" s="651"/>
      <c r="WWR10" s="651"/>
      <c r="WWS10" s="651"/>
      <c r="WWT10" s="651"/>
      <c r="WWU10" s="651"/>
      <c r="WWV10" s="651"/>
      <c r="WWW10" s="651"/>
      <c r="WWX10" s="651"/>
      <c r="WWY10" s="651"/>
      <c r="WWZ10" s="651"/>
      <c r="WXA10" s="651"/>
      <c r="WXB10" s="651"/>
      <c r="WXC10" s="651"/>
      <c r="WXD10" s="651"/>
      <c r="WXE10" s="651"/>
      <c r="WXF10" s="651"/>
      <c r="WXG10" s="651"/>
      <c r="WXH10" s="651"/>
      <c r="WXI10" s="651"/>
      <c r="WXJ10" s="651"/>
      <c r="WXK10" s="651"/>
      <c r="WXL10" s="651"/>
      <c r="WXM10" s="651"/>
      <c r="WXN10" s="651"/>
      <c r="WXO10" s="651"/>
      <c r="WXP10" s="651"/>
      <c r="WXQ10" s="651"/>
      <c r="WXR10" s="651"/>
      <c r="WXS10" s="651"/>
      <c r="WXT10" s="651"/>
      <c r="WXU10" s="651"/>
      <c r="WXV10" s="651"/>
      <c r="WXW10" s="651"/>
      <c r="WXX10" s="651"/>
      <c r="WXY10" s="651"/>
      <c r="WXZ10" s="651"/>
      <c r="WYA10" s="651"/>
      <c r="WYB10" s="651"/>
      <c r="WYC10" s="651"/>
      <c r="WYD10" s="651"/>
      <c r="WYE10" s="651"/>
      <c r="WYF10" s="651"/>
      <c r="WYG10" s="651"/>
      <c r="WYH10" s="651"/>
      <c r="WYI10" s="651"/>
      <c r="WYJ10" s="651"/>
      <c r="WYK10" s="651"/>
      <c r="WYL10" s="651"/>
      <c r="WYM10" s="651"/>
      <c r="WYN10" s="651"/>
      <c r="WYO10" s="651"/>
      <c r="WYP10" s="651"/>
      <c r="WYQ10" s="651"/>
      <c r="WYR10" s="651"/>
      <c r="WYS10" s="651"/>
      <c r="WYT10" s="651"/>
      <c r="WYU10" s="651"/>
      <c r="WYV10" s="651"/>
      <c r="WYW10" s="651"/>
      <c r="WYX10" s="651"/>
      <c r="WYY10" s="651"/>
      <c r="WYZ10" s="651"/>
      <c r="WZA10" s="651"/>
      <c r="WZB10" s="651"/>
      <c r="WZC10" s="651"/>
      <c r="WZD10" s="651"/>
      <c r="WZE10" s="651"/>
      <c r="WZF10" s="651"/>
      <c r="WZG10" s="651"/>
      <c r="WZH10" s="651"/>
      <c r="WZI10" s="651"/>
      <c r="WZJ10" s="651"/>
      <c r="WZK10" s="651"/>
      <c r="WZL10" s="651"/>
      <c r="WZM10" s="651"/>
      <c r="WZN10" s="651"/>
      <c r="WZO10" s="651"/>
      <c r="WZP10" s="651"/>
      <c r="WZQ10" s="651"/>
      <c r="WZR10" s="651"/>
      <c r="WZS10" s="651"/>
      <c r="WZT10" s="651"/>
      <c r="WZU10" s="651"/>
      <c r="WZV10" s="651"/>
      <c r="WZW10" s="651"/>
      <c r="WZX10" s="651"/>
      <c r="WZY10" s="651"/>
      <c r="WZZ10" s="651"/>
      <c r="XAA10" s="651"/>
      <c r="XAB10" s="651"/>
      <c r="XAC10" s="651"/>
      <c r="XAD10" s="651"/>
      <c r="XAE10" s="651"/>
      <c r="XAF10" s="651"/>
      <c r="XAG10" s="651"/>
      <c r="XAH10" s="651"/>
      <c r="XAI10" s="651"/>
      <c r="XAJ10" s="651"/>
      <c r="XAK10" s="651"/>
      <c r="XAL10" s="651"/>
      <c r="XAM10" s="651"/>
      <c r="XAN10" s="651"/>
      <c r="XAO10" s="651"/>
      <c r="XAP10" s="651"/>
      <c r="XAQ10" s="651"/>
      <c r="XAR10" s="651"/>
      <c r="XAS10" s="651"/>
      <c r="XAT10" s="651"/>
      <c r="XAU10" s="651"/>
      <c r="XAV10" s="651"/>
      <c r="XAW10" s="651"/>
      <c r="XAX10" s="651"/>
      <c r="XAY10" s="651"/>
      <c r="XAZ10" s="651"/>
      <c r="XBA10" s="651"/>
      <c r="XBB10" s="651"/>
      <c r="XBC10" s="651"/>
      <c r="XBD10" s="651"/>
      <c r="XBE10" s="651"/>
      <c r="XBF10" s="651"/>
      <c r="XBG10" s="651"/>
      <c r="XBH10" s="651"/>
      <c r="XBI10" s="651"/>
      <c r="XBJ10" s="651"/>
      <c r="XBK10" s="651"/>
      <c r="XBL10" s="651"/>
      <c r="XBM10" s="651"/>
      <c r="XBN10" s="651"/>
      <c r="XBO10" s="651"/>
      <c r="XBP10" s="651"/>
      <c r="XBQ10" s="651"/>
      <c r="XBR10" s="651"/>
      <c r="XBS10" s="651"/>
      <c r="XBT10" s="651"/>
      <c r="XBU10" s="651"/>
      <c r="XBV10" s="651"/>
      <c r="XBW10" s="651"/>
      <c r="XBX10" s="651"/>
      <c r="XBY10" s="651"/>
      <c r="XBZ10" s="651"/>
      <c r="XCA10" s="651"/>
      <c r="XCB10" s="651"/>
      <c r="XCC10" s="651"/>
      <c r="XCD10" s="651"/>
      <c r="XCE10" s="651"/>
      <c r="XCF10" s="651"/>
      <c r="XCG10" s="651"/>
      <c r="XCH10" s="651"/>
      <c r="XCI10" s="651"/>
      <c r="XCJ10" s="651"/>
      <c r="XCK10" s="651"/>
      <c r="XCL10" s="651"/>
      <c r="XCM10" s="651"/>
      <c r="XCN10" s="651"/>
      <c r="XCO10" s="651"/>
      <c r="XCP10" s="651"/>
      <c r="XCQ10" s="651"/>
      <c r="XCR10" s="651"/>
      <c r="XCS10" s="651"/>
      <c r="XCT10" s="651"/>
      <c r="XCU10" s="651"/>
      <c r="XCV10" s="651"/>
      <c r="XCW10" s="651"/>
      <c r="XCX10" s="651"/>
      <c r="XCY10" s="651"/>
      <c r="XCZ10" s="651"/>
      <c r="XDA10" s="651"/>
      <c r="XDB10" s="651"/>
      <c r="XDC10" s="651"/>
      <c r="XDD10" s="651"/>
      <c r="XDE10" s="651"/>
      <c r="XDF10" s="651"/>
      <c r="XDG10" s="651"/>
      <c r="XDH10" s="651"/>
      <c r="XDI10" s="651"/>
      <c r="XDJ10" s="651"/>
      <c r="XDK10" s="651"/>
      <c r="XDL10" s="651"/>
      <c r="XDM10" s="651"/>
      <c r="XDN10" s="651"/>
      <c r="XDO10" s="651"/>
      <c r="XDP10" s="651"/>
      <c r="XDQ10" s="651"/>
      <c r="XDR10" s="651"/>
      <c r="XDS10" s="651"/>
      <c r="XDT10" s="651"/>
      <c r="XDU10" s="651"/>
      <c r="XDV10" s="651"/>
      <c r="XDW10" s="651"/>
      <c r="XDX10" s="651"/>
      <c r="XDY10" s="651"/>
      <c r="XDZ10" s="651"/>
      <c r="XEA10" s="651"/>
      <c r="XEB10" s="651"/>
      <c r="XEC10" s="651"/>
      <c r="XED10" s="651"/>
      <c r="XEE10" s="651"/>
      <c r="XEF10" s="651"/>
      <c r="XEG10" s="651"/>
      <c r="XEH10" s="651"/>
      <c r="XEI10" s="651"/>
      <c r="XEJ10" s="651"/>
      <c r="XEK10" s="651"/>
      <c r="XEL10" s="651"/>
      <c r="XEM10" s="651"/>
      <c r="XEN10" s="651"/>
      <c r="XEO10" s="651"/>
      <c r="XEP10" s="651"/>
      <c r="XEQ10" s="651"/>
      <c r="XER10" s="651"/>
      <c r="XES10" s="651"/>
      <c r="XET10" s="651"/>
      <c r="XEU10" s="651"/>
      <c r="XEV10" s="651"/>
      <c r="XEW10" s="651"/>
      <c r="XEX10" s="651"/>
      <c r="XEY10" s="651"/>
      <c r="XEZ10" s="651"/>
      <c r="XFA10" s="651"/>
      <c r="XFB10" s="651"/>
      <c r="XFC10" s="651"/>
      <c r="XFD10" s="651"/>
    </row>
    <row r="11" spans="1:16384" s="177" customFormat="1" ht="62.25" customHeight="1" x14ac:dyDescent="0.2">
      <c r="A11" s="50"/>
      <c r="B11" s="655" t="s">
        <v>5653</v>
      </c>
      <c r="C11" s="655"/>
      <c r="D11" s="655"/>
      <c r="E11" s="655"/>
      <c r="F11" s="655"/>
      <c r="G11" s="655"/>
      <c r="H11" s="655"/>
      <c r="I11" s="655"/>
      <c r="J11" s="655"/>
      <c r="K11" s="655"/>
      <c r="L11" s="655"/>
      <c r="M11" s="655"/>
      <c r="N11" s="655"/>
      <c r="O11" s="655"/>
      <c r="P11" s="655"/>
      <c r="Q11" s="655"/>
      <c r="R11" s="655"/>
      <c r="S11" s="655"/>
      <c r="T11" s="655"/>
      <c r="U11" s="655"/>
      <c r="V11" s="655"/>
      <c r="W11" s="655"/>
      <c r="X11" s="655"/>
      <c r="Y11" s="655"/>
      <c r="Z11" s="655"/>
      <c r="AA11" s="655"/>
      <c r="AB11" s="655"/>
      <c r="AC11" s="655"/>
      <c r="AD11" s="655"/>
      <c r="AE11" s="655"/>
      <c r="AF11" s="655"/>
      <c r="AG11" s="655"/>
      <c r="AH11" s="655"/>
      <c r="AI11" s="655"/>
      <c r="AJ11" s="655"/>
      <c r="AK11" s="655"/>
      <c r="AL11" s="655"/>
      <c r="AM11" s="655"/>
      <c r="AN11" s="655"/>
      <c r="AO11" s="655"/>
      <c r="AP11" s="655"/>
      <c r="AQ11" s="655"/>
      <c r="AR11" s="655"/>
      <c r="AS11" s="655"/>
      <c r="AT11" s="655"/>
      <c r="AU11" s="655"/>
      <c r="AV11" s="655"/>
      <c r="AW11" s="655"/>
      <c r="AX11" s="655"/>
      <c r="AY11" s="655"/>
      <c r="AZ11" s="655"/>
      <c r="BA11" s="655"/>
      <c r="BB11" s="178"/>
      <c r="BC11" s="83"/>
      <c r="BD11" s="201"/>
      <c r="BE11" s="201"/>
      <c r="BF11" s="201"/>
      <c r="BG11" s="201"/>
      <c r="BH11" s="201"/>
      <c r="BI11" s="201"/>
      <c r="BJ11" s="201"/>
      <c r="BK11" s="201"/>
      <c r="BL11" s="201"/>
      <c r="BM11" s="201"/>
      <c r="BN11" s="201"/>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83"/>
      <c r="CO11" s="83"/>
      <c r="CP11" s="83"/>
      <c r="CQ11" s="83"/>
      <c r="CR11" s="83"/>
      <c r="CS11" s="83"/>
      <c r="CT11" s="83"/>
      <c r="CU11" s="83"/>
      <c r="CV11" s="83"/>
      <c r="CW11" s="83"/>
      <c r="CX11" s="83"/>
      <c r="CY11" s="83"/>
      <c r="CZ11" s="83"/>
      <c r="DA11" s="83"/>
      <c r="DB11" s="83"/>
      <c r="DC11" s="83"/>
      <c r="DD11" s="83"/>
    </row>
    <row r="12" spans="1:16384" s="177" customFormat="1" ht="6.75" customHeight="1" x14ac:dyDescent="0.2">
      <c r="A12" s="50"/>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178"/>
      <c r="BC12" s="83"/>
      <c r="BD12" s="201"/>
      <c r="BE12" s="201"/>
      <c r="BF12" s="201"/>
      <c r="BG12" s="201"/>
      <c r="BH12" s="201"/>
      <c r="BI12" s="201"/>
      <c r="BJ12" s="201"/>
      <c r="BK12" s="201"/>
      <c r="BL12" s="201"/>
      <c r="BM12" s="201"/>
      <c r="BN12" s="201"/>
      <c r="BO12" s="201"/>
      <c r="BP12" s="201"/>
      <c r="BQ12" s="201"/>
      <c r="BR12" s="201"/>
      <c r="BS12" s="201"/>
      <c r="BT12" s="201"/>
      <c r="BU12" s="201"/>
      <c r="BV12" s="201"/>
      <c r="BW12" s="201"/>
      <c r="BX12" s="201"/>
      <c r="BY12" s="201"/>
      <c r="BZ12" s="201"/>
      <c r="CA12" s="201"/>
      <c r="CB12" s="201"/>
      <c r="CC12" s="201"/>
      <c r="CD12" s="201"/>
      <c r="CE12" s="201"/>
      <c r="CF12" s="201"/>
      <c r="CG12" s="201"/>
      <c r="CH12" s="201"/>
      <c r="CI12" s="201"/>
      <c r="CJ12" s="201"/>
      <c r="CK12" s="201"/>
      <c r="CL12" s="201"/>
      <c r="CM12" s="201"/>
      <c r="CN12" s="83"/>
      <c r="CO12" s="83"/>
      <c r="CP12" s="83"/>
      <c r="CQ12" s="83"/>
      <c r="CR12" s="83"/>
      <c r="CS12" s="83"/>
      <c r="CT12" s="83"/>
      <c r="CU12" s="83"/>
      <c r="CV12" s="83"/>
      <c r="CW12" s="83"/>
      <c r="CX12" s="83"/>
      <c r="CY12" s="83"/>
      <c r="CZ12" s="83"/>
      <c r="DA12" s="83"/>
      <c r="DB12" s="83"/>
      <c r="DC12" s="83"/>
      <c r="DD12" s="83"/>
    </row>
    <row r="13" spans="1:16384" customFormat="1" x14ac:dyDescent="0.3">
      <c r="A13" s="261" t="s">
        <v>5224</v>
      </c>
      <c r="B13" s="261"/>
      <c r="C13" s="261"/>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c r="AB13" s="261"/>
      <c r="AC13" s="261"/>
      <c r="AD13" s="261"/>
      <c r="AE13" s="261"/>
      <c r="AF13" s="261"/>
      <c r="AG13" s="261"/>
      <c r="AH13" s="261"/>
      <c r="AI13" s="261"/>
      <c r="AJ13" s="261"/>
      <c r="AK13" s="261"/>
      <c r="AL13" s="261"/>
      <c r="AM13" s="261"/>
      <c r="AN13" s="261"/>
      <c r="AO13" s="261"/>
      <c r="AP13" s="261"/>
      <c r="AQ13" s="261"/>
      <c r="AR13" s="261"/>
      <c r="AS13" s="261"/>
      <c r="AT13" s="261"/>
      <c r="AU13" s="261"/>
      <c r="AV13" s="261"/>
      <c r="AW13" s="261"/>
      <c r="AX13" s="261"/>
      <c r="AY13" s="261"/>
      <c r="AZ13" s="261"/>
      <c r="BA13" s="261"/>
      <c r="BB13" s="261"/>
      <c r="BD13" s="201"/>
      <c r="BE13" s="201"/>
      <c r="BF13" s="201"/>
      <c r="BG13" s="201"/>
      <c r="BH13" s="201"/>
      <c r="BI13" s="201"/>
      <c r="BJ13" s="201"/>
      <c r="BK13" s="201"/>
      <c r="BL13" s="201"/>
      <c r="BM13" s="201"/>
      <c r="BN13" s="201"/>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row>
    <row r="14" spans="1:16384" s="7" customFormat="1" ht="6.75" customHeight="1" x14ac:dyDescent="0.1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D14" s="201"/>
      <c r="BE14" s="201"/>
      <c r="BF14" s="201"/>
      <c r="BG14" s="201"/>
      <c r="BH14" s="201"/>
      <c r="BI14" s="201"/>
      <c r="BJ14" s="201"/>
      <c r="BK14" s="201"/>
      <c r="BL14" s="201"/>
      <c r="BM14" s="201"/>
      <c r="BN14" s="201"/>
      <c r="BO14" s="201"/>
      <c r="BP14" s="201"/>
      <c r="BQ14" s="201"/>
      <c r="BR14" s="201"/>
      <c r="BS14" s="201"/>
      <c r="BT14" s="201"/>
      <c r="BU14" s="201"/>
      <c r="BV14" s="201"/>
      <c r="BW14" s="201"/>
      <c r="BX14" s="201"/>
      <c r="BY14" s="201"/>
      <c r="BZ14" s="201"/>
      <c r="CA14" s="201"/>
      <c r="CB14" s="201"/>
      <c r="CC14" s="201"/>
      <c r="CD14" s="201"/>
      <c r="CE14" s="201"/>
      <c r="CF14" s="201"/>
      <c r="CG14" s="201"/>
      <c r="CH14" s="201"/>
      <c r="CI14" s="201"/>
      <c r="CJ14" s="201"/>
      <c r="CK14" s="201"/>
      <c r="CL14" s="201"/>
      <c r="CM14" s="201"/>
    </row>
    <row r="15" spans="1:16384" s="9" customFormat="1" ht="12" x14ac:dyDescent="0.25">
      <c r="A15" s="8"/>
      <c r="B15" s="578"/>
      <c r="C15" s="578"/>
      <c r="D15" s="578"/>
      <c r="E15" s="578"/>
      <c r="F15" s="578"/>
      <c r="G15" s="578"/>
      <c r="H15" s="578"/>
      <c r="I15" s="578"/>
      <c r="J15" s="578"/>
      <c r="K15" s="578"/>
      <c r="L15" s="578"/>
      <c r="M15" s="578"/>
      <c r="N15" s="578"/>
      <c r="O15" s="578"/>
      <c r="P15" s="578"/>
      <c r="Q15" s="578"/>
      <c r="R15" s="578"/>
      <c r="S15" s="578"/>
      <c r="T15" s="578"/>
      <c r="U15" s="578"/>
      <c r="V15" s="578"/>
      <c r="W15" s="578"/>
      <c r="X15" s="578"/>
      <c r="Y15" s="578"/>
      <c r="Z15" s="578"/>
      <c r="AA15" s="578"/>
      <c r="AB15" s="578"/>
      <c r="AC15" s="578"/>
      <c r="AD15" s="578"/>
      <c r="AE15" s="578"/>
      <c r="AF15" s="578"/>
      <c r="AG15" s="578"/>
      <c r="AH15" s="578"/>
      <c r="AI15" s="578"/>
      <c r="AJ15" s="578"/>
      <c r="AK15" s="578"/>
      <c r="AL15" s="578"/>
      <c r="AM15" s="578"/>
      <c r="AN15" s="578"/>
      <c r="AO15" s="578"/>
      <c r="AP15" s="578"/>
      <c r="AQ15" s="578"/>
      <c r="AR15" s="578"/>
      <c r="AS15" s="578"/>
      <c r="AT15" s="578"/>
      <c r="AU15" s="578"/>
      <c r="AV15" s="578"/>
      <c r="AW15" s="578"/>
      <c r="AX15" s="578"/>
      <c r="AY15" s="578"/>
      <c r="AZ15" s="578"/>
      <c r="BA15" s="578"/>
      <c r="BB15" s="8"/>
      <c r="BD15" s="201"/>
      <c r="BE15" s="201"/>
      <c r="BF15" s="201"/>
      <c r="BG15" s="201"/>
      <c r="BH15" s="201"/>
      <c r="BI15" s="201"/>
      <c r="BJ15" s="201"/>
      <c r="BK15" s="201"/>
      <c r="BL15" s="201"/>
      <c r="BM15" s="201"/>
      <c r="BN15" s="201"/>
      <c r="BO15" s="201"/>
      <c r="BP15" s="201"/>
      <c r="BQ15" s="201"/>
      <c r="BR15" s="201"/>
      <c r="BS15" s="201"/>
      <c r="BT15" s="201"/>
      <c r="BU15" s="201"/>
      <c r="BV15" s="201"/>
      <c r="BW15" s="201"/>
      <c r="BX15" s="201"/>
      <c r="BY15" s="201"/>
      <c r="BZ15" s="201"/>
      <c r="CA15" s="201"/>
      <c r="CB15" s="201"/>
      <c r="CC15" s="201"/>
      <c r="CD15" s="201"/>
      <c r="CE15" s="201"/>
      <c r="CF15" s="201"/>
      <c r="CG15" s="201"/>
      <c r="CH15" s="201"/>
      <c r="CI15" s="201"/>
      <c r="CJ15" s="201"/>
      <c r="CK15" s="201"/>
      <c r="CL15" s="201"/>
      <c r="CM15" s="201"/>
    </row>
    <row r="16" spans="1:16384" s="11" customFormat="1" ht="8.4" x14ac:dyDescent="0.2">
      <c r="A16" s="10"/>
      <c r="B16" s="559" t="s">
        <v>5621</v>
      </c>
      <c r="C16" s="559"/>
      <c r="D16" s="559"/>
      <c r="E16" s="559"/>
      <c r="F16" s="559"/>
      <c r="G16" s="559"/>
      <c r="H16" s="559"/>
      <c r="I16" s="559"/>
      <c r="J16" s="559"/>
      <c r="K16" s="559"/>
      <c r="L16" s="559"/>
      <c r="M16" s="559"/>
      <c r="N16" s="559"/>
      <c r="O16" s="559"/>
      <c r="P16" s="559"/>
      <c r="Q16" s="559"/>
      <c r="R16" s="559"/>
      <c r="S16" s="559"/>
      <c r="T16" s="559"/>
      <c r="U16" s="559"/>
      <c r="V16" s="559"/>
      <c r="W16" s="559"/>
      <c r="X16" s="559"/>
      <c r="Y16" s="559"/>
      <c r="Z16" s="559"/>
      <c r="AA16" s="559"/>
      <c r="AB16" s="559"/>
      <c r="AC16" s="559"/>
      <c r="AD16" s="559"/>
      <c r="AE16" s="559"/>
      <c r="AF16" s="559"/>
      <c r="AG16" s="559"/>
      <c r="AH16" s="559"/>
      <c r="AI16" s="559"/>
      <c r="AJ16" s="559"/>
      <c r="AK16" s="559"/>
      <c r="AL16" s="559"/>
      <c r="AM16" s="559"/>
      <c r="AN16" s="559"/>
      <c r="AO16" s="559"/>
      <c r="AP16" s="559"/>
      <c r="AQ16" s="559"/>
      <c r="AR16" s="559"/>
      <c r="AS16" s="559"/>
      <c r="AT16" s="559"/>
      <c r="AU16" s="559"/>
      <c r="AV16" s="559"/>
      <c r="AW16" s="559"/>
      <c r="AX16" s="559"/>
      <c r="AY16" s="559"/>
      <c r="AZ16" s="559"/>
      <c r="BA16" s="559"/>
      <c r="BB16" s="10"/>
      <c r="BD16" s="201"/>
      <c r="BE16" s="201"/>
      <c r="BF16" s="201"/>
      <c r="BG16" s="201"/>
      <c r="BH16" s="201"/>
      <c r="BI16" s="201"/>
      <c r="BJ16" s="201"/>
      <c r="BK16" s="201"/>
      <c r="BL16" s="201"/>
      <c r="BM16" s="201"/>
      <c r="BN16" s="201"/>
      <c r="BO16" s="201"/>
      <c r="BP16" s="201"/>
      <c r="BQ16" s="201"/>
      <c r="BR16" s="201"/>
      <c r="BS16" s="201"/>
      <c r="BT16" s="201"/>
      <c r="BU16" s="201"/>
      <c r="BV16" s="201"/>
      <c r="BW16" s="201"/>
      <c r="BX16" s="201"/>
      <c r="BY16" s="201"/>
      <c r="BZ16" s="201"/>
      <c r="CA16" s="201"/>
      <c r="CB16" s="201"/>
      <c r="CC16" s="201"/>
      <c r="CD16" s="201"/>
      <c r="CE16" s="201"/>
      <c r="CF16" s="201"/>
      <c r="CG16" s="201"/>
      <c r="CH16" s="201"/>
      <c r="CI16" s="201"/>
      <c r="CJ16" s="201"/>
      <c r="CK16" s="201"/>
      <c r="CL16" s="201"/>
      <c r="CM16" s="201"/>
    </row>
    <row r="17" spans="1:91" s="7" customFormat="1" ht="6.75" customHeight="1" x14ac:dyDescent="0.15">
      <c r="A17" s="6"/>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6"/>
      <c r="BD17" s="201"/>
      <c r="BE17" s="201"/>
      <c r="BF17" s="201"/>
      <c r="BG17" s="201"/>
      <c r="BH17" s="201"/>
      <c r="BI17" s="201"/>
      <c r="BJ17" s="201"/>
      <c r="BK17" s="201"/>
      <c r="BL17" s="201"/>
      <c r="BM17" s="201"/>
      <c r="BN17" s="201"/>
      <c r="BO17" s="201"/>
      <c r="BP17" s="201"/>
      <c r="BQ17" s="201"/>
      <c r="BR17" s="201"/>
      <c r="BS17" s="201"/>
      <c r="BT17" s="201"/>
      <c r="BU17" s="201"/>
      <c r="BV17" s="201"/>
      <c r="BW17" s="201"/>
      <c r="BX17" s="201"/>
      <c r="BY17" s="201"/>
      <c r="BZ17" s="201"/>
      <c r="CA17" s="201"/>
      <c r="CB17" s="201"/>
      <c r="CC17" s="201"/>
      <c r="CD17" s="201"/>
      <c r="CE17" s="201"/>
      <c r="CF17" s="201"/>
      <c r="CG17" s="201"/>
      <c r="CH17" s="201"/>
      <c r="CI17" s="201"/>
      <c r="CJ17" s="201"/>
      <c r="CK17" s="201"/>
      <c r="CL17" s="201"/>
      <c r="CM17" s="201"/>
    </row>
    <row r="18" spans="1:91" s="101" customFormat="1" ht="27.75" customHeight="1" x14ac:dyDescent="0.3">
      <c r="A18" s="99"/>
      <c r="B18" s="648"/>
      <c r="C18" s="648"/>
      <c r="D18" s="648"/>
      <c r="E18" s="648"/>
      <c r="F18" s="648"/>
      <c r="G18" s="648"/>
      <c r="H18" s="648"/>
      <c r="I18" s="648"/>
      <c r="J18" s="648"/>
      <c r="K18" s="648"/>
      <c r="L18" s="648"/>
      <c r="M18" s="648"/>
      <c r="N18" s="648"/>
      <c r="O18" s="648"/>
      <c r="P18" s="648"/>
      <c r="Q18" s="648"/>
      <c r="R18" s="648"/>
      <c r="S18" s="648"/>
      <c r="T18" s="648"/>
      <c r="U18" s="648"/>
      <c r="V18" s="648"/>
      <c r="W18" s="649"/>
      <c r="X18" s="649"/>
      <c r="Y18" s="649"/>
      <c r="Z18" s="649"/>
      <c r="AA18" s="649"/>
      <c r="AB18" s="649"/>
      <c r="AC18" s="649"/>
      <c r="AD18" s="99"/>
      <c r="AE18" s="636"/>
      <c r="AF18" s="636"/>
      <c r="AG18" s="636"/>
      <c r="AH18" s="636"/>
      <c r="AI18" s="636"/>
      <c r="AJ18" s="636"/>
      <c r="AK18" s="636"/>
      <c r="AL18" s="100"/>
      <c r="AM18" s="636"/>
      <c r="AN18" s="636"/>
      <c r="AO18" s="636"/>
      <c r="AP18" s="636"/>
      <c r="AQ18" s="636"/>
      <c r="AR18" s="636"/>
      <c r="AS18" s="636"/>
      <c r="AT18" s="99"/>
      <c r="AU18" s="636"/>
      <c r="AV18" s="636"/>
      <c r="AW18" s="636"/>
      <c r="AX18" s="636"/>
      <c r="AY18" s="636"/>
      <c r="AZ18" s="636"/>
      <c r="BA18" s="636"/>
      <c r="BB18" s="99"/>
      <c r="BC18" s="99"/>
      <c r="BD18" s="201"/>
      <c r="BE18" s="201"/>
      <c r="BF18" s="201"/>
      <c r="BG18" s="201"/>
      <c r="BH18" s="201"/>
      <c r="BI18" s="201"/>
      <c r="BJ18" s="201"/>
      <c r="BK18" s="201"/>
      <c r="BL18" s="201"/>
      <c r="BM18" s="201"/>
      <c r="BN18" s="201"/>
      <c r="BO18" s="201"/>
      <c r="BP18" s="201"/>
      <c r="BQ18" s="201"/>
      <c r="BR18" s="201"/>
      <c r="BS18" s="201"/>
      <c r="BT18" s="201"/>
      <c r="BU18" s="201"/>
      <c r="BV18" s="201"/>
      <c r="BW18" s="201"/>
      <c r="BX18" s="201"/>
      <c r="BY18" s="201"/>
      <c r="BZ18" s="201"/>
      <c r="CA18" s="201"/>
      <c r="CB18" s="201"/>
      <c r="CC18" s="201"/>
      <c r="CD18" s="201"/>
      <c r="CE18" s="201"/>
      <c r="CF18" s="201"/>
      <c r="CG18" s="201"/>
      <c r="CH18" s="201"/>
      <c r="CI18" s="201"/>
      <c r="CJ18" s="201"/>
      <c r="CK18" s="201"/>
      <c r="CL18" s="201"/>
      <c r="CM18" s="201"/>
    </row>
    <row r="19" spans="1:91" s="11" customFormat="1" ht="8.4" x14ac:dyDescent="0.2">
      <c r="A19" s="10"/>
      <c r="B19" s="232" t="s">
        <v>5108</v>
      </c>
      <c r="C19" s="232"/>
      <c r="D19" s="232"/>
      <c r="E19" s="232"/>
      <c r="F19" s="232"/>
      <c r="G19" s="232"/>
      <c r="H19" s="232"/>
      <c r="I19" s="232"/>
      <c r="J19" s="232"/>
      <c r="K19" s="232"/>
      <c r="L19" s="232"/>
      <c r="M19" s="232"/>
      <c r="N19" s="232"/>
      <c r="O19" s="232"/>
      <c r="P19" s="232"/>
      <c r="Q19" s="232"/>
      <c r="R19" s="232"/>
      <c r="S19" s="232"/>
      <c r="T19" s="232"/>
      <c r="U19" s="232"/>
      <c r="V19" s="232"/>
      <c r="W19" s="650"/>
      <c r="X19" s="650"/>
      <c r="Y19" s="650"/>
      <c r="Z19" s="650"/>
      <c r="AA19" s="650"/>
      <c r="AB19" s="650"/>
      <c r="AC19" s="650"/>
      <c r="AD19" s="10"/>
      <c r="AE19" s="559" t="s">
        <v>5111</v>
      </c>
      <c r="AF19" s="559"/>
      <c r="AG19" s="559"/>
      <c r="AH19" s="559"/>
      <c r="AI19" s="559"/>
      <c r="AJ19" s="559"/>
      <c r="AK19" s="559"/>
      <c r="AL19" s="10"/>
      <c r="AM19" s="559" t="s">
        <v>5107</v>
      </c>
      <c r="AN19" s="559"/>
      <c r="AO19" s="559"/>
      <c r="AP19" s="559"/>
      <c r="AQ19" s="559"/>
      <c r="AR19" s="559"/>
      <c r="AS19" s="559"/>
      <c r="AT19" s="10"/>
      <c r="AU19" s="559" t="s">
        <v>5106</v>
      </c>
      <c r="AV19" s="559"/>
      <c r="AW19" s="559"/>
      <c r="AX19" s="559"/>
      <c r="AY19" s="559"/>
      <c r="AZ19" s="559"/>
      <c r="BA19" s="559"/>
      <c r="BB19" s="10"/>
      <c r="BC19" s="10"/>
      <c r="BD19" s="201"/>
      <c r="BE19" s="201"/>
      <c r="BF19" s="201"/>
      <c r="BG19" s="201"/>
      <c r="BH19" s="201"/>
      <c r="BI19" s="201"/>
      <c r="BJ19" s="201"/>
      <c r="BK19" s="201"/>
      <c r="BL19" s="201"/>
      <c r="BM19" s="201"/>
      <c r="BN19" s="201"/>
      <c r="BO19" s="201"/>
      <c r="BP19" s="201"/>
      <c r="BQ19" s="201"/>
      <c r="BR19" s="201"/>
      <c r="BS19" s="201"/>
      <c r="BT19" s="201"/>
      <c r="BU19" s="201"/>
      <c r="BV19" s="201"/>
      <c r="BW19" s="201"/>
      <c r="BX19" s="201"/>
      <c r="BY19" s="201"/>
      <c r="BZ19" s="201"/>
      <c r="CA19" s="201"/>
      <c r="CB19" s="201"/>
      <c r="CC19" s="201"/>
      <c r="CD19" s="201"/>
      <c r="CE19" s="201"/>
      <c r="CF19" s="201"/>
      <c r="CG19" s="201"/>
      <c r="CH19" s="201"/>
      <c r="CI19" s="201"/>
      <c r="CJ19" s="201"/>
      <c r="CK19" s="201"/>
      <c r="CL19" s="201"/>
      <c r="CM19" s="201"/>
    </row>
    <row r="20" spans="1:91" s="7" customFormat="1" ht="6.75" customHeight="1" x14ac:dyDescent="0.1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D20" s="201"/>
      <c r="BE20" s="201"/>
      <c r="BF20" s="201"/>
      <c r="BG20" s="201"/>
      <c r="BH20" s="201"/>
      <c r="BI20" s="201"/>
      <c r="BJ20" s="201"/>
      <c r="BK20" s="201"/>
      <c r="BL20" s="201"/>
      <c r="BM20" s="201"/>
      <c r="BN20" s="201"/>
      <c r="BO20" s="201"/>
      <c r="BP20" s="201"/>
      <c r="BQ20" s="201"/>
      <c r="BR20" s="201"/>
      <c r="BS20" s="201"/>
      <c r="BT20" s="201"/>
      <c r="BU20" s="201"/>
      <c r="BV20" s="201"/>
      <c r="BW20" s="201"/>
      <c r="BX20" s="201"/>
      <c r="BY20" s="201"/>
      <c r="BZ20" s="201"/>
      <c r="CA20" s="201"/>
      <c r="CB20" s="201"/>
      <c r="CC20" s="201"/>
      <c r="CD20" s="201"/>
      <c r="CE20" s="201"/>
      <c r="CF20" s="201"/>
      <c r="CG20" s="201"/>
      <c r="CH20" s="201"/>
      <c r="CI20" s="201"/>
      <c r="CJ20" s="201"/>
      <c r="CK20" s="201"/>
      <c r="CL20" s="201"/>
      <c r="CM20" s="201"/>
    </row>
    <row r="21" spans="1:91" s="9" customFormat="1" ht="12" x14ac:dyDescent="0.25">
      <c r="B21" s="540"/>
      <c r="C21" s="540"/>
      <c r="D21" s="540"/>
      <c r="E21" s="540"/>
      <c r="F21" s="540"/>
      <c r="G21" s="540"/>
      <c r="H21" s="540"/>
      <c r="I21" s="540"/>
      <c r="J21" s="540"/>
      <c r="K21" s="540"/>
      <c r="L21" s="540"/>
      <c r="M21" s="540"/>
      <c r="N21" s="540"/>
      <c r="O21" s="540"/>
      <c r="P21" s="540"/>
      <c r="Q21" s="540"/>
      <c r="R21" s="540"/>
      <c r="S21" s="540"/>
      <c r="T21" s="540"/>
      <c r="U21" s="540"/>
      <c r="V21" s="540"/>
      <c r="X21" s="640"/>
      <c r="Y21" s="640"/>
      <c r="Z21" s="640"/>
      <c r="AB21" s="640"/>
      <c r="AC21" s="640"/>
      <c r="AD21" s="640"/>
      <c r="AF21" s="638"/>
      <c r="AG21" s="638"/>
      <c r="AH21" s="638"/>
      <c r="AI21" s="638"/>
      <c r="AK21" s="640"/>
      <c r="AL21" s="640"/>
      <c r="AM21" s="640"/>
      <c r="AN21" s="640"/>
      <c r="AO21" s="640"/>
      <c r="AP21" s="640"/>
      <c r="AQ21" s="640"/>
      <c r="AR21" s="640"/>
      <c r="AS21" s="640"/>
      <c r="AT21" s="640"/>
      <c r="AU21" s="640"/>
      <c r="AV21" s="640"/>
      <c r="AW21" s="640"/>
      <c r="AX21" s="640"/>
      <c r="AY21" s="640"/>
      <c r="AZ21" s="640"/>
      <c r="BA21" s="640"/>
      <c r="BD21" s="201"/>
      <c r="BE21" s="201"/>
      <c r="BF21" s="201"/>
      <c r="BG21" s="201"/>
      <c r="BH21" s="201"/>
      <c r="BI21" s="201"/>
      <c r="BJ21" s="201"/>
      <c r="BK21" s="201"/>
      <c r="BL21" s="201"/>
      <c r="BM21" s="201"/>
      <c r="BN21" s="201"/>
      <c r="BO21" s="201"/>
      <c r="BP21" s="201"/>
      <c r="BQ21" s="201"/>
      <c r="BR21" s="201"/>
      <c r="BS21" s="201"/>
      <c r="BT21" s="201"/>
      <c r="BU21" s="201"/>
      <c r="BV21" s="201"/>
      <c r="BW21" s="201"/>
      <c r="BX21" s="201"/>
      <c r="BY21" s="201"/>
      <c r="BZ21" s="201"/>
      <c r="CA21" s="201"/>
      <c r="CB21" s="201"/>
      <c r="CC21" s="201"/>
      <c r="CD21" s="201"/>
      <c r="CE21" s="201"/>
      <c r="CF21" s="201"/>
      <c r="CG21" s="201"/>
      <c r="CH21" s="201"/>
      <c r="CI21" s="201"/>
      <c r="CJ21" s="201"/>
      <c r="CK21" s="201"/>
      <c r="CL21" s="201"/>
      <c r="CM21" s="201"/>
    </row>
    <row r="22" spans="1:91" s="14" customFormat="1" ht="8.4" x14ac:dyDescent="0.2">
      <c r="A22" s="13"/>
      <c r="B22" s="559" t="s">
        <v>5112</v>
      </c>
      <c r="C22" s="559"/>
      <c r="D22" s="559"/>
      <c r="E22" s="559"/>
      <c r="F22" s="559"/>
      <c r="G22" s="559"/>
      <c r="H22" s="559"/>
      <c r="I22" s="559"/>
      <c r="J22" s="559"/>
      <c r="K22" s="559"/>
      <c r="L22" s="559"/>
      <c r="M22" s="559"/>
      <c r="N22" s="559"/>
      <c r="O22" s="559"/>
      <c r="P22" s="559"/>
      <c r="Q22" s="559"/>
      <c r="R22" s="559"/>
      <c r="S22" s="559"/>
      <c r="T22" s="559"/>
      <c r="U22" s="559"/>
      <c r="V22" s="559"/>
      <c r="W22" s="13"/>
      <c r="X22" s="559" t="s">
        <v>5113</v>
      </c>
      <c r="Y22" s="559"/>
      <c r="Z22" s="559"/>
      <c r="AA22" s="13"/>
      <c r="AB22" s="559" t="s">
        <v>5114</v>
      </c>
      <c r="AC22" s="559"/>
      <c r="AD22" s="559"/>
      <c r="AE22" s="13"/>
      <c r="AF22" s="639" t="s">
        <v>5115</v>
      </c>
      <c r="AG22" s="639"/>
      <c r="AH22" s="639"/>
      <c r="AI22" s="639"/>
      <c r="AJ22" s="13"/>
      <c r="AK22" s="559" t="s">
        <v>5116</v>
      </c>
      <c r="AL22" s="559"/>
      <c r="AM22" s="559"/>
      <c r="AN22" s="559"/>
      <c r="AO22" s="559"/>
      <c r="AP22" s="559"/>
      <c r="AQ22" s="559"/>
      <c r="AR22" s="559"/>
      <c r="AS22" s="559"/>
      <c r="AT22" s="559"/>
      <c r="AU22" s="559"/>
      <c r="AV22" s="559"/>
      <c r="AW22" s="559"/>
      <c r="AX22" s="559"/>
      <c r="AY22" s="559"/>
      <c r="AZ22" s="559"/>
      <c r="BA22" s="559"/>
      <c r="BB22" s="13"/>
    </row>
    <row r="23" spans="1:91" s="7" customFormat="1" ht="6" x14ac:dyDescent="0.1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row>
    <row r="24" spans="1:91" s="9" customFormat="1" ht="12" x14ac:dyDescent="0.25">
      <c r="B24" s="611"/>
      <c r="C24" s="611"/>
      <c r="D24" s="611"/>
      <c r="E24" s="611"/>
      <c r="F24" s="611"/>
      <c r="G24" s="611"/>
      <c r="H24" s="611"/>
      <c r="I24" s="611"/>
      <c r="J24" s="611"/>
      <c r="K24" s="611"/>
      <c r="L24" s="611"/>
      <c r="M24" s="611"/>
      <c r="N24" s="15"/>
      <c r="O24" s="652"/>
      <c r="P24" s="653"/>
      <c r="Q24" s="653"/>
      <c r="R24" s="653"/>
      <c r="S24" s="653"/>
      <c r="T24" s="653"/>
      <c r="U24" s="653"/>
      <c r="V24" s="653"/>
      <c r="W24" s="653"/>
      <c r="X24" s="653"/>
      <c r="Y24" s="653"/>
      <c r="Z24" s="654"/>
      <c r="AA24" s="15"/>
      <c r="AB24" s="611"/>
      <c r="AC24" s="611"/>
      <c r="AD24" s="611"/>
      <c r="AE24" s="611"/>
      <c r="AF24" s="611"/>
      <c r="AG24" s="611"/>
      <c r="AH24" s="611"/>
      <c r="AI24" s="611"/>
      <c r="AJ24" s="611"/>
      <c r="AK24" s="611"/>
      <c r="AL24" s="611"/>
      <c r="AM24" s="611"/>
      <c r="AN24" s="611"/>
      <c r="AO24" s="611"/>
      <c r="AP24" s="611"/>
      <c r="AQ24" s="611"/>
      <c r="AR24" s="611"/>
      <c r="AS24" s="611"/>
      <c r="AU24" s="586" t="str">
        <f>IFERROR(VLOOKUP(pomocnicze!B2,'gminy w powiatach'!$E$2:$F$2480,2,FALSE),"")</f>
        <v/>
      </c>
      <c r="AV24" s="586"/>
      <c r="AW24" s="586"/>
      <c r="AX24" s="586"/>
      <c r="AY24" s="586"/>
      <c r="AZ24" s="586"/>
      <c r="BA24" s="586"/>
    </row>
    <row r="25" spans="1:91" s="17" customFormat="1" ht="8.25" customHeight="1" x14ac:dyDescent="0.3">
      <c r="A25" s="16"/>
      <c r="B25" s="560" t="s">
        <v>4504</v>
      </c>
      <c r="C25" s="560"/>
      <c r="D25" s="560"/>
      <c r="E25" s="560"/>
      <c r="F25" s="560"/>
      <c r="G25" s="560"/>
      <c r="H25" s="560"/>
      <c r="I25" s="560"/>
      <c r="J25" s="560"/>
      <c r="K25" s="560"/>
      <c r="L25" s="560"/>
      <c r="M25" s="560"/>
      <c r="N25" s="16"/>
      <c r="O25" s="560" t="s">
        <v>4505</v>
      </c>
      <c r="P25" s="560"/>
      <c r="Q25" s="560"/>
      <c r="R25" s="560"/>
      <c r="S25" s="560"/>
      <c r="T25" s="560"/>
      <c r="U25" s="560"/>
      <c r="V25" s="560"/>
      <c r="W25" s="560"/>
      <c r="X25" s="560"/>
      <c r="Y25" s="560"/>
      <c r="Z25" s="560"/>
      <c r="AA25" s="16"/>
      <c r="AB25" s="560" t="s">
        <v>4506</v>
      </c>
      <c r="AC25" s="561"/>
      <c r="AD25" s="561"/>
      <c r="AE25" s="561"/>
      <c r="AF25" s="561"/>
      <c r="AG25" s="561"/>
      <c r="AH25" s="561"/>
      <c r="AI25" s="561"/>
      <c r="AJ25" s="561"/>
      <c r="AK25" s="561"/>
      <c r="AL25" s="561"/>
      <c r="AM25" s="561"/>
      <c r="AN25" s="561"/>
      <c r="AO25" s="561"/>
      <c r="AP25" s="561"/>
      <c r="AQ25" s="561"/>
      <c r="AR25" s="561"/>
      <c r="AS25" s="561"/>
      <c r="AT25" s="16"/>
      <c r="AU25" s="560" t="s">
        <v>5119</v>
      </c>
      <c r="AV25" s="561"/>
      <c r="AW25" s="561"/>
      <c r="AX25" s="561"/>
      <c r="AY25" s="561"/>
      <c r="AZ25" s="561"/>
      <c r="BA25" s="561"/>
      <c r="BB25" s="16"/>
    </row>
    <row r="26" spans="1:91" s="17" customFormat="1" ht="8.4" x14ac:dyDescent="0.3">
      <c r="A26" s="16"/>
      <c r="B26" s="570" t="s">
        <v>5230</v>
      </c>
      <c r="C26" s="570"/>
      <c r="D26" s="570"/>
      <c r="E26" s="570"/>
      <c r="F26" s="570"/>
      <c r="G26" s="570"/>
      <c r="H26" s="570"/>
      <c r="I26" s="570"/>
      <c r="J26" s="570"/>
      <c r="K26" s="570"/>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70"/>
      <c r="AU26" s="570"/>
      <c r="AV26" s="570"/>
      <c r="AW26" s="570"/>
      <c r="AX26" s="570"/>
      <c r="AY26" s="570"/>
      <c r="AZ26" s="570"/>
      <c r="BA26" s="570"/>
      <c r="BB26" s="16"/>
    </row>
    <row r="27" spans="1:91" s="17" customFormat="1" ht="8.4" x14ac:dyDescent="0.3">
      <c r="A27" s="16"/>
      <c r="B27" s="571"/>
      <c r="C27" s="571"/>
      <c r="D27" s="571"/>
      <c r="E27" s="571"/>
      <c r="F27" s="571"/>
      <c r="G27" s="571"/>
      <c r="H27" s="571"/>
      <c r="I27" s="571"/>
      <c r="J27" s="571"/>
      <c r="K27" s="571"/>
      <c r="L27" s="571"/>
      <c r="M27" s="571"/>
      <c r="N27" s="571"/>
      <c r="O27" s="571"/>
      <c r="P27" s="571"/>
      <c r="Q27" s="571"/>
      <c r="R27" s="571"/>
      <c r="S27" s="571"/>
      <c r="T27" s="571"/>
      <c r="U27" s="571"/>
      <c r="V27" s="571"/>
      <c r="W27" s="571"/>
      <c r="X27" s="571"/>
      <c r="Y27" s="571"/>
      <c r="Z27" s="571"/>
      <c r="AA27" s="571"/>
      <c r="AB27" s="571"/>
      <c r="AC27" s="571"/>
      <c r="AD27" s="571"/>
      <c r="AE27" s="571"/>
      <c r="AF27" s="571"/>
      <c r="AG27" s="571"/>
      <c r="AH27" s="571"/>
      <c r="AI27" s="571"/>
      <c r="AJ27" s="571"/>
      <c r="AK27" s="571"/>
      <c r="AL27" s="571"/>
      <c r="AM27" s="571"/>
      <c r="AN27" s="571"/>
      <c r="AO27" s="571"/>
      <c r="AP27" s="571"/>
      <c r="AQ27" s="571"/>
      <c r="AR27" s="571"/>
      <c r="AS27" s="571"/>
      <c r="AT27" s="571"/>
      <c r="AU27" s="571"/>
      <c r="AV27" s="571"/>
      <c r="AW27" s="571"/>
      <c r="AX27" s="571"/>
      <c r="AY27" s="571"/>
      <c r="AZ27" s="571"/>
      <c r="BA27" s="571"/>
      <c r="BB27" s="16"/>
    </row>
    <row r="28" spans="1:91" s="17" customFormat="1" ht="12" customHeight="1" x14ac:dyDescent="0.25">
      <c r="A28" s="16"/>
      <c r="B28" s="581"/>
      <c r="C28" s="581"/>
      <c r="D28" s="581"/>
      <c r="E28" s="581"/>
      <c r="F28" s="581"/>
      <c r="G28" s="581"/>
      <c r="H28" s="581"/>
      <c r="I28" s="16"/>
      <c r="J28" s="586" t="str">
        <f>IF(B28="","",IFERROR(VLOOKUP(B28,'Lista kodów TERYT'!A2:C2480,2,0),"Błędny kod TERYT"))</f>
        <v/>
      </c>
      <c r="K28" s="586"/>
      <c r="L28" s="586"/>
      <c r="M28" s="586"/>
      <c r="N28" s="586"/>
      <c r="O28" s="586"/>
      <c r="P28" s="586"/>
      <c r="Q28" s="586"/>
      <c r="R28" s="586"/>
      <c r="S28" s="586"/>
      <c r="T28" s="586"/>
      <c r="U28" s="586"/>
      <c r="V28" s="15"/>
      <c r="W28" s="586" t="str">
        <f>IF(B28="","",IFERROR(VLOOKUP(B28,'Lista kodów TERYT'!A2:C2480,3,0),"Błędny kod TERYT"))</f>
        <v/>
      </c>
      <c r="X28" s="586"/>
      <c r="Y28" s="586"/>
      <c r="Z28" s="586"/>
      <c r="AA28" s="586"/>
      <c r="AB28" s="586"/>
      <c r="AC28" s="586"/>
      <c r="AD28" s="586"/>
      <c r="AE28" s="586"/>
      <c r="AF28" s="586"/>
      <c r="AG28" s="586"/>
      <c r="AH28" s="586"/>
      <c r="AI28" s="15"/>
      <c r="AJ28" s="586" t="str">
        <f>IF(B28="","",IFERROR(VLOOKUP(B28,'Lista kodów TERYT'!A2:C2480,4,0),"Błędny kod TERYT"))</f>
        <v/>
      </c>
      <c r="AK28" s="586"/>
      <c r="AL28" s="586"/>
      <c r="AM28" s="586"/>
      <c r="AN28" s="586"/>
      <c r="AO28" s="586"/>
      <c r="AP28" s="586"/>
      <c r="AQ28" s="586"/>
      <c r="AR28" s="586"/>
      <c r="AS28" s="586"/>
      <c r="AT28" s="586"/>
      <c r="AU28" s="586"/>
      <c r="AV28" s="586"/>
      <c r="AW28" s="586"/>
      <c r="AX28" s="586"/>
      <c r="AY28" s="586"/>
      <c r="AZ28" s="586"/>
      <c r="BA28" s="586"/>
      <c r="BB28" s="16"/>
    </row>
    <row r="29" spans="1:91" s="7" customFormat="1" x14ac:dyDescent="0.2">
      <c r="A29" s="6"/>
      <c r="B29" s="560" t="s">
        <v>5119</v>
      </c>
      <c r="C29" s="560"/>
      <c r="D29" s="560"/>
      <c r="E29" s="560"/>
      <c r="F29" s="560"/>
      <c r="G29" s="560"/>
      <c r="H29" s="560"/>
      <c r="I29" s="6"/>
      <c r="J29" s="560" t="s">
        <v>4504</v>
      </c>
      <c r="K29" s="560"/>
      <c r="L29" s="560"/>
      <c r="M29" s="560"/>
      <c r="N29" s="560"/>
      <c r="O29" s="560"/>
      <c r="P29" s="560"/>
      <c r="Q29" s="560"/>
      <c r="R29" s="560"/>
      <c r="S29" s="560"/>
      <c r="T29" s="560"/>
      <c r="U29" s="560"/>
      <c r="V29" s="16"/>
      <c r="W29" s="560" t="s">
        <v>4505</v>
      </c>
      <c r="X29" s="560"/>
      <c r="Y29" s="560"/>
      <c r="Z29" s="560"/>
      <c r="AA29" s="560"/>
      <c r="AB29" s="560"/>
      <c r="AC29" s="560"/>
      <c r="AD29" s="560"/>
      <c r="AE29" s="560"/>
      <c r="AF29" s="560"/>
      <c r="AG29" s="560"/>
      <c r="AH29" s="560"/>
      <c r="AI29" s="16"/>
      <c r="AJ29" s="560" t="s">
        <v>4506</v>
      </c>
      <c r="AK29" s="561"/>
      <c r="AL29" s="561"/>
      <c r="AM29" s="561"/>
      <c r="AN29" s="561"/>
      <c r="AO29" s="561"/>
      <c r="AP29" s="561"/>
      <c r="AQ29" s="561"/>
      <c r="AR29" s="561"/>
      <c r="AS29" s="561"/>
      <c r="AT29" s="561"/>
      <c r="AU29" s="561"/>
      <c r="AV29" s="561"/>
      <c r="AW29" s="561"/>
      <c r="AX29" s="561"/>
      <c r="AY29" s="561"/>
      <c r="AZ29" s="561"/>
      <c r="BA29" s="561"/>
      <c r="BB29" s="6"/>
      <c r="BC29" s="11"/>
    </row>
    <row r="30" spans="1:91" s="7" customFormat="1" ht="0.75" customHeight="1" x14ac:dyDescent="0.2">
      <c r="A30" s="6"/>
      <c r="B30" s="16"/>
      <c r="C30" s="16"/>
      <c r="D30" s="16"/>
      <c r="E30" s="16"/>
      <c r="F30" s="16"/>
      <c r="G30" s="16"/>
      <c r="H30" s="16"/>
      <c r="I30" s="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59"/>
      <c r="AL30" s="59"/>
      <c r="AM30" s="59"/>
      <c r="AN30" s="59"/>
      <c r="AO30" s="59"/>
      <c r="AP30" s="59"/>
      <c r="AQ30" s="59"/>
      <c r="AR30" s="59"/>
      <c r="AS30" s="59"/>
      <c r="AT30" s="59"/>
      <c r="AU30" s="59"/>
      <c r="AV30" s="59"/>
      <c r="AW30" s="59"/>
      <c r="AX30" s="59"/>
      <c r="AY30" s="59"/>
      <c r="AZ30" s="59"/>
      <c r="BA30" s="59"/>
      <c r="BB30" s="6"/>
      <c r="BC30" s="11"/>
    </row>
    <row r="31" spans="1:91" s="9" customFormat="1" ht="15" customHeight="1" x14ac:dyDescent="0.25">
      <c r="B31" s="615"/>
      <c r="C31" s="615"/>
      <c r="D31" s="615"/>
      <c r="E31" s="615"/>
      <c r="F31" s="615"/>
      <c r="G31" s="615"/>
      <c r="H31" s="615"/>
      <c r="I31" s="615"/>
      <c r="J31" s="615"/>
      <c r="K31" s="615"/>
      <c r="L31" s="615"/>
      <c r="M31" s="615"/>
      <c r="N31" s="615"/>
      <c r="O31" s="615"/>
      <c r="P31" s="615"/>
      <c r="R31" s="299"/>
      <c r="S31" s="299"/>
      <c r="T31" s="299"/>
      <c r="U31" s="299"/>
      <c r="V31" s="299"/>
      <c r="W31" s="299"/>
      <c r="X31" s="299"/>
      <c r="Y31" s="299"/>
      <c r="Z31" s="299"/>
      <c r="AB31" s="619"/>
      <c r="AC31" s="620"/>
      <c r="AD31" s="620"/>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1"/>
      <c r="BC31" s="11"/>
    </row>
    <row r="32" spans="1:91" s="11" customFormat="1" ht="8.4" x14ac:dyDescent="0.2">
      <c r="A32" s="10"/>
      <c r="B32" s="559" t="s">
        <v>5120</v>
      </c>
      <c r="C32" s="559"/>
      <c r="D32" s="559"/>
      <c r="E32" s="559"/>
      <c r="F32" s="559"/>
      <c r="G32" s="559"/>
      <c r="H32" s="559"/>
      <c r="I32" s="559"/>
      <c r="J32" s="559"/>
      <c r="K32" s="559"/>
      <c r="L32" s="559"/>
      <c r="M32" s="559"/>
      <c r="N32" s="559"/>
      <c r="O32" s="559"/>
      <c r="P32" s="559"/>
      <c r="Q32" s="10"/>
      <c r="R32" s="232" t="s">
        <v>5121</v>
      </c>
      <c r="S32" s="232"/>
      <c r="T32" s="232"/>
      <c r="U32" s="232"/>
      <c r="V32" s="232"/>
      <c r="W32" s="232"/>
      <c r="X32" s="232"/>
      <c r="Y32" s="232"/>
      <c r="Z32" s="232"/>
      <c r="AA32" s="559" t="s">
        <v>5122</v>
      </c>
      <c r="AB32" s="559"/>
      <c r="AC32" s="559"/>
      <c r="AD32" s="559"/>
      <c r="AE32" s="559"/>
      <c r="AF32" s="559"/>
      <c r="AG32" s="559"/>
      <c r="AH32" s="559"/>
      <c r="AI32" s="559"/>
      <c r="AJ32" s="559"/>
      <c r="AK32" s="559"/>
      <c r="AL32" s="559"/>
      <c r="AM32" s="559"/>
      <c r="AN32" s="559"/>
      <c r="AO32" s="559"/>
      <c r="AP32" s="559"/>
      <c r="AQ32" s="559"/>
      <c r="AR32" s="559"/>
      <c r="AS32" s="559"/>
      <c r="AT32" s="559"/>
      <c r="AU32" s="559"/>
      <c r="AV32" s="559"/>
      <c r="AW32" s="559"/>
      <c r="AX32" s="559"/>
      <c r="AY32" s="559"/>
      <c r="AZ32" s="559"/>
      <c r="BA32" s="559"/>
      <c r="BB32" s="10"/>
    </row>
    <row r="33" spans="1:86" s="11" customFormat="1" ht="8.4" x14ac:dyDescent="0.2">
      <c r="A33" s="10"/>
      <c r="B33" s="14"/>
      <c r="C33" s="14"/>
      <c r="D33" s="14"/>
      <c r="E33" s="14"/>
      <c r="F33" s="14"/>
      <c r="G33" s="14"/>
      <c r="H33" s="14"/>
      <c r="I33" s="14"/>
      <c r="J33" s="14"/>
      <c r="K33" s="14"/>
      <c r="L33" s="14"/>
      <c r="M33" s="14"/>
      <c r="N33" s="14"/>
      <c r="O33" s="14"/>
      <c r="P33" s="14"/>
      <c r="R33" s="14"/>
      <c r="S33" s="14"/>
      <c r="T33" s="14"/>
      <c r="U33" s="14"/>
      <c r="V33" s="14"/>
      <c r="W33" s="14"/>
      <c r="X33" s="14"/>
      <c r="Y33" s="14"/>
      <c r="AA33" s="14"/>
      <c r="AB33" s="14"/>
      <c r="AC33" s="14"/>
      <c r="AD33" s="14"/>
      <c r="AE33" s="14"/>
      <c r="AF33" s="14"/>
      <c r="AG33" s="14"/>
      <c r="AH33" s="14"/>
      <c r="AJ33" s="14"/>
      <c r="AK33" s="14"/>
      <c r="AL33" s="14"/>
      <c r="AM33" s="14"/>
      <c r="AN33" s="14"/>
      <c r="AO33" s="14"/>
      <c r="AP33" s="14"/>
      <c r="AQ33" s="14"/>
      <c r="AR33" s="14"/>
      <c r="AS33" s="14"/>
      <c r="AT33" s="14"/>
      <c r="AU33" s="14"/>
      <c r="AV33" s="14"/>
      <c r="AW33" s="14"/>
      <c r="AX33" s="14"/>
      <c r="AY33" s="14"/>
      <c r="AZ33" s="14"/>
      <c r="BA33" s="14"/>
      <c r="BB33" s="10"/>
    </row>
    <row r="34" spans="1:86" s="11" customFormat="1" ht="15" customHeight="1" x14ac:dyDescent="0.25">
      <c r="A34" s="10"/>
      <c r="B34" s="615"/>
      <c r="C34" s="615"/>
      <c r="D34" s="615"/>
      <c r="E34" s="615"/>
      <c r="F34" s="615"/>
      <c r="G34" s="615"/>
      <c r="H34" s="615"/>
      <c r="I34" s="615"/>
      <c r="J34" s="615"/>
      <c r="K34" s="615"/>
      <c r="L34" s="615"/>
      <c r="M34" s="615"/>
      <c r="N34" s="615"/>
      <c r="O34" s="615"/>
      <c r="P34" s="615"/>
      <c r="Q34" s="9"/>
      <c r="R34" s="299"/>
      <c r="S34" s="299"/>
      <c r="T34" s="299"/>
      <c r="U34" s="299"/>
      <c r="V34" s="299"/>
      <c r="W34" s="299"/>
      <c r="X34" s="299"/>
      <c r="Y34" s="299"/>
      <c r="Z34" s="299"/>
      <c r="AB34" s="619"/>
      <c r="AC34" s="620"/>
      <c r="AD34" s="620"/>
      <c r="AE34" s="620"/>
      <c r="AF34" s="620"/>
      <c r="AG34" s="620"/>
      <c r="AH34" s="620"/>
      <c r="AI34" s="620"/>
      <c r="AJ34" s="620"/>
      <c r="AK34" s="620"/>
      <c r="AL34" s="620"/>
      <c r="AM34" s="620"/>
      <c r="AN34" s="620"/>
      <c r="AO34" s="620"/>
      <c r="AP34" s="620"/>
      <c r="AQ34" s="620"/>
      <c r="AR34" s="620"/>
      <c r="AS34" s="620"/>
      <c r="AT34" s="620"/>
      <c r="AU34" s="620"/>
      <c r="AV34" s="620"/>
      <c r="AW34" s="620"/>
      <c r="AX34" s="620"/>
      <c r="AY34" s="620"/>
      <c r="AZ34" s="620"/>
      <c r="BA34" s="621"/>
      <c r="BB34" s="10"/>
    </row>
    <row r="35" spans="1:86" s="11" customFormat="1" ht="8.4" x14ac:dyDescent="0.2">
      <c r="A35" s="10"/>
      <c r="B35" s="559" t="s">
        <v>5633</v>
      </c>
      <c r="C35" s="559"/>
      <c r="D35" s="559"/>
      <c r="E35" s="559"/>
      <c r="F35" s="559"/>
      <c r="G35" s="559"/>
      <c r="H35" s="559"/>
      <c r="I35" s="559"/>
      <c r="J35" s="559"/>
      <c r="K35" s="559"/>
      <c r="L35" s="559"/>
      <c r="M35" s="559"/>
      <c r="N35" s="559"/>
      <c r="O35" s="559"/>
      <c r="P35" s="559"/>
      <c r="Q35" s="10"/>
      <c r="R35" s="559" t="s">
        <v>5121</v>
      </c>
      <c r="S35" s="559"/>
      <c r="T35" s="559"/>
      <c r="U35" s="559"/>
      <c r="V35" s="559"/>
      <c r="W35" s="559"/>
      <c r="X35" s="559"/>
      <c r="Y35" s="559"/>
      <c r="Z35" s="559"/>
      <c r="AA35" s="559" t="s">
        <v>5122</v>
      </c>
      <c r="AB35" s="559"/>
      <c r="AC35" s="559"/>
      <c r="AD35" s="559"/>
      <c r="AE35" s="559"/>
      <c r="AF35" s="559"/>
      <c r="AG35" s="559"/>
      <c r="AH35" s="559"/>
      <c r="AI35" s="559"/>
      <c r="AJ35" s="559"/>
      <c r="AK35" s="559"/>
      <c r="AL35" s="559"/>
      <c r="AM35" s="559"/>
      <c r="AN35" s="559"/>
      <c r="AO35" s="559"/>
      <c r="AP35" s="559"/>
      <c r="AQ35" s="559"/>
      <c r="AR35" s="559"/>
      <c r="AS35" s="559"/>
      <c r="AT35" s="559"/>
      <c r="AU35" s="559"/>
      <c r="AV35" s="559"/>
      <c r="AW35" s="559"/>
      <c r="AX35" s="559"/>
      <c r="AY35" s="559"/>
      <c r="AZ35" s="559"/>
      <c r="BA35" s="559"/>
      <c r="BB35" s="10"/>
    </row>
    <row r="36" spans="1:86" s="11" customFormat="1" ht="8.4" x14ac:dyDescent="0.2">
      <c r="A36" s="10"/>
      <c r="B36" s="13"/>
      <c r="C36" s="13"/>
      <c r="D36" s="13"/>
      <c r="E36" s="13"/>
      <c r="F36" s="13"/>
      <c r="G36" s="13"/>
      <c r="H36" s="13"/>
      <c r="I36" s="13"/>
      <c r="J36" s="13"/>
      <c r="K36" s="13"/>
      <c r="L36" s="13"/>
      <c r="M36" s="13"/>
      <c r="N36" s="13"/>
      <c r="O36" s="13"/>
      <c r="P36" s="13"/>
      <c r="Q36" s="10"/>
      <c r="R36" s="13"/>
      <c r="S36" s="13"/>
      <c r="T36" s="13"/>
      <c r="U36" s="13"/>
      <c r="V36" s="13"/>
      <c r="W36" s="13"/>
      <c r="X36" s="13"/>
      <c r="Y36" s="13"/>
      <c r="Z36" s="10"/>
      <c r="AA36" s="13"/>
      <c r="AB36" s="13"/>
      <c r="AC36" s="13"/>
      <c r="AD36" s="13"/>
      <c r="AE36" s="13"/>
      <c r="AF36" s="13"/>
      <c r="AG36" s="13"/>
      <c r="AH36" s="13"/>
      <c r="AI36" s="10"/>
      <c r="AJ36" s="13"/>
      <c r="AK36" s="13"/>
      <c r="AL36" s="13"/>
      <c r="AM36" s="13"/>
      <c r="AN36" s="13"/>
      <c r="AO36" s="13"/>
      <c r="AP36" s="13"/>
      <c r="AQ36" s="13"/>
      <c r="AR36" s="13"/>
      <c r="AS36" s="13"/>
      <c r="AT36" s="13"/>
      <c r="AU36" s="13"/>
      <c r="AV36" s="13"/>
      <c r="AW36" s="13"/>
      <c r="AX36" s="13"/>
      <c r="AY36" s="13"/>
      <c r="AZ36" s="13"/>
      <c r="BA36" s="13"/>
      <c r="BB36" s="10"/>
    </row>
    <row r="37" spans="1:86" s="11" customFormat="1" ht="13.5" customHeight="1" x14ac:dyDescent="0.2">
      <c r="A37" s="10"/>
      <c r="B37" s="321" t="str">
        <f>IF(OR(B18=listy!A3,B18=listy!A4,B18=listy!A5),"Czy udziałowcem podmiotu jest KZN?","")</f>
        <v/>
      </c>
      <c r="C37" s="322"/>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2"/>
      <c r="AC37" s="322"/>
      <c r="AD37" s="322"/>
      <c r="AE37" s="322"/>
      <c r="AF37" s="322"/>
      <c r="AG37" s="322"/>
      <c r="AH37" s="322"/>
      <c r="AI37" s="322"/>
      <c r="AJ37" s="322"/>
      <c r="AK37" s="322"/>
      <c r="AL37" s="322"/>
      <c r="AM37" s="322"/>
      <c r="AN37" s="322"/>
      <c r="AO37" s="322"/>
      <c r="AP37" s="322"/>
      <c r="AQ37" s="322"/>
      <c r="AR37" s="322"/>
      <c r="AS37" s="322"/>
      <c r="AT37" s="322"/>
      <c r="AU37" s="616"/>
      <c r="AV37" s="616"/>
      <c r="AW37" s="616"/>
      <c r="AX37" s="616"/>
      <c r="AY37" s="616"/>
      <c r="AZ37" s="616"/>
      <c r="BA37" s="616"/>
      <c r="BB37" s="10"/>
    </row>
    <row r="38" spans="1:86" s="7" customFormat="1" ht="7.5" customHeight="1" x14ac:dyDescent="0.2">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11"/>
    </row>
    <row r="39" spans="1:86" x14ac:dyDescent="0.3">
      <c r="A39" s="261" t="s">
        <v>5128</v>
      </c>
      <c r="B39" s="261"/>
      <c r="C39" s="261"/>
      <c r="D39" s="261"/>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1"/>
      <c r="AI39" s="261"/>
      <c r="AJ39" s="261"/>
      <c r="AK39" s="261"/>
      <c r="AL39" s="261"/>
      <c r="AM39" s="261"/>
      <c r="AN39" s="261"/>
      <c r="AO39" s="261"/>
      <c r="AP39" s="261"/>
      <c r="AQ39" s="261"/>
      <c r="AR39" s="261"/>
      <c r="AS39" s="261"/>
      <c r="AT39" s="261"/>
      <c r="AU39" s="261"/>
      <c r="AV39" s="261"/>
      <c r="AW39" s="261"/>
      <c r="AX39" s="261"/>
      <c r="AY39" s="261"/>
      <c r="AZ39" s="261"/>
      <c r="BA39" s="261"/>
      <c r="BB39" s="261"/>
      <c r="BC39" s="11"/>
    </row>
    <row r="40" spans="1:86" ht="6.6" customHeight="1" x14ac:dyDescent="0.3">
      <c r="A40" s="63"/>
      <c r="B40" s="63"/>
      <c r="C40" s="63"/>
      <c r="D40" s="63"/>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11"/>
    </row>
    <row r="41" spans="1:86" s="20" customFormat="1" ht="23.25" customHeight="1" x14ac:dyDescent="0.25">
      <c r="A41" s="18"/>
      <c r="B41" s="594" t="s">
        <v>5308</v>
      </c>
      <c r="C41" s="594"/>
      <c r="D41" s="594"/>
      <c r="E41" s="594"/>
      <c r="F41" s="594"/>
      <c r="G41" s="594"/>
      <c r="H41" s="594"/>
      <c r="I41" s="594"/>
      <c r="J41" s="594"/>
      <c r="K41" s="594"/>
      <c r="L41" s="594"/>
      <c r="M41" s="594"/>
      <c r="N41" s="594"/>
      <c r="O41" s="617"/>
      <c r="P41" s="617"/>
      <c r="Q41" s="617"/>
      <c r="R41" s="617"/>
      <c r="S41" s="617"/>
      <c r="T41" s="617"/>
      <c r="U41" s="617"/>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9"/>
      <c r="BB41" s="19"/>
    </row>
    <row r="42" spans="1:86" s="20" customFormat="1" ht="12" customHeight="1" x14ac:dyDescent="0.25">
      <c r="A42" s="18"/>
      <c r="B42" s="572" t="s">
        <v>5548</v>
      </c>
      <c r="C42" s="573"/>
      <c r="D42" s="573"/>
      <c r="E42" s="573"/>
      <c r="F42" s="573"/>
      <c r="G42" s="573"/>
      <c r="H42" s="573"/>
      <c r="I42" s="573"/>
      <c r="J42" s="573"/>
      <c r="K42" s="573"/>
      <c r="L42" s="573"/>
      <c r="M42" s="573"/>
      <c r="N42" s="574"/>
      <c r="O42" s="582"/>
      <c r="P42" s="582"/>
      <c r="Q42" s="582"/>
      <c r="R42" s="582"/>
      <c r="S42" s="582"/>
      <c r="T42" s="582"/>
      <c r="U42" s="583"/>
      <c r="V42" s="18"/>
      <c r="W42" s="595" t="s">
        <v>5549</v>
      </c>
      <c r="X42" s="595"/>
      <c r="Y42" s="595"/>
      <c r="Z42" s="595"/>
      <c r="AA42" s="595"/>
      <c r="AB42" s="595"/>
      <c r="AC42" s="595"/>
      <c r="AD42" s="595"/>
      <c r="AE42" s="595"/>
      <c r="AF42" s="595"/>
      <c r="AG42" s="595"/>
      <c r="AH42" s="595"/>
      <c r="AI42" s="595"/>
      <c r="AJ42" s="595"/>
      <c r="AK42" s="595"/>
      <c r="AL42" s="595"/>
      <c r="AM42" s="595"/>
      <c r="AN42" s="595"/>
      <c r="AO42" s="595"/>
      <c r="AP42" s="595"/>
      <c r="AQ42" s="595"/>
      <c r="AR42" s="595"/>
      <c r="AS42" s="595"/>
      <c r="AT42" s="589" t="str">
        <f>IF(OR(O41="",O42=""),"",O41/O42)</f>
        <v/>
      </c>
      <c r="AU42" s="590"/>
      <c r="AV42" s="590"/>
      <c r="AW42" s="590"/>
      <c r="AX42" s="21"/>
      <c r="AY42" s="19"/>
      <c r="AZ42" s="19"/>
      <c r="BA42" s="19"/>
      <c r="BB42" s="19"/>
      <c r="BD42" s="301" t="str">
        <f>IF(AT42="","",IF(AT42&gt;80%,"UWAGA: Przekroczony dopuszczalny udział finansowania zwrotnego w koszcie części inwestycji objętej tym finansowaniem",""))</f>
        <v/>
      </c>
      <c r="BE42" s="301"/>
      <c r="BF42" s="301"/>
      <c r="BG42" s="301"/>
      <c r="BH42" s="301"/>
      <c r="BI42" s="301"/>
      <c r="BJ42" s="301"/>
      <c r="BK42" s="301"/>
      <c r="BL42" s="301"/>
      <c r="BM42" s="301"/>
      <c r="BN42" s="301"/>
      <c r="BO42" s="301"/>
      <c r="BP42" s="301"/>
      <c r="BQ42" s="301"/>
      <c r="BR42" s="301"/>
      <c r="BS42" s="301"/>
      <c r="BT42" s="301"/>
      <c r="BU42" s="301"/>
      <c r="BV42" s="301"/>
      <c r="BW42" s="301"/>
      <c r="BX42" s="301"/>
      <c r="BY42" s="301"/>
      <c r="BZ42" s="301"/>
      <c r="CA42" s="301"/>
      <c r="CB42" s="301"/>
      <c r="CC42" s="301"/>
      <c r="CD42" s="301"/>
      <c r="CE42" s="301"/>
      <c r="CF42" s="301"/>
      <c r="CG42" s="301"/>
      <c r="CH42" s="301"/>
    </row>
    <row r="43" spans="1:86" s="20" customFormat="1" ht="12" x14ac:dyDescent="0.25">
      <c r="A43" s="18"/>
      <c r="B43" s="575"/>
      <c r="C43" s="576"/>
      <c r="D43" s="576"/>
      <c r="E43" s="576"/>
      <c r="F43" s="576"/>
      <c r="G43" s="576"/>
      <c r="H43" s="576"/>
      <c r="I43" s="576"/>
      <c r="J43" s="576"/>
      <c r="K43" s="576"/>
      <c r="L43" s="576"/>
      <c r="M43" s="576"/>
      <c r="N43" s="577"/>
      <c r="O43" s="584"/>
      <c r="P43" s="584"/>
      <c r="Q43" s="584"/>
      <c r="R43" s="584"/>
      <c r="S43" s="584"/>
      <c r="T43" s="584"/>
      <c r="U43" s="585"/>
      <c r="V43" s="18"/>
      <c r="W43" s="595"/>
      <c r="X43" s="595"/>
      <c r="Y43" s="595"/>
      <c r="Z43" s="595"/>
      <c r="AA43" s="595"/>
      <c r="AB43" s="595"/>
      <c r="AC43" s="595"/>
      <c r="AD43" s="595"/>
      <c r="AE43" s="595"/>
      <c r="AF43" s="595"/>
      <c r="AG43" s="595"/>
      <c r="AH43" s="595"/>
      <c r="AI43" s="595"/>
      <c r="AJ43" s="595"/>
      <c r="AK43" s="595"/>
      <c r="AL43" s="595"/>
      <c r="AM43" s="595"/>
      <c r="AN43" s="595"/>
      <c r="AO43" s="595"/>
      <c r="AP43" s="595"/>
      <c r="AQ43" s="595"/>
      <c r="AR43" s="595"/>
      <c r="AS43" s="595"/>
      <c r="AT43" s="590"/>
      <c r="AU43" s="590"/>
      <c r="AV43" s="590"/>
      <c r="AW43" s="590"/>
      <c r="AX43" s="19"/>
      <c r="AY43" s="19"/>
      <c r="AZ43" s="18"/>
      <c r="BA43" s="19"/>
      <c r="BB43" s="19"/>
      <c r="BD43" s="301"/>
      <c r="BE43" s="301"/>
      <c r="BF43" s="301"/>
      <c r="BG43" s="301"/>
      <c r="BH43" s="301"/>
      <c r="BI43" s="301"/>
      <c r="BJ43" s="301"/>
      <c r="BK43" s="301"/>
      <c r="BL43" s="301"/>
      <c r="BM43" s="301"/>
      <c r="BN43" s="301"/>
      <c r="BO43" s="301"/>
      <c r="BP43" s="301"/>
      <c r="BQ43" s="301"/>
      <c r="BR43" s="301"/>
      <c r="BS43" s="301"/>
      <c r="BT43" s="301"/>
      <c r="BU43" s="301"/>
      <c r="BV43" s="301"/>
      <c r="BW43" s="301"/>
      <c r="BX43" s="301"/>
      <c r="BY43" s="301"/>
      <c r="BZ43" s="301"/>
      <c r="CA43" s="301"/>
      <c r="CB43" s="301"/>
      <c r="CC43" s="301"/>
      <c r="CD43" s="301"/>
      <c r="CE43" s="301"/>
      <c r="CF43" s="301"/>
      <c r="CG43" s="301"/>
      <c r="CH43" s="301"/>
    </row>
    <row r="44" spans="1:86" s="20" customFormat="1" ht="12" customHeight="1" x14ac:dyDescent="0.25">
      <c r="A44" s="18"/>
      <c r="B44" s="625" t="s">
        <v>5297</v>
      </c>
      <c r="C44" s="626"/>
      <c r="D44" s="626"/>
      <c r="E44" s="626"/>
      <c r="F44" s="626"/>
      <c r="G44" s="626"/>
      <c r="H44" s="626"/>
      <c r="I44" s="626"/>
      <c r="J44" s="626"/>
      <c r="K44" s="626"/>
      <c r="L44" s="626"/>
      <c r="M44" s="626"/>
      <c r="N44" s="627"/>
      <c r="O44" s="631"/>
      <c r="P44" s="631"/>
      <c r="Q44" s="631"/>
      <c r="R44" s="631"/>
      <c r="S44" s="631"/>
      <c r="T44" s="631"/>
      <c r="U44" s="632"/>
      <c r="V44" s="18"/>
      <c r="W44" s="594" t="s">
        <v>5550</v>
      </c>
      <c r="X44" s="594"/>
      <c r="Y44" s="594"/>
      <c r="Z44" s="594"/>
      <c r="AA44" s="594"/>
      <c r="AB44" s="594"/>
      <c r="AC44" s="594"/>
      <c r="AD44" s="594"/>
      <c r="AE44" s="594"/>
      <c r="AF44" s="594"/>
      <c r="AG44" s="594"/>
      <c r="AH44" s="594"/>
      <c r="AI44" s="594"/>
      <c r="AJ44" s="594"/>
      <c r="AK44" s="594"/>
      <c r="AL44" s="594"/>
      <c r="AM44" s="594"/>
      <c r="AN44" s="594"/>
      <c r="AO44" s="594"/>
      <c r="AP44" s="594"/>
      <c r="AQ44" s="594"/>
      <c r="AR44" s="594"/>
      <c r="AS44" s="594"/>
      <c r="AT44" s="589" t="str">
        <f>IF(OR(O42="",O44=""),"",O44/O42)</f>
        <v/>
      </c>
      <c r="AU44" s="590"/>
      <c r="AV44" s="590"/>
      <c r="AW44" s="590"/>
      <c r="AX44" s="591"/>
      <c r="AY44" s="592"/>
      <c r="AZ44" s="18"/>
      <c r="BA44" s="19"/>
      <c r="BB44" s="19"/>
    </row>
    <row r="45" spans="1:86" s="20" customFormat="1" ht="13.5" customHeight="1" x14ac:dyDescent="0.25">
      <c r="A45" s="18"/>
      <c r="B45" s="628"/>
      <c r="C45" s="629"/>
      <c r="D45" s="629"/>
      <c r="E45" s="629"/>
      <c r="F45" s="629"/>
      <c r="G45" s="629"/>
      <c r="H45" s="629"/>
      <c r="I45" s="629"/>
      <c r="J45" s="629"/>
      <c r="K45" s="629"/>
      <c r="L45" s="629"/>
      <c r="M45" s="629"/>
      <c r="N45" s="630"/>
      <c r="O45" s="633"/>
      <c r="P45" s="633"/>
      <c r="Q45" s="633"/>
      <c r="R45" s="633"/>
      <c r="S45" s="633"/>
      <c r="T45" s="633"/>
      <c r="U45" s="634"/>
      <c r="V45" s="18"/>
      <c r="W45" s="594"/>
      <c r="X45" s="594"/>
      <c r="Y45" s="594"/>
      <c r="Z45" s="594"/>
      <c r="AA45" s="594"/>
      <c r="AB45" s="594"/>
      <c r="AC45" s="594"/>
      <c r="AD45" s="594"/>
      <c r="AE45" s="594"/>
      <c r="AF45" s="594"/>
      <c r="AG45" s="594"/>
      <c r="AH45" s="594"/>
      <c r="AI45" s="594"/>
      <c r="AJ45" s="594"/>
      <c r="AK45" s="594"/>
      <c r="AL45" s="594"/>
      <c r="AM45" s="594"/>
      <c r="AN45" s="594"/>
      <c r="AO45" s="594"/>
      <c r="AP45" s="594"/>
      <c r="AQ45" s="594"/>
      <c r="AR45" s="594"/>
      <c r="AS45" s="594"/>
      <c r="AT45" s="590"/>
      <c r="AU45" s="590"/>
      <c r="AV45" s="590"/>
      <c r="AW45" s="590"/>
      <c r="AX45" s="592"/>
      <c r="AY45" s="592"/>
      <c r="AZ45" s="18"/>
      <c r="BA45" s="19"/>
      <c r="BB45" s="19"/>
    </row>
    <row r="46" spans="1:86" s="23" customFormat="1" ht="1.5" customHeight="1" x14ac:dyDescent="0.2">
      <c r="A46" s="22"/>
      <c r="B46" s="538" t="str">
        <f>IF(AND(AT42&gt;75%,AT42&lt;&gt;""),"UWAGA: Wnioskowana kwota finansowania jest zbyt wysoka - przekracza 75% kosztu przedsięwzięcia inwestycyjno-budowlanego.","")</f>
        <v/>
      </c>
      <c r="C46" s="593"/>
      <c r="D46" s="593"/>
      <c r="E46" s="593"/>
      <c r="F46" s="593"/>
      <c r="G46" s="593"/>
      <c r="H46" s="593"/>
      <c r="I46" s="593"/>
      <c r="J46" s="593"/>
      <c r="K46" s="593"/>
      <c r="L46" s="593"/>
      <c r="M46" s="593"/>
      <c r="N46" s="593"/>
      <c r="O46" s="593"/>
      <c r="P46" s="593"/>
      <c r="Q46" s="593"/>
      <c r="R46" s="593"/>
      <c r="S46" s="593"/>
      <c r="T46" s="593"/>
      <c r="U46" s="593"/>
      <c r="V46" s="593"/>
      <c r="W46" s="593"/>
      <c r="X46" s="593"/>
      <c r="Y46" s="593"/>
      <c r="Z46" s="593"/>
      <c r="AA46" s="593"/>
      <c r="AB46" s="593"/>
      <c r="AC46" s="593"/>
      <c r="AD46" s="593"/>
      <c r="AE46" s="593"/>
      <c r="AF46" s="593"/>
      <c r="AG46" s="593"/>
      <c r="AH46" s="593"/>
      <c r="AI46" s="593"/>
      <c r="AJ46" s="593"/>
      <c r="AK46" s="593"/>
      <c r="AL46" s="593"/>
      <c r="AM46" s="593"/>
      <c r="AN46" s="593"/>
      <c r="AO46" s="593"/>
      <c r="AP46" s="593"/>
      <c r="AQ46" s="593"/>
      <c r="AR46" s="593"/>
      <c r="AS46" s="593"/>
      <c r="AT46" s="593"/>
      <c r="AU46" s="593"/>
      <c r="AV46" s="593"/>
      <c r="AW46" s="593"/>
      <c r="AX46" s="593"/>
      <c r="AY46" s="593"/>
      <c r="AZ46" s="593"/>
      <c r="BA46" s="593"/>
      <c r="BB46" s="593"/>
    </row>
    <row r="47" spans="1:86" s="23" customFormat="1" ht="9" customHeight="1" x14ac:dyDescent="0.2">
      <c r="A47" s="22"/>
      <c r="B47" s="618" t="s">
        <v>5634</v>
      </c>
      <c r="C47" s="618"/>
      <c r="D47" s="618"/>
      <c r="E47" s="618"/>
      <c r="F47" s="618"/>
      <c r="G47" s="618"/>
      <c r="H47" s="618"/>
      <c r="I47" s="618"/>
      <c r="J47" s="618"/>
      <c r="K47" s="618"/>
      <c r="L47" s="618"/>
      <c r="M47" s="618"/>
      <c r="N47" s="618"/>
      <c r="O47" s="618"/>
      <c r="P47" s="618"/>
      <c r="Q47" s="618"/>
      <c r="R47" s="618"/>
      <c r="S47" s="618"/>
      <c r="T47" s="618"/>
      <c r="U47" s="618"/>
      <c r="V47" s="618"/>
      <c r="W47" s="618"/>
      <c r="X47" s="618"/>
      <c r="Y47" s="618"/>
      <c r="Z47" s="618"/>
      <c r="AA47" s="618"/>
      <c r="AB47" s="618"/>
      <c r="AC47" s="618"/>
      <c r="AD47" s="618"/>
      <c r="AE47" s="618"/>
      <c r="AF47" s="618"/>
      <c r="AG47" s="618"/>
      <c r="AH47" s="618"/>
      <c r="AI47" s="618"/>
      <c r="AJ47" s="618"/>
      <c r="AK47" s="618"/>
      <c r="AL47" s="618"/>
      <c r="AM47" s="618"/>
      <c r="AN47" s="618"/>
      <c r="AO47" s="618"/>
      <c r="AP47" s="618"/>
      <c r="AQ47" s="618"/>
      <c r="AR47" s="618"/>
      <c r="AS47" s="618"/>
      <c r="AT47" s="618"/>
      <c r="AU47" s="618"/>
      <c r="AV47" s="618"/>
      <c r="AW47" s="618"/>
      <c r="AX47" s="618"/>
      <c r="AY47" s="618"/>
      <c r="AZ47" s="51"/>
      <c r="BA47" s="51"/>
      <c r="BB47" s="51"/>
    </row>
    <row r="48" spans="1:86" s="23" customFormat="1" ht="20.25" customHeight="1" x14ac:dyDescent="0.2">
      <c r="A48" s="22"/>
      <c r="B48" s="587" t="str">
        <f>IF(AND(AT44&gt;20%,AT44&lt;&gt;""),"UWAGA: Wartość gruntu wniesionego aportem jest zbyt wysoka - przekracza 20% kosztu części inwestycji objętej finansowaniem zwrotnym.",pomocnicze!A7)</f>
        <v>**Wartość gruntu wniesionego aportem zaliczana do kosztów części inwestycji objętej finansowaniem zwrotnym nie może przekroczyć 20% tych kosztów i ustalana jest na podstawie operatu szacunkowego sporządzonego
przez rzeczoznawcę majątkowego dla celów zabezpieczenia wierzytelności Banku. Dla potrzeb złożenia wniosku można przyjąć wartość gruntu wniesionego aportem wynikającą z aktu notarialnego - umowy przeniesienia własności nieruchomości.</v>
      </c>
      <c r="C48" s="588"/>
      <c r="D48" s="588"/>
      <c r="E48" s="588"/>
      <c r="F48" s="588"/>
      <c r="G48" s="588"/>
      <c r="H48" s="588"/>
      <c r="I48" s="588"/>
      <c r="J48" s="588"/>
      <c r="K48" s="588"/>
      <c r="L48" s="588"/>
      <c r="M48" s="588"/>
      <c r="N48" s="588"/>
      <c r="O48" s="588"/>
      <c r="P48" s="588"/>
      <c r="Q48" s="588"/>
      <c r="R48" s="588"/>
      <c r="S48" s="588"/>
      <c r="T48" s="588"/>
      <c r="U48" s="588"/>
      <c r="V48" s="588"/>
      <c r="W48" s="588"/>
      <c r="X48" s="588"/>
      <c r="Y48" s="588"/>
      <c r="Z48" s="588"/>
      <c r="AA48" s="588"/>
      <c r="AB48" s="588"/>
      <c r="AC48" s="588"/>
      <c r="AD48" s="588"/>
      <c r="AE48" s="588"/>
      <c r="AF48" s="588"/>
      <c r="AG48" s="588"/>
      <c r="AH48" s="588"/>
      <c r="AI48" s="588"/>
      <c r="AJ48" s="588"/>
      <c r="AK48" s="588"/>
      <c r="AL48" s="588"/>
      <c r="AM48" s="588"/>
      <c r="AN48" s="588"/>
      <c r="AO48" s="588"/>
      <c r="AP48" s="588"/>
      <c r="AQ48" s="588"/>
      <c r="AR48" s="588"/>
      <c r="AS48" s="588"/>
      <c r="AT48" s="588"/>
      <c r="AU48" s="588"/>
      <c r="AV48" s="588"/>
      <c r="AW48" s="588"/>
      <c r="AX48" s="588"/>
      <c r="AY48" s="588"/>
      <c r="AZ48" s="588"/>
      <c r="BA48" s="588"/>
      <c r="BB48" s="588"/>
    </row>
    <row r="49" spans="1:78" s="24" customFormat="1" ht="6" x14ac:dyDescent="0.1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row>
    <row r="50" spans="1:78" s="26" customFormat="1" ht="14.25" customHeight="1" x14ac:dyDescent="0.3">
      <c r="A50" s="8"/>
      <c r="B50" s="284" t="s">
        <v>5635</v>
      </c>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c r="AA50" s="284"/>
      <c r="AB50" s="284"/>
      <c r="AC50" s="284"/>
      <c r="AD50" s="284"/>
      <c r="AE50" s="284"/>
      <c r="AF50" s="284"/>
      <c r="AG50" s="284"/>
      <c r="AH50" s="284"/>
      <c r="AI50" s="284"/>
      <c r="AJ50" s="284"/>
      <c r="AK50" s="284"/>
      <c r="AL50" s="284"/>
      <c r="AM50" s="284"/>
      <c r="AN50" s="284"/>
      <c r="AO50" s="284"/>
      <c r="AP50" s="284"/>
      <c r="AQ50" s="284"/>
      <c r="AR50" s="284"/>
      <c r="AS50" s="284"/>
      <c r="AT50" s="567"/>
      <c r="AU50" s="579"/>
      <c r="AV50" s="579"/>
      <c r="AW50" s="580"/>
      <c r="AX50" s="25"/>
      <c r="AY50" s="8"/>
      <c r="AZ50" s="8"/>
      <c r="BA50" s="8"/>
      <c r="BB50" s="8"/>
    </row>
    <row r="51" spans="1:78" s="26" customFormat="1" ht="14.25" customHeight="1" x14ac:dyDescent="0.2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row>
    <row r="52" spans="1:78" s="26" customFormat="1" ht="14.25" customHeight="1" x14ac:dyDescent="0.3">
      <c r="A52" s="8"/>
      <c r="B52" s="284" t="s">
        <v>5551</v>
      </c>
      <c r="C52" s="284"/>
      <c r="D52" s="284"/>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4"/>
      <c r="AI52" s="284"/>
      <c r="AJ52" s="284"/>
      <c r="AK52" s="284"/>
      <c r="AL52" s="284"/>
      <c r="AM52" s="284"/>
      <c r="AN52" s="284"/>
      <c r="AO52" s="284"/>
      <c r="AP52" s="284"/>
      <c r="AQ52" s="284"/>
      <c r="AR52" s="284"/>
      <c r="AS52" s="284"/>
      <c r="AT52" s="622"/>
      <c r="AU52" s="623"/>
      <c r="AV52" s="623"/>
      <c r="AW52" s="624"/>
      <c r="AX52" s="8"/>
      <c r="AY52" s="8"/>
      <c r="AZ52" s="8"/>
      <c r="BA52" s="8"/>
      <c r="BB52" s="8"/>
      <c r="BD52" s="301" t="str">
        <f>IF(AND(AT52&lt;&gt;"NIE",AT52&lt;&gt;"TAK"),"Proszę wybrać odpowiedź TAK lub NIE.","")</f>
        <v>Proszę wybrać odpowiedź TAK lub NIE.</v>
      </c>
      <c r="BE52" s="301"/>
      <c r="BF52" s="301"/>
      <c r="BG52" s="301"/>
      <c r="BH52" s="301"/>
      <c r="BI52" s="301"/>
      <c r="BJ52" s="301"/>
      <c r="BK52" s="301"/>
      <c r="BL52" s="301"/>
      <c r="BM52" s="301"/>
      <c r="BN52" s="301"/>
      <c r="BO52" s="301"/>
      <c r="BP52" s="301"/>
      <c r="BQ52" s="301"/>
      <c r="BR52" s="301"/>
      <c r="BS52" s="301"/>
      <c r="BT52" s="301"/>
      <c r="BU52" s="301"/>
      <c r="BV52" s="301"/>
      <c r="BW52" s="301"/>
      <c r="BX52" s="301"/>
      <c r="BY52" s="301"/>
      <c r="BZ52" s="301"/>
    </row>
    <row r="53" spans="1:78" s="24" customFormat="1" ht="12"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8"/>
      <c r="AR53" s="8"/>
      <c r="AS53" s="8"/>
      <c r="AT53" s="8"/>
      <c r="AU53" s="8"/>
      <c r="AV53" s="8"/>
      <c r="AW53" s="8"/>
      <c r="AX53" s="6"/>
      <c r="AY53" s="6"/>
      <c r="AZ53" s="6"/>
      <c r="BA53" s="6"/>
      <c r="BB53" s="6"/>
    </row>
    <row r="54" spans="1:78" x14ac:dyDescent="0.3">
      <c r="A54" s="261" t="s">
        <v>5552</v>
      </c>
      <c r="B54" s="261"/>
      <c r="C54" s="261"/>
      <c r="D54" s="261"/>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1"/>
      <c r="AI54" s="261"/>
      <c r="AJ54" s="261"/>
      <c r="AK54" s="261"/>
      <c r="AL54" s="261"/>
      <c r="AM54" s="261"/>
      <c r="AN54" s="261"/>
      <c r="AO54" s="261"/>
      <c r="AP54" s="261"/>
      <c r="AQ54" s="261"/>
      <c r="AR54" s="261"/>
      <c r="AS54" s="261"/>
      <c r="AT54" s="261"/>
      <c r="AU54" s="261"/>
      <c r="AV54" s="261"/>
      <c r="AW54" s="261"/>
      <c r="AX54" s="261"/>
      <c r="AY54" s="261"/>
      <c r="AZ54" s="261"/>
      <c r="BA54" s="261"/>
      <c r="BB54" s="261"/>
    </row>
    <row r="55" spans="1:78" s="7" customFormat="1" ht="6" x14ac:dyDescent="0.1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row>
    <row r="56" spans="1:78" s="9" customFormat="1" ht="12" x14ac:dyDescent="0.25">
      <c r="A56" s="8"/>
      <c r="B56" s="611"/>
      <c r="C56" s="611"/>
      <c r="D56" s="611"/>
      <c r="E56" s="611"/>
      <c r="F56" s="611"/>
      <c r="G56" s="611"/>
      <c r="H56" s="611"/>
      <c r="I56" s="611"/>
      <c r="J56" s="611"/>
      <c r="K56" s="611"/>
      <c r="L56" s="611"/>
      <c r="M56" s="611"/>
      <c r="N56" s="27"/>
      <c r="O56" s="611"/>
      <c r="P56" s="611"/>
      <c r="Q56" s="611"/>
      <c r="R56" s="611"/>
      <c r="S56" s="611"/>
      <c r="T56" s="611"/>
      <c r="U56" s="611"/>
      <c r="V56" s="611"/>
      <c r="W56" s="611"/>
      <c r="X56" s="611"/>
      <c r="Y56" s="611"/>
      <c r="Z56" s="611"/>
      <c r="AA56" s="27"/>
      <c r="AB56" s="611"/>
      <c r="AC56" s="611"/>
      <c r="AD56" s="611"/>
      <c r="AE56" s="611"/>
      <c r="AF56" s="611"/>
      <c r="AG56" s="611"/>
      <c r="AH56" s="611"/>
      <c r="AI56" s="611"/>
      <c r="AJ56" s="611"/>
      <c r="AK56" s="611"/>
      <c r="AL56" s="611"/>
      <c r="AM56" s="611"/>
      <c r="AN56" s="611"/>
      <c r="AO56" s="611"/>
      <c r="AP56" s="611"/>
      <c r="AQ56" s="611"/>
      <c r="AR56" s="611"/>
      <c r="AS56" s="611"/>
      <c r="AT56" s="8"/>
      <c r="AU56" s="586" t="str">
        <f>IFERROR(VLOOKUP(pomocnicze!B4,'gminy w powiatach'!$E$2:$F$2480,2,FALSE),"")</f>
        <v/>
      </c>
      <c r="AV56" s="586"/>
      <c r="AW56" s="586"/>
      <c r="AX56" s="586"/>
      <c r="AY56" s="586"/>
      <c r="AZ56" s="586"/>
      <c r="BA56" s="586"/>
      <c r="BB56" s="8"/>
    </row>
    <row r="57" spans="1:78" s="11" customFormat="1" ht="8.4" x14ac:dyDescent="0.2">
      <c r="A57" s="10"/>
      <c r="B57" s="560" t="s">
        <v>4504</v>
      </c>
      <c r="C57" s="560"/>
      <c r="D57" s="560"/>
      <c r="E57" s="560"/>
      <c r="F57" s="560"/>
      <c r="G57" s="560"/>
      <c r="H57" s="560"/>
      <c r="I57" s="560"/>
      <c r="J57" s="560"/>
      <c r="K57" s="560"/>
      <c r="L57" s="560"/>
      <c r="M57" s="560"/>
      <c r="N57" s="16"/>
      <c r="O57" s="560" t="s">
        <v>4505</v>
      </c>
      <c r="P57" s="560"/>
      <c r="Q57" s="560"/>
      <c r="R57" s="560"/>
      <c r="S57" s="560"/>
      <c r="T57" s="560"/>
      <c r="U57" s="560"/>
      <c r="V57" s="560"/>
      <c r="W57" s="560"/>
      <c r="X57" s="560"/>
      <c r="Y57" s="560"/>
      <c r="Z57" s="560"/>
      <c r="AA57" s="16"/>
      <c r="AB57" s="560" t="s">
        <v>4506</v>
      </c>
      <c r="AC57" s="560"/>
      <c r="AD57" s="560"/>
      <c r="AE57" s="560"/>
      <c r="AF57" s="560"/>
      <c r="AG57" s="560"/>
      <c r="AH57" s="560"/>
      <c r="AI57" s="560"/>
      <c r="AJ57" s="560"/>
      <c r="AK57" s="560"/>
      <c r="AL57" s="560"/>
      <c r="AM57" s="560"/>
      <c r="AN57" s="560"/>
      <c r="AO57" s="560"/>
      <c r="AP57" s="560"/>
      <c r="AQ57" s="560"/>
      <c r="AR57" s="560"/>
      <c r="AS57" s="560"/>
      <c r="AT57" s="16"/>
      <c r="AU57" s="560" t="s">
        <v>5119</v>
      </c>
      <c r="AV57" s="560"/>
      <c r="AW57" s="560"/>
      <c r="AX57" s="560"/>
      <c r="AY57" s="560"/>
      <c r="AZ57" s="560"/>
      <c r="BA57" s="560"/>
      <c r="BB57" s="10"/>
    </row>
    <row r="58" spans="1:78" s="11" customFormat="1" ht="8.4" x14ac:dyDescent="0.2">
      <c r="A58" s="10"/>
      <c r="B58" s="570" t="s">
        <v>5230</v>
      </c>
      <c r="C58" s="570"/>
      <c r="D58" s="570"/>
      <c r="E58" s="570"/>
      <c r="F58" s="570"/>
      <c r="G58" s="570"/>
      <c r="H58" s="570"/>
      <c r="I58" s="570"/>
      <c r="J58" s="570"/>
      <c r="K58" s="570"/>
      <c r="L58" s="570"/>
      <c r="M58" s="570"/>
      <c r="N58" s="570"/>
      <c r="O58" s="570"/>
      <c r="P58" s="570"/>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70"/>
      <c r="AU58" s="570"/>
      <c r="AV58" s="570"/>
      <c r="AW58" s="570"/>
      <c r="AX58" s="570"/>
      <c r="AY58" s="570"/>
      <c r="AZ58" s="570"/>
      <c r="BA58" s="570"/>
      <c r="BB58" s="10"/>
    </row>
    <row r="59" spans="1:78" s="11" customFormat="1" ht="8.4" x14ac:dyDescent="0.2">
      <c r="A59" s="10"/>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c r="AY59" s="571"/>
      <c r="AZ59" s="571"/>
      <c r="BA59" s="571"/>
      <c r="BB59" s="10"/>
    </row>
    <row r="60" spans="1:78" s="11" customFormat="1" ht="12" x14ac:dyDescent="0.25">
      <c r="A60" s="10"/>
      <c r="B60" s="581"/>
      <c r="C60" s="581"/>
      <c r="D60" s="581"/>
      <c r="E60" s="581"/>
      <c r="F60" s="581"/>
      <c r="G60" s="581"/>
      <c r="H60" s="581"/>
      <c r="I60" s="16"/>
      <c r="J60" s="586" t="str">
        <f>IF(B60="","",IFERROR(VLOOKUP(B60,'Lista kodów TERYT'!A2:C2480,2,0),"Błędny kod TERYT"))</f>
        <v/>
      </c>
      <c r="K60" s="586"/>
      <c r="L60" s="586"/>
      <c r="M60" s="586"/>
      <c r="N60" s="586"/>
      <c r="O60" s="586"/>
      <c r="P60" s="586"/>
      <c r="Q60" s="586"/>
      <c r="R60" s="586"/>
      <c r="S60" s="586"/>
      <c r="T60" s="586"/>
      <c r="U60" s="586"/>
      <c r="V60" s="15"/>
      <c r="W60" s="586" t="str">
        <f>IF(B60="","",IFERROR(VLOOKUP(B60,'Lista kodów TERYT'!A2:C2480,3,0),"Błędny kod TERYT"))</f>
        <v/>
      </c>
      <c r="X60" s="586"/>
      <c r="Y60" s="586"/>
      <c r="Z60" s="586"/>
      <c r="AA60" s="586"/>
      <c r="AB60" s="586"/>
      <c r="AC60" s="586"/>
      <c r="AD60" s="586"/>
      <c r="AE60" s="586"/>
      <c r="AF60" s="586"/>
      <c r="AG60" s="586"/>
      <c r="AH60" s="586"/>
      <c r="AI60" s="15"/>
      <c r="AJ60" s="586" t="str">
        <f>IF(B60="","",IFERROR(VLOOKUP(B60,'Lista kodów TERYT'!A2:C2480,4,0),"Błędny kod TERYT"))</f>
        <v/>
      </c>
      <c r="AK60" s="586"/>
      <c r="AL60" s="586"/>
      <c r="AM60" s="586"/>
      <c r="AN60" s="586"/>
      <c r="AO60" s="586"/>
      <c r="AP60" s="586"/>
      <c r="AQ60" s="586"/>
      <c r="AR60" s="586"/>
      <c r="AS60" s="586"/>
      <c r="AT60" s="586"/>
      <c r="AU60" s="586"/>
      <c r="AV60" s="586"/>
      <c r="AW60" s="586"/>
      <c r="AX60" s="586"/>
      <c r="AY60" s="586"/>
      <c r="AZ60" s="586"/>
      <c r="BA60" s="586"/>
      <c r="BB60" s="10"/>
    </row>
    <row r="61" spans="1:78" s="11" customFormat="1" ht="9.75" customHeight="1" x14ac:dyDescent="0.2">
      <c r="A61" s="10"/>
      <c r="B61" s="560" t="s">
        <v>5119</v>
      </c>
      <c r="C61" s="560"/>
      <c r="D61" s="560"/>
      <c r="E61" s="560"/>
      <c r="F61" s="560"/>
      <c r="G61" s="560"/>
      <c r="H61" s="560"/>
      <c r="I61" s="6"/>
      <c r="J61" s="560" t="s">
        <v>4504</v>
      </c>
      <c r="K61" s="560"/>
      <c r="L61" s="560"/>
      <c r="M61" s="560"/>
      <c r="N61" s="560"/>
      <c r="O61" s="560"/>
      <c r="P61" s="560"/>
      <c r="Q61" s="560"/>
      <c r="R61" s="560"/>
      <c r="S61" s="560"/>
      <c r="T61" s="560"/>
      <c r="U61" s="560"/>
      <c r="V61" s="16"/>
      <c r="W61" s="560" t="s">
        <v>4505</v>
      </c>
      <c r="X61" s="560"/>
      <c r="Y61" s="560"/>
      <c r="Z61" s="560"/>
      <c r="AA61" s="560"/>
      <c r="AB61" s="560"/>
      <c r="AC61" s="560"/>
      <c r="AD61" s="560"/>
      <c r="AE61" s="560"/>
      <c r="AF61" s="560"/>
      <c r="AG61" s="560"/>
      <c r="AH61" s="560"/>
      <c r="AI61" s="16"/>
      <c r="AJ61" s="560" t="s">
        <v>4506</v>
      </c>
      <c r="AK61" s="561"/>
      <c r="AL61" s="561"/>
      <c r="AM61" s="561"/>
      <c r="AN61" s="561"/>
      <c r="AO61" s="561"/>
      <c r="AP61" s="561"/>
      <c r="AQ61" s="561"/>
      <c r="AR61" s="561"/>
      <c r="AS61" s="561"/>
      <c r="AT61" s="561"/>
      <c r="AU61" s="561"/>
      <c r="AV61" s="561"/>
      <c r="AW61" s="561"/>
      <c r="AX61" s="561"/>
      <c r="AY61" s="561"/>
      <c r="AZ61" s="561"/>
      <c r="BA61" s="561"/>
      <c r="BB61" s="10"/>
    </row>
    <row r="62" spans="1:78" s="11" customFormat="1" ht="0.75" customHeight="1" x14ac:dyDescent="0.2">
      <c r="A62" s="10"/>
      <c r="B62" s="16"/>
      <c r="C62" s="16"/>
      <c r="D62" s="16"/>
      <c r="E62" s="16"/>
      <c r="F62" s="16"/>
      <c r="G62" s="16"/>
      <c r="H62" s="16"/>
      <c r="I62" s="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59"/>
      <c r="AL62" s="59"/>
      <c r="AM62" s="59"/>
      <c r="AN62" s="59"/>
      <c r="AO62" s="59"/>
      <c r="AP62" s="59"/>
      <c r="AQ62" s="59"/>
      <c r="AR62" s="59"/>
      <c r="AS62" s="59"/>
      <c r="AT62" s="59"/>
      <c r="AU62" s="59"/>
      <c r="AV62" s="59"/>
      <c r="AW62" s="59"/>
      <c r="AX62" s="59"/>
      <c r="AY62" s="59"/>
      <c r="AZ62" s="59"/>
      <c r="BA62" s="59"/>
      <c r="BB62" s="10"/>
    </row>
    <row r="63" spans="1:78" s="9" customFormat="1" ht="12" x14ac:dyDescent="0.25">
      <c r="A63" s="8"/>
      <c r="B63" s="578"/>
      <c r="C63" s="578"/>
      <c r="D63" s="578"/>
      <c r="E63" s="578"/>
      <c r="F63" s="578"/>
      <c r="G63" s="578"/>
      <c r="H63" s="578"/>
      <c r="I63" s="578"/>
      <c r="J63" s="578"/>
      <c r="K63" s="578"/>
      <c r="L63" s="578"/>
      <c r="M63" s="578"/>
      <c r="N63" s="578"/>
      <c r="O63" s="578"/>
      <c r="P63" s="578"/>
      <c r="Q63" s="578"/>
      <c r="R63" s="578"/>
      <c r="S63" s="8"/>
      <c r="T63" s="578"/>
      <c r="U63" s="578"/>
      <c r="V63" s="578"/>
      <c r="W63" s="578"/>
      <c r="X63" s="578"/>
      <c r="Y63" s="578"/>
      <c r="Z63" s="578"/>
      <c r="AA63" s="578"/>
      <c r="AB63" s="578"/>
      <c r="AC63" s="578"/>
      <c r="AD63" s="578"/>
      <c r="AE63" s="27"/>
      <c r="AF63" s="540"/>
      <c r="AG63" s="540"/>
      <c r="AH63" s="540"/>
      <c r="AI63" s="540"/>
      <c r="AJ63" s="540"/>
      <c r="AK63" s="540"/>
      <c r="AL63" s="540"/>
      <c r="AM63" s="540"/>
      <c r="AN63" s="540"/>
      <c r="AO63" s="540"/>
      <c r="AP63" s="540"/>
      <c r="AQ63" s="540"/>
      <c r="AR63" s="540"/>
      <c r="AS63" s="540"/>
      <c r="AT63" s="540"/>
      <c r="AU63" s="540"/>
      <c r="AV63" s="540"/>
      <c r="AW63" s="540"/>
      <c r="AX63" s="8"/>
      <c r="AY63" s="567"/>
      <c r="AZ63" s="568"/>
      <c r="BA63" s="569"/>
      <c r="BB63" s="8"/>
    </row>
    <row r="64" spans="1:78" s="14" customFormat="1" ht="8.4" x14ac:dyDescent="0.2">
      <c r="A64" s="13"/>
      <c r="B64" s="559" t="s">
        <v>5116</v>
      </c>
      <c r="C64" s="559"/>
      <c r="D64" s="559"/>
      <c r="E64" s="559"/>
      <c r="F64" s="559"/>
      <c r="G64" s="559"/>
      <c r="H64" s="559"/>
      <c r="I64" s="559"/>
      <c r="J64" s="559"/>
      <c r="K64" s="559"/>
      <c r="L64" s="559"/>
      <c r="M64" s="559"/>
      <c r="N64" s="559"/>
      <c r="O64" s="559"/>
      <c r="P64" s="559"/>
      <c r="Q64" s="559"/>
      <c r="R64" s="559"/>
      <c r="S64" s="13"/>
      <c r="T64" s="559" t="s">
        <v>5129</v>
      </c>
      <c r="U64" s="559"/>
      <c r="V64" s="559"/>
      <c r="W64" s="559"/>
      <c r="X64" s="559"/>
      <c r="Y64" s="559"/>
      <c r="Z64" s="559"/>
      <c r="AA64" s="559"/>
      <c r="AB64" s="559"/>
      <c r="AC64" s="559" t="s">
        <v>5112</v>
      </c>
      <c r="AD64" s="559"/>
      <c r="AE64" s="13"/>
      <c r="AF64" s="559" t="s">
        <v>5112</v>
      </c>
      <c r="AG64" s="559"/>
      <c r="AH64" s="559"/>
      <c r="AI64" s="559"/>
      <c r="AJ64" s="559"/>
      <c r="AK64" s="559"/>
      <c r="AL64" s="559"/>
      <c r="AM64" s="559"/>
      <c r="AN64" s="559"/>
      <c r="AO64" s="559"/>
      <c r="AP64" s="559"/>
      <c r="AQ64" s="559"/>
      <c r="AR64" s="559"/>
      <c r="AS64" s="559"/>
      <c r="AT64" s="559"/>
      <c r="AU64" s="559"/>
      <c r="AV64" s="559"/>
      <c r="AW64" s="559"/>
      <c r="AX64" s="13"/>
      <c r="AY64" s="232" t="s">
        <v>5113</v>
      </c>
      <c r="AZ64" s="232"/>
      <c r="BA64" s="232"/>
      <c r="BB64" s="13"/>
    </row>
    <row r="65" spans="1:92" s="7" customFormat="1" ht="6" x14ac:dyDescent="0.15">
      <c r="A65" s="6"/>
      <c r="B65" s="12"/>
      <c r="C65" s="12"/>
      <c r="D65" s="12"/>
      <c r="E65" s="12"/>
      <c r="F65" s="12"/>
      <c r="G65" s="12"/>
      <c r="H65" s="12"/>
      <c r="I65" s="12"/>
      <c r="J65" s="12"/>
      <c r="K65" s="12"/>
      <c r="L65" s="12"/>
      <c r="M65" s="12"/>
      <c r="N65" s="12"/>
      <c r="O65" s="12"/>
      <c r="P65" s="12"/>
      <c r="Q65" s="12"/>
      <c r="R65" s="12"/>
      <c r="S65" s="6"/>
      <c r="T65" s="12"/>
      <c r="U65" s="12"/>
      <c r="V65" s="12"/>
      <c r="W65" s="12"/>
      <c r="X65" s="12"/>
      <c r="Y65" s="12"/>
      <c r="Z65" s="12"/>
      <c r="AA65" s="12"/>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row>
    <row r="66" spans="1:92" s="9" customFormat="1" ht="12.75" customHeight="1" x14ac:dyDescent="0.25">
      <c r="A66" s="8"/>
      <c r="B66" s="207" t="s">
        <v>5131</v>
      </c>
      <c r="C66" s="207"/>
      <c r="D66" s="207"/>
      <c r="E66" s="207"/>
      <c r="F66" s="207"/>
      <c r="G66" s="207"/>
      <c r="H66" s="207"/>
      <c r="I66" s="207"/>
      <c r="J66" s="207"/>
      <c r="K66" s="207"/>
      <c r="L66" s="207"/>
      <c r="M66" s="612"/>
      <c r="N66" s="613"/>
      <c r="O66" s="613"/>
      <c r="P66" s="613"/>
      <c r="Q66" s="613"/>
      <c r="R66" s="613"/>
      <c r="S66" s="613"/>
      <c r="T66" s="613"/>
      <c r="U66" s="613"/>
      <c r="V66" s="613"/>
      <c r="W66" s="613"/>
      <c r="X66" s="613"/>
      <c r="Y66" s="613"/>
      <c r="Z66" s="613"/>
      <c r="AA66" s="613"/>
      <c r="AB66" s="613"/>
      <c r="AC66" s="613"/>
      <c r="AD66" s="613"/>
      <c r="AE66" s="613"/>
      <c r="AF66" s="613"/>
      <c r="AG66" s="613"/>
      <c r="AH66" s="613"/>
      <c r="AI66" s="613"/>
      <c r="AJ66" s="613"/>
      <c r="AK66" s="613"/>
      <c r="AL66" s="613"/>
      <c r="AM66" s="613"/>
      <c r="AN66" s="613"/>
      <c r="AO66" s="613"/>
      <c r="AP66" s="613"/>
      <c r="AQ66" s="613"/>
      <c r="AR66" s="613"/>
      <c r="AS66" s="613"/>
      <c r="AT66" s="613"/>
      <c r="AU66" s="613"/>
      <c r="AV66" s="613"/>
      <c r="AW66" s="613"/>
      <c r="AX66" s="613"/>
      <c r="AY66" s="613"/>
      <c r="AZ66" s="613"/>
      <c r="BA66" s="614"/>
      <c r="BB66" s="8"/>
    </row>
    <row r="67" spans="1:92" s="9" customFormat="1" ht="12.75" customHeight="1" x14ac:dyDescent="0.25">
      <c r="A67" s="8"/>
      <c r="B67" s="207" t="s">
        <v>5130</v>
      </c>
      <c r="C67" s="207"/>
      <c r="D67" s="207"/>
      <c r="E67" s="207"/>
      <c r="F67" s="207"/>
      <c r="G67" s="207"/>
      <c r="H67" s="207"/>
      <c r="I67" s="207"/>
      <c r="J67" s="207"/>
      <c r="K67" s="207"/>
      <c r="L67" s="207"/>
      <c r="M67" s="612"/>
      <c r="N67" s="613"/>
      <c r="O67" s="613"/>
      <c r="P67" s="613"/>
      <c r="Q67" s="613"/>
      <c r="R67" s="613"/>
      <c r="S67" s="613"/>
      <c r="T67" s="613"/>
      <c r="U67" s="613"/>
      <c r="V67" s="613"/>
      <c r="W67" s="613"/>
      <c r="X67" s="613"/>
      <c r="Y67" s="613"/>
      <c r="Z67" s="613"/>
      <c r="AA67" s="613"/>
      <c r="AB67" s="613"/>
      <c r="AC67" s="613"/>
      <c r="AD67" s="613"/>
      <c r="AE67" s="613"/>
      <c r="AF67" s="613"/>
      <c r="AG67" s="613"/>
      <c r="AH67" s="613"/>
      <c r="AI67" s="613"/>
      <c r="AJ67" s="613"/>
      <c r="AK67" s="613"/>
      <c r="AL67" s="613"/>
      <c r="AM67" s="613"/>
      <c r="AN67" s="613"/>
      <c r="AO67" s="613"/>
      <c r="AP67" s="613"/>
      <c r="AQ67" s="613"/>
      <c r="AR67" s="613"/>
      <c r="AS67" s="613"/>
      <c r="AT67" s="613"/>
      <c r="AU67" s="613"/>
      <c r="AV67" s="613"/>
      <c r="AW67" s="613"/>
      <c r="AX67" s="613"/>
      <c r="AY67" s="613"/>
      <c r="AZ67" s="613"/>
      <c r="BA67" s="614"/>
      <c r="BB67" s="8"/>
    </row>
    <row r="68" spans="1:92" s="9" customFormat="1" ht="12.75" customHeight="1" x14ac:dyDescent="0.25">
      <c r="A68" s="8"/>
      <c r="B68" s="207" t="s">
        <v>5147</v>
      </c>
      <c r="C68" s="207"/>
      <c r="D68" s="207"/>
      <c r="E68" s="207"/>
      <c r="F68" s="207"/>
      <c r="G68" s="207"/>
      <c r="H68" s="207"/>
      <c r="I68" s="207"/>
      <c r="J68" s="207"/>
      <c r="K68" s="207"/>
      <c r="L68" s="207"/>
      <c r="M68" s="554"/>
      <c r="N68" s="555"/>
      <c r="O68" s="555"/>
      <c r="P68" s="555"/>
      <c r="Q68" s="207" t="s">
        <v>5141</v>
      </c>
      <c r="R68" s="207"/>
      <c r="S68" s="207"/>
      <c r="T68" s="207"/>
      <c r="U68" s="207"/>
      <c r="V68" s="207"/>
      <c r="W68" s="207"/>
      <c r="X68" s="207"/>
      <c r="Y68" s="207"/>
      <c r="Z68" s="207"/>
      <c r="AA68" s="207"/>
      <c r="AB68" s="564"/>
      <c r="AC68" s="565"/>
      <c r="AD68" s="565"/>
      <c r="AE68" s="565"/>
      <c r="AF68" s="565"/>
      <c r="AG68" s="565"/>
      <c r="AH68" s="565"/>
      <c r="AI68" s="565"/>
      <c r="AJ68" s="565"/>
      <c r="AK68" s="565"/>
      <c r="AL68" s="565"/>
      <c r="AM68" s="565"/>
      <c r="AN68" s="566"/>
      <c r="AO68" s="300" t="s">
        <v>5245</v>
      </c>
      <c r="AP68" s="300"/>
      <c r="AQ68" s="300"/>
      <c r="AR68" s="540"/>
      <c r="AS68" s="540"/>
      <c r="AT68" s="540"/>
      <c r="AU68" s="540"/>
      <c r="AV68" s="540"/>
      <c r="AW68" s="540"/>
      <c r="AX68" s="540"/>
      <c r="AY68" s="540"/>
      <c r="AZ68" s="540"/>
      <c r="BA68" s="540"/>
      <c r="BB68" s="8"/>
    </row>
    <row r="69" spans="1:92" s="52" customFormat="1" ht="11.25" customHeight="1" x14ac:dyDescent="0.2">
      <c r="A69" s="51"/>
      <c r="B69" s="538" t="str">
        <f>IF(AB68="prawo wieczystego użytkowania*","*Okres użytkowania wieczystego nie może być krótszy niż wnioskowany okres kredytowania wraz z okresem ewentualnej egzekucji","")</f>
        <v/>
      </c>
      <c r="C69" s="538"/>
      <c r="D69" s="538"/>
      <c r="E69" s="538"/>
      <c r="F69" s="538"/>
      <c r="G69" s="538"/>
      <c r="H69" s="538"/>
      <c r="I69" s="538"/>
      <c r="J69" s="538"/>
      <c r="K69" s="538"/>
      <c r="L69" s="538"/>
      <c r="M69" s="538"/>
      <c r="N69" s="538"/>
      <c r="O69" s="538"/>
      <c r="P69" s="538"/>
      <c r="Q69" s="538"/>
      <c r="R69" s="538"/>
      <c r="S69" s="538"/>
      <c r="T69" s="538"/>
      <c r="U69" s="538"/>
      <c r="V69" s="538"/>
      <c r="W69" s="538"/>
      <c r="X69" s="538"/>
      <c r="Y69" s="538"/>
      <c r="Z69" s="538"/>
      <c r="AA69" s="538"/>
      <c r="AB69" s="538"/>
      <c r="AC69" s="538"/>
      <c r="AD69" s="538"/>
      <c r="AE69" s="538"/>
      <c r="AF69" s="538"/>
      <c r="AG69" s="538"/>
      <c r="AH69" s="538"/>
      <c r="AI69" s="538"/>
      <c r="AJ69" s="538"/>
      <c r="AK69" s="538"/>
      <c r="AL69" s="538"/>
      <c r="AM69" s="538"/>
      <c r="AN69" s="538"/>
      <c r="AO69" s="538"/>
      <c r="AP69" s="538"/>
      <c r="AQ69" s="538"/>
      <c r="AR69" s="538"/>
      <c r="AS69" s="538"/>
      <c r="AT69" s="538"/>
      <c r="AU69" s="538"/>
      <c r="AV69" s="538"/>
      <c r="AW69" s="538"/>
      <c r="AX69" s="538"/>
      <c r="AY69" s="538"/>
      <c r="AZ69" s="538"/>
      <c r="BA69" s="538"/>
      <c r="BB69" s="538"/>
    </row>
    <row r="70" spans="1:92" s="7" customFormat="1" ht="2.25" customHeight="1" x14ac:dyDescent="0.15">
      <c r="A70" s="6"/>
      <c r="B70" s="30"/>
      <c r="C70" s="30"/>
      <c r="D70" s="30"/>
      <c r="E70" s="30"/>
      <c r="F70" s="30"/>
      <c r="G70" s="30"/>
      <c r="H70" s="30"/>
      <c r="I70" s="30"/>
      <c r="J70" s="30"/>
      <c r="K70" s="30"/>
      <c r="L70" s="30"/>
      <c r="M70" s="31"/>
      <c r="N70" s="32"/>
      <c r="O70" s="32"/>
      <c r="P70" s="32"/>
      <c r="Q70" s="32"/>
      <c r="R70" s="32"/>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row>
    <row r="71" spans="1:92" s="9" customFormat="1" ht="13.5" customHeight="1" x14ac:dyDescent="0.25">
      <c r="A71" s="8"/>
      <c r="B71" s="596" t="s">
        <v>5137</v>
      </c>
      <c r="C71" s="597"/>
      <c r="D71" s="597"/>
      <c r="E71" s="597"/>
      <c r="F71" s="597"/>
      <c r="G71" s="597"/>
      <c r="H71" s="597"/>
      <c r="I71" s="598"/>
      <c r="J71" s="607"/>
      <c r="K71" s="608"/>
      <c r="L71" s="608"/>
      <c r="M71" s="608"/>
      <c r="N71" s="608"/>
      <c r="O71" s="608"/>
      <c r="P71" s="608"/>
      <c r="Q71" s="608"/>
      <c r="R71" s="608"/>
      <c r="S71" s="608"/>
      <c r="T71" s="608"/>
      <c r="U71" s="608"/>
      <c r="V71" s="608"/>
      <c r="W71" s="608"/>
      <c r="X71" s="608"/>
      <c r="Y71" s="608"/>
      <c r="Z71" s="608"/>
      <c r="AA71" s="608"/>
      <c r="AB71" s="608"/>
      <c r="AC71" s="608"/>
      <c r="AD71" s="608"/>
      <c r="AE71" s="608"/>
      <c r="AF71" s="608"/>
      <c r="AG71" s="608"/>
      <c r="AH71" s="608"/>
      <c r="AI71" s="608"/>
      <c r="AJ71" s="608"/>
      <c r="AK71" s="608"/>
      <c r="AL71" s="608"/>
      <c r="AM71" s="608"/>
      <c r="AN71" s="608"/>
      <c r="AO71" s="608"/>
      <c r="AP71" s="608"/>
      <c r="AQ71" s="608"/>
      <c r="AR71" s="608"/>
      <c r="AS71" s="608"/>
      <c r="AT71" s="608"/>
      <c r="AU71" s="608"/>
      <c r="AV71" s="608"/>
      <c r="AW71" s="608"/>
      <c r="AX71" s="608"/>
      <c r="AY71" s="608"/>
      <c r="AZ71" s="608"/>
      <c r="BA71" s="609"/>
      <c r="BB71" s="8"/>
    </row>
    <row r="72" spans="1:92" s="9" customFormat="1" ht="68.25" customHeight="1" x14ac:dyDescent="0.25">
      <c r="A72" s="8"/>
      <c r="B72" s="599"/>
      <c r="C72" s="600"/>
      <c r="D72" s="600"/>
      <c r="E72" s="600"/>
      <c r="F72" s="600"/>
      <c r="G72" s="600"/>
      <c r="H72" s="600"/>
      <c r="I72" s="601"/>
      <c r="J72" s="602"/>
      <c r="K72" s="603"/>
      <c r="L72" s="603"/>
      <c r="M72" s="603"/>
      <c r="N72" s="603"/>
      <c r="O72" s="603"/>
      <c r="P72" s="603"/>
      <c r="Q72" s="603"/>
      <c r="R72" s="603"/>
      <c r="S72" s="603"/>
      <c r="T72" s="603"/>
      <c r="U72" s="603"/>
      <c r="V72" s="603"/>
      <c r="W72" s="603"/>
      <c r="X72" s="603"/>
      <c r="Y72" s="603"/>
      <c r="Z72" s="603"/>
      <c r="AA72" s="603"/>
      <c r="AB72" s="603"/>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AZ72" s="603"/>
      <c r="BA72" s="604"/>
      <c r="BB72" s="8"/>
    </row>
    <row r="73" spans="1:92" s="9" customFormat="1" ht="13.5" customHeight="1" x14ac:dyDescent="0.3">
      <c r="A73" s="8"/>
      <c r="B73" s="326" t="s">
        <v>5138</v>
      </c>
      <c r="C73" s="327"/>
      <c r="D73" s="327"/>
      <c r="E73" s="327"/>
      <c r="F73" s="327"/>
      <c r="G73" s="327"/>
      <c r="H73" s="327"/>
      <c r="I73" s="328"/>
      <c r="J73" s="605"/>
      <c r="K73" s="606"/>
      <c r="L73" s="606"/>
      <c r="M73" s="606"/>
      <c r="N73" s="606"/>
      <c r="O73" s="606"/>
      <c r="P73" s="606"/>
      <c r="Q73" s="606"/>
      <c r="R73" s="606"/>
      <c r="S73" s="606"/>
      <c r="T73" s="606"/>
      <c r="U73" s="606"/>
      <c r="V73" s="606"/>
      <c r="W73" s="606"/>
      <c r="X73" s="606"/>
      <c r="Y73" s="562" t="str">
        <f>IF(J73="inna","jaka?","")</f>
        <v/>
      </c>
      <c r="Z73" s="563"/>
      <c r="AA73" s="563"/>
      <c r="AB73" s="610"/>
      <c r="AC73" s="610"/>
      <c r="AD73" s="610"/>
      <c r="AE73" s="610"/>
      <c r="AF73" s="610"/>
      <c r="AG73" s="610"/>
      <c r="AH73" s="610"/>
      <c r="AI73" s="610"/>
      <c r="AJ73" s="610"/>
      <c r="AK73" s="610"/>
      <c r="AL73" s="610"/>
      <c r="AM73" s="610"/>
      <c r="AN73" s="610"/>
      <c r="AO73" s="610"/>
      <c r="AP73" s="610"/>
      <c r="AQ73" s="610"/>
      <c r="AR73" s="610"/>
      <c r="AS73" s="610"/>
      <c r="AT73" s="610"/>
      <c r="AU73" s="610"/>
      <c r="AV73" s="610"/>
      <c r="AW73" s="610"/>
      <c r="AX73" s="610"/>
      <c r="AY73" s="610"/>
      <c r="AZ73" s="610"/>
      <c r="BA73" s="610"/>
      <c r="BB73" s="8"/>
    </row>
    <row r="74" spans="1:92" s="6" customFormat="1" ht="9" customHeight="1" x14ac:dyDescent="0.15">
      <c r="B74" s="12"/>
      <c r="C74" s="12"/>
      <c r="D74" s="12"/>
      <c r="E74" s="12"/>
      <c r="F74" s="12"/>
      <c r="G74" s="12"/>
      <c r="H74" s="12"/>
      <c r="I74" s="12"/>
      <c r="J74" s="12"/>
      <c r="K74" s="12"/>
      <c r="L74" s="12"/>
      <c r="M74" s="12"/>
      <c r="N74" s="12"/>
      <c r="O74" s="12"/>
      <c r="P74" s="12"/>
      <c r="Q74" s="12"/>
      <c r="R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row>
    <row r="75" spans="1:92" s="9" customFormat="1" ht="36" customHeight="1" x14ac:dyDescent="0.25">
      <c r="A75" s="8"/>
      <c r="B75" s="479" t="s">
        <v>5352</v>
      </c>
      <c r="C75" s="479"/>
      <c r="D75" s="479"/>
      <c r="E75" s="479"/>
      <c r="F75" s="479"/>
      <c r="G75" s="479"/>
      <c r="H75" s="479"/>
      <c r="I75" s="479"/>
      <c r="J75" s="479"/>
      <c r="K75" s="479"/>
      <c r="L75" s="479"/>
      <c r="M75" s="479"/>
      <c r="N75" s="479"/>
      <c r="O75" s="479"/>
      <c r="P75" s="479"/>
      <c r="Q75" s="479"/>
      <c r="R75" s="479"/>
      <c r="S75" s="479"/>
      <c r="T75" s="479"/>
      <c r="U75" s="479"/>
      <c r="V75" s="521" t="s">
        <v>5553</v>
      </c>
      <c r="W75" s="522"/>
      <c r="X75" s="522"/>
      <c r="Y75" s="522"/>
      <c r="Z75" s="522"/>
      <c r="AA75" s="522"/>
      <c r="AB75" s="522"/>
      <c r="AC75" s="522"/>
      <c r="AD75" s="521" t="s">
        <v>5554</v>
      </c>
      <c r="AE75" s="522"/>
      <c r="AF75" s="522"/>
      <c r="AG75" s="522"/>
      <c r="AH75" s="522"/>
      <c r="AI75" s="522"/>
      <c r="AJ75" s="522"/>
      <c r="AK75" s="522"/>
      <c r="AL75" s="521" t="s">
        <v>5268</v>
      </c>
      <c r="AM75" s="522"/>
      <c r="AN75" s="522"/>
      <c r="AO75" s="522"/>
      <c r="AP75" s="522"/>
      <c r="AQ75" s="522"/>
      <c r="AR75" s="522"/>
      <c r="AS75" s="522"/>
      <c r="AT75" s="489" t="s">
        <v>5133</v>
      </c>
      <c r="AU75" s="490"/>
      <c r="AV75" s="490"/>
      <c r="AW75" s="490"/>
      <c r="AX75" s="490"/>
      <c r="AY75" s="490"/>
      <c r="AZ75" s="490"/>
      <c r="BA75" s="491"/>
      <c r="BB75" s="8"/>
      <c r="BC75" s="172"/>
      <c r="BD75" s="512" t="s">
        <v>5636</v>
      </c>
      <c r="BE75" s="513"/>
      <c r="BF75" s="513"/>
      <c r="BG75" s="513"/>
      <c r="BH75" s="513"/>
      <c r="BI75" s="513"/>
      <c r="BJ75" s="513"/>
      <c r="BK75" s="514"/>
      <c r="BL75" s="514"/>
      <c r="BM75" s="514"/>
      <c r="BN75" s="514"/>
      <c r="BO75" s="514"/>
      <c r="BP75" s="514"/>
      <c r="BQ75" s="514"/>
      <c r="BR75" s="514"/>
      <c r="BS75" s="514"/>
      <c r="BT75" s="514"/>
      <c r="BU75" s="514"/>
      <c r="BV75" s="514"/>
      <c r="BW75" s="514"/>
      <c r="BX75" s="514"/>
      <c r="BY75" s="514"/>
      <c r="BZ75" s="514"/>
      <c r="CA75" s="514"/>
      <c r="CB75" s="514"/>
      <c r="CC75" s="514"/>
      <c r="CD75" s="514"/>
      <c r="CE75" s="514"/>
      <c r="CF75" s="514"/>
      <c r="CG75" s="514"/>
      <c r="CH75" s="514"/>
      <c r="CI75" s="514"/>
      <c r="CJ75" s="514"/>
      <c r="CK75" s="514"/>
      <c r="CL75" s="514"/>
      <c r="CM75" s="514"/>
      <c r="CN75" s="514"/>
    </row>
    <row r="76" spans="1:92" s="9" customFormat="1" ht="16.5" customHeight="1" x14ac:dyDescent="0.25">
      <c r="A76" s="8"/>
      <c r="B76" s="479"/>
      <c r="C76" s="479"/>
      <c r="D76" s="479"/>
      <c r="E76" s="479"/>
      <c r="F76" s="479"/>
      <c r="G76" s="479"/>
      <c r="H76" s="479"/>
      <c r="I76" s="479"/>
      <c r="J76" s="479"/>
      <c r="K76" s="479"/>
      <c r="L76" s="479"/>
      <c r="M76" s="479"/>
      <c r="N76" s="479"/>
      <c r="O76" s="479"/>
      <c r="P76" s="479"/>
      <c r="Q76" s="479"/>
      <c r="R76" s="479"/>
      <c r="S76" s="479"/>
      <c r="T76" s="479"/>
      <c r="U76" s="479"/>
      <c r="V76" s="523"/>
      <c r="W76" s="523"/>
      <c r="X76" s="523"/>
      <c r="Y76" s="523"/>
      <c r="Z76" s="523"/>
      <c r="AA76" s="523"/>
      <c r="AB76" s="523"/>
      <c r="AC76" s="523"/>
      <c r="AD76" s="523"/>
      <c r="AE76" s="523"/>
      <c r="AF76" s="523"/>
      <c r="AG76" s="523"/>
      <c r="AH76" s="523"/>
      <c r="AI76" s="523"/>
      <c r="AJ76" s="523"/>
      <c r="AK76" s="523"/>
      <c r="AL76" s="523"/>
      <c r="AM76" s="523"/>
      <c r="AN76" s="523"/>
      <c r="AO76" s="523"/>
      <c r="AP76" s="523"/>
      <c r="AQ76" s="523"/>
      <c r="AR76" s="523"/>
      <c r="AS76" s="523"/>
      <c r="AT76" s="492"/>
      <c r="AU76" s="493"/>
      <c r="AV76" s="493"/>
      <c r="AW76" s="493"/>
      <c r="AX76" s="493"/>
      <c r="AY76" s="493"/>
      <c r="AZ76" s="493"/>
      <c r="BA76" s="494"/>
      <c r="BB76" s="8"/>
      <c r="BC76" s="172"/>
      <c r="BD76" s="512"/>
      <c r="BE76" s="513"/>
      <c r="BF76" s="513"/>
      <c r="BG76" s="513"/>
      <c r="BH76" s="513"/>
      <c r="BI76" s="513"/>
      <c r="BJ76" s="513"/>
      <c r="BK76" s="514"/>
      <c r="BL76" s="514"/>
      <c r="BM76" s="514"/>
      <c r="BN76" s="514"/>
      <c r="BO76" s="514"/>
      <c r="BP76" s="514"/>
      <c r="BQ76" s="514"/>
      <c r="BR76" s="514"/>
      <c r="BS76" s="514"/>
      <c r="BT76" s="514"/>
      <c r="BU76" s="514"/>
      <c r="BV76" s="514"/>
      <c r="BW76" s="514"/>
      <c r="BX76" s="514"/>
      <c r="BY76" s="514"/>
      <c r="BZ76" s="514"/>
      <c r="CA76" s="514"/>
      <c r="CB76" s="514"/>
      <c r="CC76" s="514"/>
      <c r="CD76" s="514"/>
      <c r="CE76" s="514"/>
      <c r="CF76" s="514"/>
      <c r="CG76" s="514"/>
      <c r="CH76" s="514"/>
      <c r="CI76" s="514"/>
      <c r="CJ76" s="514"/>
      <c r="CK76" s="514"/>
      <c r="CL76" s="514"/>
      <c r="CM76" s="514"/>
      <c r="CN76" s="514"/>
    </row>
    <row r="77" spans="1:92" s="11" customFormat="1" ht="17.25" customHeight="1" x14ac:dyDescent="0.2">
      <c r="A77" s="10"/>
      <c r="B77" s="479"/>
      <c r="C77" s="479"/>
      <c r="D77" s="479"/>
      <c r="E77" s="479"/>
      <c r="F77" s="479"/>
      <c r="G77" s="479"/>
      <c r="H77" s="479"/>
      <c r="I77" s="479"/>
      <c r="J77" s="479"/>
      <c r="K77" s="479"/>
      <c r="L77" s="479"/>
      <c r="M77" s="479"/>
      <c r="N77" s="479"/>
      <c r="O77" s="479"/>
      <c r="P77" s="479"/>
      <c r="Q77" s="479"/>
      <c r="R77" s="479"/>
      <c r="S77" s="479"/>
      <c r="T77" s="479"/>
      <c r="U77" s="479"/>
      <c r="V77" s="511" t="s">
        <v>5132</v>
      </c>
      <c r="W77" s="511">
        <v>1</v>
      </c>
      <c r="X77" s="511">
        <v>1</v>
      </c>
      <c r="Y77" s="511" t="s">
        <v>5132</v>
      </c>
      <c r="Z77" s="532" t="s">
        <v>5243</v>
      </c>
      <c r="AA77" s="533"/>
      <c r="AB77" s="533"/>
      <c r="AC77" s="533"/>
      <c r="AD77" s="511" t="s">
        <v>5132</v>
      </c>
      <c r="AE77" s="511">
        <v>1</v>
      </c>
      <c r="AF77" s="511">
        <v>1</v>
      </c>
      <c r="AG77" s="511" t="s">
        <v>5132</v>
      </c>
      <c r="AH77" s="532" t="s">
        <v>5243</v>
      </c>
      <c r="AI77" s="533"/>
      <c r="AJ77" s="533"/>
      <c r="AK77" s="533"/>
      <c r="AL77" s="511" t="s">
        <v>5132</v>
      </c>
      <c r="AM77" s="511">
        <v>1</v>
      </c>
      <c r="AN77" s="511">
        <v>1</v>
      </c>
      <c r="AO77" s="511" t="s">
        <v>5132</v>
      </c>
      <c r="AP77" s="532" t="s">
        <v>5243</v>
      </c>
      <c r="AQ77" s="533"/>
      <c r="AR77" s="533"/>
      <c r="AS77" s="533"/>
      <c r="AT77" s="511" t="s">
        <v>5132</v>
      </c>
      <c r="AU77" s="511">
        <v>1</v>
      </c>
      <c r="AV77" s="511">
        <v>1</v>
      </c>
      <c r="AW77" s="511" t="s">
        <v>5132</v>
      </c>
      <c r="AX77" s="556" t="s">
        <v>5243</v>
      </c>
      <c r="AY77" s="557"/>
      <c r="AZ77" s="557"/>
      <c r="BA77" s="558"/>
      <c r="BB77" s="10"/>
      <c r="BC77" s="173"/>
      <c r="BD77" s="515"/>
      <c r="BE77" s="515"/>
      <c r="BF77" s="515"/>
      <c r="BG77" s="515"/>
      <c r="BH77" s="515"/>
      <c r="BI77" s="515"/>
      <c r="BJ77" s="515"/>
      <c r="BK77" s="514"/>
      <c r="BL77" s="514"/>
      <c r="BM77" s="514"/>
      <c r="BN77" s="514"/>
      <c r="BO77" s="514"/>
      <c r="BP77" s="514"/>
      <c r="BQ77" s="514"/>
      <c r="BR77" s="514"/>
      <c r="BS77" s="514"/>
      <c r="BT77" s="514"/>
      <c r="BU77" s="514"/>
      <c r="BV77" s="514"/>
      <c r="BW77" s="514"/>
      <c r="BX77" s="514"/>
      <c r="BY77" s="514"/>
      <c r="BZ77" s="514"/>
      <c r="CA77" s="514"/>
      <c r="CB77" s="514"/>
      <c r="CC77" s="514"/>
      <c r="CD77" s="514"/>
      <c r="CE77" s="514"/>
      <c r="CF77" s="514"/>
      <c r="CG77" s="514"/>
      <c r="CH77" s="514"/>
      <c r="CI77" s="514"/>
      <c r="CJ77" s="514"/>
      <c r="CK77" s="514"/>
      <c r="CL77" s="514"/>
      <c r="CM77" s="514"/>
      <c r="CN77" s="514"/>
    </row>
    <row r="78" spans="1:92" s="9" customFormat="1" ht="13.2" customHeight="1" x14ac:dyDescent="0.25">
      <c r="A78" s="8"/>
      <c r="B78" s="516" t="s">
        <v>5134</v>
      </c>
      <c r="C78" s="516"/>
      <c r="D78" s="516"/>
      <c r="E78" s="516"/>
      <c r="F78" s="516"/>
      <c r="G78" s="516"/>
      <c r="H78" s="516"/>
      <c r="I78" s="516"/>
      <c r="J78" s="516"/>
      <c r="K78" s="516"/>
      <c r="L78" s="516"/>
      <c r="M78" s="516"/>
      <c r="N78" s="516"/>
      <c r="O78" s="516"/>
      <c r="P78" s="516"/>
      <c r="Q78" s="516"/>
      <c r="R78" s="516"/>
      <c r="S78" s="516"/>
      <c r="T78" s="516"/>
      <c r="U78" s="516"/>
      <c r="V78" s="503"/>
      <c r="W78" s="503"/>
      <c r="X78" s="503"/>
      <c r="Y78" s="503"/>
      <c r="Z78" s="510"/>
      <c r="AA78" s="510"/>
      <c r="AB78" s="510"/>
      <c r="AC78" s="510"/>
      <c r="AD78" s="503"/>
      <c r="AE78" s="503"/>
      <c r="AF78" s="503"/>
      <c r="AG78" s="503"/>
      <c r="AH78" s="510"/>
      <c r="AI78" s="510"/>
      <c r="AJ78" s="510"/>
      <c r="AK78" s="510"/>
      <c r="AL78" s="503"/>
      <c r="AM78" s="503"/>
      <c r="AN78" s="503"/>
      <c r="AO78" s="503"/>
      <c r="AP78" s="510"/>
      <c r="AQ78" s="510"/>
      <c r="AR78" s="510"/>
      <c r="AS78" s="510"/>
      <c r="AT78" s="528">
        <f>V78+AD78+AL78</f>
        <v>0</v>
      </c>
      <c r="AU78" s="528"/>
      <c r="AV78" s="528"/>
      <c r="AW78" s="528"/>
      <c r="AX78" s="507">
        <f>Z78+AH78+AP78</f>
        <v>0</v>
      </c>
      <c r="AY78" s="508"/>
      <c r="AZ78" s="508"/>
      <c r="BA78" s="509"/>
      <c r="BB78" s="8"/>
      <c r="BC78" s="172"/>
      <c r="BD78" s="515"/>
      <c r="BE78" s="515"/>
      <c r="BF78" s="515"/>
      <c r="BG78" s="515"/>
      <c r="BH78" s="515"/>
      <c r="BI78" s="515"/>
      <c r="BJ78" s="515"/>
      <c r="BK78" s="514"/>
      <c r="BL78" s="514"/>
      <c r="BM78" s="514"/>
      <c r="BN78" s="514"/>
      <c r="BO78" s="514"/>
      <c r="BP78" s="514"/>
      <c r="BQ78" s="514"/>
      <c r="BR78" s="514"/>
      <c r="BS78" s="514"/>
      <c r="BT78" s="514"/>
      <c r="BU78" s="514"/>
      <c r="BV78" s="514"/>
      <c r="BW78" s="514"/>
      <c r="BX78" s="514"/>
      <c r="BY78" s="514"/>
      <c r="BZ78" s="514"/>
      <c r="CA78" s="514"/>
      <c r="CB78" s="514"/>
      <c r="CC78" s="514"/>
      <c r="CD78" s="514"/>
      <c r="CE78" s="514"/>
      <c r="CF78" s="514"/>
      <c r="CG78" s="514"/>
      <c r="CH78" s="514"/>
      <c r="CI78" s="514"/>
      <c r="CJ78" s="514"/>
      <c r="CK78" s="514"/>
      <c r="CL78" s="514"/>
      <c r="CM78" s="514"/>
      <c r="CN78" s="514"/>
    </row>
    <row r="79" spans="1:92" s="9" customFormat="1" ht="13.2" customHeight="1" x14ac:dyDescent="0.25">
      <c r="A79" s="8"/>
      <c r="B79" s="207" t="s">
        <v>5135</v>
      </c>
      <c r="C79" s="207"/>
      <c r="D79" s="207"/>
      <c r="E79" s="207"/>
      <c r="F79" s="207"/>
      <c r="G79" s="207"/>
      <c r="H79" s="207"/>
      <c r="I79" s="207"/>
      <c r="J79" s="207"/>
      <c r="K79" s="207"/>
      <c r="L79" s="207"/>
      <c r="M79" s="207"/>
      <c r="N79" s="207"/>
      <c r="O79" s="207"/>
      <c r="P79" s="207"/>
      <c r="Q79" s="207"/>
      <c r="R79" s="207"/>
      <c r="S79" s="207"/>
      <c r="T79" s="207"/>
      <c r="U79" s="207"/>
      <c r="V79" s="503"/>
      <c r="W79" s="503"/>
      <c r="X79" s="503"/>
      <c r="Y79" s="503"/>
      <c r="Z79" s="510"/>
      <c r="AA79" s="510"/>
      <c r="AB79" s="510"/>
      <c r="AC79" s="510"/>
      <c r="AD79" s="503"/>
      <c r="AE79" s="503"/>
      <c r="AF79" s="503"/>
      <c r="AG79" s="503"/>
      <c r="AH79" s="510"/>
      <c r="AI79" s="510"/>
      <c r="AJ79" s="510"/>
      <c r="AK79" s="510"/>
      <c r="AL79" s="503"/>
      <c r="AM79" s="503"/>
      <c r="AN79" s="503"/>
      <c r="AO79" s="503"/>
      <c r="AP79" s="510"/>
      <c r="AQ79" s="510"/>
      <c r="AR79" s="510"/>
      <c r="AS79" s="510"/>
      <c r="AT79" s="528">
        <f t="shared" ref="AT79:AT81" si="0">V79+AD79+AL79</f>
        <v>0</v>
      </c>
      <c r="AU79" s="528"/>
      <c r="AV79" s="528"/>
      <c r="AW79" s="528"/>
      <c r="AX79" s="507">
        <f t="shared" ref="AX79:AX85" si="1">Z79+AH79+AP79</f>
        <v>0</v>
      </c>
      <c r="AY79" s="508"/>
      <c r="AZ79" s="508"/>
      <c r="BA79" s="509"/>
      <c r="BB79" s="8"/>
      <c r="BC79" s="172"/>
      <c r="BD79" s="515"/>
      <c r="BE79" s="515"/>
      <c r="BF79" s="515"/>
      <c r="BG79" s="515"/>
      <c r="BH79" s="515"/>
      <c r="BI79" s="515"/>
      <c r="BJ79" s="515"/>
      <c r="BK79" s="514"/>
      <c r="BL79" s="514"/>
      <c r="BM79" s="514"/>
      <c r="BN79" s="514"/>
      <c r="BO79" s="514"/>
      <c r="BP79" s="514"/>
      <c r="BQ79" s="514"/>
      <c r="BR79" s="514"/>
      <c r="BS79" s="514"/>
      <c r="BT79" s="514"/>
      <c r="BU79" s="514"/>
      <c r="BV79" s="514"/>
      <c r="BW79" s="514"/>
      <c r="BX79" s="514"/>
      <c r="BY79" s="514"/>
      <c r="BZ79" s="514"/>
      <c r="CA79" s="514"/>
      <c r="CB79" s="514"/>
      <c r="CC79" s="514"/>
      <c r="CD79" s="514"/>
      <c r="CE79" s="514"/>
      <c r="CF79" s="514"/>
      <c r="CG79" s="514"/>
      <c r="CH79" s="514"/>
      <c r="CI79" s="514"/>
      <c r="CJ79" s="514"/>
      <c r="CK79" s="514"/>
      <c r="CL79" s="514"/>
      <c r="CM79" s="514"/>
      <c r="CN79" s="514"/>
    </row>
    <row r="80" spans="1:92" s="9" customFormat="1" ht="24.75" customHeight="1" x14ac:dyDescent="0.25">
      <c r="A80" s="8"/>
      <c r="B80" s="331" t="s">
        <v>5457</v>
      </c>
      <c r="C80" s="332"/>
      <c r="D80" s="332"/>
      <c r="E80" s="332"/>
      <c r="F80" s="332"/>
      <c r="G80" s="332"/>
      <c r="H80" s="332"/>
      <c r="I80" s="332"/>
      <c r="J80" s="332"/>
      <c r="K80" s="332"/>
      <c r="L80" s="332"/>
      <c r="M80" s="332"/>
      <c r="N80" s="332"/>
      <c r="O80" s="332"/>
      <c r="P80" s="332"/>
      <c r="Q80" s="332"/>
      <c r="R80" s="332"/>
      <c r="S80" s="332"/>
      <c r="T80" s="332"/>
      <c r="U80" s="530"/>
      <c r="V80" s="531"/>
      <c r="W80" s="531"/>
      <c r="X80" s="531"/>
      <c r="Y80" s="531"/>
      <c r="Z80" s="527"/>
      <c r="AA80" s="527"/>
      <c r="AB80" s="527"/>
      <c r="AC80" s="527"/>
      <c r="AD80" s="531"/>
      <c r="AE80" s="531"/>
      <c r="AF80" s="531"/>
      <c r="AG80" s="531"/>
      <c r="AH80" s="527"/>
      <c r="AI80" s="527"/>
      <c r="AJ80" s="527"/>
      <c r="AK80" s="527"/>
      <c r="AL80" s="531"/>
      <c r="AM80" s="531"/>
      <c r="AN80" s="531"/>
      <c r="AO80" s="531"/>
      <c r="AP80" s="527"/>
      <c r="AQ80" s="527"/>
      <c r="AR80" s="527"/>
      <c r="AS80" s="527"/>
      <c r="AT80" s="545">
        <f t="shared" ref="AT80" si="2">V80+AD80+AL80</f>
        <v>0</v>
      </c>
      <c r="AU80" s="545"/>
      <c r="AV80" s="545"/>
      <c r="AW80" s="545"/>
      <c r="AX80" s="546">
        <f t="shared" si="1"/>
        <v>0</v>
      </c>
      <c r="AY80" s="547"/>
      <c r="AZ80" s="547"/>
      <c r="BA80" s="548"/>
      <c r="BB80" s="8"/>
      <c r="BC80" s="172"/>
      <c r="BD80" s="515"/>
      <c r="BE80" s="515"/>
      <c r="BF80" s="515"/>
      <c r="BG80" s="515"/>
      <c r="BH80" s="515"/>
      <c r="BI80" s="515"/>
      <c r="BJ80" s="515"/>
      <c r="BK80" s="514"/>
      <c r="BL80" s="514"/>
      <c r="BM80" s="514"/>
      <c r="BN80" s="514"/>
      <c r="BO80" s="514"/>
      <c r="BP80" s="514"/>
      <c r="BQ80" s="514"/>
      <c r="BR80" s="514"/>
      <c r="BS80" s="514"/>
      <c r="BT80" s="514"/>
      <c r="BU80" s="514"/>
      <c r="BV80" s="514"/>
      <c r="BW80" s="514"/>
      <c r="BX80" s="514"/>
      <c r="BY80" s="514"/>
      <c r="BZ80" s="514"/>
      <c r="CA80" s="514"/>
      <c r="CB80" s="514"/>
      <c r="CC80" s="514"/>
      <c r="CD80" s="514"/>
      <c r="CE80" s="514"/>
      <c r="CF80" s="514"/>
      <c r="CG80" s="514"/>
      <c r="CH80" s="514"/>
      <c r="CI80" s="514"/>
      <c r="CJ80" s="514"/>
      <c r="CK80" s="514"/>
      <c r="CL80" s="514"/>
      <c r="CM80" s="514"/>
      <c r="CN80" s="514"/>
    </row>
    <row r="81" spans="1:92" s="9" customFormat="1" ht="13.2" customHeight="1" x14ac:dyDescent="0.25">
      <c r="A81" s="8"/>
      <c r="B81" s="476" t="s">
        <v>5238</v>
      </c>
      <c r="C81" s="476"/>
      <c r="D81" s="476"/>
      <c r="E81" s="476"/>
      <c r="F81" s="476"/>
      <c r="G81" s="476"/>
      <c r="H81" s="476"/>
      <c r="I81" s="476"/>
      <c r="J81" s="476"/>
      <c r="K81" s="476"/>
      <c r="L81" s="476"/>
      <c r="M81" s="476"/>
      <c r="N81" s="476"/>
      <c r="O81" s="476"/>
      <c r="P81" s="476"/>
      <c r="Q81" s="476"/>
      <c r="R81" s="476"/>
      <c r="S81" s="476"/>
      <c r="T81" s="476"/>
      <c r="U81" s="476"/>
      <c r="V81" s="503"/>
      <c r="W81" s="503"/>
      <c r="X81" s="503"/>
      <c r="Y81" s="503"/>
      <c r="Z81" s="510"/>
      <c r="AA81" s="510"/>
      <c r="AB81" s="510"/>
      <c r="AC81" s="510"/>
      <c r="AD81" s="503"/>
      <c r="AE81" s="503"/>
      <c r="AF81" s="503"/>
      <c r="AG81" s="503"/>
      <c r="AH81" s="510"/>
      <c r="AI81" s="510"/>
      <c r="AJ81" s="510"/>
      <c r="AK81" s="510"/>
      <c r="AL81" s="503"/>
      <c r="AM81" s="503"/>
      <c r="AN81" s="503"/>
      <c r="AO81" s="503"/>
      <c r="AP81" s="510"/>
      <c r="AQ81" s="510"/>
      <c r="AR81" s="510"/>
      <c r="AS81" s="510"/>
      <c r="AT81" s="528">
        <f t="shared" si="0"/>
        <v>0</v>
      </c>
      <c r="AU81" s="528"/>
      <c r="AV81" s="528"/>
      <c r="AW81" s="528"/>
      <c r="AX81" s="507">
        <f t="shared" si="1"/>
        <v>0</v>
      </c>
      <c r="AY81" s="508"/>
      <c r="AZ81" s="508"/>
      <c r="BA81" s="509"/>
      <c r="BB81" s="8"/>
      <c r="BC81" s="172"/>
      <c r="BD81" s="515"/>
      <c r="BE81" s="515"/>
      <c r="BF81" s="515"/>
      <c r="BG81" s="515"/>
      <c r="BH81" s="515"/>
      <c r="BI81" s="515"/>
      <c r="BJ81" s="515"/>
      <c r="BK81" s="514"/>
      <c r="BL81" s="514"/>
      <c r="BM81" s="514"/>
      <c r="BN81" s="514"/>
      <c r="BO81" s="514"/>
      <c r="BP81" s="514"/>
      <c r="BQ81" s="514"/>
      <c r="BR81" s="514"/>
      <c r="BS81" s="514"/>
      <c r="BT81" s="514"/>
      <c r="BU81" s="514"/>
      <c r="BV81" s="514"/>
      <c r="BW81" s="514"/>
      <c r="BX81" s="514"/>
      <c r="BY81" s="514"/>
      <c r="BZ81" s="514"/>
      <c r="CA81" s="514"/>
      <c r="CB81" s="514"/>
      <c r="CC81" s="514"/>
      <c r="CD81" s="514"/>
      <c r="CE81" s="514"/>
      <c r="CF81" s="514"/>
      <c r="CG81" s="514"/>
      <c r="CH81" s="514"/>
      <c r="CI81" s="514"/>
      <c r="CJ81" s="514"/>
      <c r="CK81" s="514"/>
      <c r="CL81" s="514"/>
      <c r="CM81" s="514"/>
      <c r="CN81" s="514"/>
    </row>
    <row r="82" spans="1:92" s="9" customFormat="1" ht="13.2" customHeight="1" x14ac:dyDescent="0.25">
      <c r="A82" s="8"/>
      <c r="B82" s="542" t="s">
        <v>5458</v>
      </c>
      <c r="C82" s="542"/>
      <c r="D82" s="542"/>
      <c r="E82" s="542"/>
      <c r="F82" s="542"/>
      <c r="G82" s="542"/>
      <c r="H82" s="542"/>
      <c r="I82" s="542"/>
      <c r="J82" s="542"/>
      <c r="K82" s="542"/>
      <c r="L82" s="542"/>
      <c r="M82" s="542"/>
      <c r="N82" s="542"/>
      <c r="O82" s="542"/>
      <c r="P82" s="542"/>
      <c r="Q82" s="542"/>
      <c r="R82" s="542"/>
      <c r="S82" s="542"/>
      <c r="T82" s="542"/>
      <c r="U82" s="542"/>
      <c r="V82" s="503"/>
      <c r="W82" s="503"/>
      <c r="X82" s="503"/>
      <c r="Y82" s="503"/>
      <c r="Z82" s="524"/>
      <c r="AA82" s="525"/>
      <c r="AB82" s="525"/>
      <c r="AC82" s="526"/>
      <c r="AD82" s="503"/>
      <c r="AE82" s="503"/>
      <c r="AF82" s="503"/>
      <c r="AG82" s="503"/>
      <c r="AH82" s="524"/>
      <c r="AI82" s="525"/>
      <c r="AJ82" s="525"/>
      <c r="AK82" s="526"/>
      <c r="AL82" s="503"/>
      <c r="AM82" s="503"/>
      <c r="AN82" s="503"/>
      <c r="AO82" s="503"/>
      <c r="AP82" s="510"/>
      <c r="AQ82" s="510"/>
      <c r="AR82" s="510"/>
      <c r="AS82" s="510"/>
      <c r="AT82" s="528">
        <f t="shared" ref="AT82" si="3">V82+AD82+AL82</f>
        <v>0</v>
      </c>
      <c r="AU82" s="528"/>
      <c r="AV82" s="528"/>
      <c r="AW82" s="528"/>
      <c r="AX82" s="507">
        <f t="shared" si="1"/>
        <v>0</v>
      </c>
      <c r="AY82" s="508"/>
      <c r="AZ82" s="508"/>
      <c r="BA82" s="509"/>
      <c r="BB82" s="8"/>
      <c r="BC82" s="172"/>
      <c r="BD82" s="515"/>
      <c r="BE82" s="515"/>
      <c r="BF82" s="515"/>
      <c r="BG82" s="515"/>
      <c r="BH82" s="515"/>
      <c r="BI82" s="515"/>
      <c r="BJ82" s="515"/>
      <c r="BK82" s="514"/>
      <c r="BL82" s="514"/>
      <c r="BM82" s="514"/>
      <c r="BN82" s="514"/>
      <c r="BO82" s="514"/>
      <c r="BP82" s="514"/>
      <c r="BQ82" s="514"/>
      <c r="BR82" s="514"/>
      <c r="BS82" s="514"/>
      <c r="BT82" s="514"/>
      <c r="BU82" s="514"/>
      <c r="BV82" s="514"/>
      <c r="BW82" s="514"/>
      <c r="BX82" s="514"/>
      <c r="BY82" s="514"/>
      <c r="BZ82" s="514"/>
      <c r="CA82" s="514"/>
      <c r="CB82" s="514"/>
      <c r="CC82" s="514"/>
      <c r="CD82" s="514"/>
      <c r="CE82" s="514"/>
      <c r="CF82" s="514"/>
      <c r="CG82" s="514"/>
      <c r="CH82" s="514"/>
      <c r="CI82" s="514"/>
      <c r="CJ82" s="514"/>
      <c r="CK82" s="514"/>
      <c r="CL82" s="514"/>
      <c r="CM82" s="514"/>
      <c r="CN82" s="514"/>
    </row>
    <row r="83" spans="1:92" s="9" customFormat="1" ht="13.2" customHeight="1" x14ac:dyDescent="0.25">
      <c r="A83" s="8"/>
      <c r="B83" s="516" t="s">
        <v>5215</v>
      </c>
      <c r="C83" s="516"/>
      <c r="D83" s="516"/>
      <c r="E83" s="516"/>
      <c r="F83" s="516"/>
      <c r="G83" s="516"/>
      <c r="H83" s="516"/>
      <c r="I83" s="516"/>
      <c r="J83" s="516"/>
      <c r="K83" s="516"/>
      <c r="L83" s="516"/>
      <c r="M83" s="516"/>
      <c r="N83" s="516"/>
      <c r="O83" s="516"/>
      <c r="P83" s="516"/>
      <c r="Q83" s="516"/>
      <c r="R83" s="516"/>
      <c r="S83" s="516"/>
      <c r="T83" s="516"/>
      <c r="U83" s="516"/>
      <c r="V83" s="503"/>
      <c r="W83" s="503"/>
      <c r="X83" s="503"/>
      <c r="Y83" s="503"/>
      <c r="Z83" s="510"/>
      <c r="AA83" s="510"/>
      <c r="AB83" s="510"/>
      <c r="AC83" s="510"/>
      <c r="AD83" s="503"/>
      <c r="AE83" s="503"/>
      <c r="AF83" s="503"/>
      <c r="AG83" s="503"/>
      <c r="AH83" s="510"/>
      <c r="AI83" s="510"/>
      <c r="AJ83" s="510"/>
      <c r="AK83" s="510"/>
      <c r="AL83" s="503"/>
      <c r="AM83" s="503"/>
      <c r="AN83" s="503"/>
      <c r="AO83" s="503"/>
      <c r="AP83" s="510"/>
      <c r="AQ83" s="510"/>
      <c r="AR83" s="510"/>
      <c r="AS83" s="510"/>
      <c r="AT83" s="528">
        <f>V83+AD83+AL83</f>
        <v>0</v>
      </c>
      <c r="AU83" s="528"/>
      <c r="AV83" s="528"/>
      <c r="AW83" s="528"/>
      <c r="AX83" s="507">
        <f t="shared" si="1"/>
        <v>0</v>
      </c>
      <c r="AY83" s="508"/>
      <c r="AZ83" s="508"/>
      <c r="BA83" s="509"/>
      <c r="BB83" s="8"/>
      <c r="BC83" s="172"/>
      <c r="BD83" s="515"/>
      <c r="BE83" s="515"/>
      <c r="BF83" s="515"/>
      <c r="BG83" s="515"/>
      <c r="BH83" s="515"/>
      <c r="BI83" s="515"/>
      <c r="BJ83" s="515"/>
      <c r="BK83" s="514"/>
      <c r="BL83" s="514"/>
      <c r="BM83" s="514"/>
      <c r="BN83" s="514"/>
      <c r="BO83" s="514"/>
      <c r="BP83" s="514"/>
      <c r="BQ83" s="514"/>
      <c r="BR83" s="514"/>
      <c r="BS83" s="514"/>
      <c r="BT83" s="514"/>
      <c r="BU83" s="514"/>
      <c r="BV83" s="514"/>
      <c r="BW83" s="514"/>
      <c r="BX83" s="514"/>
      <c r="BY83" s="514"/>
      <c r="BZ83" s="514"/>
      <c r="CA83" s="514"/>
      <c r="CB83" s="514"/>
      <c r="CC83" s="514"/>
      <c r="CD83" s="514"/>
      <c r="CE83" s="514"/>
      <c r="CF83" s="514"/>
      <c r="CG83" s="514"/>
      <c r="CH83" s="514"/>
      <c r="CI83" s="514"/>
      <c r="CJ83" s="514"/>
      <c r="CK83" s="514"/>
      <c r="CL83" s="514"/>
      <c r="CM83" s="514"/>
      <c r="CN83" s="514"/>
    </row>
    <row r="84" spans="1:92" s="9" customFormat="1" ht="13.2" customHeight="1" x14ac:dyDescent="0.25">
      <c r="A84" s="8"/>
      <c r="B84" s="541" t="s">
        <v>5555</v>
      </c>
      <c r="C84" s="541"/>
      <c r="D84" s="541"/>
      <c r="E84" s="541"/>
      <c r="F84" s="541"/>
      <c r="G84" s="541"/>
      <c r="H84" s="541"/>
      <c r="I84" s="541"/>
      <c r="J84" s="541"/>
      <c r="K84" s="541"/>
      <c r="L84" s="541"/>
      <c r="M84" s="541"/>
      <c r="N84" s="541"/>
      <c r="O84" s="541"/>
      <c r="P84" s="541"/>
      <c r="Q84" s="541"/>
      <c r="R84" s="541"/>
      <c r="S84" s="541"/>
      <c r="T84" s="541"/>
      <c r="U84" s="541"/>
      <c r="V84" s="517"/>
      <c r="W84" s="517"/>
      <c r="X84" s="517"/>
      <c r="Y84" s="517"/>
      <c r="Z84" s="517"/>
      <c r="AA84" s="517"/>
      <c r="AB84" s="517"/>
      <c r="AC84" s="517"/>
      <c r="AD84" s="503"/>
      <c r="AE84" s="503"/>
      <c r="AF84" s="503"/>
      <c r="AG84" s="503"/>
      <c r="AH84" s="510"/>
      <c r="AI84" s="510"/>
      <c r="AJ84" s="510"/>
      <c r="AK84" s="510"/>
      <c r="AL84" s="503"/>
      <c r="AM84" s="503"/>
      <c r="AN84" s="503"/>
      <c r="AO84" s="503"/>
      <c r="AP84" s="510"/>
      <c r="AQ84" s="510"/>
      <c r="AR84" s="510"/>
      <c r="AS84" s="510"/>
      <c r="AT84" s="528">
        <f t="shared" ref="AT84:AT85" si="4">V84+AD84+AL84</f>
        <v>0</v>
      </c>
      <c r="AU84" s="528"/>
      <c r="AV84" s="528"/>
      <c r="AW84" s="528"/>
      <c r="AX84" s="507">
        <f t="shared" si="1"/>
        <v>0</v>
      </c>
      <c r="AY84" s="508"/>
      <c r="AZ84" s="508"/>
      <c r="BA84" s="509"/>
      <c r="BB84" s="8"/>
      <c r="BC84" s="172"/>
      <c r="BD84" s="515"/>
      <c r="BE84" s="515"/>
      <c r="BF84" s="515"/>
      <c r="BG84" s="515"/>
      <c r="BH84" s="515"/>
      <c r="BI84" s="515"/>
      <c r="BJ84" s="515"/>
      <c r="BK84" s="514"/>
      <c r="BL84" s="514"/>
      <c r="BM84" s="514"/>
      <c r="BN84" s="514"/>
      <c r="BO84" s="514"/>
      <c r="BP84" s="514"/>
      <c r="BQ84" s="514"/>
      <c r="BR84" s="514"/>
      <c r="BS84" s="514"/>
      <c r="BT84" s="514"/>
      <c r="BU84" s="514"/>
      <c r="BV84" s="514"/>
      <c r="BW84" s="514"/>
      <c r="BX84" s="514"/>
      <c r="BY84" s="514"/>
      <c r="BZ84" s="514"/>
      <c r="CA84" s="514"/>
      <c r="CB84" s="514"/>
      <c r="CC84" s="514"/>
      <c r="CD84" s="514"/>
      <c r="CE84" s="514"/>
      <c r="CF84" s="514"/>
      <c r="CG84" s="514"/>
      <c r="CH84" s="514"/>
      <c r="CI84" s="514"/>
      <c r="CJ84" s="514"/>
      <c r="CK84" s="514"/>
      <c r="CL84" s="514"/>
      <c r="CM84" s="514"/>
      <c r="CN84" s="514"/>
    </row>
    <row r="85" spans="1:92" s="9" customFormat="1" ht="13.2" customHeight="1" x14ac:dyDescent="0.25">
      <c r="A85" s="8"/>
      <c r="B85" s="516" t="s">
        <v>5136</v>
      </c>
      <c r="C85" s="516"/>
      <c r="D85" s="516"/>
      <c r="E85" s="516"/>
      <c r="F85" s="516"/>
      <c r="G85" s="516"/>
      <c r="H85" s="516"/>
      <c r="I85" s="516"/>
      <c r="J85" s="516"/>
      <c r="K85" s="516"/>
      <c r="L85" s="516"/>
      <c r="M85" s="516"/>
      <c r="N85" s="516"/>
      <c r="O85" s="516"/>
      <c r="P85" s="516"/>
      <c r="Q85" s="516"/>
      <c r="R85" s="516"/>
      <c r="S85" s="516"/>
      <c r="T85" s="516"/>
      <c r="U85" s="516"/>
      <c r="V85" s="517"/>
      <c r="W85" s="517"/>
      <c r="X85" s="517"/>
      <c r="Y85" s="517"/>
      <c r="Z85" s="517"/>
      <c r="AA85" s="517"/>
      <c r="AB85" s="517"/>
      <c r="AC85" s="517"/>
      <c r="AD85" s="503"/>
      <c r="AE85" s="503"/>
      <c r="AF85" s="503"/>
      <c r="AG85" s="503"/>
      <c r="AH85" s="510"/>
      <c r="AI85" s="510"/>
      <c r="AJ85" s="510"/>
      <c r="AK85" s="510"/>
      <c r="AL85" s="503"/>
      <c r="AM85" s="503"/>
      <c r="AN85" s="503"/>
      <c r="AO85" s="503"/>
      <c r="AP85" s="510"/>
      <c r="AQ85" s="510"/>
      <c r="AR85" s="510"/>
      <c r="AS85" s="510"/>
      <c r="AT85" s="528">
        <f t="shared" si="4"/>
        <v>0</v>
      </c>
      <c r="AU85" s="528"/>
      <c r="AV85" s="528"/>
      <c r="AW85" s="528"/>
      <c r="AX85" s="507">
        <f t="shared" si="1"/>
        <v>0</v>
      </c>
      <c r="AY85" s="508"/>
      <c r="AZ85" s="508"/>
      <c r="BA85" s="509"/>
      <c r="BB85" s="8"/>
      <c r="BC85" s="172"/>
      <c r="BD85" s="515"/>
      <c r="BE85" s="515"/>
      <c r="BF85" s="515"/>
      <c r="BG85" s="515"/>
      <c r="BH85" s="515"/>
      <c r="BI85" s="515"/>
      <c r="BJ85" s="515"/>
      <c r="BK85" s="514"/>
      <c r="BL85" s="514"/>
      <c r="BM85" s="514"/>
      <c r="BN85" s="514"/>
      <c r="BO85" s="514"/>
      <c r="BP85" s="514"/>
      <c r="BQ85" s="514"/>
      <c r="BR85" s="514"/>
      <c r="BS85" s="514"/>
      <c r="BT85" s="514"/>
      <c r="BU85" s="514"/>
      <c r="BV85" s="514"/>
      <c r="BW85" s="514"/>
      <c r="BX85" s="514"/>
      <c r="BY85" s="514"/>
      <c r="BZ85" s="514"/>
      <c r="CA85" s="514"/>
      <c r="CB85" s="514"/>
      <c r="CC85" s="514"/>
      <c r="CD85" s="514"/>
      <c r="CE85" s="514"/>
      <c r="CF85" s="514"/>
      <c r="CG85" s="514"/>
      <c r="CH85" s="514"/>
      <c r="CI85" s="514"/>
      <c r="CJ85" s="514"/>
      <c r="CK85" s="514"/>
      <c r="CL85" s="514"/>
      <c r="CM85" s="514"/>
      <c r="CN85" s="514"/>
    </row>
    <row r="86" spans="1:92" s="29" customFormat="1" ht="13.5" customHeight="1" x14ac:dyDescent="0.25">
      <c r="A86" s="28"/>
      <c r="B86" s="550" t="s">
        <v>5319</v>
      </c>
      <c r="C86" s="551"/>
      <c r="D86" s="551"/>
      <c r="E86" s="551"/>
      <c r="F86" s="551"/>
      <c r="G86" s="551"/>
      <c r="H86" s="551"/>
      <c r="I86" s="551"/>
      <c r="J86" s="551"/>
      <c r="K86" s="551"/>
      <c r="L86" s="551"/>
      <c r="M86" s="551"/>
      <c r="N86" s="551"/>
      <c r="O86" s="551"/>
      <c r="P86" s="551"/>
      <c r="Q86" s="551"/>
      <c r="R86" s="551"/>
      <c r="S86" s="551"/>
      <c r="T86" s="551"/>
      <c r="U86" s="551"/>
      <c r="V86" s="501">
        <f>V78</f>
        <v>0</v>
      </c>
      <c r="W86" s="501"/>
      <c r="X86" s="501"/>
      <c r="Y86" s="501"/>
      <c r="Z86" s="544">
        <f>Z78</f>
        <v>0</v>
      </c>
      <c r="AA86" s="544"/>
      <c r="AB86" s="544"/>
      <c r="AC86" s="544"/>
      <c r="AD86" s="501">
        <f>AD78+AD84</f>
        <v>0</v>
      </c>
      <c r="AE86" s="501"/>
      <c r="AF86" s="501"/>
      <c r="AG86" s="501"/>
      <c r="AH86" s="544">
        <f>AH78+AH84</f>
        <v>0</v>
      </c>
      <c r="AI86" s="544"/>
      <c r="AJ86" s="544"/>
      <c r="AK86" s="544"/>
      <c r="AL86" s="501">
        <f>AL78+AL84</f>
        <v>0</v>
      </c>
      <c r="AM86" s="501"/>
      <c r="AN86" s="501"/>
      <c r="AO86" s="501"/>
      <c r="AP86" s="544">
        <f>AP78+AP84</f>
        <v>0</v>
      </c>
      <c r="AQ86" s="544"/>
      <c r="AR86" s="544"/>
      <c r="AS86" s="544"/>
      <c r="AT86" s="501">
        <f>AT78+AT84</f>
        <v>0</v>
      </c>
      <c r="AU86" s="501"/>
      <c r="AV86" s="501"/>
      <c r="AW86" s="501"/>
      <c r="AX86" s="507">
        <f>AX78+AX84</f>
        <v>0</v>
      </c>
      <c r="AY86" s="508"/>
      <c r="AZ86" s="508"/>
      <c r="BA86" s="509"/>
      <c r="BB86" s="28"/>
      <c r="BC86" s="174"/>
      <c r="BD86" s="515"/>
      <c r="BE86" s="515"/>
      <c r="BF86" s="515"/>
      <c r="BG86" s="515"/>
      <c r="BH86" s="515"/>
      <c r="BI86" s="515"/>
      <c r="BJ86" s="515"/>
      <c r="BK86" s="514"/>
      <c r="BL86" s="514"/>
      <c r="BM86" s="514"/>
      <c r="BN86" s="514"/>
      <c r="BO86" s="514"/>
      <c r="BP86" s="514"/>
      <c r="BQ86" s="514"/>
      <c r="BR86" s="514"/>
      <c r="BS86" s="514"/>
      <c r="BT86" s="514"/>
      <c r="BU86" s="514"/>
      <c r="BV86" s="514"/>
      <c r="BW86" s="514"/>
      <c r="BX86" s="514"/>
      <c r="BY86" s="514"/>
      <c r="BZ86" s="514"/>
      <c r="CA86" s="514"/>
      <c r="CB86" s="514"/>
      <c r="CC86" s="514"/>
      <c r="CD86" s="514"/>
      <c r="CE86" s="514"/>
      <c r="CF86" s="514"/>
      <c r="CG86" s="514"/>
      <c r="CH86" s="514"/>
      <c r="CI86" s="514"/>
      <c r="CJ86" s="514"/>
      <c r="CK86" s="514"/>
      <c r="CL86" s="514"/>
      <c r="CM86" s="514"/>
      <c r="CN86" s="514"/>
    </row>
    <row r="87" spans="1:92" s="11" customFormat="1" ht="8.4" x14ac:dyDescent="0.2">
      <c r="A87" s="10"/>
      <c r="B87" s="552" t="s">
        <v>5615</v>
      </c>
      <c r="C87" s="552"/>
      <c r="D87" s="552"/>
      <c r="E87" s="552"/>
      <c r="F87" s="552"/>
      <c r="G87" s="552"/>
      <c r="H87" s="552"/>
      <c r="I87" s="552"/>
      <c r="J87" s="552"/>
      <c r="K87" s="552"/>
      <c r="L87" s="552"/>
      <c r="M87" s="552"/>
      <c r="N87" s="552"/>
      <c r="O87" s="552"/>
      <c r="P87" s="552"/>
      <c r="Q87" s="552"/>
      <c r="R87" s="552"/>
      <c r="S87" s="552"/>
      <c r="T87" s="552"/>
      <c r="U87" s="552"/>
      <c r="V87" s="552"/>
      <c r="W87" s="552"/>
      <c r="X87" s="552"/>
      <c r="Y87" s="552"/>
      <c r="Z87" s="552"/>
      <c r="AA87" s="552"/>
      <c r="AB87" s="552"/>
      <c r="AC87" s="552"/>
      <c r="AD87" s="552"/>
      <c r="AE87" s="552"/>
      <c r="AF87" s="552"/>
      <c r="AG87" s="552"/>
      <c r="AH87" s="552"/>
      <c r="AI87" s="552"/>
      <c r="AJ87" s="552"/>
      <c r="AK87" s="552"/>
      <c r="AL87" s="552"/>
      <c r="AM87" s="552"/>
      <c r="AN87" s="552"/>
      <c r="AO87" s="552"/>
      <c r="AP87" s="552"/>
      <c r="AQ87" s="552"/>
      <c r="AR87" s="552"/>
      <c r="AS87" s="552"/>
      <c r="AT87" s="552"/>
      <c r="AU87" s="552"/>
      <c r="AV87" s="552"/>
      <c r="AW87" s="552"/>
      <c r="AX87" s="552"/>
      <c r="AY87" s="552"/>
      <c r="AZ87" s="552"/>
      <c r="BA87" s="552"/>
      <c r="BB87" s="10"/>
      <c r="BC87" s="173"/>
      <c r="BD87" s="515"/>
      <c r="BE87" s="515"/>
      <c r="BF87" s="515"/>
      <c r="BG87" s="515"/>
      <c r="BH87" s="515"/>
      <c r="BI87" s="515"/>
      <c r="BJ87" s="515"/>
      <c r="BK87" s="514"/>
      <c r="BL87" s="514"/>
      <c r="BM87" s="514"/>
      <c r="BN87" s="514"/>
      <c r="BO87" s="514"/>
      <c r="BP87" s="514"/>
      <c r="BQ87" s="514"/>
      <c r="BR87" s="514"/>
      <c r="BS87" s="514"/>
      <c r="BT87" s="514"/>
      <c r="BU87" s="514"/>
      <c r="BV87" s="514"/>
      <c r="BW87" s="514"/>
      <c r="BX87" s="514"/>
      <c r="BY87" s="514"/>
      <c r="BZ87" s="514"/>
      <c r="CA87" s="514"/>
      <c r="CB87" s="514"/>
      <c r="CC87" s="514"/>
      <c r="CD87" s="514"/>
      <c r="CE87" s="514"/>
      <c r="CF87" s="514"/>
      <c r="CG87" s="514"/>
      <c r="CH87" s="514"/>
      <c r="CI87" s="514"/>
      <c r="CJ87" s="514"/>
      <c r="CK87" s="514"/>
      <c r="CL87" s="514"/>
      <c r="CM87" s="514"/>
      <c r="CN87" s="514"/>
    </row>
    <row r="88" spans="1:92" s="11" customFormat="1" ht="8.4" x14ac:dyDescent="0.2">
      <c r="A88" s="10"/>
      <c r="B88" s="552"/>
      <c r="C88" s="552"/>
      <c r="D88" s="552"/>
      <c r="E88" s="552"/>
      <c r="F88" s="552"/>
      <c r="G88" s="552"/>
      <c r="H88" s="552"/>
      <c r="I88" s="552"/>
      <c r="J88" s="552"/>
      <c r="K88" s="552"/>
      <c r="L88" s="552"/>
      <c r="M88" s="552"/>
      <c r="N88" s="552"/>
      <c r="O88" s="552"/>
      <c r="P88" s="552"/>
      <c r="Q88" s="552"/>
      <c r="R88" s="552"/>
      <c r="S88" s="552"/>
      <c r="T88" s="552"/>
      <c r="U88" s="552"/>
      <c r="V88" s="552"/>
      <c r="W88" s="552"/>
      <c r="X88" s="552"/>
      <c r="Y88" s="552"/>
      <c r="Z88" s="552"/>
      <c r="AA88" s="552"/>
      <c r="AB88" s="552"/>
      <c r="AC88" s="552"/>
      <c r="AD88" s="552"/>
      <c r="AE88" s="552"/>
      <c r="AF88" s="552"/>
      <c r="AG88" s="552"/>
      <c r="AH88" s="552"/>
      <c r="AI88" s="552"/>
      <c r="AJ88" s="552"/>
      <c r="AK88" s="552"/>
      <c r="AL88" s="552"/>
      <c r="AM88" s="552"/>
      <c r="AN88" s="552"/>
      <c r="AO88" s="552"/>
      <c r="AP88" s="552"/>
      <c r="AQ88" s="552"/>
      <c r="AR88" s="552"/>
      <c r="AS88" s="552"/>
      <c r="AT88" s="552"/>
      <c r="AU88" s="552"/>
      <c r="AV88" s="552"/>
      <c r="AW88" s="552"/>
      <c r="AX88" s="552"/>
      <c r="AY88" s="552"/>
      <c r="AZ88" s="552"/>
      <c r="BA88" s="552"/>
      <c r="BB88" s="102"/>
      <c r="BD88" s="515"/>
      <c r="BE88" s="515"/>
      <c r="BF88" s="515"/>
      <c r="BG88" s="515"/>
      <c r="BH88" s="515"/>
      <c r="BI88" s="515"/>
      <c r="BJ88" s="515"/>
      <c r="BK88" s="514"/>
      <c r="BL88" s="514"/>
      <c r="BM88" s="514"/>
      <c r="BN88" s="514"/>
      <c r="BO88" s="514"/>
      <c r="BP88" s="514"/>
      <c r="BQ88" s="514"/>
      <c r="BR88" s="514"/>
      <c r="BS88" s="514"/>
      <c r="BT88" s="514"/>
      <c r="BU88" s="514"/>
      <c r="BV88" s="514"/>
      <c r="BW88" s="514"/>
      <c r="BX88" s="514"/>
      <c r="BY88" s="514"/>
      <c r="BZ88" s="514"/>
      <c r="CA88" s="514"/>
      <c r="CB88" s="514"/>
      <c r="CC88" s="514"/>
      <c r="CD88" s="514"/>
      <c r="CE88" s="514"/>
      <c r="CF88" s="514"/>
      <c r="CG88" s="514"/>
      <c r="CH88" s="514"/>
      <c r="CI88" s="514"/>
      <c r="CJ88" s="514"/>
      <c r="CK88" s="514"/>
      <c r="CL88" s="514"/>
      <c r="CM88" s="514"/>
      <c r="CN88" s="514"/>
    </row>
    <row r="89" spans="1:92" s="11" customFormat="1" ht="8.4" x14ac:dyDescent="0.2">
      <c r="A89" s="10"/>
      <c r="B89" s="553"/>
      <c r="C89" s="553"/>
      <c r="D89" s="553"/>
      <c r="E89" s="553"/>
      <c r="F89" s="553"/>
      <c r="G89" s="553"/>
      <c r="H89" s="553"/>
      <c r="I89" s="553"/>
      <c r="J89" s="553"/>
      <c r="K89" s="553"/>
      <c r="L89" s="553"/>
      <c r="M89" s="553"/>
      <c r="N89" s="553"/>
      <c r="O89" s="553"/>
      <c r="P89" s="553"/>
      <c r="Q89" s="553"/>
      <c r="R89" s="553"/>
      <c r="S89" s="553"/>
      <c r="T89" s="553"/>
      <c r="U89" s="553"/>
      <c r="V89" s="553"/>
      <c r="W89" s="553"/>
      <c r="X89" s="553"/>
      <c r="Y89" s="553"/>
      <c r="Z89" s="553"/>
      <c r="AA89" s="553"/>
      <c r="AB89" s="553"/>
      <c r="AC89" s="553"/>
      <c r="AD89" s="553"/>
      <c r="AE89" s="553"/>
      <c r="AF89" s="553"/>
      <c r="AG89" s="553"/>
      <c r="AH89" s="553"/>
      <c r="AI89" s="553"/>
      <c r="AJ89" s="553"/>
      <c r="AK89" s="553"/>
      <c r="AL89" s="553"/>
      <c r="AM89" s="553"/>
      <c r="AN89" s="553"/>
      <c r="AO89" s="553"/>
      <c r="AP89" s="553"/>
      <c r="AQ89" s="553"/>
      <c r="AR89" s="553"/>
      <c r="AS89" s="553"/>
      <c r="AT89" s="553"/>
      <c r="AU89" s="553"/>
      <c r="AV89" s="553"/>
      <c r="AW89" s="553"/>
      <c r="AX89" s="553"/>
      <c r="AY89" s="553"/>
      <c r="AZ89" s="553"/>
      <c r="BA89" s="553"/>
      <c r="BB89" s="10"/>
      <c r="BD89" s="515"/>
      <c r="BE89" s="515"/>
      <c r="BF89" s="515"/>
      <c r="BG89" s="515"/>
      <c r="BH89" s="515"/>
      <c r="BI89" s="515"/>
      <c r="BJ89" s="515"/>
      <c r="BK89" s="514"/>
      <c r="BL89" s="514"/>
      <c r="BM89" s="514"/>
      <c r="BN89" s="514"/>
      <c r="BO89" s="514"/>
      <c r="BP89" s="514"/>
      <c r="BQ89" s="514"/>
      <c r="BR89" s="514"/>
      <c r="BS89" s="514"/>
      <c r="BT89" s="514"/>
      <c r="BU89" s="514"/>
      <c r="BV89" s="514"/>
      <c r="BW89" s="514"/>
      <c r="BX89" s="514"/>
      <c r="BY89" s="514"/>
      <c r="BZ89" s="514"/>
      <c r="CA89" s="514"/>
      <c r="CB89" s="514"/>
      <c r="CC89" s="514"/>
      <c r="CD89" s="514"/>
      <c r="CE89" s="514"/>
      <c r="CF89" s="514"/>
      <c r="CG89" s="514"/>
      <c r="CH89" s="514"/>
      <c r="CI89" s="514"/>
      <c r="CJ89" s="514"/>
      <c r="CK89" s="514"/>
      <c r="CL89" s="514"/>
      <c r="CM89" s="514"/>
      <c r="CN89" s="514"/>
    </row>
    <row r="90" spans="1:92" s="7" customFormat="1" ht="6" x14ac:dyDescent="0.15">
      <c r="A90" s="6"/>
      <c r="B90" s="30"/>
      <c r="C90" s="30"/>
      <c r="D90" s="30"/>
      <c r="E90" s="30"/>
      <c r="F90" s="30"/>
      <c r="G90" s="30"/>
      <c r="H90" s="30"/>
      <c r="I90" s="30"/>
      <c r="J90" s="30"/>
      <c r="K90" s="30"/>
      <c r="L90" s="30"/>
      <c r="M90" s="31"/>
      <c r="N90" s="32"/>
      <c r="O90" s="32"/>
      <c r="P90" s="32"/>
      <c r="Q90" s="32"/>
      <c r="R90" s="32"/>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D90" s="514"/>
      <c r="BE90" s="514"/>
      <c r="BF90" s="514"/>
      <c r="BG90" s="514"/>
      <c r="BH90" s="514"/>
      <c r="BI90" s="514"/>
      <c r="BJ90" s="514"/>
      <c r="BK90" s="514"/>
      <c r="BL90" s="514"/>
      <c r="BM90" s="514"/>
      <c r="BN90" s="514"/>
      <c r="BO90" s="514"/>
      <c r="BP90" s="514"/>
      <c r="BQ90" s="514"/>
      <c r="BR90" s="514"/>
      <c r="BS90" s="514"/>
      <c r="BT90" s="514"/>
      <c r="BU90" s="514"/>
      <c r="BV90" s="514"/>
      <c r="BW90" s="514"/>
      <c r="BX90" s="514"/>
      <c r="BY90" s="514"/>
      <c r="BZ90" s="514"/>
      <c r="CA90" s="514"/>
      <c r="CB90" s="514"/>
      <c r="CC90" s="514"/>
      <c r="CD90" s="514"/>
      <c r="CE90" s="514"/>
      <c r="CF90" s="514"/>
      <c r="CG90" s="514"/>
      <c r="CH90" s="514"/>
      <c r="CI90" s="514"/>
      <c r="CJ90" s="514"/>
      <c r="CK90" s="514"/>
      <c r="CL90" s="514"/>
      <c r="CM90" s="514"/>
      <c r="CN90" s="514"/>
    </row>
    <row r="91" spans="1:92" s="9" customFormat="1" ht="13.5" customHeight="1" x14ac:dyDescent="0.25">
      <c r="A91" s="8"/>
      <c r="B91" s="498" t="s">
        <v>5142</v>
      </c>
      <c r="C91" s="499"/>
      <c r="D91" s="499"/>
      <c r="E91" s="499"/>
      <c r="F91" s="499"/>
      <c r="G91" s="499"/>
      <c r="H91" s="499"/>
      <c r="I91" s="499"/>
      <c r="J91" s="499"/>
      <c r="K91" s="499"/>
      <c r="L91" s="499"/>
      <c r="M91" s="499"/>
      <c r="N91" s="500"/>
      <c r="O91" s="539"/>
      <c r="P91" s="539"/>
      <c r="Q91" s="539"/>
      <c r="R91" s="539"/>
      <c r="S91" s="539"/>
      <c r="T91" s="539"/>
      <c r="U91" s="539"/>
      <c r="V91" s="539"/>
      <c r="W91" s="539"/>
      <c r="X91" s="539"/>
      <c r="Y91" s="539"/>
      <c r="Z91" s="539"/>
      <c r="AA91" s="539"/>
      <c r="AB91" s="539"/>
      <c r="AC91" s="539"/>
      <c r="AD91" s="97"/>
      <c r="AE91" s="207" t="s">
        <v>5143</v>
      </c>
      <c r="AF91" s="207"/>
      <c r="AG91" s="207"/>
      <c r="AH91" s="207"/>
      <c r="AI91" s="207"/>
      <c r="AJ91" s="207"/>
      <c r="AK91" s="207"/>
      <c r="AL91" s="207"/>
      <c r="AM91" s="207"/>
      <c r="AN91" s="207"/>
      <c r="AO91" s="207"/>
      <c r="AP91" s="207"/>
      <c r="AQ91" s="207"/>
      <c r="AR91" s="207"/>
      <c r="AS91" s="207"/>
      <c r="AT91" s="207"/>
      <c r="AU91" s="529"/>
      <c r="AV91" s="529"/>
      <c r="AW91" s="529"/>
      <c r="AX91" s="529"/>
      <c r="AY91" s="529"/>
      <c r="AZ91" s="529"/>
      <c r="BA91" s="529"/>
      <c r="BB91" s="8"/>
      <c r="BD91" s="514"/>
      <c r="BE91" s="514"/>
      <c r="BF91" s="514"/>
      <c r="BG91" s="514"/>
      <c r="BH91" s="514"/>
      <c r="BI91" s="514"/>
      <c r="BJ91" s="514"/>
      <c r="BK91" s="514"/>
      <c r="BL91" s="514"/>
      <c r="BM91" s="514"/>
      <c r="BN91" s="514"/>
      <c r="BO91" s="514"/>
      <c r="BP91" s="514"/>
      <c r="BQ91" s="514"/>
      <c r="BR91" s="514"/>
      <c r="BS91" s="514"/>
      <c r="BT91" s="514"/>
      <c r="BU91" s="514"/>
      <c r="BV91" s="514"/>
      <c r="BW91" s="514"/>
      <c r="BX91" s="514"/>
      <c r="BY91" s="514"/>
      <c r="BZ91" s="514"/>
      <c r="CA91" s="514"/>
      <c r="CB91" s="514"/>
      <c r="CC91" s="514"/>
      <c r="CD91" s="514"/>
      <c r="CE91" s="514"/>
      <c r="CF91" s="514"/>
      <c r="CG91" s="514"/>
      <c r="CH91" s="514"/>
      <c r="CI91" s="514"/>
      <c r="CJ91" s="514"/>
      <c r="CK91" s="514"/>
      <c r="CL91" s="514"/>
      <c r="CM91" s="514"/>
      <c r="CN91" s="514"/>
    </row>
    <row r="92" spans="1:92" s="9" customFormat="1" ht="13.5" customHeight="1" x14ac:dyDescent="0.25">
      <c r="A92" s="8"/>
      <c r="B92" s="498" t="s">
        <v>5182</v>
      </c>
      <c r="C92" s="499"/>
      <c r="D92" s="499"/>
      <c r="E92" s="499"/>
      <c r="F92" s="499"/>
      <c r="G92" s="499"/>
      <c r="H92" s="499"/>
      <c r="I92" s="499"/>
      <c r="J92" s="499"/>
      <c r="K92" s="499"/>
      <c r="L92" s="499"/>
      <c r="M92" s="499"/>
      <c r="N92" s="500"/>
      <c r="O92" s="539"/>
      <c r="P92" s="539"/>
      <c r="Q92" s="539"/>
      <c r="R92" s="539"/>
      <c r="S92" s="539"/>
      <c r="T92" s="539"/>
      <c r="U92" s="539"/>
      <c r="V92" s="539"/>
      <c r="W92" s="539"/>
      <c r="X92" s="539"/>
      <c r="Y92" s="539"/>
      <c r="Z92" s="539"/>
      <c r="AA92" s="539"/>
      <c r="AB92" s="539"/>
      <c r="AC92" s="539"/>
      <c r="AD92" s="97"/>
      <c r="AE92" s="207" t="s">
        <v>5144</v>
      </c>
      <c r="AF92" s="207"/>
      <c r="AG92" s="207"/>
      <c r="AH92" s="207"/>
      <c r="AI92" s="207"/>
      <c r="AJ92" s="207"/>
      <c r="AK92" s="207"/>
      <c r="AL92" s="207"/>
      <c r="AM92" s="207"/>
      <c r="AN92" s="207"/>
      <c r="AO92" s="207"/>
      <c r="AP92" s="207"/>
      <c r="AQ92" s="207"/>
      <c r="AR92" s="207"/>
      <c r="AS92" s="207"/>
      <c r="AT92" s="207"/>
      <c r="AU92" s="549">
        <f>AX78+AX81+AX83+AX84</f>
        <v>0</v>
      </c>
      <c r="AV92" s="549"/>
      <c r="AW92" s="549"/>
      <c r="AX92" s="549"/>
      <c r="AY92" s="549"/>
      <c r="AZ92" s="549"/>
      <c r="BA92" s="549"/>
      <c r="BB92" s="8"/>
      <c r="BD92" s="514"/>
      <c r="BE92" s="514"/>
      <c r="BF92" s="514"/>
      <c r="BG92" s="514"/>
      <c r="BH92" s="514"/>
      <c r="BI92" s="514"/>
      <c r="BJ92" s="514"/>
      <c r="BK92" s="514"/>
      <c r="BL92" s="514"/>
      <c r="BM92" s="514"/>
      <c r="BN92" s="514"/>
      <c r="BO92" s="514"/>
      <c r="BP92" s="514"/>
      <c r="BQ92" s="514"/>
      <c r="BR92" s="514"/>
      <c r="BS92" s="514"/>
      <c r="BT92" s="514"/>
      <c r="BU92" s="514"/>
      <c r="BV92" s="514"/>
      <c r="BW92" s="514"/>
      <c r="BX92" s="514"/>
      <c r="BY92" s="514"/>
      <c r="BZ92" s="514"/>
      <c r="CA92" s="514"/>
      <c r="CB92" s="514"/>
      <c r="CC92" s="514"/>
      <c r="CD92" s="514"/>
      <c r="CE92" s="514"/>
      <c r="CF92" s="514"/>
      <c r="CG92" s="514"/>
      <c r="CH92" s="514"/>
      <c r="CI92" s="514"/>
      <c r="CJ92" s="514"/>
      <c r="CK92" s="514"/>
      <c r="CL92" s="514"/>
      <c r="CM92" s="514"/>
      <c r="CN92" s="514"/>
    </row>
    <row r="93" spans="1:92" s="9" customFormat="1" ht="13.5" customHeight="1" x14ac:dyDescent="0.25">
      <c r="A93" s="8"/>
      <c r="B93" s="498" t="s">
        <v>5183</v>
      </c>
      <c r="C93" s="499"/>
      <c r="D93" s="499"/>
      <c r="E93" s="499"/>
      <c r="F93" s="499"/>
      <c r="G93" s="499"/>
      <c r="H93" s="499"/>
      <c r="I93" s="499"/>
      <c r="J93" s="499"/>
      <c r="K93" s="499"/>
      <c r="L93" s="499"/>
      <c r="M93" s="499"/>
      <c r="N93" s="500"/>
      <c r="O93" s="539"/>
      <c r="P93" s="539"/>
      <c r="Q93" s="539"/>
      <c r="R93" s="539"/>
      <c r="S93" s="539"/>
      <c r="T93" s="539"/>
      <c r="U93" s="539"/>
      <c r="V93" s="539"/>
      <c r="W93" s="539"/>
      <c r="X93" s="539"/>
      <c r="Y93" s="539"/>
      <c r="Z93" s="539"/>
      <c r="AA93" s="539"/>
      <c r="AB93" s="539"/>
      <c r="AC93" s="539"/>
      <c r="AD93" s="97"/>
      <c r="AE93" s="207" t="s">
        <v>5145</v>
      </c>
      <c r="AF93" s="207"/>
      <c r="AG93" s="207"/>
      <c r="AH93" s="207"/>
      <c r="AI93" s="207"/>
      <c r="AJ93" s="207"/>
      <c r="AK93" s="207"/>
      <c r="AL93" s="207"/>
      <c r="AM93" s="207"/>
      <c r="AN93" s="207"/>
      <c r="AO93" s="207"/>
      <c r="AP93" s="207"/>
      <c r="AQ93" s="207"/>
      <c r="AR93" s="207"/>
      <c r="AS93" s="207"/>
      <c r="AT93" s="207"/>
      <c r="AU93" s="529"/>
      <c r="AV93" s="529"/>
      <c r="AW93" s="529"/>
      <c r="AX93" s="529"/>
      <c r="AY93" s="529"/>
      <c r="AZ93" s="529"/>
      <c r="BA93" s="529"/>
      <c r="BB93" s="8"/>
      <c r="BD93" s="514"/>
      <c r="BE93" s="514"/>
      <c r="BF93" s="514"/>
      <c r="BG93" s="514"/>
      <c r="BH93" s="514"/>
      <c r="BI93" s="514"/>
      <c r="BJ93" s="514"/>
      <c r="BK93" s="514"/>
      <c r="BL93" s="514"/>
      <c r="BM93" s="514"/>
      <c r="BN93" s="514"/>
      <c r="BO93" s="514"/>
      <c r="BP93" s="514"/>
      <c r="BQ93" s="514"/>
      <c r="BR93" s="514"/>
      <c r="BS93" s="514"/>
      <c r="BT93" s="514"/>
      <c r="BU93" s="514"/>
      <c r="BV93" s="514"/>
      <c r="BW93" s="514"/>
      <c r="BX93" s="514"/>
      <c r="BY93" s="514"/>
      <c r="BZ93" s="514"/>
      <c r="CA93" s="514"/>
      <c r="CB93" s="514"/>
      <c r="CC93" s="514"/>
      <c r="CD93" s="514"/>
      <c r="CE93" s="514"/>
      <c r="CF93" s="514"/>
      <c r="CG93" s="514"/>
      <c r="CH93" s="514"/>
      <c r="CI93" s="514"/>
      <c r="CJ93" s="514"/>
      <c r="CK93" s="514"/>
      <c r="CL93" s="514"/>
      <c r="CM93" s="514"/>
      <c r="CN93" s="514"/>
    </row>
    <row r="94" spans="1:92" s="9" customFormat="1" ht="13.5" customHeight="1" x14ac:dyDescent="0.25">
      <c r="A94" s="8"/>
      <c r="B94" s="495" t="s">
        <v>5463</v>
      </c>
      <c r="C94" s="496"/>
      <c r="D94" s="496"/>
      <c r="E94" s="496"/>
      <c r="F94" s="496"/>
      <c r="G94" s="496"/>
      <c r="H94" s="496"/>
      <c r="I94" s="496"/>
      <c r="J94" s="496"/>
      <c r="K94" s="496"/>
      <c r="L94" s="496"/>
      <c r="M94" s="496"/>
      <c r="N94" s="497"/>
      <c r="O94" s="539"/>
      <c r="P94" s="539"/>
      <c r="Q94" s="539"/>
      <c r="R94" s="539"/>
      <c r="S94" s="539"/>
      <c r="T94" s="539"/>
      <c r="U94" s="539"/>
      <c r="V94" s="539"/>
      <c r="W94" s="539"/>
      <c r="X94" s="539"/>
      <c r="Y94" s="539"/>
      <c r="Z94" s="539"/>
      <c r="AA94" s="539"/>
      <c r="AB94" s="539"/>
      <c r="AC94" s="539"/>
      <c r="AD94" s="97"/>
      <c r="AE94" s="207" t="s">
        <v>5146</v>
      </c>
      <c r="AF94" s="207"/>
      <c r="AG94" s="207"/>
      <c r="AH94" s="207"/>
      <c r="AI94" s="207"/>
      <c r="AJ94" s="207"/>
      <c r="AK94" s="207"/>
      <c r="AL94" s="207"/>
      <c r="AM94" s="207"/>
      <c r="AN94" s="207"/>
      <c r="AO94" s="207"/>
      <c r="AP94" s="207"/>
      <c r="AQ94" s="207"/>
      <c r="AR94" s="207"/>
      <c r="AS94" s="207"/>
      <c r="AT94" s="207"/>
      <c r="AU94" s="529"/>
      <c r="AV94" s="529"/>
      <c r="AW94" s="529"/>
      <c r="AX94" s="529"/>
      <c r="AY94" s="529"/>
      <c r="AZ94" s="529"/>
      <c r="BA94" s="529"/>
      <c r="BB94" s="8"/>
      <c r="BD94" s="514"/>
      <c r="BE94" s="514"/>
      <c r="BF94" s="514"/>
      <c r="BG94" s="514"/>
      <c r="BH94" s="514"/>
      <c r="BI94" s="514"/>
      <c r="BJ94" s="514"/>
      <c r="BK94" s="514"/>
      <c r="BL94" s="514"/>
      <c r="BM94" s="514"/>
      <c r="BN94" s="514"/>
      <c r="BO94" s="514"/>
      <c r="BP94" s="514"/>
      <c r="BQ94" s="514"/>
      <c r="BR94" s="514"/>
      <c r="BS94" s="514"/>
      <c r="BT94" s="514"/>
      <c r="BU94" s="514"/>
      <c r="BV94" s="514"/>
      <c r="BW94" s="514"/>
      <c r="BX94" s="514"/>
      <c r="BY94" s="514"/>
      <c r="BZ94" s="514"/>
      <c r="CA94" s="514"/>
      <c r="CB94" s="514"/>
      <c r="CC94" s="514"/>
      <c r="CD94" s="514"/>
      <c r="CE94" s="514"/>
      <c r="CF94" s="514"/>
      <c r="CG94" s="514"/>
      <c r="CH94" s="514"/>
      <c r="CI94" s="514"/>
      <c r="CJ94" s="514"/>
      <c r="CK94" s="514"/>
      <c r="CL94" s="514"/>
      <c r="CM94" s="514"/>
      <c r="CN94" s="514"/>
    </row>
    <row r="95" spans="1:92" s="9" customFormat="1" ht="8.25" customHeight="1" x14ac:dyDescent="0.25">
      <c r="A95" s="8"/>
      <c r="B95" s="543" t="s">
        <v>5613</v>
      </c>
      <c r="C95" s="543"/>
      <c r="D95" s="543"/>
      <c r="E95" s="543"/>
      <c r="F95" s="543"/>
      <c r="G95" s="543"/>
      <c r="H95" s="543"/>
      <c r="I95" s="543"/>
      <c r="J95" s="543"/>
      <c r="K95" s="543"/>
      <c r="L95" s="543"/>
      <c r="M95" s="543"/>
      <c r="N95" s="543"/>
      <c r="O95" s="543"/>
      <c r="P95" s="543"/>
      <c r="Q95" s="543"/>
      <c r="R95" s="543"/>
      <c r="S95" s="543"/>
      <c r="T95" s="543"/>
      <c r="U95" s="543"/>
      <c r="V95" s="543"/>
      <c r="W95" s="543"/>
      <c r="X95" s="543"/>
      <c r="Y95" s="543"/>
      <c r="Z95" s="543"/>
      <c r="AA95" s="543"/>
      <c r="AB95" s="543"/>
      <c r="AC95" s="543"/>
      <c r="AD95" s="543"/>
      <c r="AE95" s="543"/>
      <c r="AF95" s="543"/>
      <c r="AG95" s="543"/>
      <c r="AH95" s="543"/>
      <c r="AI95" s="543"/>
      <c r="AJ95" s="543"/>
      <c r="AK95" s="543"/>
      <c r="AL95" s="543"/>
      <c r="AM95" s="543"/>
      <c r="AN95" s="543"/>
      <c r="AO95" s="543"/>
      <c r="AP95" s="543"/>
      <c r="AQ95" s="543"/>
      <c r="AR95" s="543"/>
      <c r="AS95" s="543"/>
      <c r="AT95" s="543"/>
      <c r="AU95" s="543"/>
      <c r="AV95" s="543"/>
      <c r="AW95" s="543"/>
      <c r="AX95" s="543"/>
      <c r="AY95" s="543"/>
      <c r="AZ95" s="543"/>
      <c r="BA95" s="543"/>
      <c r="BB95" s="8"/>
      <c r="BD95" s="514"/>
      <c r="BE95" s="514"/>
      <c r="BF95" s="514"/>
      <c r="BG95" s="514"/>
      <c r="BH95" s="514"/>
      <c r="BI95" s="514"/>
      <c r="BJ95" s="514"/>
      <c r="BK95" s="514"/>
      <c r="BL95" s="514"/>
      <c r="BM95" s="514"/>
      <c r="BN95" s="514"/>
      <c r="BO95" s="514"/>
      <c r="BP95" s="514"/>
      <c r="BQ95" s="514"/>
      <c r="BR95" s="514"/>
      <c r="BS95" s="514"/>
      <c r="BT95" s="514"/>
      <c r="BU95" s="514"/>
      <c r="BV95" s="514"/>
      <c r="BW95" s="514"/>
      <c r="BX95" s="514"/>
      <c r="BY95" s="514"/>
      <c r="BZ95" s="514"/>
      <c r="CA95" s="514"/>
      <c r="CB95" s="514"/>
      <c r="CC95" s="514"/>
      <c r="CD95" s="514"/>
      <c r="CE95" s="514"/>
      <c r="CF95" s="514"/>
      <c r="CG95" s="514"/>
      <c r="CH95" s="514"/>
      <c r="CI95" s="514"/>
      <c r="CJ95" s="514"/>
      <c r="CK95" s="514"/>
      <c r="CL95" s="514"/>
      <c r="CM95" s="514"/>
      <c r="CN95" s="514"/>
    </row>
    <row r="96" spans="1:92" s="6" customFormat="1" ht="6" x14ac:dyDescent="0.15">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12"/>
      <c r="AH96" s="34"/>
      <c r="AX96" s="35"/>
      <c r="AY96" s="35"/>
      <c r="AZ96" s="35"/>
      <c r="BA96" s="35"/>
    </row>
    <row r="97" spans="1:89" s="9" customFormat="1" ht="14.25" customHeight="1" x14ac:dyDescent="0.3">
      <c r="A97" s="8"/>
      <c r="B97" s="534" t="s">
        <v>5157</v>
      </c>
      <c r="C97" s="535"/>
      <c r="D97" s="535"/>
      <c r="E97" s="535"/>
      <c r="F97" s="535"/>
      <c r="G97" s="535"/>
      <c r="H97" s="535"/>
      <c r="I97" s="535"/>
      <c r="J97" s="535"/>
      <c r="K97" s="535"/>
      <c r="L97" s="535"/>
      <c r="M97" s="535"/>
      <c r="N97" s="535"/>
      <c r="O97" s="536" t="s">
        <v>5160</v>
      </c>
      <c r="P97" s="537"/>
      <c r="Q97" s="537"/>
      <c r="R97" s="537"/>
      <c r="S97" s="537"/>
      <c r="T97" s="504" t="s">
        <v>5159</v>
      </c>
      <c r="U97" s="505"/>
      <c r="V97" s="505"/>
      <c r="W97" s="505"/>
      <c r="X97" s="505"/>
      <c r="Y97" s="505"/>
      <c r="Z97" s="505"/>
      <c r="AA97" s="505"/>
      <c r="AB97" s="505"/>
      <c r="AC97" s="505"/>
      <c r="AD97" s="505"/>
      <c r="AE97" s="505"/>
      <c r="AF97" s="505"/>
      <c r="AG97" s="505"/>
      <c r="AH97" s="505"/>
      <c r="AI97" s="505"/>
      <c r="AJ97" s="505"/>
      <c r="AK97" s="505"/>
      <c r="AL97" s="505"/>
      <c r="AM97" s="505"/>
      <c r="AN97" s="505"/>
      <c r="AO97" s="505"/>
      <c r="AP97" s="505"/>
      <c r="AQ97" s="505"/>
      <c r="AR97" s="505"/>
      <c r="AS97" s="505"/>
      <c r="AT97" s="505"/>
      <c r="AU97" s="505"/>
      <c r="AV97" s="505"/>
      <c r="AW97" s="505"/>
      <c r="AX97" s="505"/>
      <c r="AY97" s="505"/>
      <c r="AZ97" s="505"/>
      <c r="BA97" s="506"/>
      <c r="BB97" s="8"/>
    </row>
    <row r="98" spans="1:89" s="9" customFormat="1" ht="13.5" customHeight="1" x14ac:dyDescent="0.3">
      <c r="A98" s="8"/>
      <c r="B98" s="394" t="s">
        <v>5214</v>
      </c>
      <c r="C98" s="395"/>
      <c r="D98" s="395"/>
      <c r="E98" s="395"/>
      <c r="F98" s="395"/>
      <c r="G98" s="395"/>
      <c r="H98" s="395"/>
      <c r="I98" s="395"/>
      <c r="J98" s="395"/>
      <c r="K98" s="395"/>
      <c r="L98" s="395"/>
      <c r="M98" s="395"/>
      <c r="N98" s="396"/>
      <c r="O98" s="392"/>
      <c r="P98" s="393"/>
      <c r="Q98" s="393"/>
      <c r="R98" s="393"/>
      <c r="S98" s="393"/>
      <c r="T98" s="397"/>
      <c r="U98" s="357"/>
      <c r="V98" s="357"/>
      <c r="W98" s="357"/>
      <c r="X98" s="357"/>
      <c r="Y98" s="357"/>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8"/>
      <c r="BB98" s="8"/>
    </row>
    <row r="99" spans="1:89" s="9" customFormat="1" ht="12.75" customHeight="1" x14ac:dyDescent="0.3">
      <c r="A99" s="8"/>
      <c r="B99" s="394" t="s">
        <v>5158</v>
      </c>
      <c r="C99" s="395"/>
      <c r="D99" s="395"/>
      <c r="E99" s="395"/>
      <c r="F99" s="395"/>
      <c r="G99" s="395"/>
      <c r="H99" s="395"/>
      <c r="I99" s="395"/>
      <c r="J99" s="395"/>
      <c r="K99" s="395"/>
      <c r="L99" s="395"/>
      <c r="M99" s="395"/>
      <c r="N99" s="396"/>
      <c r="O99" s="392"/>
      <c r="P99" s="393"/>
      <c r="Q99" s="393"/>
      <c r="R99" s="393"/>
      <c r="S99" s="393"/>
      <c r="T99" s="397"/>
      <c r="U99" s="357"/>
      <c r="V99" s="357"/>
      <c r="W99" s="357"/>
      <c r="X99" s="357"/>
      <c r="Y99" s="357"/>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8"/>
      <c r="BB99" s="8"/>
    </row>
    <row r="100" spans="1:89" s="9" customFormat="1" ht="12.75" customHeight="1" x14ac:dyDescent="0.3">
      <c r="A100" s="8"/>
      <c r="B100" s="394" t="s">
        <v>5213</v>
      </c>
      <c r="C100" s="395"/>
      <c r="D100" s="395"/>
      <c r="E100" s="395"/>
      <c r="F100" s="395"/>
      <c r="G100" s="395"/>
      <c r="H100" s="395"/>
      <c r="I100" s="395"/>
      <c r="J100" s="395"/>
      <c r="K100" s="395"/>
      <c r="L100" s="395"/>
      <c r="M100" s="395"/>
      <c r="N100" s="396"/>
      <c r="O100" s="392"/>
      <c r="P100" s="393"/>
      <c r="Q100" s="393"/>
      <c r="R100" s="393"/>
      <c r="S100" s="393"/>
      <c r="T100" s="397"/>
      <c r="U100" s="357"/>
      <c r="V100" s="357"/>
      <c r="W100" s="357"/>
      <c r="X100" s="357"/>
      <c r="Y100" s="357"/>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8"/>
      <c r="BB100" s="8"/>
    </row>
    <row r="101" spans="1:89" s="37" customFormat="1" ht="8.4" x14ac:dyDescent="0.2">
      <c r="A101" s="22"/>
      <c r="B101" s="36" t="s">
        <v>5637</v>
      </c>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22"/>
    </row>
    <row r="102" spans="1:89" s="37" customFormat="1" ht="8.4" x14ac:dyDescent="0.2">
      <c r="A102" s="22"/>
      <c r="B102" s="36" t="s">
        <v>5287</v>
      </c>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22"/>
    </row>
    <row r="103" spans="1:89" s="37" customFormat="1" ht="8.4" x14ac:dyDescent="0.2">
      <c r="A103" s="22"/>
      <c r="B103" s="36"/>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22"/>
    </row>
    <row r="104" spans="1:89" s="37" customFormat="1" ht="15.75" customHeight="1" x14ac:dyDescent="0.2">
      <c r="A104" s="22"/>
      <c r="B104" s="472" t="s">
        <v>5244</v>
      </c>
      <c r="C104" s="473"/>
      <c r="D104" s="473"/>
      <c r="E104" s="473"/>
      <c r="F104" s="473"/>
      <c r="G104" s="473"/>
      <c r="H104" s="473"/>
      <c r="I104" s="473"/>
      <c r="J104" s="473"/>
      <c r="K104" s="473"/>
      <c r="L104" s="473"/>
      <c r="M104" s="473"/>
      <c r="N104" s="473"/>
      <c r="O104" s="473"/>
      <c r="P104" s="473"/>
      <c r="Q104" s="473"/>
      <c r="R104" s="473"/>
      <c r="S104" s="473"/>
      <c r="T104" s="473"/>
      <c r="U104" s="474"/>
      <c r="V104" s="481" t="s">
        <v>5553</v>
      </c>
      <c r="W104" s="481"/>
      <c r="X104" s="481"/>
      <c r="Y104" s="481"/>
      <c r="Z104" s="481"/>
      <c r="AA104" s="481"/>
      <c r="AB104" s="481"/>
      <c r="AC104" s="481"/>
      <c r="AD104" s="475" t="s">
        <v>5554</v>
      </c>
      <c r="AE104" s="475"/>
      <c r="AF104" s="475"/>
      <c r="AG104" s="475"/>
      <c r="AH104" s="475"/>
      <c r="AI104" s="475"/>
      <c r="AJ104" s="475"/>
      <c r="AK104" s="475"/>
      <c r="AL104" s="475" t="s">
        <v>5268</v>
      </c>
      <c r="AM104" s="475"/>
      <c r="AN104" s="475"/>
      <c r="AO104" s="475"/>
      <c r="AP104" s="475"/>
      <c r="AQ104" s="475"/>
      <c r="AR104" s="475"/>
      <c r="AS104" s="475"/>
      <c r="AT104" s="439" t="s">
        <v>5133</v>
      </c>
      <c r="AU104" s="440"/>
      <c r="AV104" s="440"/>
      <c r="AW104" s="440"/>
      <c r="AX104" s="440"/>
      <c r="AY104" s="440"/>
      <c r="AZ104" s="440"/>
      <c r="BA104" s="441"/>
      <c r="BB104" s="22"/>
    </row>
    <row r="105" spans="1:89" s="37" customFormat="1" ht="45.75" customHeight="1" x14ac:dyDescent="0.2">
      <c r="A105" s="22"/>
      <c r="B105" s="472" t="s">
        <v>5309</v>
      </c>
      <c r="C105" s="473"/>
      <c r="D105" s="473"/>
      <c r="E105" s="473"/>
      <c r="F105" s="473"/>
      <c r="G105" s="473"/>
      <c r="H105" s="473"/>
      <c r="I105" s="473"/>
      <c r="J105" s="473"/>
      <c r="K105" s="473"/>
      <c r="L105" s="473"/>
      <c r="M105" s="473"/>
      <c r="N105" s="473"/>
      <c r="O105" s="473"/>
      <c r="P105" s="473"/>
      <c r="Q105" s="473"/>
      <c r="R105" s="473"/>
      <c r="S105" s="473"/>
      <c r="T105" s="473"/>
      <c r="U105" s="474"/>
      <c r="V105" s="481"/>
      <c r="W105" s="481"/>
      <c r="X105" s="481"/>
      <c r="Y105" s="481"/>
      <c r="Z105" s="481"/>
      <c r="AA105" s="481"/>
      <c r="AB105" s="481"/>
      <c r="AC105" s="481"/>
      <c r="AD105" s="475"/>
      <c r="AE105" s="475"/>
      <c r="AF105" s="475"/>
      <c r="AG105" s="475"/>
      <c r="AH105" s="475"/>
      <c r="AI105" s="475"/>
      <c r="AJ105" s="475"/>
      <c r="AK105" s="475"/>
      <c r="AL105" s="475"/>
      <c r="AM105" s="475"/>
      <c r="AN105" s="475"/>
      <c r="AO105" s="475"/>
      <c r="AP105" s="475"/>
      <c r="AQ105" s="475"/>
      <c r="AR105" s="475"/>
      <c r="AS105" s="475"/>
      <c r="AT105" s="442"/>
      <c r="AU105" s="443"/>
      <c r="AV105" s="443"/>
      <c r="AW105" s="443"/>
      <c r="AX105" s="443"/>
      <c r="AY105" s="443"/>
      <c r="AZ105" s="443"/>
      <c r="BA105" s="444"/>
      <c r="BB105" s="22"/>
    </row>
    <row r="106" spans="1:89" s="37" customFormat="1" ht="12" customHeight="1" x14ac:dyDescent="0.25">
      <c r="A106" s="22"/>
      <c r="B106" s="469" t="s">
        <v>5460</v>
      </c>
      <c r="C106" s="470"/>
      <c r="D106" s="470"/>
      <c r="E106" s="470"/>
      <c r="F106" s="470"/>
      <c r="G106" s="470"/>
      <c r="H106" s="470"/>
      <c r="I106" s="470"/>
      <c r="J106" s="470"/>
      <c r="K106" s="470"/>
      <c r="L106" s="470"/>
      <c r="M106" s="470"/>
      <c r="N106" s="470"/>
      <c r="O106" s="470"/>
      <c r="P106" s="470"/>
      <c r="Q106" s="470"/>
      <c r="R106" s="470"/>
      <c r="S106" s="470"/>
      <c r="T106" s="470"/>
      <c r="U106" s="471"/>
      <c r="V106" s="360"/>
      <c r="W106" s="360"/>
      <c r="X106" s="360"/>
      <c r="Y106" s="360"/>
      <c r="Z106" s="360"/>
      <c r="AA106" s="360"/>
      <c r="AB106" s="360"/>
      <c r="AC106" s="360"/>
      <c r="AD106" s="360"/>
      <c r="AE106" s="360"/>
      <c r="AF106" s="360"/>
      <c r="AG106" s="360"/>
      <c r="AH106" s="360"/>
      <c r="AI106" s="360"/>
      <c r="AJ106" s="360"/>
      <c r="AK106" s="360"/>
      <c r="AL106" s="360"/>
      <c r="AM106" s="360"/>
      <c r="AN106" s="360"/>
      <c r="AO106" s="360"/>
      <c r="AP106" s="360"/>
      <c r="AQ106" s="360"/>
      <c r="AR106" s="360"/>
      <c r="AS106" s="360"/>
      <c r="AT106" s="377">
        <f>V106+AD106+AL106</f>
        <v>0</v>
      </c>
      <c r="AU106" s="378"/>
      <c r="AV106" s="378"/>
      <c r="AW106" s="378"/>
      <c r="AX106" s="378"/>
      <c r="AY106" s="378"/>
      <c r="AZ106" s="378"/>
      <c r="BA106" s="379"/>
      <c r="BB106" s="22"/>
      <c r="BD106" s="329" t="s">
        <v>5556</v>
      </c>
      <c r="BE106" s="330"/>
      <c r="BF106" s="330"/>
      <c r="BG106" s="330"/>
      <c r="BH106" s="330"/>
      <c r="BI106" s="330"/>
      <c r="BJ106" s="330"/>
      <c r="BK106" s="330"/>
      <c r="BL106" s="330"/>
      <c r="BM106" s="330"/>
      <c r="BN106" s="330"/>
      <c r="BO106" s="330"/>
      <c r="BP106" s="330"/>
      <c r="BQ106" s="330"/>
      <c r="BR106" s="330"/>
      <c r="BS106" s="330"/>
      <c r="BT106" s="330"/>
      <c r="BU106" s="330"/>
      <c r="BV106" s="330"/>
      <c r="BW106" s="330"/>
      <c r="BX106" s="330"/>
      <c r="BY106" s="330"/>
      <c r="BZ106" s="330"/>
      <c r="CA106" s="330"/>
      <c r="CB106" s="330"/>
      <c r="CC106" s="330"/>
      <c r="CD106" s="330"/>
      <c r="CE106" s="330"/>
      <c r="CF106" s="330"/>
      <c r="CG106" s="330"/>
      <c r="CH106" s="330"/>
      <c r="CI106" s="330"/>
      <c r="CJ106" s="330"/>
      <c r="CK106" s="330"/>
    </row>
    <row r="107" spans="1:89" s="37" customFormat="1" ht="12" customHeight="1" x14ac:dyDescent="0.25">
      <c r="A107" s="22"/>
      <c r="B107" s="361" t="s">
        <v>5373</v>
      </c>
      <c r="C107" s="361"/>
      <c r="D107" s="361"/>
      <c r="E107" s="361"/>
      <c r="F107" s="361"/>
      <c r="G107" s="361"/>
      <c r="H107" s="361"/>
      <c r="I107" s="361"/>
      <c r="J107" s="361"/>
      <c r="K107" s="361"/>
      <c r="L107" s="361"/>
      <c r="M107" s="361"/>
      <c r="N107" s="361"/>
      <c r="O107" s="361"/>
      <c r="P107" s="361"/>
      <c r="Q107" s="361"/>
      <c r="R107" s="361"/>
      <c r="S107" s="361"/>
      <c r="T107" s="361"/>
      <c r="U107" s="361"/>
      <c r="V107" s="360"/>
      <c r="W107" s="360"/>
      <c r="X107" s="360"/>
      <c r="Y107" s="360"/>
      <c r="Z107" s="360"/>
      <c r="AA107" s="360"/>
      <c r="AB107" s="360"/>
      <c r="AC107" s="360"/>
      <c r="AD107" s="360"/>
      <c r="AE107" s="360"/>
      <c r="AF107" s="360"/>
      <c r="AG107" s="360"/>
      <c r="AH107" s="360"/>
      <c r="AI107" s="360"/>
      <c r="AJ107" s="360"/>
      <c r="AK107" s="360"/>
      <c r="AL107" s="360"/>
      <c r="AM107" s="360"/>
      <c r="AN107" s="360"/>
      <c r="AO107" s="360"/>
      <c r="AP107" s="360"/>
      <c r="AQ107" s="360"/>
      <c r="AR107" s="360"/>
      <c r="AS107" s="360"/>
      <c r="AT107" s="377">
        <f t="shared" ref="AT107:AT113" si="5">V107+AD107+AL107</f>
        <v>0</v>
      </c>
      <c r="AU107" s="378"/>
      <c r="AV107" s="378"/>
      <c r="AW107" s="378"/>
      <c r="AX107" s="378"/>
      <c r="AY107" s="378"/>
      <c r="AZ107" s="378"/>
      <c r="BA107" s="379"/>
      <c r="BB107" s="22"/>
      <c r="BD107" s="330"/>
      <c r="BE107" s="330"/>
      <c r="BF107" s="330"/>
      <c r="BG107" s="330"/>
      <c r="BH107" s="330"/>
      <c r="BI107" s="330"/>
      <c r="BJ107" s="330"/>
      <c r="BK107" s="330"/>
      <c r="BL107" s="330"/>
      <c r="BM107" s="330"/>
      <c r="BN107" s="330"/>
      <c r="BO107" s="330"/>
      <c r="BP107" s="330"/>
      <c r="BQ107" s="330"/>
      <c r="BR107" s="330"/>
      <c r="BS107" s="330"/>
      <c r="BT107" s="330"/>
      <c r="BU107" s="330"/>
      <c r="BV107" s="330"/>
      <c r="BW107" s="330"/>
      <c r="BX107" s="330"/>
      <c r="BY107" s="330"/>
      <c r="BZ107" s="330"/>
      <c r="CA107" s="330"/>
      <c r="CB107" s="330"/>
      <c r="CC107" s="330"/>
      <c r="CD107" s="330"/>
      <c r="CE107" s="330"/>
      <c r="CF107" s="330"/>
      <c r="CG107" s="330"/>
      <c r="CH107" s="330"/>
      <c r="CI107" s="330"/>
      <c r="CJ107" s="330"/>
      <c r="CK107" s="330"/>
    </row>
    <row r="108" spans="1:89" s="37" customFormat="1" ht="12" customHeight="1" x14ac:dyDescent="0.25">
      <c r="A108" s="22"/>
      <c r="B108" s="361" t="s">
        <v>5374</v>
      </c>
      <c r="C108" s="361"/>
      <c r="D108" s="361"/>
      <c r="E108" s="361"/>
      <c r="F108" s="361"/>
      <c r="G108" s="361"/>
      <c r="H108" s="361"/>
      <c r="I108" s="361"/>
      <c r="J108" s="361"/>
      <c r="K108" s="361"/>
      <c r="L108" s="361"/>
      <c r="M108" s="361"/>
      <c r="N108" s="361"/>
      <c r="O108" s="361"/>
      <c r="P108" s="361"/>
      <c r="Q108" s="361"/>
      <c r="R108" s="361"/>
      <c r="S108" s="361"/>
      <c r="T108" s="361"/>
      <c r="U108" s="361"/>
      <c r="V108" s="360"/>
      <c r="W108" s="360"/>
      <c r="X108" s="360"/>
      <c r="Y108" s="360"/>
      <c r="Z108" s="360"/>
      <c r="AA108" s="360"/>
      <c r="AB108" s="360"/>
      <c r="AC108" s="360"/>
      <c r="AD108" s="360"/>
      <c r="AE108" s="360"/>
      <c r="AF108" s="360"/>
      <c r="AG108" s="360"/>
      <c r="AH108" s="360"/>
      <c r="AI108" s="360"/>
      <c r="AJ108" s="360"/>
      <c r="AK108" s="360"/>
      <c r="AL108" s="360"/>
      <c r="AM108" s="360"/>
      <c r="AN108" s="360"/>
      <c r="AO108" s="360"/>
      <c r="AP108" s="360"/>
      <c r="AQ108" s="360"/>
      <c r="AR108" s="360"/>
      <c r="AS108" s="360"/>
      <c r="AT108" s="377">
        <f t="shared" si="5"/>
        <v>0</v>
      </c>
      <c r="AU108" s="378"/>
      <c r="AV108" s="378"/>
      <c r="AW108" s="378"/>
      <c r="AX108" s="378"/>
      <c r="AY108" s="378"/>
      <c r="AZ108" s="378"/>
      <c r="BA108" s="379"/>
      <c r="BB108" s="22"/>
      <c r="BD108" s="330"/>
      <c r="BE108" s="330"/>
      <c r="BF108" s="330"/>
      <c r="BG108" s="330"/>
      <c r="BH108" s="330"/>
      <c r="BI108" s="330"/>
      <c r="BJ108" s="330"/>
      <c r="BK108" s="330"/>
      <c r="BL108" s="330"/>
      <c r="BM108" s="330"/>
      <c r="BN108" s="330"/>
      <c r="BO108" s="330"/>
      <c r="BP108" s="330"/>
      <c r="BQ108" s="330"/>
      <c r="BR108" s="330"/>
      <c r="BS108" s="330"/>
      <c r="BT108" s="330"/>
      <c r="BU108" s="330"/>
      <c r="BV108" s="330"/>
      <c r="BW108" s="330"/>
      <c r="BX108" s="330"/>
      <c r="BY108" s="330"/>
      <c r="BZ108" s="330"/>
      <c r="CA108" s="330"/>
      <c r="CB108" s="330"/>
      <c r="CC108" s="330"/>
      <c r="CD108" s="330"/>
      <c r="CE108" s="330"/>
      <c r="CF108" s="330"/>
      <c r="CG108" s="330"/>
      <c r="CH108" s="330"/>
      <c r="CI108" s="330"/>
      <c r="CJ108" s="330"/>
      <c r="CK108" s="330"/>
    </row>
    <row r="109" spans="1:89" s="37" customFormat="1" ht="12" x14ac:dyDescent="0.25">
      <c r="A109" s="22"/>
      <c r="B109" s="361" t="s">
        <v>5375</v>
      </c>
      <c r="C109" s="361"/>
      <c r="D109" s="361"/>
      <c r="E109" s="361"/>
      <c r="F109" s="361"/>
      <c r="G109" s="361"/>
      <c r="H109" s="361"/>
      <c r="I109" s="361"/>
      <c r="J109" s="361"/>
      <c r="K109" s="361"/>
      <c r="L109" s="361"/>
      <c r="M109" s="361"/>
      <c r="N109" s="361"/>
      <c r="O109" s="361"/>
      <c r="P109" s="361"/>
      <c r="Q109" s="361"/>
      <c r="R109" s="361"/>
      <c r="S109" s="361"/>
      <c r="T109" s="361"/>
      <c r="U109" s="361"/>
      <c r="V109" s="360"/>
      <c r="W109" s="360"/>
      <c r="X109" s="360"/>
      <c r="Y109" s="360"/>
      <c r="Z109" s="360"/>
      <c r="AA109" s="360"/>
      <c r="AB109" s="360"/>
      <c r="AC109" s="360"/>
      <c r="AD109" s="360"/>
      <c r="AE109" s="360"/>
      <c r="AF109" s="360"/>
      <c r="AG109" s="360"/>
      <c r="AH109" s="360"/>
      <c r="AI109" s="360"/>
      <c r="AJ109" s="360"/>
      <c r="AK109" s="360"/>
      <c r="AL109" s="360"/>
      <c r="AM109" s="360"/>
      <c r="AN109" s="360"/>
      <c r="AO109" s="360"/>
      <c r="AP109" s="360"/>
      <c r="AQ109" s="360"/>
      <c r="AR109" s="360"/>
      <c r="AS109" s="360"/>
      <c r="AT109" s="377">
        <f t="shared" si="5"/>
        <v>0</v>
      </c>
      <c r="AU109" s="378"/>
      <c r="AV109" s="378"/>
      <c r="AW109" s="378"/>
      <c r="AX109" s="378"/>
      <c r="AY109" s="378"/>
      <c r="AZ109" s="378"/>
      <c r="BA109" s="379"/>
      <c r="BB109" s="22"/>
      <c r="BD109" s="330"/>
      <c r="BE109" s="330"/>
      <c r="BF109" s="330"/>
      <c r="BG109" s="330"/>
      <c r="BH109" s="330"/>
      <c r="BI109" s="330"/>
      <c r="BJ109" s="330"/>
      <c r="BK109" s="330"/>
      <c r="BL109" s="330"/>
      <c r="BM109" s="330"/>
      <c r="BN109" s="330"/>
      <c r="BO109" s="330"/>
      <c r="BP109" s="330"/>
      <c r="BQ109" s="330"/>
      <c r="BR109" s="330"/>
      <c r="BS109" s="330"/>
      <c r="BT109" s="330"/>
      <c r="BU109" s="330"/>
      <c r="BV109" s="330"/>
      <c r="BW109" s="330"/>
      <c r="BX109" s="330"/>
      <c r="BY109" s="330"/>
      <c r="BZ109" s="330"/>
      <c r="CA109" s="330"/>
      <c r="CB109" s="330"/>
      <c r="CC109" s="330"/>
      <c r="CD109" s="330"/>
      <c r="CE109" s="330"/>
      <c r="CF109" s="330"/>
      <c r="CG109" s="330"/>
      <c r="CH109" s="330"/>
      <c r="CI109" s="330"/>
      <c r="CJ109" s="330"/>
      <c r="CK109" s="330"/>
    </row>
    <row r="110" spans="1:89" s="37" customFormat="1" ht="12" x14ac:dyDescent="0.25">
      <c r="A110" s="22"/>
      <c r="B110" s="361" t="s">
        <v>5461</v>
      </c>
      <c r="C110" s="361"/>
      <c r="D110" s="361"/>
      <c r="E110" s="361"/>
      <c r="F110" s="361"/>
      <c r="G110" s="361"/>
      <c r="H110" s="361"/>
      <c r="I110" s="361"/>
      <c r="J110" s="361"/>
      <c r="K110" s="361"/>
      <c r="L110" s="361"/>
      <c r="M110" s="361"/>
      <c r="N110" s="361"/>
      <c r="O110" s="361"/>
      <c r="P110" s="361"/>
      <c r="Q110" s="361"/>
      <c r="R110" s="361"/>
      <c r="S110" s="361"/>
      <c r="T110" s="361"/>
      <c r="U110" s="361"/>
      <c r="V110" s="360"/>
      <c r="W110" s="360"/>
      <c r="X110" s="360"/>
      <c r="Y110" s="360"/>
      <c r="Z110" s="360"/>
      <c r="AA110" s="360"/>
      <c r="AB110" s="360"/>
      <c r="AC110" s="360"/>
      <c r="AD110" s="360"/>
      <c r="AE110" s="360"/>
      <c r="AF110" s="360"/>
      <c r="AG110" s="360"/>
      <c r="AH110" s="360"/>
      <c r="AI110" s="360"/>
      <c r="AJ110" s="360"/>
      <c r="AK110" s="360"/>
      <c r="AL110" s="360"/>
      <c r="AM110" s="360"/>
      <c r="AN110" s="360"/>
      <c r="AO110" s="360"/>
      <c r="AP110" s="360"/>
      <c r="AQ110" s="360"/>
      <c r="AR110" s="360"/>
      <c r="AS110" s="360"/>
      <c r="AT110" s="377">
        <f t="shared" ref="AT110" si="6">V110+AD110+AL110</f>
        <v>0</v>
      </c>
      <c r="AU110" s="378"/>
      <c r="AV110" s="378"/>
      <c r="AW110" s="378"/>
      <c r="AX110" s="378"/>
      <c r="AY110" s="378"/>
      <c r="AZ110" s="378"/>
      <c r="BA110" s="379"/>
      <c r="BB110" s="22"/>
      <c r="BD110" s="330"/>
      <c r="BE110" s="330"/>
      <c r="BF110" s="330"/>
      <c r="BG110" s="330"/>
      <c r="BH110" s="330"/>
      <c r="BI110" s="330"/>
      <c r="BJ110" s="330"/>
      <c r="BK110" s="330"/>
      <c r="BL110" s="330"/>
      <c r="BM110" s="330"/>
      <c r="BN110" s="330"/>
      <c r="BO110" s="330"/>
      <c r="BP110" s="330"/>
      <c r="BQ110" s="330"/>
      <c r="BR110" s="330"/>
      <c r="BS110" s="330"/>
      <c r="BT110" s="330"/>
      <c r="BU110" s="330"/>
      <c r="BV110" s="330"/>
      <c r="BW110" s="330"/>
      <c r="BX110" s="330"/>
      <c r="BY110" s="330"/>
      <c r="BZ110" s="330"/>
      <c r="CA110" s="330"/>
      <c r="CB110" s="330"/>
      <c r="CC110" s="330"/>
      <c r="CD110" s="330"/>
      <c r="CE110" s="330"/>
      <c r="CF110" s="330"/>
      <c r="CG110" s="330"/>
      <c r="CH110" s="330"/>
      <c r="CI110" s="330"/>
      <c r="CJ110" s="330"/>
      <c r="CK110" s="330"/>
    </row>
    <row r="111" spans="1:89" s="37" customFormat="1" ht="12" customHeight="1" x14ac:dyDescent="0.25">
      <c r="A111" s="22"/>
      <c r="B111" s="476" t="s">
        <v>5376</v>
      </c>
      <c r="C111" s="476"/>
      <c r="D111" s="476"/>
      <c r="E111" s="476"/>
      <c r="F111" s="476"/>
      <c r="G111" s="476"/>
      <c r="H111" s="476"/>
      <c r="I111" s="476"/>
      <c r="J111" s="476"/>
      <c r="K111" s="476"/>
      <c r="L111" s="476"/>
      <c r="M111" s="476"/>
      <c r="N111" s="476"/>
      <c r="O111" s="476"/>
      <c r="P111" s="476"/>
      <c r="Q111" s="476"/>
      <c r="R111" s="476"/>
      <c r="S111" s="476"/>
      <c r="T111" s="476"/>
      <c r="U111" s="476"/>
      <c r="V111" s="360"/>
      <c r="W111" s="360"/>
      <c r="X111" s="360"/>
      <c r="Y111" s="360"/>
      <c r="Z111" s="360"/>
      <c r="AA111" s="360"/>
      <c r="AB111" s="360"/>
      <c r="AC111" s="360"/>
      <c r="AD111" s="360"/>
      <c r="AE111" s="360"/>
      <c r="AF111" s="360"/>
      <c r="AG111" s="360"/>
      <c r="AH111" s="360"/>
      <c r="AI111" s="360"/>
      <c r="AJ111" s="360"/>
      <c r="AK111" s="360"/>
      <c r="AL111" s="360"/>
      <c r="AM111" s="360"/>
      <c r="AN111" s="360"/>
      <c r="AO111" s="360"/>
      <c r="AP111" s="360"/>
      <c r="AQ111" s="360"/>
      <c r="AR111" s="360"/>
      <c r="AS111" s="360"/>
      <c r="AT111" s="377">
        <f t="shared" si="5"/>
        <v>0</v>
      </c>
      <c r="AU111" s="378"/>
      <c r="AV111" s="378"/>
      <c r="AW111" s="378"/>
      <c r="AX111" s="378"/>
      <c r="AY111" s="378"/>
      <c r="AZ111" s="378"/>
      <c r="BA111" s="379"/>
      <c r="BB111" s="22"/>
      <c r="BD111" s="330"/>
      <c r="BE111" s="330"/>
      <c r="BF111" s="330"/>
      <c r="BG111" s="330"/>
      <c r="BH111" s="330"/>
      <c r="BI111" s="330"/>
      <c r="BJ111" s="330"/>
      <c r="BK111" s="330"/>
      <c r="BL111" s="330"/>
      <c r="BM111" s="330"/>
      <c r="BN111" s="330"/>
      <c r="BO111" s="330"/>
      <c r="BP111" s="330"/>
      <c r="BQ111" s="330"/>
      <c r="BR111" s="330"/>
      <c r="BS111" s="330"/>
      <c r="BT111" s="330"/>
      <c r="BU111" s="330"/>
      <c r="BV111" s="330"/>
      <c r="BW111" s="330"/>
      <c r="BX111" s="330"/>
      <c r="BY111" s="330"/>
      <c r="BZ111" s="330"/>
      <c r="CA111" s="330"/>
      <c r="CB111" s="330"/>
      <c r="CC111" s="330"/>
      <c r="CD111" s="330"/>
      <c r="CE111" s="330"/>
      <c r="CF111" s="330"/>
      <c r="CG111" s="330"/>
      <c r="CH111" s="330"/>
      <c r="CI111" s="330"/>
      <c r="CJ111" s="330"/>
      <c r="CK111" s="330"/>
    </row>
    <row r="112" spans="1:89" s="37" customFormat="1" ht="12" customHeight="1" x14ac:dyDescent="0.25">
      <c r="A112" s="22"/>
      <c r="B112" s="361" t="s">
        <v>5239</v>
      </c>
      <c r="C112" s="361"/>
      <c r="D112" s="361"/>
      <c r="E112" s="361"/>
      <c r="F112" s="361"/>
      <c r="G112" s="361"/>
      <c r="H112" s="361"/>
      <c r="I112" s="361"/>
      <c r="J112" s="361"/>
      <c r="K112" s="361"/>
      <c r="L112" s="361"/>
      <c r="M112" s="361"/>
      <c r="N112" s="361"/>
      <c r="O112" s="361"/>
      <c r="P112" s="361"/>
      <c r="Q112" s="361"/>
      <c r="R112" s="361"/>
      <c r="S112" s="361"/>
      <c r="T112" s="361"/>
      <c r="U112" s="361"/>
      <c r="V112" s="398">
        <f>V106+V107+V108+V109++V110+V111</f>
        <v>0</v>
      </c>
      <c r="W112" s="398"/>
      <c r="X112" s="398"/>
      <c r="Y112" s="398"/>
      <c r="Z112" s="398"/>
      <c r="AA112" s="398"/>
      <c r="AB112" s="398"/>
      <c r="AC112" s="398"/>
      <c r="AD112" s="398">
        <f>AD106+AD107+AD108+AD109+AD110+AD111</f>
        <v>0</v>
      </c>
      <c r="AE112" s="398"/>
      <c r="AF112" s="398"/>
      <c r="AG112" s="398"/>
      <c r="AH112" s="398"/>
      <c r="AI112" s="398"/>
      <c r="AJ112" s="398"/>
      <c r="AK112" s="398"/>
      <c r="AL112" s="398">
        <f>AL106+AL107+AL108+AL109+AL110+AL111</f>
        <v>0</v>
      </c>
      <c r="AM112" s="398"/>
      <c r="AN112" s="398"/>
      <c r="AO112" s="398"/>
      <c r="AP112" s="398"/>
      <c r="AQ112" s="398"/>
      <c r="AR112" s="398"/>
      <c r="AS112" s="398"/>
      <c r="AT112" s="377">
        <f t="shared" si="5"/>
        <v>0</v>
      </c>
      <c r="AU112" s="378"/>
      <c r="AV112" s="378"/>
      <c r="AW112" s="378"/>
      <c r="AX112" s="378"/>
      <c r="AY112" s="378"/>
      <c r="AZ112" s="378"/>
      <c r="BA112" s="379"/>
      <c r="BB112" s="22"/>
      <c r="BD112" s="330"/>
      <c r="BE112" s="330"/>
      <c r="BF112" s="330"/>
      <c r="BG112" s="330"/>
      <c r="BH112" s="330"/>
      <c r="BI112" s="330"/>
      <c r="BJ112" s="330"/>
      <c r="BK112" s="330"/>
      <c r="BL112" s="330"/>
      <c r="BM112" s="330"/>
      <c r="BN112" s="330"/>
      <c r="BO112" s="330"/>
      <c r="BP112" s="330"/>
      <c r="BQ112" s="330"/>
      <c r="BR112" s="330"/>
      <c r="BS112" s="330"/>
      <c r="BT112" s="330"/>
      <c r="BU112" s="330"/>
      <c r="BV112" s="330"/>
      <c r="BW112" s="330"/>
      <c r="BX112" s="330"/>
      <c r="BY112" s="330"/>
      <c r="BZ112" s="330"/>
      <c r="CA112" s="330"/>
      <c r="CB112" s="330"/>
      <c r="CC112" s="330"/>
      <c r="CD112" s="330"/>
      <c r="CE112" s="330"/>
      <c r="CF112" s="330"/>
      <c r="CG112" s="330"/>
      <c r="CH112" s="330"/>
      <c r="CI112" s="330"/>
      <c r="CJ112" s="330"/>
      <c r="CK112" s="330"/>
    </row>
    <row r="113" spans="1:91" s="37" customFormat="1" ht="12" customHeight="1" x14ac:dyDescent="0.25">
      <c r="A113" s="22"/>
      <c r="B113" s="361" t="s">
        <v>5240</v>
      </c>
      <c r="C113" s="361"/>
      <c r="D113" s="361"/>
      <c r="E113" s="361"/>
      <c r="F113" s="361"/>
      <c r="G113" s="361"/>
      <c r="H113" s="361"/>
      <c r="I113" s="361"/>
      <c r="J113" s="361"/>
      <c r="K113" s="361"/>
      <c r="L113" s="361"/>
      <c r="M113" s="361"/>
      <c r="N113" s="361"/>
      <c r="O113" s="361"/>
      <c r="P113" s="361"/>
      <c r="Q113" s="361"/>
      <c r="R113" s="361"/>
      <c r="S113" s="361"/>
      <c r="T113" s="361"/>
      <c r="U113" s="361"/>
      <c r="V113" s="360"/>
      <c r="W113" s="360"/>
      <c r="X113" s="360"/>
      <c r="Y113" s="360"/>
      <c r="Z113" s="360"/>
      <c r="AA113" s="360"/>
      <c r="AB113" s="360"/>
      <c r="AC113" s="360"/>
      <c r="AD113" s="360"/>
      <c r="AE113" s="360"/>
      <c r="AF113" s="360"/>
      <c r="AG113" s="360"/>
      <c r="AH113" s="360"/>
      <c r="AI113" s="360"/>
      <c r="AJ113" s="360"/>
      <c r="AK113" s="360"/>
      <c r="AL113" s="360"/>
      <c r="AM113" s="360"/>
      <c r="AN113" s="360"/>
      <c r="AO113" s="360"/>
      <c r="AP113" s="360"/>
      <c r="AQ113" s="360"/>
      <c r="AR113" s="360"/>
      <c r="AS113" s="360"/>
      <c r="AT113" s="377">
        <f t="shared" si="5"/>
        <v>0</v>
      </c>
      <c r="AU113" s="378"/>
      <c r="AV113" s="378"/>
      <c r="AW113" s="378"/>
      <c r="AX113" s="378"/>
      <c r="AY113" s="378"/>
      <c r="AZ113" s="378"/>
      <c r="BA113" s="379"/>
      <c r="BB113" s="22"/>
      <c r="BD113" s="330"/>
      <c r="BE113" s="330"/>
      <c r="BF113" s="330"/>
      <c r="BG113" s="330"/>
      <c r="BH113" s="330"/>
      <c r="BI113" s="330"/>
      <c r="BJ113" s="330"/>
      <c r="BK113" s="330"/>
      <c r="BL113" s="330"/>
      <c r="BM113" s="330"/>
      <c r="BN113" s="330"/>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c r="CK113" s="330"/>
    </row>
    <row r="114" spans="1:91" s="37" customFormat="1" ht="19.5" customHeight="1" x14ac:dyDescent="0.25">
      <c r="A114" s="22"/>
      <c r="B114" s="466" t="s">
        <v>5288</v>
      </c>
      <c r="C114" s="467"/>
      <c r="D114" s="467"/>
      <c r="E114" s="467"/>
      <c r="F114" s="467"/>
      <c r="G114" s="467"/>
      <c r="H114" s="467"/>
      <c r="I114" s="467"/>
      <c r="J114" s="467"/>
      <c r="K114" s="467"/>
      <c r="L114" s="467"/>
      <c r="M114" s="467"/>
      <c r="N114" s="467"/>
      <c r="O114" s="467"/>
      <c r="P114" s="467"/>
      <c r="Q114" s="467"/>
      <c r="R114" s="467"/>
      <c r="S114" s="467"/>
      <c r="T114" s="467"/>
      <c r="U114" s="468"/>
      <c r="V114" s="360"/>
      <c r="W114" s="360"/>
      <c r="X114" s="360"/>
      <c r="Y114" s="360"/>
      <c r="Z114" s="360"/>
      <c r="AA114" s="360"/>
      <c r="AB114" s="360"/>
      <c r="AC114" s="360"/>
      <c r="AD114" s="360"/>
      <c r="AE114" s="360"/>
      <c r="AF114" s="360"/>
      <c r="AG114" s="360"/>
      <c r="AH114" s="360"/>
      <c r="AI114" s="360"/>
      <c r="AJ114" s="360"/>
      <c r="AK114" s="360"/>
      <c r="AL114" s="398">
        <f>V114</f>
        <v>0</v>
      </c>
      <c r="AM114" s="398"/>
      <c r="AN114" s="398"/>
      <c r="AO114" s="398"/>
      <c r="AP114" s="398"/>
      <c r="AQ114" s="398"/>
      <c r="AR114" s="398"/>
      <c r="AS114" s="398"/>
      <c r="AT114" s="377">
        <f>V114</f>
        <v>0</v>
      </c>
      <c r="AU114" s="378"/>
      <c r="AV114" s="378"/>
      <c r="AW114" s="378"/>
      <c r="AX114" s="378"/>
      <c r="AY114" s="378"/>
      <c r="AZ114" s="378"/>
      <c r="BA114" s="379"/>
      <c r="BB114" s="22"/>
      <c r="BD114" s="330"/>
      <c r="BE114" s="330"/>
      <c r="BF114" s="330"/>
      <c r="BG114" s="330"/>
      <c r="BH114" s="330"/>
      <c r="BI114" s="330"/>
      <c r="BJ114" s="330"/>
      <c r="BK114" s="330"/>
      <c r="BL114" s="330"/>
      <c r="BM114" s="330"/>
      <c r="BN114" s="330"/>
      <c r="BO114" s="330"/>
      <c r="BP114" s="330"/>
      <c r="BQ114" s="330"/>
      <c r="BR114" s="330"/>
      <c r="BS114" s="330"/>
      <c r="BT114" s="330"/>
      <c r="BU114" s="330"/>
      <c r="BV114" s="330"/>
      <c r="BW114" s="330"/>
      <c r="BX114" s="330"/>
      <c r="BY114" s="330"/>
      <c r="BZ114" s="330"/>
      <c r="CA114" s="330"/>
      <c r="CB114" s="330"/>
      <c r="CC114" s="330"/>
      <c r="CD114" s="330"/>
      <c r="CE114" s="330"/>
      <c r="CF114" s="330"/>
      <c r="CG114" s="330"/>
      <c r="CH114" s="330"/>
      <c r="CI114" s="330"/>
      <c r="CJ114" s="330"/>
      <c r="CK114" s="330"/>
    </row>
    <row r="115" spans="1:91" s="37" customFormat="1" ht="12" customHeight="1" x14ac:dyDescent="0.25">
      <c r="A115" s="22"/>
      <c r="B115" s="340" t="s">
        <v>5241</v>
      </c>
      <c r="C115" s="340"/>
      <c r="D115" s="340"/>
      <c r="E115" s="340"/>
      <c r="F115" s="340"/>
      <c r="G115" s="340"/>
      <c r="H115" s="340"/>
      <c r="I115" s="340"/>
      <c r="J115" s="340"/>
      <c r="K115" s="340"/>
      <c r="L115" s="340"/>
      <c r="M115" s="340"/>
      <c r="N115" s="340"/>
      <c r="O115" s="340"/>
      <c r="P115" s="340"/>
      <c r="Q115" s="340"/>
      <c r="R115" s="340"/>
      <c r="S115" s="340"/>
      <c r="T115" s="340"/>
      <c r="U115" s="340"/>
      <c r="V115" s="463">
        <f>V112+V113-V114</f>
        <v>0</v>
      </c>
      <c r="W115" s="464"/>
      <c r="X115" s="464"/>
      <c r="Y115" s="464"/>
      <c r="Z115" s="464"/>
      <c r="AA115" s="464"/>
      <c r="AB115" s="464"/>
      <c r="AC115" s="465"/>
      <c r="AD115" s="463">
        <f>AD112+AD113</f>
        <v>0</v>
      </c>
      <c r="AE115" s="464"/>
      <c r="AF115" s="464"/>
      <c r="AG115" s="464"/>
      <c r="AH115" s="464"/>
      <c r="AI115" s="464"/>
      <c r="AJ115" s="464"/>
      <c r="AK115" s="465"/>
      <c r="AL115" s="463">
        <f>AL112+AL113+AL114</f>
        <v>0</v>
      </c>
      <c r="AM115" s="464"/>
      <c r="AN115" s="464"/>
      <c r="AO115" s="464"/>
      <c r="AP115" s="464"/>
      <c r="AQ115" s="464"/>
      <c r="AR115" s="464"/>
      <c r="AS115" s="465"/>
      <c r="AT115" s="377">
        <f>V115+AD115+AL115</f>
        <v>0</v>
      </c>
      <c r="AU115" s="378"/>
      <c r="AV115" s="378"/>
      <c r="AW115" s="378"/>
      <c r="AX115" s="378"/>
      <c r="AY115" s="378"/>
      <c r="AZ115" s="378"/>
      <c r="BA115" s="379"/>
      <c r="BB115" s="22"/>
      <c r="BD115" s="330"/>
      <c r="BE115" s="330"/>
      <c r="BF115" s="330"/>
      <c r="BG115" s="330"/>
      <c r="BH115" s="330"/>
      <c r="BI115" s="330"/>
      <c r="BJ115" s="330"/>
      <c r="BK115" s="330"/>
      <c r="BL115" s="330"/>
      <c r="BM115" s="330"/>
      <c r="BN115" s="330"/>
      <c r="BO115" s="330"/>
      <c r="BP115" s="330"/>
      <c r="BQ115" s="330"/>
      <c r="BR115" s="330"/>
      <c r="BS115" s="330"/>
      <c r="BT115" s="330"/>
      <c r="BU115" s="330"/>
      <c r="BV115" s="330"/>
      <c r="BW115" s="330"/>
      <c r="BX115" s="330"/>
      <c r="BY115" s="330"/>
      <c r="BZ115" s="330"/>
      <c r="CA115" s="330"/>
      <c r="CB115" s="330"/>
      <c r="CC115" s="330"/>
      <c r="CD115" s="330"/>
      <c r="CE115" s="330"/>
      <c r="CF115" s="330"/>
      <c r="CG115" s="330"/>
      <c r="CH115" s="330"/>
      <c r="CI115" s="330"/>
      <c r="CJ115" s="330"/>
      <c r="CK115" s="330"/>
    </row>
    <row r="116" spans="1:91" s="37" customFormat="1" ht="8.4" x14ac:dyDescent="0.2">
      <c r="A116" s="22"/>
      <c r="B116" s="452" t="s">
        <v>5638</v>
      </c>
      <c r="C116" s="452"/>
      <c r="D116" s="452"/>
      <c r="E116" s="452"/>
      <c r="F116" s="452"/>
      <c r="G116" s="452"/>
      <c r="H116" s="452"/>
      <c r="I116" s="452"/>
      <c r="J116" s="452"/>
      <c r="K116" s="452"/>
      <c r="L116" s="452"/>
      <c r="M116" s="452"/>
      <c r="N116" s="452"/>
      <c r="O116" s="452"/>
      <c r="P116" s="452"/>
      <c r="Q116" s="452"/>
      <c r="R116" s="452"/>
      <c r="S116" s="452"/>
      <c r="T116" s="452"/>
      <c r="U116" s="452"/>
      <c r="V116" s="452"/>
      <c r="W116" s="452"/>
      <c r="X116" s="452"/>
      <c r="Y116" s="452"/>
      <c r="Z116" s="452"/>
      <c r="AA116" s="452"/>
      <c r="AB116" s="452"/>
      <c r="AC116" s="452"/>
      <c r="AD116" s="452"/>
      <c r="AE116" s="452"/>
      <c r="AF116" s="452"/>
      <c r="AG116" s="452"/>
      <c r="AH116" s="452"/>
      <c r="AI116" s="452"/>
      <c r="AJ116" s="452"/>
      <c r="AK116" s="452"/>
      <c r="AL116" s="452"/>
      <c r="AM116" s="452"/>
      <c r="AN116" s="452"/>
      <c r="AO116" s="452"/>
      <c r="AP116" s="452"/>
      <c r="AQ116" s="452"/>
      <c r="AR116" s="452"/>
      <c r="AS116" s="452"/>
      <c r="AT116" s="452"/>
      <c r="AU116" s="452"/>
      <c r="AV116" s="452"/>
      <c r="AW116" s="452"/>
      <c r="AX116" s="452"/>
      <c r="AY116" s="452"/>
      <c r="AZ116" s="452"/>
      <c r="BA116" s="452"/>
      <c r="BB116" s="22"/>
    </row>
    <row r="117" spans="1:91" s="46" customFormat="1" ht="6" x14ac:dyDescent="0.15">
      <c r="A117" s="44"/>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4"/>
    </row>
    <row r="118" spans="1:91" s="29" customFormat="1" ht="27" customHeight="1" x14ac:dyDescent="0.25">
      <c r="A118" s="28"/>
      <c r="B118" s="477" t="s">
        <v>5377</v>
      </c>
      <c r="C118" s="478"/>
      <c r="D118" s="478"/>
      <c r="E118" s="478"/>
      <c r="F118" s="478"/>
      <c r="G118" s="478"/>
      <c r="H118" s="478"/>
      <c r="I118" s="478"/>
      <c r="J118" s="478"/>
      <c r="K118" s="478"/>
      <c r="L118" s="478"/>
      <c r="M118" s="478"/>
      <c r="N118" s="478"/>
      <c r="O118" s="478"/>
      <c r="P118" s="374" t="s">
        <v>5553</v>
      </c>
      <c r="Q118" s="374"/>
      <c r="R118" s="374"/>
      <c r="S118" s="374"/>
      <c r="T118" s="374"/>
      <c r="U118" s="374"/>
      <c r="V118" s="374"/>
      <c r="W118" s="374"/>
      <c r="X118" s="374"/>
      <c r="Y118" s="374"/>
      <c r="Z118" s="376" t="s">
        <v>5554</v>
      </c>
      <c r="AA118" s="376"/>
      <c r="AB118" s="376"/>
      <c r="AC118" s="376"/>
      <c r="AD118" s="376"/>
      <c r="AE118" s="376"/>
      <c r="AF118" s="376"/>
      <c r="AG118" s="376"/>
      <c r="AH118" s="376"/>
      <c r="AI118" s="376"/>
      <c r="AJ118" s="376" t="s">
        <v>5268</v>
      </c>
      <c r="AK118" s="376"/>
      <c r="AL118" s="376"/>
      <c r="AM118" s="376"/>
      <c r="AN118" s="376"/>
      <c r="AO118" s="376"/>
      <c r="AP118" s="376"/>
      <c r="AQ118" s="376"/>
      <c r="AR118" s="376"/>
      <c r="AS118" s="376"/>
      <c r="AT118" s="439" t="s">
        <v>5133</v>
      </c>
      <c r="AU118" s="440"/>
      <c r="AV118" s="440"/>
      <c r="AW118" s="440"/>
      <c r="AX118" s="440"/>
      <c r="AY118" s="440"/>
      <c r="AZ118" s="440"/>
      <c r="BA118" s="441"/>
      <c r="BB118" s="28"/>
      <c r="BD118" s="660"/>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row>
    <row r="119" spans="1:91" s="29" customFormat="1" ht="26.25" customHeight="1" x14ac:dyDescent="0.25">
      <c r="A119" s="28"/>
      <c r="B119" s="362" t="s">
        <v>5237</v>
      </c>
      <c r="C119" s="363"/>
      <c r="D119" s="363"/>
      <c r="E119" s="363"/>
      <c r="F119" s="363"/>
      <c r="G119" s="363"/>
      <c r="H119" s="363"/>
      <c r="I119" s="363"/>
      <c r="J119" s="363"/>
      <c r="K119" s="363"/>
      <c r="L119" s="363"/>
      <c r="M119" s="363"/>
      <c r="N119" s="363"/>
      <c r="O119" s="363"/>
      <c r="P119" s="374"/>
      <c r="Q119" s="374"/>
      <c r="R119" s="374"/>
      <c r="S119" s="374"/>
      <c r="T119" s="374"/>
      <c r="U119" s="374"/>
      <c r="V119" s="374"/>
      <c r="W119" s="374"/>
      <c r="X119" s="374"/>
      <c r="Y119" s="374"/>
      <c r="Z119" s="376"/>
      <c r="AA119" s="376"/>
      <c r="AB119" s="376"/>
      <c r="AC119" s="376"/>
      <c r="AD119" s="376"/>
      <c r="AE119" s="376"/>
      <c r="AF119" s="376"/>
      <c r="AG119" s="376"/>
      <c r="AH119" s="376"/>
      <c r="AI119" s="376"/>
      <c r="AJ119" s="376"/>
      <c r="AK119" s="376"/>
      <c r="AL119" s="376"/>
      <c r="AM119" s="376"/>
      <c r="AN119" s="376"/>
      <c r="AO119" s="376"/>
      <c r="AP119" s="376"/>
      <c r="AQ119" s="376"/>
      <c r="AR119" s="376"/>
      <c r="AS119" s="376"/>
      <c r="AT119" s="442"/>
      <c r="AU119" s="443"/>
      <c r="AV119" s="443"/>
      <c r="AW119" s="443"/>
      <c r="AX119" s="443"/>
      <c r="AY119" s="443"/>
      <c r="AZ119" s="443"/>
      <c r="BA119" s="444"/>
      <c r="BB119" s="28"/>
      <c r="BD119" s="660"/>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row>
    <row r="120" spans="1:91" s="29" customFormat="1" ht="36" customHeight="1" x14ac:dyDescent="0.25">
      <c r="A120" s="28"/>
      <c r="B120" s="364"/>
      <c r="C120" s="365"/>
      <c r="D120" s="365"/>
      <c r="E120" s="365"/>
      <c r="F120" s="365"/>
      <c r="G120" s="365"/>
      <c r="H120" s="365"/>
      <c r="I120" s="365"/>
      <c r="J120" s="365"/>
      <c r="K120" s="365"/>
      <c r="L120" s="365"/>
      <c r="M120" s="365"/>
      <c r="N120" s="365"/>
      <c r="O120" s="365"/>
      <c r="P120" s="375" t="s">
        <v>5242</v>
      </c>
      <c r="Q120" s="375"/>
      <c r="R120" s="375"/>
      <c r="S120" s="375"/>
      <c r="T120" s="375"/>
      <c r="U120" s="375"/>
      <c r="V120" s="431" t="s">
        <v>5266</v>
      </c>
      <c r="W120" s="432"/>
      <c r="X120" s="432"/>
      <c r="Y120" s="433"/>
      <c r="Z120" s="334" t="s">
        <v>5242</v>
      </c>
      <c r="AA120" s="334"/>
      <c r="AB120" s="334"/>
      <c r="AC120" s="334"/>
      <c r="AD120" s="334"/>
      <c r="AE120" s="334"/>
      <c r="AF120" s="408" t="s">
        <v>5266</v>
      </c>
      <c r="AG120" s="409"/>
      <c r="AH120" s="409"/>
      <c r="AI120" s="410"/>
      <c r="AJ120" s="334" t="s">
        <v>5242</v>
      </c>
      <c r="AK120" s="334"/>
      <c r="AL120" s="334"/>
      <c r="AM120" s="334"/>
      <c r="AN120" s="334"/>
      <c r="AO120" s="334"/>
      <c r="AP120" s="408" t="s">
        <v>5266</v>
      </c>
      <c r="AQ120" s="409"/>
      <c r="AR120" s="409"/>
      <c r="AS120" s="410"/>
      <c r="AT120" s="445" t="s">
        <v>5235</v>
      </c>
      <c r="AU120" s="446"/>
      <c r="AV120" s="446"/>
      <c r="AW120" s="446"/>
      <c r="AX120" s="446"/>
      <c r="AY120" s="446"/>
      <c r="AZ120" s="446"/>
      <c r="BA120" s="447"/>
      <c r="BB120" s="28"/>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row>
    <row r="121" spans="1:91" s="29" customFormat="1" ht="25.5" customHeight="1" x14ac:dyDescent="0.25">
      <c r="A121" s="28"/>
      <c r="B121" s="331" t="s">
        <v>5134</v>
      </c>
      <c r="C121" s="332"/>
      <c r="D121" s="332"/>
      <c r="E121" s="332"/>
      <c r="F121" s="332"/>
      <c r="G121" s="332"/>
      <c r="H121" s="332"/>
      <c r="I121" s="332"/>
      <c r="J121" s="332"/>
      <c r="K121" s="332"/>
      <c r="L121" s="332"/>
      <c r="M121" s="332"/>
      <c r="N121" s="332"/>
      <c r="O121" s="332"/>
      <c r="P121" s="359"/>
      <c r="Q121" s="359"/>
      <c r="R121" s="359"/>
      <c r="S121" s="359"/>
      <c r="T121" s="359"/>
      <c r="U121" s="359"/>
      <c r="V121" s="335" t="str">
        <f>IFERROR(IF(OR(P121="",Z78=""),"",P121/Z78),0)</f>
        <v/>
      </c>
      <c r="W121" s="335"/>
      <c r="X121" s="335"/>
      <c r="Y121" s="335"/>
      <c r="Z121" s="348"/>
      <c r="AA121" s="348"/>
      <c r="AB121" s="348"/>
      <c r="AC121" s="348"/>
      <c r="AD121" s="348"/>
      <c r="AE121" s="348"/>
      <c r="AF121" s="336" t="str">
        <f>IFERROR(IF(OR(Z121="",AH78=""),"",Z121/AH78),0)</f>
        <v/>
      </c>
      <c r="AG121" s="336"/>
      <c r="AH121" s="336"/>
      <c r="AI121" s="336"/>
      <c r="AJ121" s="348"/>
      <c r="AK121" s="348"/>
      <c r="AL121" s="348"/>
      <c r="AM121" s="348"/>
      <c r="AN121" s="348"/>
      <c r="AO121" s="348"/>
      <c r="AP121" s="336" t="str">
        <f>IFERROR(IF(OR(AJ121="",AP78=""),"",AJ121/AP78),0)</f>
        <v/>
      </c>
      <c r="AQ121" s="336"/>
      <c r="AR121" s="336"/>
      <c r="AS121" s="336"/>
      <c r="AT121" s="337">
        <f>P121+Z121+AJ121</f>
        <v>0</v>
      </c>
      <c r="AU121" s="338"/>
      <c r="AV121" s="338"/>
      <c r="AW121" s="338"/>
      <c r="AX121" s="338"/>
      <c r="AY121" s="338"/>
      <c r="AZ121" s="338"/>
      <c r="BA121" s="339"/>
      <c r="BB121" s="28"/>
      <c r="BD121" s="659" t="str">
        <f>IF(ROUND(AT115,2)&lt;&gt;ROUND(AT126,2),"Uwaga: Łączne sumy z tabel zestawień planowanych kosztów inwestycji są różne.","")</f>
        <v/>
      </c>
      <c r="BE121" s="659"/>
      <c r="BF121" s="659"/>
      <c r="BG121" s="659"/>
      <c r="BH121" s="659"/>
      <c r="BI121" s="659"/>
      <c r="BJ121" s="659"/>
      <c r="BK121" s="659"/>
      <c r="BL121" s="659"/>
      <c r="BM121" s="659"/>
      <c r="BN121" s="659"/>
      <c r="BO121" s="659"/>
      <c r="BP121" s="659"/>
      <c r="BQ121" s="659"/>
      <c r="BR121" s="659"/>
      <c r="BS121" s="659"/>
      <c r="BT121" s="659"/>
      <c r="BU121" s="659"/>
      <c r="BV121" s="659"/>
      <c r="BW121" s="659"/>
      <c r="BX121" s="659"/>
      <c r="BY121" s="659"/>
      <c r="BZ121" s="659"/>
      <c r="CA121" s="659"/>
      <c r="CB121" s="659"/>
      <c r="CC121" s="659"/>
      <c r="CD121" s="659"/>
      <c r="CE121" s="659"/>
      <c r="CF121" s="659"/>
      <c r="CG121" s="659"/>
      <c r="CH121" s="659"/>
      <c r="CI121" s="659"/>
      <c r="CJ121" s="659"/>
      <c r="CK121" s="659"/>
      <c r="CL121" s="659"/>
      <c r="CM121" s="659"/>
    </row>
    <row r="122" spans="1:91" s="29" customFormat="1" ht="12" customHeight="1" x14ac:dyDescent="0.25">
      <c r="A122" s="28"/>
      <c r="B122" s="353" t="s">
        <v>5238</v>
      </c>
      <c r="C122" s="354"/>
      <c r="D122" s="354"/>
      <c r="E122" s="354"/>
      <c r="F122" s="354"/>
      <c r="G122" s="354"/>
      <c r="H122" s="354"/>
      <c r="I122" s="354"/>
      <c r="J122" s="354"/>
      <c r="K122" s="354"/>
      <c r="L122" s="354"/>
      <c r="M122" s="354"/>
      <c r="N122" s="354"/>
      <c r="O122" s="354"/>
      <c r="P122" s="359"/>
      <c r="Q122" s="359"/>
      <c r="R122" s="359"/>
      <c r="S122" s="359"/>
      <c r="T122" s="359"/>
      <c r="U122" s="359"/>
      <c r="V122" s="335" t="str">
        <f>IFERROR(IF(OR(P122="",Z82=""),"",P122/(Z82)),0)</f>
        <v/>
      </c>
      <c r="W122" s="335"/>
      <c r="X122" s="335"/>
      <c r="Y122" s="335"/>
      <c r="Z122" s="348"/>
      <c r="AA122" s="348"/>
      <c r="AB122" s="348"/>
      <c r="AC122" s="348"/>
      <c r="AD122" s="348"/>
      <c r="AE122" s="348"/>
      <c r="AF122" s="336" t="str">
        <f>IFERROR(IF(OR(Z122="",AH81=""),"",Z122/(AH81-AH82)),0)</f>
        <v/>
      </c>
      <c r="AG122" s="336"/>
      <c r="AH122" s="336"/>
      <c r="AI122" s="336"/>
      <c r="AJ122" s="348"/>
      <c r="AK122" s="348"/>
      <c r="AL122" s="348"/>
      <c r="AM122" s="348"/>
      <c r="AN122" s="348"/>
      <c r="AO122" s="348"/>
      <c r="AP122" s="336" t="str">
        <f>IFERROR(IF(OR(AJ122="",AP81=""),"",AJ122/(AP81-AP82)),0)</f>
        <v/>
      </c>
      <c r="AQ122" s="336"/>
      <c r="AR122" s="336"/>
      <c r="AS122" s="336"/>
      <c r="AT122" s="337">
        <f t="shared" ref="AT122:AT123" si="7">P122+Z122+AJ122</f>
        <v>0</v>
      </c>
      <c r="AU122" s="338"/>
      <c r="AV122" s="338"/>
      <c r="AW122" s="338"/>
      <c r="AX122" s="338"/>
      <c r="AY122" s="338"/>
      <c r="AZ122" s="338"/>
      <c r="BA122" s="339"/>
      <c r="BB122" s="28"/>
      <c r="BD122" s="659"/>
      <c r="BE122" s="659"/>
      <c r="BF122" s="659"/>
      <c r="BG122" s="659"/>
      <c r="BH122" s="659"/>
      <c r="BI122" s="659"/>
      <c r="BJ122" s="659"/>
      <c r="BK122" s="659"/>
      <c r="BL122" s="659"/>
      <c r="BM122" s="659"/>
      <c r="BN122" s="659"/>
      <c r="BO122" s="659"/>
      <c r="BP122" s="659"/>
      <c r="BQ122" s="659"/>
      <c r="BR122" s="659"/>
      <c r="BS122" s="659"/>
      <c r="BT122" s="659"/>
      <c r="BU122" s="659"/>
      <c r="BV122" s="659"/>
      <c r="BW122" s="659"/>
      <c r="BX122" s="659"/>
      <c r="BY122" s="659"/>
      <c r="BZ122" s="659"/>
      <c r="CA122" s="659"/>
      <c r="CB122" s="659"/>
      <c r="CC122" s="659"/>
      <c r="CD122" s="659"/>
      <c r="CE122" s="659"/>
      <c r="CF122" s="659"/>
      <c r="CG122" s="659"/>
      <c r="CH122" s="659"/>
      <c r="CI122" s="659"/>
      <c r="CJ122" s="659"/>
      <c r="CK122" s="659"/>
      <c r="CL122" s="659"/>
      <c r="CM122" s="659"/>
    </row>
    <row r="123" spans="1:91" s="29" customFormat="1" ht="12" x14ac:dyDescent="0.25">
      <c r="A123" s="28"/>
      <c r="B123" s="353" t="s">
        <v>5215</v>
      </c>
      <c r="C123" s="354"/>
      <c r="D123" s="354"/>
      <c r="E123" s="354"/>
      <c r="F123" s="354"/>
      <c r="G123" s="354"/>
      <c r="H123" s="354"/>
      <c r="I123" s="354"/>
      <c r="J123" s="354"/>
      <c r="K123" s="354"/>
      <c r="L123" s="354"/>
      <c r="M123" s="354"/>
      <c r="N123" s="354"/>
      <c r="O123" s="354"/>
      <c r="P123" s="359"/>
      <c r="Q123" s="359"/>
      <c r="R123" s="359"/>
      <c r="S123" s="359"/>
      <c r="T123" s="359"/>
      <c r="U123" s="359"/>
      <c r="V123" s="335" t="str">
        <f>IFERROR(IF(OR(P123="",Z83=""),"",P123/Z83),0)</f>
        <v/>
      </c>
      <c r="W123" s="335"/>
      <c r="X123" s="335"/>
      <c r="Y123" s="335"/>
      <c r="Z123" s="348"/>
      <c r="AA123" s="348"/>
      <c r="AB123" s="348"/>
      <c r="AC123" s="348"/>
      <c r="AD123" s="348"/>
      <c r="AE123" s="348"/>
      <c r="AF123" s="336" t="str">
        <f>IFERROR(IF(OR(Z123="",AH83=""),"",Z123/AH83),0)</f>
        <v/>
      </c>
      <c r="AG123" s="336"/>
      <c r="AH123" s="336"/>
      <c r="AI123" s="336"/>
      <c r="AJ123" s="348"/>
      <c r="AK123" s="348"/>
      <c r="AL123" s="348"/>
      <c r="AM123" s="348"/>
      <c r="AN123" s="348"/>
      <c r="AO123" s="348"/>
      <c r="AP123" s="336" t="str">
        <f>IFERROR(IF(OR(AJ123="",AP83=""),"",AJ123/AP83),0)</f>
        <v/>
      </c>
      <c r="AQ123" s="336"/>
      <c r="AR123" s="336"/>
      <c r="AS123" s="336"/>
      <c r="AT123" s="337">
        <f t="shared" si="7"/>
        <v>0</v>
      </c>
      <c r="AU123" s="338"/>
      <c r="AV123" s="338"/>
      <c r="AW123" s="338"/>
      <c r="AX123" s="338"/>
      <c r="AY123" s="338"/>
      <c r="AZ123" s="338"/>
      <c r="BA123" s="339"/>
      <c r="BB123" s="28"/>
      <c r="BD123" s="659"/>
      <c r="BE123" s="659"/>
      <c r="BF123" s="659"/>
      <c r="BG123" s="659"/>
      <c r="BH123" s="659"/>
      <c r="BI123" s="659"/>
      <c r="BJ123" s="659"/>
      <c r="BK123" s="659"/>
      <c r="BL123" s="659"/>
      <c r="BM123" s="659"/>
      <c r="BN123" s="659"/>
      <c r="BO123" s="659"/>
      <c r="BP123" s="659"/>
      <c r="BQ123" s="659"/>
      <c r="BR123" s="659"/>
      <c r="BS123" s="659"/>
      <c r="BT123" s="659"/>
      <c r="BU123" s="659"/>
      <c r="BV123" s="659"/>
      <c r="BW123" s="659"/>
      <c r="BX123" s="659"/>
      <c r="BY123" s="659"/>
      <c r="BZ123" s="659"/>
      <c r="CA123" s="659"/>
      <c r="CB123" s="659"/>
      <c r="CC123" s="659"/>
      <c r="CD123" s="659"/>
      <c r="CE123" s="659"/>
      <c r="CF123" s="659"/>
      <c r="CG123" s="659"/>
      <c r="CH123" s="659"/>
      <c r="CI123" s="659"/>
      <c r="CJ123" s="659"/>
      <c r="CK123" s="659"/>
      <c r="CL123" s="659"/>
      <c r="CM123" s="659"/>
    </row>
    <row r="124" spans="1:91" s="29" customFormat="1" ht="12" x14ac:dyDescent="0.25">
      <c r="A124" s="28"/>
      <c r="B124" s="353" t="s">
        <v>5378</v>
      </c>
      <c r="C124" s="354"/>
      <c r="D124" s="354"/>
      <c r="E124" s="354"/>
      <c r="F124" s="354"/>
      <c r="G124" s="354"/>
      <c r="H124" s="354"/>
      <c r="I124" s="354"/>
      <c r="J124" s="354"/>
      <c r="K124" s="354"/>
      <c r="L124" s="354"/>
      <c r="M124" s="354"/>
      <c r="N124" s="354"/>
      <c r="O124" s="354"/>
      <c r="P124" s="349"/>
      <c r="Q124" s="349"/>
      <c r="R124" s="349"/>
      <c r="S124" s="349"/>
      <c r="T124" s="349"/>
      <c r="U124" s="349"/>
      <c r="V124" s="350"/>
      <c r="W124" s="351"/>
      <c r="X124" s="351"/>
      <c r="Y124" s="352"/>
      <c r="Z124" s="348"/>
      <c r="AA124" s="348"/>
      <c r="AB124" s="348"/>
      <c r="AC124" s="348"/>
      <c r="AD124" s="348"/>
      <c r="AE124" s="348"/>
      <c r="AF124" s="336" t="str">
        <f>IFERROR(IF(OR(Z124="",AH84=""),"",Z124/AH84),0)</f>
        <v/>
      </c>
      <c r="AG124" s="336"/>
      <c r="AH124" s="336"/>
      <c r="AI124" s="336"/>
      <c r="AJ124" s="348"/>
      <c r="AK124" s="348"/>
      <c r="AL124" s="348"/>
      <c r="AM124" s="348"/>
      <c r="AN124" s="348"/>
      <c r="AO124" s="348"/>
      <c r="AP124" s="336" t="str">
        <f>IFERROR(IF(OR(AJ124="",AP84=""),"",AJ124/AP84),0)</f>
        <v/>
      </c>
      <c r="AQ124" s="336"/>
      <c r="AR124" s="336"/>
      <c r="AS124" s="336"/>
      <c r="AT124" s="337">
        <f>Z124+AJ124</f>
        <v>0</v>
      </c>
      <c r="AU124" s="338"/>
      <c r="AV124" s="338"/>
      <c r="AW124" s="338"/>
      <c r="AX124" s="338"/>
      <c r="AY124" s="338"/>
      <c r="AZ124" s="338"/>
      <c r="BA124" s="339"/>
      <c r="BB124" s="28"/>
    </row>
    <row r="125" spans="1:91" s="29" customFormat="1" ht="12" x14ac:dyDescent="0.25">
      <c r="A125" s="28"/>
      <c r="B125" s="353" t="s">
        <v>5151</v>
      </c>
      <c r="C125" s="354"/>
      <c r="D125" s="354"/>
      <c r="E125" s="354"/>
      <c r="F125" s="354"/>
      <c r="G125" s="354"/>
      <c r="H125" s="354"/>
      <c r="I125" s="354"/>
      <c r="J125" s="354"/>
      <c r="K125" s="354"/>
      <c r="L125" s="354"/>
      <c r="M125" s="354"/>
      <c r="N125" s="354"/>
      <c r="O125" s="354"/>
      <c r="P125" s="349"/>
      <c r="Q125" s="349"/>
      <c r="R125" s="349"/>
      <c r="S125" s="349"/>
      <c r="T125" s="349"/>
      <c r="U125" s="349"/>
      <c r="V125" s="350"/>
      <c r="W125" s="351"/>
      <c r="X125" s="351"/>
      <c r="Y125" s="352"/>
      <c r="Z125" s="348"/>
      <c r="AA125" s="348"/>
      <c r="AB125" s="348"/>
      <c r="AC125" s="348"/>
      <c r="AD125" s="348"/>
      <c r="AE125" s="348"/>
      <c r="AF125" s="336" t="str">
        <f>IFERROR(IF(OR(Z125="",AH85=""),"",Z125/AH85),0)</f>
        <v/>
      </c>
      <c r="AG125" s="336"/>
      <c r="AH125" s="336"/>
      <c r="AI125" s="336"/>
      <c r="AJ125" s="348"/>
      <c r="AK125" s="348"/>
      <c r="AL125" s="348"/>
      <c r="AM125" s="348"/>
      <c r="AN125" s="348"/>
      <c r="AO125" s="348"/>
      <c r="AP125" s="336" t="str">
        <f>IFERROR(IF(OR(AJ125="",AP85=""),"",AJ125/AP85),0)</f>
        <v/>
      </c>
      <c r="AQ125" s="336"/>
      <c r="AR125" s="336"/>
      <c r="AS125" s="336"/>
      <c r="AT125" s="337">
        <f>Z125+AJ125</f>
        <v>0</v>
      </c>
      <c r="AU125" s="338"/>
      <c r="AV125" s="338"/>
      <c r="AW125" s="338"/>
      <c r="AX125" s="338"/>
      <c r="AY125" s="338"/>
      <c r="AZ125" s="338"/>
      <c r="BA125" s="339"/>
      <c r="BB125" s="28"/>
    </row>
    <row r="126" spans="1:91" s="29" customFormat="1" ht="12" x14ac:dyDescent="0.25">
      <c r="A126" s="28"/>
      <c r="B126" s="459" t="s">
        <v>5133</v>
      </c>
      <c r="C126" s="460"/>
      <c r="D126" s="460"/>
      <c r="E126" s="460"/>
      <c r="F126" s="460"/>
      <c r="G126" s="460"/>
      <c r="H126" s="460"/>
      <c r="I126" s="460"/>
      <c r="J126" s="460"/>
      <c r="K126" s="460"/>
      <c r="L126" s="460"/>
      <c r="M126" s="460"/>
      <c r="N126" s="460"/>
      <c r="O126" s="460"/>
      <c r="P126" s="453">
        <f>IF(SUM(P121:P123)="","",SUM(P121:P123))</f>
        <v>0</v>
      </c>
      <c r="Q126" s="453"/>
      <c r="R126" s="453"/>
      <c r="S126" s="453"/>
      <c r="T126" s="453"/>
      <c r="U126" s="453"/>
      <c r="V126" s="349"/>
      <c r="W126" s="349"/>
      <c r="X126" s="349"/>
      <c r="Y126" s="349"/>
      <c r="Z126" s="385">
        <f>SUM(Z121:Z125)</f>
        <v>0</v>
      </c>
      <c r="AA126" s="385"/>
      <c r="AB126" s="385"/>
      <c r="AC126" s="385"/>
      <c r="AD126" s="385"/>
      <c r="AE126" s="385"/>
      <c r="AF126" s="462"/>
      <c r="AG126" s="462"/>
      <c r="AH126" s="462"/>
      <c r="AI126" s="462"/>
      <c r="AJ126" s="385">
        <f>SUM(AJ121:AJ125)</f>
        <v>0</v>
      </c>
      <c r="AK126" s="385"/>
      <c r="AL126" s="385"/>
      <c r="AM126" s="385"/>
      <c r="AN126" s="385"/>
      <c r="AO126" s="385"/>
      <c r="AP126" s="461"/>
      <c r="AQ126" s="461"/>
      <c r="AR126" s="461"/>
      <c r="AS126" s="461"/>
      <c r="AT126" s="337">
        <f>P126+Z126+AJ126</f>
        <v>0</v>
      </c>
      <c r="AU126" s="338"/>
      <c r="AV126" s="338"/>
      <c r="AW126" s="338"/>
      <c r="AX126" s="338"/>
      <c r="AY126" s="338"/>
      <c r="AZ126" s="338"/>
      <c r="BA126" s="339"/>
      <c r="BB126" s="62"/>
      <c r="BD126" s="656" t="str">
        <f>IF(ROUND($P$126,2)&lt;&gt;ROUND($O$42,2),"UWAGA: Łączny koszt części inwestycji objętej finansowaniem zwrotnym jest różny od kosztu wpisanego w części II.","")</f>
        <v/>
      </c>
      <c r="BE126" s="657"/>
      <c r="BF126" s="657"/>
      <c r="BG126" s="657"/>
      <c r="BH126" s="657"/>
      <c r="BI126" s="657"/>
      <c r="BJ126" s="657"/>
      <c r="BK126" s="657"/>
      <c r="BL126" s="657"/>
      <c r="BM126" s="657"/>
      <c r="BN126" s="657"/>
      <c r="BO126" s="657"/>
      <c r="BP126" s="657"/>
      <c r="BQ126" s="657"/>
      <c r="BR126" s="657"/>
      <c r="BS126" s="657"/>
      <c r="BT126" s="657"/>
      <c r="BU126" s="657"/>
      <c r="BV126" s="657"/>
      <c r="BW126" s="657"/>
      <c r="BX126" s="657"/>
      <c r="BY126" s="657"/>
      <c r="BZ126" s="657"/>
      <c r="CA126" s="657"/>
      <c r="CB126" s="657"/>
      <c r="CC126" s="657"/>
      <c r="CD126" s="657"/>
      <c r="CE126" s="657"/>
      <c r="CF126" s="657"/>
      <c r="CG126" s="657"/>
      <c r="CH126" s="657"/>
      <c r="CI126" s="657"/>
      <c r="CJ126" s="657"/>
      <c r="CK126" s="657"/>
      <c r="CL126" s="657"/>
      <c r="CM126" s="657"/>
    </row>
    <row r="127" spans="1:91" s="38" customFormat="1" ht="6" x14ac:dyDescent="0.15">
      <c r="B127" s="39"/>
      <c r="C127" s="39"/>
      <c r="D127" s="39"/>
      <c r="E127" s="39"/>
      <c r="F127" s="39"/>
      <c r="G127" s="39"/>
      <c r="H127" s="39"/>
      <c r="I127" s="39"/>
      <c r="J127" s="39"/>
      <c r="K127" s="39"/>
      <c r="L127" s="39"/>
      <c r="M127" s="39"/>
      <c r="N127" s="39"/>
      <c r="O127" s="40"/>
      <c r="P127" s="41"/>
      <c r="Q127" s="41"/>
      <c r="R127" s="41"/>
      <c r="S127" s="41"/>
      <c r="T127" s="41"/>
      <c r="U127" s="41"/>
      <c r="V127" s="40"/>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D127" s="657"/>
      <c r="BE127" s="657"/>
      <c r="BF127" s="657"/>
      <c r="BG127" s="657"/>
      <c r="BH127" s="657"/>
      <c r="BI127" s="657"/>
      <c r="BJ127" s="657"/>
      <c r="BK127" s="657"/>
      <c r="BL127" s="657"/>
      <c r="BM127" s="657"/>
      <c r="BN127" s="657"/>
      <c r="BO127" s="657"/>
      <c r="BP127" s="657"/>
      <c r="BQ127" s="657"/>
      <c r="BR127" s="657"/>
      <c r="BS127" s="657"/>
      <c r="BT127" s="657"/>
      <c r="BU127" s="657"/>
      <c r="BV127" s="657"/>
      <c r="BW127" s="657"/>
      <c r="BX127" s="657"/>
      <c r="BY127" s="657"/>
      <c r="BZ127" s="657"/>
      <c r="CA127" s="657"/>
      <c r="CB127" s="657"/>
      <c r="CC127" s="657"/>
      <c r="CD127" s="657"/>
      <c r="CE127" s="657"/>
      <c r="CF127" s="657"/>
      <c r="CG127" s="657"/>
      <c r="CH127" s="657"/>
      <c r="CI127" s="657"/>
      <c r="CJ127" s="657"/>
      <c r="CK127" s="657"/>
      <c r="CL127" s="657"/>
      <c r="CM127" s="657"/>
    </row>
    <row r="128" spans="1:91" s="19" customFormat="1" ht="39.75" customHeight="1" x14ac:dyDescent="0.25">
      <c r="B128" s="430" t="s">
        <v>5216</v>
      </c>
      <c r="C128" s="430"/>
      <c r="D128" s="430"/>
      <c r="E128" s="430"/>
      <c r="F128" s="430"/>
      <c r="G128" s="430"/>
      <c r="H128" s="430"/>
      <c r="I128" s="430"/>
      <c r="J128" s="430"/>
      <c r="K128" s="430"/>
      <c r="L128" s="430"/>
      <c r="M128" s="430"/>
      <c r="N128" s="430"/>
      <c r="O128" s="430"/>
      <c r="P128" s="375" t="s">
        <v>5553</v>
      </c>
      <c r="Q128" s="375"/>
      <c r="R128" s="375"/>
      <c r="S128" s="375"/>
      <c r="T128" s="375"/>
      <c r="U128" s="375"/>
      <c r="V128" s="375"/>
      <c r="W128" s="375"/>
      <c r="X128" s="375"/>
      <c r="Y128" s="375"/>
      <c r="Z128" s="334" t="s">
        <v>5554</v>
      </c>
      <c r="AA128" s="334"/>
      <c r="AB128" s="334"/>
      <c r="AC128" s="334"/>
      <c r="AD128" s="334"/>
      <c r="AE128" s="334"/>
      <c r="AF128" s="334"/>
      <c r="AG128" s="334"/>
      <c r="AH128" s="334"/>
      <c r="AI128" s="334"/>
      <c r="AJ128" s="334" t="s">
        <v>5268</v>
      </c>
      <c r="AK128" s="334"/>
      <c r="AL128" s="334"/>
      <c r="AM128" s="334"/>
      <c r="AN128" s="334"/>
      <c r="AO128" s="334"/>
      <c r="AP128" s="334"/>
      <c r="AQ128" s="334"/>
      <c r="AR128" s="334"/>
      <c r="AS128" s="334"/>
      <c r="AT128" s="454" t="s">
        <v>5133</v>
      </c>
      <c r="AU128" s="455"/>
      <c r="AV128" s="455"/>
      <c r="AW128" s="455"/>
      <c r="AX128" s="455"/>
      <c r="AY128" s="455"/>
      <c r="AZ128" s="455"/>
      <c r="BA128" s="456"/>
      <c r="BD128" s="658"/>
      <c r="BE128" s="658"/>
      <c r="BF128" s="658"/>
      <c r="BG128" s="658"/>
      <c r="BH128" s="658"/>
      <c r="BI128" s="658"/>
      <c r="BJ128" s="658"/>
      <c r="BK128" s="658"/>
      <c r="BL128" s="658"/>
      <c r="BM128" s="658"/>
      <c r="BN128" s="658"/>
      <c r="BO128" s="658"/>
      <c r="BP128" s="658"/>
      <c r="BQ128" s="658"/>
      <c r="BR128" s="658"/>
      <c r="BS128" s="658"/>
      <c r="BT128" s="658"/>
      <c r="BU128" s="658"/>
      <c r="BV128" s="658"/>
      <c r="BW128" s="658"/>
      <c r="BX128" s="658"/>
      <c r="BY128" s="658"/>
      <c r="BZ128" s="658"/>
      <c r="CA128" s="658"/>
      <c r="CB128" s="658"/>
      <c r="CC128" s="658"/>
      <c r="CD128" s="658"/>
      <c r="CE128" s="658"/>
      <c r="CF128" s="658"/>
      <c r="CG128" s="658"/>
      <c r="CH128" s="658"/>
      <c r="CI128" s="658"/>
      <c r="CJ128" s="658"/>
      <c r="CK128" s="658"/>
      <c r="CL128" s="658"/>
      <c r="CM128" s="658"/>
    </row>
    <row r="129" spans="2:92" s="55" customFormat="1" ht="8.25" customHeight="1" x14ac:dyDescent="0.2">
      <c r="B129" s="430"/>
      <c r="C129" s="430"/>
      <c r="D129" s="430"/>
      <c r="E129" s="430"/>
      <c r="F129" s="430"/>
      <c r="G129" s="430"/>
      <c r="H129" s="430"/>
      <c r="I129" s="430"/>
      <c r="J129" s="430"/>
      <c r="K129" s="430"/>
      <c r="L129" s="430"/>
      <c r="M129" s="430"/>
      <c r="N129" s="430"/>
      <c r="O129" s="430"/>
      <c r="P129" s="411" t="s">
        <v>5217</v>
      </c>
      <c r="Q129" s="411"/>
      <c r="R129" s="411"/>
      <c r="S129" s="411"/>
      <c r="T129" s="411"/>
      <c r="U129" s="411"/>
      <c r="V129" s="411" t="s">
        <v>5218</v>
      </c>
      <c r="W129" s="411"/>
      <c r="X129" s="411"/>
      <c r="Y129" s="411"/>
      <c r="Z129" s="411" t="s">
        <v>5217</v>
      </c>
      <c r="AA129" s="411"/>
      <c r="AB129" s="411"/>
      <c r="AC129" s="411"/>
      <c r="AD129" s="411"/>
      <c r="AE129" s="411"/>
      <c r="AF129" s="411" t="s">
        <v>5218</v>
      </c>
      <c r="AG129" s="411"/>
      <c r="AH129" s="411"/>
      <c r="AI129" s="411"/>
      <c r="AJ129" s="411" t="s">
        <v>5217</v>
      </c>
      <c r="AK129" s="411"/>
      <c r="AL129" s="411"/>
      <c r="AM129" s="411"/>
      <c r="AN129" s="411"/>
      <c r="AO129" s="411"/>
      <c r="AP129" s="411" t="s">
        <v>5218</v>
      </c>
      <c r="AQ129" s="411"/>
      <c r="AR129" s="411"/>
      <c r="AS129" s="411"/>
      <c r="AT129" s="408" t="s">
        <v>5217</v>
      </c>
      <c r="AU129" s="409"/>
      <c r="AV129" s="409"/>
      <c r="AW129" s="409"/>
      <c r="AX129" s="409"/>
      <c r="AY129" s="409"/>
      <c r="AZ129" s="409"/>
      <c r="BA129" s="410"/>
      <c r="BE129" s="84"/>
      <c r="BX129" s="85"/>
    </row>
    <row r="130" spans="2:92" s="19" customFormat="1" ht="12" customHeight="1" x14ac:dyDescent="0.25">
      <c r="B130" s="380" t="s">
        <v>5557</v>
      </c>
      <c r="C130" s="380"/>
      <c r="D130" s="380"/>
      <c r="E130" s="380"/>
      <c r="F130" s="380"/>
      <c r="G130" s="380"/>
      <c r="H130" s="380"/>
      <c r="I130" s="380"/>
      <c r="J130" s="380"/>
      <c r="K130" s="380"/>
      <c r="L130" s="380"/>
      <c r="M130" s="380"/>
      <c r="N130" s="380"/>
      <c r="O130" s="380"/>
      <c r="P130" s="381">
        <f>SUM(P131:P137)</f>
        <v>0</v>
      </c>
      <c r="Q130" s="381"/>
      <c r="R130" s="381"/>
      <c r="S130" s="381"/>
      <c r="T130" s="381"/>
      <c r="U130" s="381"/>
      <c r="V130" s="333" t="str">
        <f>(IF(P130="","",IF($P$126=0,"",P130/$P$126)))</f>
        <v/>
      </c>
      <c r="W130" s="333"/>
      <c r="X130" s="333"/>
      <c r="Y130" s="333"/>
      <c r="Z130" s="381">
        <f>IF(SUM(Z131:AE137)=0,0,SUM(Z131:AE137))</f>
        <v>0</v>
      </c>
      <c r="AA130" s="381"/>
      <c r="AB130" s="381"/>
      <c r="AC130" s="381"/>
      <c r="AD130" s="381"/>
      <c r="AE130" s="381"/>
      <c r="AF130" s="333" t="str">
        <f t="shared" ref="AF130:AF138" si="8">(IF(Z130="","",IF($Z$126=0,"",Z130/$Z$126)))</f>
        <v/>
      </c>
      <c r="AG130" s="333"/>
      <c r="AH130" s="333"/>
      <c r="AI130" s="333"/>
      <c r="AJ130" s="381">
        <f>IF(SUM(AJ131:AJ137)=0,0,SUM(AJ131:AJ137))</f>
        <v>0</v>
      </c>
      <c r="AK130" s="381"/>
      <c r="AL130" s="381"/>
      <c r="AM130" s="381"/>
      <c r="AN130" s="381"/>
      <c r="AO130" s="381"/>
      <c r="AP130" s="333" t="str">
        <f>IFERROR((IF(AJ130="","",IF($AT$126=0,"",AJ130/($AT$126-$P$126-$Z$126)))),"")</f>
        <v/>
      </c>
      <c r="AQ130" s="333"/>
      <c r="AR130" s="333"/>
      <c r="AS130" s="333"/>
      <c r="AT130" s="345">
        <f>P130+Z130+AJ130</f>
        <v>0</v>
      </c>
      <c r="AU130" s="346"/>
      <c r="AV130" s="346"/>
      <c r="AW130" s="346"/>
      <c r="AX130" s="346"/>
      <c r="AY130" s="346"/>
      <c r="AZ130" s="346"/>
      <c r="BA130" s="347"/>
      <c r="BD130" s="662" t="str">
        <f>IFERROR(IF(ROUND($P$130,2)+ROUND($O$41,2)&lt;&gt;ROUND($P$126,2),"UWAGA: Suma wnioskowanej kwoty finansowania zwrotnego i wkładu własnego musi być równa kosztowi części inwestycji objętej tym finansowaniem.",""),"")</f>
        <v/>
      </c>
      <c r="BE130" s="656"/>
      <c r="BF130" s="656"/>
      <c r="BG130" s="656"/>
      <c r="BH130" s="656"/>
      <c r="BI130" s="656"/>
      <c r="BJ130" s="656"/>
      <c r="BK130" s="656"/>
      <c r="BL130" s="656"/>
      <c r="BM130" s="656"/>
      <c r="BN130" s="656"/>
      <c r="BO130" s="656"/>
      <c r="BP130" s="656"/>
      <c r="BQ130" s="656"/>
      <c r="BR130" s="656"/>
      <c r="BS130" s="656"/>
      <c r="BT130" s="656"/>
      <c r="BU130" s="656"/>
      <c r="BV130" s="656"/>
      <c r="BW130" s="656"/>
      <c r="BX130" s="656"/>
      <c r="BY130" s="656"/>
      <c r="BZ130" s="656"/>
      <c r="CA130" s="656"/>
      <c r="CB130" s="656"/>
      <c r="CC130" s="656"/>
      <c r="CD130" s="656"/>
      <c r="CE130" s="656"/>
      <c r="CF130" s="656"/>
      <c r="CG130" s="656"/>
      <c r="CH130" s="656"/>
      <c r="CI130" s="656"/>
      <c r="CJ130" s="656"/>
      <c r="CK130" s="656"/>
      <c r="CL130" s="656"/>
      <c r="CM130" s="656"/>
    </row>
    <row r="131" spans="2:92" s="19" customFormat="1" ht="24" customHeight="1" x14ac:dyDescent="0.25">
      <c r="B131" s="382" t="s">
        <v>5639</v>
      </c>
      <c r="C131" s="382"/>
      <c r="D131" s="382"/>
      <c r="E131" s="382"/>
      <c r="F131" s="382"/>
      <c r="G131" s="382"/>
      <c r="H131" s="382"/>
      <c r="I131" s="382"/>
      <c r="J131" s="382"/>
      <c r="K131" s="382"/>
      <c r="L131" s="382"/>
      <c r="M131" s="382"/>
      <c r="N131" s="382"/>
      <c r="O131" s="382"/>
      <c r="P131" s="348"/>
      <c r="Q131" s="348"/>
      <c r="R131" s="348"/>
      <c r="S131" s="348"/>
      <c r="T131" s="348"/>
      <c r="U131" s="348"/>
      <c r="V131" s="333" t="str">
        <f t="shared" ref="V131:V138" si="9">(IF(P131="","",IF($P$126=0,"",P131/$P$126)))</f>
        <v/>
      </c>
      <c r="W131" s="333"/>
      <c r="X131" s="333"/>
      <c r="Y131" s="333"/>
      <c r="Z131" s="348"/>
      <c r="AA131" s="348"/>
      <c r="AB131" s="348"/>
      <c r="AC131" s="348"/>
      <c r="AD131" s="348"/>
      <c r="AE131" s="348"/>
      <c r="AF131" s="333" t="str">
        <f t="shared" si="8"/>
        <v/>
      </c>
      <c r="AG131" s="333"/>
      <c r="AH131" s="333"/>
      <c r="AI131" s="333"/>
      <c r="AJ131" s="348"/>
      <c r="AK131" s="348"/>
      <c r="AL131" s="348"/>
      <c r="AM131" s="348"/>
      <c r="AN131" s="348"/>
      <c r="AO131" s="348"/>
      <c r="AP131" s="333" t="str">
        <f>IFERROR((IF(AJ131="","",IF($AT$126=0,"",AJ131/($AT$126-$P$126)))),"")</f>
        <v/>
      </c>
      <c r="AQ131" s="333"/>
      <c r="AR131" s="333"/>
      <c r="AS131" s="333"/>
      <c r="AT131" s="345">
        <f>P131+Z131+AJ131</f>
        <v>0</v>
      </c>
      <c r="AU131" s="346"/>
      <c r="AV131" s="346"/>
      <c r="AW131" s="346"/>
      <c r="AX131" s="346"/>
      <c r="AY131" s="346"/>
      <c r="AZ131" s="346"/>
      <c r="BA131" s="347"/>
      <c r="BD131" s="656"/>
      <c r="BE131" s="656"/>
      <c r="BF131" s="656"/>
      <c r="BG131" s="656"/>
      <c r="BH131" s="656"/>
      <c r="BI131" s="656"/>
      <c r="BJ131" s="656"/>
      <c r="BK131" s="656"/>
      <c r="BL131" s="656"/>
      <c r="BM131" s="656"/>
      <c r="BN131" s="656"/>
      <c r="BO131" s="656"/>
      <c r="BP131" s="656"/>
      <c r="BQ131" s="656"/>
      <c r="BR131" s="656"/>
      <c r="BS131" s="656"/>
      <c r="BT131" s="656"/>
      <c r="BU131" s="656"/>
      <c r="BV131" s="656"/>
      <c r="BW131" s="656"/>
      <c r="BX131" s="656"/>
      <c r="BY131" s="656"/>
      <c r="BZ131" s="656"/>
      <c r="CA131" s="656"/>
      <c r="CB131" s="656"/>
      <c r="CC131" s="656"/>
      <c r="CD131" s="656"/>
      <c r="CE131" s="656"/>
      <c r="CF131" s="656"/>
      <c r="CG131" s="656"/>
      <c r="CH131" s="656"/>
      <c r="CI131" s="656"/>
      <c r="CJ131" s="656"/>
      <c r="CK131" s="656"/>
      <c r="CL131" s="656"/>
      <c r="CM131" s="656"/>
    </row>
    <row r="132" spans="2:92" s="19" customFormat="1" ht="12" customHeight="1" x14ac:dyDescent="0.25">
      <c r="B132" s="386" t="str">
        <f>IF($B$18="spółdzielnia mieszkaniowa","wkłady mieszkaniowe","partycypacje przyszłych najemców")</f>
        <v>partycypacje przyszłych najemców</v>
      </c>
      <c r="C132" s="386"/>
      <c r="D132" s="386"/>
      <c r="E132" s="386"/>
      <c r="F132" s="386"/>
      <c r="G132" s="386"/>
      <c r="H132" s="386"/>
      <c r="I132" s="386"/>
      <c r="J132" s="386"/>
      <c r="K132" s="386"/>
      <c r="L132" s="386"/>
      <c r="M132" s="386"/>
      <c r="N132" s="386"/>
      <c r="O132" s="386"/>
      <c r="P132" s="348"/>
      <c r="Q132" s="348"/>
      <c r="R132" s="348"/>
      <c r="S132" s="348"/>
      <c r="T132" s="348"/>
      <c r="U132" s="348"/>
      <c r="V132" s="333" t="str">
        <f>(IF(P132="","",IF($P$126=0,"",P132/$P$126)))</f>
        <v/>
      </c>
      <c r="W132" s="333"/>
      <c r="X132" s="333"/>
      <c r="Y132" s="333"/>
      <c r="Z132" s="348"/>
      <c r="AA132" s="348"/>
      <c r="AB132" s="348"/>
      <c r="AC132" s="348"/>
      <c r="AD132" s="348"/>
      <c r="AE132" s="348"/>
      <c r="AF132" s="333" t="str">
        <f t="shared" si="8"/>
        <v/>
      </c>
      <c r="AG132" s="333"/>
      <c r="AH132" s="333"/>
      <c r="AI132" s="333"/>
      <c r="AJ132" s="348"/>
      <c r="AK132" s="348"/>
      <c r="AL132" s="348"/>
      <c r="AM132" s="348"/>
      <c r="AN132" s="348"/>
      <c r="AO132" s="348"/>
      <c r="AP132" s="333" t="str">
        <f t="shared" ref="AP132:AP137" si="10">IFERROR((IF(AJ132="","",IF($AT$126=0,"",AJ132/($AT$126-$P$126)))),"")</f>
        <v/>
      </c>
      <c r="AQ132" s="333"/>
      <c r="AR132" s="333"/>
      <c r="AS132" s="333"/>
      <c r="AT132" s="345">
        <f t="shared" ref="AT132:AT137" si="11">P132+Z132+AJ132</f>
        <v>0</v>
      </c>
      <c r="AU132" s="346"/>
      <c r="AV132" s="346"/>
      <c r="AW132" s="346"/>
      <c r="AX132" s="346"/>
      <c r="AY132" s="346"/>
      <c r="AZ132" s="346"/>
      <c r="BA132" s="347"/>
      <c r="BD132" s="662" t="str">
        <f>IF($P$132="","",IF(AND(ROUND($P$132,2)&gt;0.3*ROUND($P$121,2),$B$18&lt;&gt;"spółdzielnia mieszkaniowa"),"UWAGA: Wysokość partycypacji własnych najemców nie może przekraczać 30% kosztu wybudowania lokali mieszkalnych.",""))</f>
        <v/>
      </c>
      <c r="BE132" s="656"/>
      <c r="BF132" s="656"/>
      <c r="BG132" s="656"/>
      <c r="BH132" s="656"/>
      <c r="BI132" s="656"/>
      <c r="BJ132" s="656"/>
      <c r="BK132" s="656"/>
      <c r="BL132" s="656"/>
      <c r="BM132" s="656"/>
      <c r="BN132" s="656"/>
      <c r="BO132" s="656"/>
      <c r="BP132" s="656"/>
      <c r="BQ132" s="656"/>
      <c r="BR132" s="656"/>
      <c r="BS132" s="656"/>
      <c r="BT132" s="656"/>
      <c r="BU132" s="656"/>
      <c r="BV132" s="656"/>
      <c r="BW132" s="656"/>
      <c r="BX132" s="656"/>
      <c r="BY132" s="656"/>
      <c r="BZ132" s="656"/>
      <c r="CA132" s="656"/>
      <c r="CB132" s="656"/>
      <c r="CC132" s="656"/>
      <c r="CD132" s="656"/>
      <c r="CE132" s="656"/>
      <c r="CF132" s="656"/>
      <c r="CG132" s="656"/>
      <c r="CH132" s="656"/>
      <c r="CI132" s="656"/>
      <c r="CJ132" s="656"/>
      <c r="CK132" s="656"/>
      <c r="CL132" s="656"/>
      <c r="CM132" s="656"/>
    </row>
    <row r="133" spans="2:92" s="19" customFormat="1" ht="12" customHeight="1" x14ac:dyDescent="0.25">
      <c r="B133" s="355" t="str">
        <f>IF($B$18="spółdzielnia mieszkaniowa","","partycypacje inne (jakie?)")</f>
        <v>partycypacje inne (jakie?)</v>
      </c>
      <c r="C133" s="356"/>
      <c r="D133" s="356"/>
      <c r="E133" s="356"/>
      <c r="F133" s="356"/>
      <c r="G133" s="356"/>
      <c r="H133" s="356"/>
      <c r="I133" s="356"/>
      <c r="J133" s="356"/>
      <c r="K133" s="356"/>
      <c r="L133" s="356"/>
      <c r="M133" s="357"/>
      <c r="N133" s="357"/>
      <c r="O133" s="358"/>
      <c r="P133" s="348"/>
      <c r="Q133" s="348"/>
      <c r="R133" s="348"/>
      <c r="S133" s="348"/>
      <c r="T133" s="348"/>
      <c r="U133" s="348"/>
      <c r="V133" s="333" t="str">
        <f t="shared" si="9"/>
        <v/>
      </c>
      <c r="W133" s="333"/>
      <c r="X133" s="333"/>
      <c r="Y133" s="333"/>
      <c r="Z133" s="348"/>
      <c r="AA133" s="348"/>
      <c r="AB133" s="348"/>
      <c r="AC133" s="348"/>
      <c r="AD133" s="348"/>
      <c r="AE133" s="348"/>
      <c r="AF133" s="333" t="str">
        <f t="shared" si="8"/>
        <v/>
      </c>
      <c r="AG133" s="333"/>
      <c r="AH133" s="333"/>
      <c r="AI133" s="333"/>
      <c r="AJ133" s="348"/>
      <c r="AK133" s="348"/>
      <c r="AL133" s="348"/>
      <c r="AM133" s="348"/>
      <c r="AN133" s="348"/>
      <c r="AO133" s="348"/>
      <c r="AP133" s="333" t="str">
        <f t="shared" si="10"/>
        <v/>
      </c>
      <c r="AQ133" s="333"/>
      <c r="AR133" s="333"/>
      <c r="AS133" s="333"/>
      <c r="AT133" s="345">
        <f t="shared" si="11"/>
        <v>0</v>
      </c>
      <c r="AU133" s="346"/>
      <c r="AV133" s="346"/>
      <c r="AW133" s="346"/>
      <c r="AX133" s="346"/>
      <c r="AY133" s="346"/>
      <c r="AZ133" s="346"/>
      <c r="BA133" s="347"/>
      <c r="BD133" s="656"/>
      <c r="BE133" s="656"/>
      <c r="BF133" s="656"/>
      <c r="BG133" s="656"/>
      <c r="BH133" s="656"/>
      <c r="BI133" s="656"/>
      <c r="BJ133" s="656"/>
      <c r="BK133" s="656"/>
      <c r="BL133" s="656"/>
      <c r="BM133" s="656"/>
      <c r="BN133" s="656"/>
      <c r="BO133" s="656"/>
      <c r="BP133" s="656"/>
      <c r="BQ133" s="656"/>
      <c r="BR133" s="656"/>
      <c r="BS133" s="656"/>
      <c r="BT133" s="656"/>
      <c r="BU133" s="656"/>
      <c r="BV133" s="656"/>
      <c r="BW133" s="656"/>
      <c r="BX133" s="656"/>
      <c r="BY133" s="656"/>
      <c r="BZ133" s="656"/>
      <c r="CA133" s="656"/>
      <c r="CB133" s="656"/>
      <c r="CC133" s="656"/>
      <c r="CD133" s="656"/>
      <c r="CE133" s="656"/>
      <c r="CF133" s="656"/>
      <c r="CG133" s="656"/>
      <c r="CH133" s="656"/>
      <c r="CI133" s="656"/>
      <c r="CJ133" s="656"/>
      <c r="CK133" s="656"/>
      <c r="CL133" s="656"/>
      <c r="CM133" s="656"/>
    </row>
    <row r="134" spans="2:92" s="19" customFormat="1" ht="12" customHeight="1" x14ac:dyDescent="0.25">
      <c r="B134" s="386" t="str">
        <f>IF($B$18="spółdzielnia mieszkaniowa","","środki zgromadzone na rachunkach")</f>
        <v>środki zgromadzone na rachunkach</v>
      </c>
      <c r="C134" s="386"/>
      <c r="D134" s="386"/>
      <c r="E134" s="386"/>
      <c r="F134" s="386"/>
      <c r="G134" s="386"/>
      <c r="H134" s="386"/>
      <c r="I134" s="386"/>
      <c r="J134" s="386"/>
      <c r="K134" s="386"/>
      <c r="L134" s="386"/>
      <c r="M134" s="386"/>
      <c r="N134" s="386"/>
      <c r="O134" s="386"/>
      <c r="P134" s="348"/>
      <c r="Q134" s="348"/>
      <c r="R134" s="348"/>
      <c r="S134" s="348"/>
      <c r="T134" s="348"/>
      <c r="U134" s="348"/>
      <c r="V134" s="333" t="str">
        <f t="shared" ref="V134:V137" si="12">(IF(P134="","",IF($P$126=0,"",P134/$P$126)))</f>
        <v/>
      </c>
      <c r="W134" s="333"/>
      <c r="X134" s="333"/>
      <c r="Y134" s="333"/>
      <c r="Z134" s="348"/>
      <c r="AA134" s="348"/>
      <c r="AB134" s="348"/>
      <c r="AC134" s="348"/>
      <c r="AD134" s="348"/>
      <c r="AE134" s="348"/>
      <c r="AF134" s="333" t="str">
        <f t="shared" si="8"/>
        <v/>
      </c>
      <c r="AG134" s="333"/>
      <c r="AH134" s="333"/>
      <c r="AI134" s="333"/>
      <c r="AJ134" s="348"/>
      <c r="AK134" s="348"/>
      <c r="AL134" s="348"/>
      <c r="AM134" s="348"/>
      <c r="AN134" s="348"/>
      <c r="AO134" s="348"/>
      <c r="AP134" s="333" t="str">
        <f t="shared" si="10"/>
        <v/>
      </c>
      <c r="AQ134" s="333"/>
      <c r="AR134" s="333"/>
      <c r="AS134" s="333"/>
      <c r="AT134" s="345">
        <f t="shared" si="11"/>
        <v>0</v>
      </c>
      <c r="AU134" s="346"/>
      <c r="AV134" s="346"/>
      <c r="AW134" s="346"/>
      <c r="AX134" s="346"/>
      <c r="AY134" s="346"/>
      <c r="AZ134" s="346"/>
      <c r="BA134" s="347"/>
      <c r="BD134" s="696" t="str">
        <f>IF($AJ$130="","",IF(ROUND($AJ$130&lt;&gt;$AT$126-$P$126-$Z$126,2),"UWAGA: Wkład własny na część inwestycji nieobjętą finansowaniem BGK musi być równy jej kosztowi.",""))</f>
        <v/>
      </c>
      <c r="BE134" s="696"/>
      <c r="BF134" s="696"/>
      <c r="BG134" s="696"/>
      <c r="BH134" s="696"/>
      <c r="BI134" s="696"/>
      <c r="BJ134" s="696"/>
      <c r="BK134" s="696"/>
      <c r="BL134" s="696"/>
      <c r="BM134" s="696"/>
      <c r="BN134" s="696"/>
      <c r="BO134" s="696"/>
      <c r="BP134" s="696"/>
      <c r="BQ134" s="696"/>
      <c r="BR134" s="696"/>
      <c r="BS134" s="696"/>
      <c r="BT134" s="696"/>
      <c r="BU134" s="696"/>
      <c r="BV134" s="696"/>
      <c r="BW134" s="696"/>
      <c r="BX134" s="696"/>
      <c r="BY134" s="696"/>
      <c r="BZ134" s="696"/>
      <c r="CA134" s="696"/>
      <c r="CB134" s="696"/>
      <c r="CC134" s="696"/>
      <c r="CD134" s="696"/>
      <c r="CE134" s="696"/>
      <c r="CF134" s="696"/>
      <c r="CG134" s="696"/>
      <c r="CH134" s="696"/>
      <c r="CI134" s="696"/>
      <c r="CJ134" s="696"/>
      <c r="CK134" s="696"/>
      <c r="CL134" s="696"/>
      <c r="CM134" s="696"/>
    </row>
    <row r="135" spans="2:92" s="19" customFormat="1" ht="12" customHeight="1" x14ac:dyDescent="0.25">
      <c r="B135" s="386" t="s">
        <v>5310</v>
      </c>
      <c r="C135" s="386"/>
      <c r="D135" s="386"/>
      <c r="E135" s="386"/>
      <c r="F135" s="386"/>
      <c r="G135" s="386"/>
      <c r="H135" s="386"/>
      <c r="I135" s="386"/>
      <c r="J135" s="386"/>
      <c r="K135" s="386"/>
      <c r="L135" s="386"/>
      <c r="M135" s="386"/>
      <c r="N135" s="386"/>
      <c r="O135" s="386"/>
      <c r="P135" s="348"/>
      <c r="Q135" s="348"/>
      <c r="R135" s="348"/>
      <c r="S135" s="348"/>
      <c r="T135" s="348"/>
      <c r="U135" s="348"/>
      <c r="V135" s="333" t="str">
        <f t="shared" si="12"/>
        <v/>
      </c>
      <c r="W135" s="333"/>
      <c r="X135" s="333"/>
      <c r="Y135" s="333"/>
      <c r="Z135" s="348"/>
      <c r="AA135" s="348"/>
      <c r="AB135" s="348"/>
      <c r="AC135" s="348"/>
      <c r="AD135" s="348"/>
      <c r="AE135" s="348"/>
      <c r="AF135" s="333"/>
      <c r="AG135" s="333"/>
      <c r="AH135" s="333"/>
      <c r="AI135" s="333"/>
      <c r="AJ135" s="348"/>
      <c r="AK135" s="348"/>
      <c r="AL135" s="348"/>
      <c r="AM135" s="348"/>
      <c r="AN135" s="348"/>
      <c r="AO135" s="348"/>
      <c r="AP135" s="333"/>
      <c r="AQ135" s="333"/>
      <c r="AR135" s="333"/>
      <c r="AS135" s="333"/>
      <c r="AT135" s="345">
        <f t="shared" ref="AT135:AT136" si="13">P135+Z135+AJ135</f>
        <v>0</v>
      </c>
      <c r="AU135" s="346"/>
      <c r="AV135" s="346"/>
      <c r="AW135" s="346"/>
      <c r="AX135" s="346"/>
      <c r="AY135" s="346"/>
      <c r="AZ135" s="346"/>
      <c r="BA135" s="347"/>
      <c r="BD135" s="696"/>
      <c r="BE135" s="696"/>
      <c r="BF135" s="696"/>
      <c r="BG135" s="696"/>
      <c r="BH135" s="696"/>
      <c r="BI135" s="696"/>
      <c r="BJ135" s="696"/>
      <c r="BK135" s="696"/>
      <c r="BL135" s="696"/>
      <c r="BM135" s="696"/>
      <c r="BN135" s="696"/>
      <c r="BO135" s="696"/>
      <c r="BP135" s="696"/>
      <c r="BQ135" s="696"/>
      <c r="BR135" s="696"/>
      <c r="BS135" s="696"/>
      <c r="BT135" s="696"/>
      <c r="BU135" s="696"/>
      <c r="BV135" s="696"/>
      <c r="BW135" s="696"/>
      <c r="BX135" s="696"/>
      <c r="BY135" s="696"/>
      <c r="BZ135" s="696"/>
      <c r="CA135" s="696"/>
      <c r="CB135" s="696"/>
      <c r="CC135" s="696"/>
      <c r="CD135" s="696"/>
      <c r="CE135" s="696"/>
      <c r="CF135" s="696"/>
      <c r="CG135" s="696"/>
      <c r="CH135" s="696"/>
      <c r="CI135" s="696"/>
      <c r="CJ135" s="696"/>
      <c r="CK135" s="696"/>
      <c r="CL135" s="696"/>
      <c r="CM135" s="696"/>
    </row>
    <row r="136" spans="2:92" s="19" customFormat="1" ht="24.75" customHeight="1" x14ac:dyDescent="0.25">
      <c r="B136" s="341" t="s">
        <v>5311</v>
      </c>
      <c r="C136" s="341"/>
      <c r="D136" s="341"/>
      <c r="E136" s="341"/>
      <c r="F136" s="341"/>
      <c r="G136" s="341"/>
      <c r="H136" s="341"/>
      <c r="I136" s="341"/>
      <c r="J136" s="341"/>
      <c r="K136" s="341"/>
      <c r="L136" s="341"/>
      <c r="M136" s="341"/>
      <c r="N136" s="341"/>
      <c r="O136" s="341"/>
      <c r="P136" s="348"/>
      <c r="Q136" s="348"/>
      <c r="R136" s="348"/>
      <c r="S136" s="348"/>
      <c r="T136" s="348"/>
      <c r="U136" s="348"/>
      <c r="V136" s="333" t="str">
        <f t="shared" si="12"/>
        <v/>
      </c>
      <c r="W136" s="333"/>
      <c r="X136" s="333"/>
      <c r="Y136" s="333"/>
      <c r="Z136" s="348"/>
      <c r="AA136" s="348"/>
      <c r="AB136" s="348"/>
      <c r="AC136" s="348"/>
      <c r="AD136" s="348"/>
      <c r="AE136" s="348"/>
      <c r="AF136" s="333"/>
      <c r="AG136" s="333"/>
      <c r="AH136" s="333"/>
      <c r="AI136" s="333"/>
      <c r="AJ136" s="348"/>
      <c r="AK136" s="348"/>
      <c r="AL136" s="348"/>
      <c r="AM136" s="348"/>
      <c r="AN136" s="348"/>
      <c r="AO136" s="348"/>
      <c r="AP136" s="333"/>
      <c r="AQ136" s="333"/>
      <c r="AR136" s="333"/>
      <c r="AS136" s="333"/>
      <c r="AT136" s="345">
        <f t="shared" si="13"/>
        <v>0</v>
      </c>
      <c r="AU136" s="346"/>
      <c r="AV136" s="346"/>
      <c r="AW136" s="346"/>
      <c r="AX136" s="346"/>
      <c r="AY136" s="346"/>
      <c r="AZ136" s="346"/>
      <c r="BA136" s="347"/>
      <c r="BD136" s="696"/>
      <c r="BE136" s="696"/>
      <c r="BF136" s="696"/>
      <c r="BG136" s="696"/>
      <c r="BH136" s="696"/>
      <c r="BI136" s="696"/>
      <c r="BJ136" s="696"/>
      <c r="BK136" s="696"/>
      <c r="BL136" s="696"/>
      <c r="BM136" s="696"/>
      <c r="BN136" s="696"/>
      <c r="BO136" s="696"/>
      <c r="BP136" s="696"/>
      <c r="BQ136" s="696"/>
      <c r="BR136" s="696"/>
      <c r="BS136" s="696"/>
      <c r="BT136" s="696"/>
      <c r="BU136" s="696"/>
      <c r="BV136" s="696"/>
      <c r="BW136" s="696"/>
      <c r="BX136" s="696"/>
      <c r="BY136" s="696"/>
      <c r="BZ136" s="696"/>
      <c r="CA136" s="696"/>
      <c r="CB136" s="696"/>
      <c r="CC136" s="696"/>
      <c r="CD136" s="696"/>
      <c r="CE136" s="696"/>
      <c r="CF136" s="696"/>
      <c r="CG136" s="696"/>
      <c r="CH136" s="696"/>
      <c r="CI136" s="696"/>
      <c r="CJ136" s="696"/>
      <c r="CK136" s="696"/>
      <c r="CL136" s="696"/>
      <c r="CM136" s="696"/>
    </row>
    <row r="137" spans="2:92" s="19" customFormat="1" ht="12" customHeight="1" x14ac:dyDescent="0.25">
      <c r="B137" s="355" t="s">
        <v>5286</v>
      </c>
      <c r="C137" s="356"/>
      <c r="D137" s="356"/>
      <c r="E137" s="356"/>
      <c r="F137" s="356"/>
      <c r="G137" s="356"/>
      <c r="H137" s="357"/>
      <c r="I137" s="357"/>
      <c r="J137" s="357"/>
      <c r="K137" s="357"/>
      <c r="L137" s="357"/>
      <c r="M137" s="357"/>
      <c r="N137" s="357"/>
      <c r="O137" s="358"/>
      <c r="P137" s="348"/>
      <c r="Q137" s="348"/>
      <c r="R137" s="348"/>
      <c r="S137" s="348"/>
      <c r="T137" s="348"/>
      <c r="U137" s="348"/>
      <c r="V137" s="333" t="str">
        <f t="shared" si="12"/>
        <v/>
      </c>
      <c r="W137" s="333"/>
      <c r="X137" s="333"/>
      <c r="Y137" s="333"/>
      <c r="Z137" s="348"/>
      <c r="AA137" s="348"/>
      <c r="AB137" s="348"/>
      <c r="AC137" s="348"/>
      <c r="AD137" s="348"/>
      <c r="AE137" s="348"/>
      <c r="AF137" s="333" t="str">
        <f t="shared" si="8"/>
        <v/>
      </c>
      <c r="AG137" s="333"/>
      <c r="AH137" s="333"/>
      <c r="AI137" s="333"/>
      <c r="AJ137" s="348"/>
      <c r="AK137" s="348"/>
      <c r="AL137" s="348"/>
      <c r="AM137" s="348"/>
      <c r="AN137" s="348"/>
      <c r="AO137" s="348"/>
      <c r="AP137" s="333" t="str">
        <f t="shared" si="10"/>
        <v/>
      </c>
      <c r="AQ137" s="333"/>
      <c r="AR137" s="333"/>
      <c r="AS137" s="333"/>
      <c r="AT137" s="345">
        <f t="shared" si="11"/>
        <v>0</v>
      </c>
      <c r="AU137" s="346"/>
      <c r="AV137" s="346"/>
      <c r="AW137" s="346"/>
      <c r="AX137" s="346"/>
      <c r="AY137" s="346"/>
      <c r="AZ137" s="346"/>
      <c r="BA137" s="347"/>
      <c r="BD137" s="696"/>
      <c r="BE137" s="696"/>
      <c r="BF137" s="696"/>
      <c r="BG137" s="696"/>
      <c r="BH137" s="696"/>
      <c r="BI137" s="696"/>
      <c r="BJ137" s="696"/>
      <c r="BK137" s="696"/>
      <c r="BL137" s="696"/>
      <c r="BM137" s="696"/>
      <c r="BN137" s="696"/>
      <c r="BO137" s="696"/>
      <c r="BP137" s="696"/>
      <c r="BQ137" s="696"/>
      <c r="BR137" s="696"/>
      <c r="BS137" s="696"/>
      <c r="BT137" s="696"/>
      <c r="BU137" s="696"/>
      <c r="BV137" s="696"/>
      <c r="BW137" s="696"/>
      <c r="BX137" s="696"/>
      <c r="BY137" s="696"/>
      <c r="BZ137" s="696"/>
      <c r="CA137" s="696"/>
      <c r="CB137" s="696"/>
      <c r="CC137" s="696"/>
      <c r="CD137" s="696"/>
      <c r="CE137" s="696"/>
      <c r="CF137" s="696"/>
      <c r="CG137" s="696"/>
      <c r="CH137" s="696"/>
      <c r="CI137" s="696"/>
      <c r="CJ137" s="696"/>
      <c r="CK137" s="696"/>
      <c r="CL137" s="696"/>
      <c r="CM137" s="696"/>
    </row>
    <row r="138" spans="2:92" s="19" customFormat="1" ht="12" customHeight="1" x14ac:dyDescent="0.25">
      <c r="B138" s="380" t="s">
        <v>5211</v>
      </c>
      <c r="C138" s="380"/>
      <c r="D138" s="380"/>
      <c r="E138" s="380"/>
      <c r="F138" s="380"/>
      <c r="G138" s="380"/>
      <c r="H138" s="380"/>
      <c r="I138" s="380"/>
      <c r="J138" s="380"/>
      <c r="K138" s="380"/>
      <c r="L138" s="380"/>
      <c r="M138" s="380"/>
      <c r="N138" s="380"/>
      <c r="O138" s="380"/>
      <c r="P138" s="381">
        <f>IF(O41="",0,O41)</f>
        <v>0</v>
      </c>
      <c r="Q138" s="381"/>
      <c r="R138" s="381"/>
      <c r="S138" s="381"/>
      <c r="T138" s="381"/>
      <c r="U138" s="381"/>
      <c r="V138" s="333" t="str">
        <f t="shared" si="9"/>
        <v/>
      </c>
      <c r="W138" s="333"/>
      <c r="X138" s="333"/>
      <c r="Y138" s="333"/>
      <c r="Z138" s="348"/>
      <c r="AA138" s="348"/>
      <c r="AB138" s="348"/>
      <c r="AC138" s="348"/>
      <c r="AD138" s="348"/>
      <c r="AE138" s="348"/>
      <c r="AF138" s="333" t="str">
        <f t="shared" si="8"/>
        <v/>
      </c>
      <c r="AG138" s="333"/>
      <c r="AH138" s="333"/>
      <c r="AI138" s="333"/>
      <c r="AJ138" s="480"/>
      <c r="AK138" s="480"/>
      <c r="AL138" s="480"/>
      <c r="AM138" s="480"/>
      <c r="AN138" s="480"/>
      <c r="AO138" s="480"/>
      <c r="AP138" s="480"/>
      <c r="AQ138" s="480"/>
      <c r="AR138" s="480"/>
      <c r="AS138" s="480"/>
      <c r="AT138" s="345">
        <f>P138+Z138</f>
        <v>0</v>
      </c>
      <c r="AU138" s="346"/>
      <c r="AV138" s="346"/>
      <c r="AW138" s="346"/>
      <c r="AX138" s="346"/>
      <c r="AY138" s="346"/>
      <c r="AZ138" s="346"/>
      <c r="BA138" s="347"/>
      <c r="BD138" s="659" t="str">
        <f>IF($V$138="","",IF($V$138&gt;80%,"UWAGA: Przekroczony dopuszczalny udział finansowania zwrotnego w koszcie części inwestycji objętej tym finansowaniem.",""))</f>
        <v/>
      </c>
      <c r="BE138" s="659"/>
      <c r="BF138" s="659"/>
      <c r="BG138" s="659"/>
      <c r="BH138" s="659"/>
      <c r="BI138" s="659"/>
      <c r="BJ138" s="659"/>
      <c r="BK138" s="659"/>
      <c r="BL138" s="659"/>
      <c r="BM138" s="659"/>
      <c r="BN138" s="659"/>
      <c r="BO138" s="659"/>
      <c r="BP138" s="659"/>
      <c r="BQ138" s="659"/>
      <c r="BR138" s="659"/>
      <c r="BS138" s="659"/>
      <c r="BT138" s="659"/>
      <c r="BU138" s="659"/>
      <c r="BV138" s="659"/>
      <c r="BW138" s="659"/>
      <c r="BX138" s="659"/>
      <c r="BY138" s="659"/>
      <c r="BZ138" s="659"/>
      <c r="CA138" s="659"/>
      <c r="CB138" s="659"/>
      <c r="CC138" s="659"/>
      <c r="CD138" s="659"/>
      <c r="CE138" s="659"/>
      <c r="CF138" s="659"/>
      <c r="CG138" s="659"/>
      <c r="CH138" s="659"/>
      <c r="CI138" s="659"/>
      <c r="CJ138" s="659"/>
      <c r="CK138" s="659"/>
      <c r="CL138" s="659"/>
      <c r="CM138" s="659"/>
      <c r="CN138" s="659"/>
    </row>
    <row r="139" spans="2:92" s="28" customFormat="1" ht="12" customHeight="1" x14ac:dyDescent="0.25">
      <c r="B139" s="700" t="s">
        <v>5133</v>
      </c>
      <c r="C139" s="700"/>
      <c r="D139" s="700"/>
      <c r="E139" s="700"/>
      <c r="F139" s="700"/>
      <c r="G139" s="700"/>
      <c r="H139" s="700"/>
      <c r="I139" s="700"/>
      <c r="J139" s="700"/>
      <c r="K139" s="700"/>
      <c r="L139" s="700"/>
      <c r="M139" s="700"/>
      <c r="N139" s="700"/>
      <c r="O139" s="700"/>
      <c r="P139" s="415">
        <f>P130+P138</f>
        <v>0</v>
      </c>
      <c r="Q139" s="416"/>
      <c r="R139" s="416"/>
      <c r="S139" s="416"/>
      <c r="T139" s="416"/>
      <c r="U139" s="417"/>
      <c r="V139" s="485" t="str">
        <f>IFERROR(V130+V138,"")</f>
        <v/>
      </c>
      <c r="W139" s="486"/>
      <c r="X139" s="486"/>
      <c r="Y139" s="487"/>
      <c r="Z139" s="415">
        <f>Z130+Z138</f>
        <v>0</v>
      </c>
      <c r="AA139" s="416"/>
      <c r="AB139" s="416"/>
      <c r="AC139" s="416"/>
      <c r="AD139" s="416"/>
      <c r="AE139" s="417"/>
      <c r="AF139" s="384" t="str">
        <f>IFERROR(AF130+AF138,"")</f>
        <v/>
      </c>
      <c r="AG139" s="384"/>
      <c r="AH139" s="384"/>
      <c r="AI139" s="384"/>
      <c r="AJ139" s="415">
        <f>AJ130</f>
        <v>0</v>
      </c>
      <c r="AK139" s="416"/>
      <c r="AL139" s="416"/>
      <c r="AM139" s="416"/>
      <c r="AN139" s="416"/>
      <c r="AO139" s="417"/>
      <c r="AP139" s="384" t="str">
        <f>AP130</f>
        <v/>
      </c>
      <c r="AQ139" s="384"/>
      <c r="AR139" s="384"/>
      <c r="AS139" s="384"/>
      <c r="AT139" s="345">
        <f>P139+Z139+AJ139</f>
        <v>0</v>
      </c>
      <c r="AU139" s="346"/>
      <c r="AV139" s="346"/>
      <c r="AW139" s="346"/>
      <c r="AX139" s="346"/>
      <c r="AY139" s="346"/>
      <c r="AZ139" s="346"/>
      <c r="BA139" s="347"/>
      <c r="BD139" s="659"/>
      <c r="BE139" s="659"/>
      <c r="BF139" s="659"/>
      <c r="BG139" s="659"/>
      <c r="BH139" s="659"/>
      <c r="BI139" s="659"/>
      <c r="BJ139" s="659"/>
      <c r="BK139" s="659"/>
      <c r="BL139" s="659"/>
      <c r="BM139" s="659"/>
      <c r="BN139" s="659"/>
      <c r="BO139" s="659"/>
      <c r="BP139" s="659"/>
      <c r="BQ139" s="659"/>
      <c r="BR139" s="659"/>
      <c r="BS139" s="659"/>
      <c r="BT139" s="659"/>
      <c r="BU139" s="659"/>
      <c r="BV139" s="659"/>
      <c r="BW139" s="659"/>
      <c r="BX139" s="659"/>
      <c r="BY139" s="659"/>
      <c r="BZ139" s="659"/>
      <c r="CA139" s="659"/>
      <c r="CB139" s="659"/>
      <c r="CC139" s="659"/>
      <c r="CD139" s="659"/>
      <c r="CE139" s="659"/>
      <c r="CF139" s="659"/>
      <c r="CG139" s="659"/>
      <c r="CH139" s="659"/>
      <c r="CI139" s="659"/>
      <c r="CJ139" s="659"/>
      <c r="CK139" s="659"/>
      <c r="CL139" s="659"/>
      <c r="CM139" s="659"/>
      <c r="CN139" s="659"/>
    </row>
    <row r="140" spans="2:92" s="28" customFormat="1" ht="8.6999999999999993" customHeight="1" x14ac:dyDescent="0.25">
      <c r="B140" s="421" t="s">
        <v>5558</v>
      </c>
      <c r="C140" s="421"/>
      <c r="D140" s="421"/>
      <c r="E140" s="421"/>
      <c r="F140" s="421"/>
      <c r="G140" s="421"/>
      <c r="H140" s="421"/>
      <c r="I140" s="421"/>
      <c r="J140" s="421"/>
      <c r="K140" s="421"/>
      <c r="L140" s="421"/>
      <c r="M140" s="421"/>
      <c r="N140" s="421"/>
      <c r="O140" s="421"/>
      <c r="P140" s="87"/>
      <c r="Q140" s="87"/>
      <c r="R140" s="87"/>
      <c r="S140" s="87"/>
      <c r="T140" s="87"/>
      <c r="U140" s="87"/>
      <c r="V140" s="88"/>
      <c r="W140" s="88"/>
      <c r="X140" s="88"/>
      <c r="Y140" s="88"/>
      <c r="Z140" s="87"/>
      <c r="AA140" s="87"/>
      <c r="AB140" s="87"/>
      <c r="AC140" s="87"/>
      <c r="AD140" s="87"/>
      <c r="AE140" s="87"/>
      <c r="AF140" s="88"/>
      <c r="AG140" s="88"/>
      <c r="AH140" s="88"/>
      <c r="AI140" s="88"/>
      <c r="AJ140" s="87"/>
      <c r="AK140" s="87"/>
      <c r="AL140" s="87"/>
      <c r="AM140" s="87"/>
      <c r="AN140" s="87"/>
      <c r="AO140" s="87"/>
      <c r="AP140" s="88"/>
      <c r="AQ140" s="88"/>
      <c r="AR140" s="88"/>
      <c r="AS140" s="88"/>
      <c r="AT140" s="89"/>
      <c r="AU140" s="89"/>
      <c r="AV140" s="89"/>
      <c r="AW140" s="89"/>
      <c r="AX140" s="89"/>
      <c r="AY140" s="89"/>
      <c r="AZ140" s="89"/>
      <c r="BA140" s="89"/>
    </row>
    <row r="141" spans="2:92" s="28" customFormat="1" ht="8.25" customHeight="1" x14ac:dyDescent="0.25">
      <c r="B141" s="86"/>
      <c r="C141" s="86"/>
      <c r="D141" s="86"/>
      <c r="E141" s="86"/>
      <c r="F141" s="86"/>
      <c r="G141" s="86"/>
      <c r="H141" s="86"/>
      <c r="I141" s="86"/>
      <c r="J141" s="86"/>
      <c r="K141" s="86"/>
      <c r="L141" s="86"/>
      <c r="M141" s="86"/>
      <c r="N141" s="86"/>
      <c r="O141" s="86"/>
      <c r="P141" s="87"/>
      <c r="Q141" s="87"/>
      <c r="R141" s="87"/>
      <c r="S141" s="87"/>
      <c r="T141" s="87"/>
      <c r="U141" s="87"/>
      <c r="V141" s="88"/>
      <c r="W141" s="88"/>
      <c r="X141" s="88"/>
      <c r="Y141" s="88"/>
      <c r="Z141" s="87"/>
      <c r="AA141" s="87"/>
      <c r="AB141" s="87"/>
      <c r="AC141" s="87"/>
      <c r="AD141" s="87"/>
      <c r="AE141" s="87"/>
      <c r="AF141" s="88"/>
      <c r="AG141" s="88"/>
      <c r="AH141" s="88"/>
      <c r="AI141" s="88"/>
      <c r="AJ141" s="87"/>
      <c r="AK141" s="87"/>
      <c r="AL141" s="87"/>
      <c r="AM141" s="87"/>
      <c r="AN141" s="87"/>
      <c r="AO141" s="87"/>
      <c r="AP141" s="88"/>
      <c r="AQ141" s="88"/>
      <c r="AR141" s="88"/>
      <c r="AS141" s="88"/>
      <c r="AT141" s="89"/>
      <c r="AU141" s="89"/>
      <c r="AV141" s="89"/>
      <c r="AW141" s="89"/>
      <c r="AX141" s="89"/>
      <c r="AY141" s="89"/>
      <c r="AZ141" s="89"/>
      <c r="BA141" s="89"/>
    </row>
    <row r="142" spans="2:92" s="28" customFormat="1" ht="12" customHeight="1" x14ac:dyDescent="0.25">
      <c r="B142" s="371" t="s">
        <v>5640</v>
      </c>
      <c r="C142" s="372"/>
      <c r="D142" s="372"/>
      <c r="E142" s="372"/>
      <c r="F142" s="372"/>
      <c r="G142" s="372"/>
      <c r="H142" s="372"/>
      <c r="I142" s="372"/>
      <c r="J142" s="372"/>
      <c r="K142" s="372"/>
      <c r="L142" s="372"/>
      <c r="M142" s="372"/>
      <c r="N142" s="372"/>
      <c r="O142" s="372"/>
      <c r="P142" s="372"/>
      <c r="Q142" s="372"/>
      <c r="R142" s="372"/>
      <c r="S142" s="372"/>
      <c r="T142" s="372"/>
      <c r="U142" s="372"/>
      <c r="V142" s="372"/>
      <c r="W142" s="372"/>
      <c r="X142" s="372"/>
      <c r="Y142" s="372"/>
      <c r="Z142" s="372"/>
      <c r="AA142" s="372"/>
      <c r="AB142" s="372"/>
      <c r="AC142" s="372"/>
      <c r="AD142" s="372"/>
      <c r="AE142" s="372"/>
      <c r="AF142" s="372"/>
      <c r="AG142" s="372"/>
      <c r="AH142" s="372"/>
      <c r="AI142" s="372"/>
      <c r="AJ142" s="372"/>
      <c r="AK142" s="372"/>
      <c r="AL142" s="372"/>
      <c r="AM142" s="372"/>
      <c r="AN142" s="372"/>
      <c r="AO142" s="372"/>
      <c r="AP142" s="372"/>
      <c r="AQ142" s="372"/>
      <c r="AR142" s="372"/>
      <c r="AS142" s="372"/>
      <c r="AT142" s="372"/>
      <c r="AU142" s="373"/>
      <c r="AV142" s="373"/>
      <c r="AW142" s="373"/>
      <c r="AX142" s="373"/>
      <c r="AY142" s="373"/>
      <c r="AZ142" s="373"/>
      <c r="BA142" s="373"/>
      <c r="BD142" s="301" t="str">
        <f>IF(AND(AU142&lt;&gt;"NIE",AU142&lt;&gt;"TAK"),"Proszę wybrać odpowiedź TAK lub NIE.","")</f>
        <v>Proszę wybrać odpowiedź TAK lub NIE.</v>
      </c>
      <c r="BE142" s="301"/>
      <c r="BF142" s="301"/>
      <c r="BG142" s="301"/>
      <c r="BH142" s="301"/>
      <c r="BI142" s="301"/>
      <c r="BJ142" s="301"/>
      <c r="BK142" s="301"/>
      <c r="BL142" s="301"/>
      <c r="BM142" s="301"/>
      <c r="BN142" s="301"/>
      <c r="BO142" s="301"/>
      <c r="BP142" s="301"/>
      <c r="BQ142" s="301"/>
      <c r="BR142" s="301"/>
      <c r="BS142" s="301"/>
      <c r="BT142" s="301"/>
      <c r="BU142" s="301"/>
      <c r="BV142" s="301"/>
      <c r="BW142" s="301"/>
      <c r="BX142" s="301"/>
      <c r="BY142" s="301"/>
      <c r="BZ142" s="301"/>
      <c r="CA142" s="60"/>
    </row>
    <row r="143" spans="2:92" s="28" customFormat="1" ht="12" customHeight="1" x14ac:dyDescent="0.25">
      <c r="B143" s="321" t="str">
        <f>IF($AU$142="TAK","Czy gmina zawarła już umowę z BGK o grant?","")</f>
        <v/>
      </c>
      <c r="C143" s="322"/>
      <c r="D143" s="322"/>
      <c r="E143" s="322"/>
      <c r="F143" s="322"/>
      <c r="G143" s="322"/>
      <c r="H143" s="322"/>
      <c r="I143" s="322"/>
      <c r="J143" s="322"/>
      <c r="K143" s="322"/>
      <c r="L143" s="322"/>
      <c r="M143" s="322"/>
      <c r="N143" s="322"/>
      <c r="O143" s="322"/>
      <c r="P143" s="322"/>
      <c r="Q143" s="322"/>
      <c r="R143" s="322"/>
      <c r="S143" s="322"/>
      <c r="T143" s="322"/>
      <c r="U143" s="322"/>
      <c r="V143" s="322"/>
      <c r="W143" s="322"/>
      <c r="X143" s="322"/>
      <c r="Y143" s="322"/>
      <c r="Z143" s="322"/>
      <c r="AA143" s="322"/>
      <c r="AB143" s="322"/>
      <c r="AC143" s="322"/>
      <c r="AD143" s="322"/>
      <c r="AE143" s="322"/>
      <c r="AF143" s="322"/>
      <c r="AG143" s="322"/>
      <c r="AH143" s="322"/>
      <c r="AI143" s="322"/>
      <c r="AJ143" s="322"/>
      <c r="AK143" s="322"/>
      <c r="AL143" s="322"/>
      <c r="AM143" s="322"/>
      <c r="AN143" s="322"/>
      <c r="AO143" s="322"/>
      <c r="AP143" s="322"/>
      <c r="AQ143" s="322"/>
      <c r="AR143" s="322"/>
      <c r="AS143" s="322"/>
      <c r="AT143" s="322"/>
      <c r="AU143" s="616"/>
      <c r="AV143" s="616"/>
      <c r="AW143" s="616"/>
      <c r="AX143" s="616"/>
      <c r="AY143" s="616"/>
      <c r="AZ143" s="616"/>
      <c r="BA143" s="616"/>
      <c r="BD143" s="203" t="str">
        <f>IF(AND(AU142="TAK",AU143&lt;&gt;"NIE",AU143&lt;&gt;"TAK"),"Proszę wybrać odpowiedź TAK lub NIE.","")</f>
        <v/>
      </c>
      <c r="BE143" s="203"/>
      <c r="BF143" s="203"/>
      <c r="BG143" s="203"/>
      <c r="BH143" s="203"/>
      <c r="BI143" s="203"/>
      <c r="BJ143" s="203"/>
      <c r="BK143" s="203"/>
      <c r="BL143" s="203"/>
      <c r="BM143" s="203"/>
      <c r="BN143" s="203"/>
      <c r="BO143" s="203"/>
      <c r="BP143" s="203"/>
      <c r="BQ143" s="203"/>
      <c r="BR143" s="203"/>
      <c r="BS143" s="203"/>
      <c r="BT143" s="98"/>
      <c r="BU143" s="98"/>
      <c r="BV143" s="98"/>
      <c r="BW143" s="98"/>
      <c r="BX143" s="98"/>
      <c r="BY143" s="98"/>
      <c r="BZ143" s="98"/>
      <c r="CA143" s="60"/>
    </row>
    <row r="144" spans="2:92" s="28" customFormat="1" ht="12" customHeight="1" x14ac:dyDescent="0.25">
      <c r="B144" s="321" t="str">
        <f>IF(AU143="NIE","Planowana lub faktyczna data złożenia wniosku o grant do Funduszu Dopłat","")</f>
        <v/>
      </c>
      <c r="C144" s="322"/>
      <c r="D144" s="322"/>
      <c r="E144" s="322"/>
      <c r="F144" s="322"/>
      <c r="G144" s="322"/>
      <c r="H144" s="322"/>
      <c r="I144" s="322"/>
      <c r="J144" s="322"/>
      <c r="K144" s="322"/>
      <c r="L144" s="322"/>
      <c r="M144" s="322"/>
      <c r="N144" s="322"/>
      <c r="O144" s="322"/>
      <c r="P144" s="322"/>
      <c r="Q144" s="322"/>
      <c r="R144" s="322"/>
      <c r="S144" s="322"/>
      <c r="T144" s="322"/>
      <c r="U144" s="322"/>
      <c r="V144" s="322"/>
      <c r="W144" s="322"/>
      <c r="X144" s="322"/>
      <c r="Y144" s="322"/>
      <c r="Z144" s="322"/>
      <c r="AA144" s="322"/>
      <c r="AB144" s="322"/>
      <c r="AC144" s="322"/>
      <c r="AD144" s="322"/>
      <c r="AE144" s="322"/>
      <c r="AF144" s="322"/>
      <c r="AG144" s="322"/>
      <c r="AH144" s="322"/>
      <c r="AI144" s="322"/>
      <c r="AJ144" s="322"/>
      <c r="AK144" s="322"/>
      <c r="AL144" s="322"/>
      <c r="AM144" s="322"/>
      <c r="AN144" s="322"/>
      <c r="AO144" s="322"/>
      <c r="AP144" s="322"/>
      <c r="AQ144" s="322"/>
      <c r="AR144" s="322"/>
      <c r="AS144" s="322"/>
      <c r="AT144" s="322"/>
      <c r="AU144" s="458"/>
      <c r="AV144" s="458"/>
      <c r="AW144" s="458"/>
      <c r="AX144" s="458"/>
      <c r="AY144" s="458"/>
      <c r="AZ144" s="458"/>
      <c r="BA144" s="458"/>
      <c r="BD144" s="301" t="str">
        <f>IF(AND(AU143="NIE",AU144=""),"Proszę wpisać datę w formacie DD.MM.RRRR","")</f>
        <v/>
      </c>
      <c r="BE144" s="301"/>
      <c r="BF144" s="301"/>
      <c r="BG144" s="301"/>
      <c r="BH144" s="301"/>
      <c r="BI144" s="301"/>
      <c r="BJ144" s="301"/>
      <c r="BK144" s="301"/>
      <c r="BL144" s="301"/>
      <c r="BM144" s="301"/>
      <c r="BN144" s="301"/>
      <c r="BO144" s="301"/>
      <c r="BP144" s="301"/>
      <c r="BQ144" s="301"/>
      <c r="BR144" s="301"/>
      <c r="BS144" s="301"/>
      <c r="BT144" s="301"/>
      <c r="BU144" s="301"/>
      <c r="BV144" s="301"/>
      <c r="BW144" s="301"/>
      <c r="BX144" s="301"/>
      <c r="BY144" s="301"/>
      <c r="BZ144" s="98"/>
      <c r="CA144" s="60"/>
    </row>
    <row r="145" spans="1:121" s="28" customFormat="1" ht="12" customHeight="1" x14ac:dyDescent="0.25">
      <c r="B145" s="42"/>
      <c r="C145" s="42"/>
      <c r="D145" s="42"/>
      <c r="E145" s="42"/>
      <c r="F145" s="42"/>
      <c r="G145" s="42"/>
      <c r="H145" s="42"/>
      <c r="I145" s="42"/>
      <c r="J145" s="42"/>
      <c r="K145" s="42"/>
      <c r="L145" s="42"/>
      <c r="M145" s="42"/>
      <c r="N145" s="42"/>
      <c r="O145" s="42"/>
      <c r="P145" s="42"/>
      <c r="Q145" s="42"/>
      <c r="R145" s="42"/>
      <c r="S145" s="42"/>
      <c r="T145" s="42"/>
      <c r="U145" s="42"/>
      <c r="V145" s="42"/>
      <c r="W145" s="42"/>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c r="AW145" s="42"/>
      <c r="AX145" s="42"/>
      <c r="AY145" s="42"/>
      <c r="AZ145" s="42"/>
      <c r="BA145" s="42"/>
      <c r="BD145" s="98"/>
      <c r="BE145" s="98"/>
      <c r="BF145" s="98"/>
      <c r="BG145" s="98"/>
      <c r="BH145" s="98"/>
      <c r="BI145" s="98"/>
      <c r="BJ145" s="98"/>
      <c r="BK145" s="98"/>
      <c r="BL145" s="98"/>
      <c r="BM145" s="98"/>
      <c r="BN145" s="98"/>
      <c r="BO145" s="98"/>
      <c r="BP145" s="98"/>
      <c r="BQ145" s="98"/>
      <c r="BR145" s="98"/>
      <c r="BS145" s="98"/>
      <c r="BT145" s="98"/>
      <c r="BU145" s="98"/>
      <c r="BV145" s="98"/>
      <c r="BW145" s="98"/>
      <c r="BX145" s="98"/>
      <c r="BY145" s="98"/>
      <c r="BZ145" s="98"/>
      <c r="CA145" s="60"/>
    </row>
    <row r="146" spans="1:121" s="28" customFormat="1" ht="12" customHeight="1" x14ac:dyDescent="0.25">
      <c r="B146" s="371" t="s">
        <v>5641</v>
      </c>
      <c r="C146" s="372"/>
      <c r="D146" s="372"/>
      <c r="E146" s="372"/>
      <c r="F146" s="372"/>
      <c r="G146" s="372"/>
      <c r="H146" s="372"/>
      <c r="I146" s="372"/>
      <c r="J146" s="372"/>
      <c r="K146" s="372"/>
      <c r="L146" s="372"/>
      <c r="M146" s="372"/>
      <c r="N146" s="372"/>
      <c r="O146" s="372"/>
      <c r="P146" s="372"/>
      <c r="Q146" s="372"/>
      <c r="R146" s="372"/>
      <c r="S146" s="372"/>
      <c r="T146" s="372"/>
      <c r="U146" s="372"/>
      <c r="V146" s="372"/>
      <c r="W146" s="372"/>
      <c r="X146" s="372"/>
      <c r="Y146" s="372"/>
      <c r="Z146" s="372"/>
      <c r="AA146" s="372"/>
      <c r="AB146" s="372"/>
      <c r="AC146" s="372"/>
      <c r="AD146" s="372"/>
      <c r="AE146" s="372"/>
      <c r="AF146" s="372"/>
      <c r="AG146" s="372"/>
      <c r="AH146" s="372"/>
      <c r="AI146" s="372"/>
      <c r="AJ146" s="372"/>
      <c r="AK146" s="372"/>
      <c r="AL146" s="372"/>
      <c r="AM146" s="372"/>
      <c r="AN146" s="372"/>
      <c r="AO146" s="372"/>
      <c r="AP146" s="372"/>
      <c r="AQ146" s="372"/>
      <c r="AR146" s="372"/>
      <c r="AS146" s="372"/>
      <c r="AT146" s="372"/>
      <c r="AU146" s="373"/>
      <c r="AV146" s="373"/>
      <c r="AW146" s="373"/>
      <c r="AX146" s="373"/>
      <c r="AY146" s="373"/>
      <c r="AZ146" s="373"/>
      <c r="BA146" s="373"/>
      <c r="BD146" s="301" t="str">
        <f>IF(AND(AU146&lt;&gt;"NIE",AU146&lt;&gt;"TAK"),"Proszę wybrać odpowiedź TAK lub NIE.","")</f>
        <v>Proszę wybrać odpowiedź TAK lub NIE.</v>
      </c>
      <c r="BE146" s="301"/>
      <c r="BF146" s="301"/>
      <c r="BG146" s="301"/>
      <c r="BH146" s="301"/>
      <c r="BI146" s="301"/>
      <c r="BJ146" s="301"/>
      <c r="BK146" s="301"/>
      <c r="BL146" s="301"/>
      <c r="BM146" s="301"/>
      <c r="BN146" s="301"/>
      <c r="BO146" s="301"/>
      <c r="BP146" s="301"/>
      <c r="BQ146" s="301"/>
      <c r="BR146" s="301"/>
      <c r="BS146" s="301"/>
      <c r="BT146" s="301"/>
      <c r="BU146" s="301"/>
      <c r="BV146" s="301"/>
      <c r="BW146" s="301"/>
      <c r="BX146" s="301"/>
      <c r="BY146" s="301"/>
      <c r="BZ146" s="301"/>
      <c r="CA146" s="60"/>
    </row>
    <row r="147" spans="1:121" s="28" customFormat="1" ht="12" customHeight="1" x14ac:dyDescent="0.25">
      <c r="B147" s="321" t="str">
        <f>IF($AU$146="TAK","Data otrzymania środków z Rządowego Funduszu Rozwoju Mieszkalnictwa","")</f>
        <v/>
      </c>
      <c r="C147" s="322"/>
      <c r="D147" s="322"/>
      <c r="E147" s="322"/>
      <c r="F147" s="322"/>
      <c r="G147" s="322"/>
      <c r="H147" s="322"/>
      <c r="I147" s="322"/>
      <c r="J147" s="322"/>
      <c r="K147" s="322"/>
      <c r="L147" s="322"/>
      <c r="M147" s="322"/>
      <c r="N147" s="322"/>
      <c r="O147" s="322"/>
      <c r="P147" s="322"/>
      <c r="Q147" s="322"/>
      <c r="R147" s="322"/>
      <c r="S147" s="322"/>
      <c r="T147" s="322"/>
      <c r="U147" s="322"/>
      <c r="V147" s="322"/>
      <c r="W147" s="322"/>
      <c r="X147" s="322"/>
      <c r="Y147" s="322"/>
      <c r="Z147" s="322"/>
      <c r="AA147" s="322"/>
      <c r="AB147" s="322"/>
      <c r="AC147" s="322"/>
      <c r="AD147" s="322"/>
      <c r="AE147" s="322"/>
      <c r="AF147" s="322"/>
      <c r="AG147" s="322"/>
      <c r="AH147" s="322"/>
      <c r="AI147" s="322"/>
      <c r="AJ147" s="322"/>
      <c r="AK147" s="322"/>
      <c r="AL147" s="322"/>
      <c r="AM147" s="322"/>
      <c r="AN147" s="322"/>
      <c r="AO147" s="322"/>
      <c r="AP147" s="322"/>
      <c r="AQ147" s="322"/>
      <c r="AR147" s="322"/>
      <c r="AS147" s="322"/>
      <c r="AT147" s="322"/>
      <c r="AU147" s="458"/>
      <c r="AV147" s="458"/>
      <c r="AW147" s="458"/>
      <c r="AX147" s="458"/>
      <c r="AY147" s="458"/>
      <c r="AZ147" s="458"/>
      <c r="BA147" s="458"/>
      <c r="BD147" s="301" t="str">
        <f>IF(AND(AU146="TAK",AU147=""),"Proszę wpisać datę w formacie DD.MM.RRRR","")</f>
        <v/>
      </c>
      <c r="BE147" s="301"/>
      <c r="BF147" s="301"/>
      <c r="BG147" s="301"/>
      <c r="BH147" s="301"/>
      <c r="BI147" s="301"/>
      <c r="BJ147" s="301"/>
      <c r="BK147" s="301"/>
      <c r="BL147" s="301"/>
      <c r="BM147" s="301"/>
      <c r="BN147" s="301"/>
      <c r="BO147" s="301"/>
      <c r="BP147" s="301"/>
      <c r="BQ147" s="301"/>
      <c r="BR147" s="301"/>
      <c r="BS147" s="301"/>
      <c r="BT147" s="301"/>
      <c r="BU147" s="301"/>
      <c r="BV147" s="301"/>
      <c r="BW147" s="301"/>
      <c r="BX147" s="98"/>
      <c r="BY147" s="98"/>
      <c r="BZ147" s="98"/>
      <c r="CA147" s="60"/>
    </row>
    <row r="148" spans="1:121" s="28" customFormat="1" ht="12" customHeight="1" x14ac:dyDescent="0.25">
      <c r="B148" s="42"/>
      <c r="C148" s="42"/>
      <c r="D148" s="42"/>
      <c r="E148" s="42"/>
      <c r="F148" s="42"/>
      <c r="G148" s="42"/>
      <c r="H148" s="42"/>
      <c r="I148" s="42"/>
      <c r="J148" s="42"/>
      <c r="K148" s="42"/>
      <c r="L148" s="42"/>
      <c r="M148" s="42"/>
      <c r="N148" s="42"/>
      <c r="O148" s="42"/>
      <c r="P148" s="42"/>
      <c r="Q148" s="42"/>
      <c r="R148" s="42"/>
      <c r="S148" s="42"/>
      <c r="T148" s="42"/>
      <c r="U148" s="42"/>
      <c r="V148" s="42"/>
      <c r="W148" s="42"/>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c r="AW148" s="42"/>
      <c r="AX148" s="42"/>
      <c r="AY148" s="42"/>
      <c r="AZ148" s="42"/>
      <c r="BA148" s="42"/>
      <c r="BD148" s="98"/>
      <c r="BE148" s="98"/>
      <c r="BF148" s="98"/>
      <c r="BG148" s="98"/>
      <c r="BH148" s="98"/>
      <c r="BI148" s="98"/>
      <c r="BJ148" s="98"/>
      <c r="BK148" s="98"/>
      <c r="BL148" s="98"/>
      <c r="BM148" s="98"/>
      <c r="BN148" s="98"/>
      <c r="BO148" s="98"/>
      <c r="BP148" s="98"/>
      <c r="BQ148" s="98"/>
      <c r="BR148" s="98"/>
      <c r="BS148" s="98"/>
      <c r="BT148" s="98"/>
      <c r="BU148" s="98"/>
      <c r="BV148" s="98"/>
      <c r="BW148" s="98"/>
      <c r="BX148" s="98"/>
      <c r="BY148" s="98"/>
      <c r="BZ148" s="98"/>
      <c r="CA148" s="60"/>
    </row>
    <row r="149" spans="1:121" s="28" customFormat="1" ht="12" customHeight="1" x14ac:dyDescent="0.25">
      <c r="B149" s="371" t="s">
        <v>5559</v>
      </c>
      <c r="C149" s="372"/>
      <c r="D149" s="372"/>
      <c r="E149" s="372"/>
      <c r="F149" s="372"/>
      <c r="G149" s="372"/>
      <c r="H149" s="372"/>
      <c r="I149" s="372"/>
      <c r="J149" s="372"/>
      <c r="K149" s="372"/>
      <c r="L149" s="372"/>
      <c r="M149" s="372"/>
      <c r="N149" s="372"/>
      <c r="O149" s="372"/>
      <c r="P149" s="372"/>
      <c r="Q149" s="372"/>
      <c r="R149" s="372"/>
      <c r="S149" s="372"/>
      <c r="T149" s="372"/>
      <c r="U149" s="372"/>
      <c r="V149" s="372"/>
      <c r="W149" s="372"/>
      <c r="X149" s="372"/>
      <c r="Y149" s="372"/>
      <c r="Z149" s="372"/>
      <c r="AA149" s="372"/>
      <c r="AB149" s="372"/>
      <c r="AC149" s="372"/>
      <c r="AD149" s="372"/>
      <c r="AE149" s="372"/>
      <c r="AF149" s="372"/>
      <c r="AG149" s="372"/>
      <c r="AH149" s="372"/>
      <c r="AI149" s="372"/>
      <c r="AJ149" s="372"/>
      <c r="AK149" s="372"/>
      <c r="AL149" s="372"/>
      <c r="AM149" s="372"/>
      <c r="AN149" s="372"/>
      <c r="AO149" s="372"/>
      <c r="AP149" s="372"/>
      <c r="AQ149" s="372"/>
      <c r="AR149" s="372"/>
      <c r="AS149" s="372"/>
      <c r="AT149" s="372"/>
      <c r="AU149" s="373"/>
      <c r="AV149" s="373"/>
      <c r="AW149" s="373"/>
      <c r="AX149" s="373"/>
      <c r="AY149" s="373"/>
      <c r="AZ149" s="373"/>
      <c r="BA149" s="373"/>
      <c r="BD149" s="301" t="str">
        <f>IF(AND(AU149&lt;&gt;"NIE",AU149&lt;&gt;"TAK"),"Proszę wybrać odpowiedź TAK lub NIE.","")</f>
        <v>Proszę wybrać odpowiedź TAK lub NIE.</v>
      </c>
      <c r="BE149" s="301"/>
      <c r="BF149" s="301"/>
      <c r="BG149" s="301"/>
      <c r="BH149" s="301"/>
      <c r="BI149" s="301"/>
      <c r="BJ149" s="301"/>
      <c r="BK149" s="301"/>
      <c r="BL149" s="301"/>
      <c r="BM149" s="301"/>
      <c r="BN149" s="301"/>
      <c r="BO149" s="301"/>
      <c r="BP149" s="301"/>
      <c r="BQ149" s="301"/>
      <c r="BR149" s="301"/>
      <c r="BS149" s="301"/>
      <c r="BT149" s="301"/>
      <c r="BU149" s="301"/>
      <c r="BV149" s="301"/>
      <c r="BW149" s="301"/>
      <c r="BX149" s="301"/>
      <c r="BY149" s="301"/>
      <c r="BZ149" s="301"/>
      <c r="CA149" s="60"/>
    </row>
    <row r="150" spans="1:121" s="28" customFormat="1" ht="12" customHeight="1" x14ac:dyDescent="0.25">
      <c r="B150" s="42"/>
      <c r="C150" s="42"/>
      <c r="D150" s="42"/>
      <c r="E150" s="42"/>
      <c r="F150" s="42"/>
      <c r="G150" s="42"/>
      <c r="H150" s="42"/>
      <c r="I150" s="42"/>
      <c r="J150" s="42"/>
      <c r="K150" s="42"/>
      <c r="L150" s="42"/>
      <c r="M150" s="42"/>
      <c r="N150" s="42"/>
      <c r="O150" s="42"/>
      <c r="P150" s="42"/>
      <c r="Q150" s="42"/>
      <c r="R150" s="42"/>
      <c r="S150" s="42"/>
      <c r="T150" s="42"/>
      <c r="U150" s="42"/>
      <c r="V150" s="42"/>
      <c r="W150" s="42"/>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c r="AW150" s="42"/>
      <c r="AX150" s="42"/>
      <c r="AY150" s="42"/>
      <c r="AZ150" s="42"/>
      <c r="BA150" s="42"/>
      <c r="BD150" s="301"/>
      <c r="BE150" s="301"/>
      <c r="BF150" s="301"/>
      <c r="BG150" s="301"/>
      <c r="BH150" s="301"/>
      <c r="BI150" s="301"/>
      <c r="BJ150" s="301"/>
      <c r="BK150" s="301"/>
      <c r="BL150" s="301"/>
      <c r="BM150" s="301"/>
      <c r="BN150" s="301"/>
      <c r="BO150" s="301"/>
      <c r="BP150" s="301"/>
      <c r="BQ150" s="301"/>
      <c r="BR150" s="301"/>
      <c r="BS150" s="301"/>
      <c r="BT150" s="301"/>
      <c r="BU150" s="301"/>
      <c r="BV150" s="301"/>
      <c r="BW150" s="301"/>
      <c r="BX150" s="301"/>
      <c r="BY150" s="301"/>
      <c r="BZ150" s="301"/>
      <c r="CA150" s="60"/>
    </row>
    <row r="151" spans="1:121" s="28" customFormat="1" ht="12" customHeight="1" x14ac:dyDescent="0.25">
      <c r="B151" s="698" t="s">
        <v>5560</v>
      </c>
      <c r="C151" s="699"/>
      <c r="D151" s="699"/>
      <c r="E151" s="699"/>
      <c r="F151" s="699"/>
      <c r="G151" s="699"/>
      <c r="H151" s="699"/>
      <c r="I151" s="699"/>
      <c r="J151" s="699"/>
      <c r="K151" s="699"/>
      <c r="L151" s="699"/>
      <c r="M151" s="699"/>
      <c r="N151" s="699"/>
      <c r="O151" s="699"/>
      <c r="P151" s="699"/>
      <c r="Q151" s="699"/>
      <c r="R151" s="699"/>
      <c r="S151" s="699"/>
      <c r="T151" s="699"/>
      <c r="U151" s="699"/>
      <c r="V151" s="699"/>
      <c r="W151" s="699"/>
      <c r="X151" s="699"/>
      <c r="Y151" s="699"/>
      <c r="Z151" s="699"/>
      <c r="AA151" s="699"/>
      <c r="AB151" s="699"/>
      <c r="AC151" s="699"/>
      <c r="AD151" s="699"/>
      <c r="AE151" s="699"/>
      <c r="AF151" s="699"/>
      <c r="AG151" s="699"/>
      <c r="AH151" s="699"/>
      <c r="AI151" s="699"/>
      <c r="AJ151" s="699"/>
      <c r="AK151" s="699"/>
      <c r="AL151" s="699"/>
      <c r="AM151" s="699"/>
      <c r="AN151" s="699"/>
      <c r="AO151" s="699"/>
      <c r="AP151" s="699"/>
      <c r="AQ151" s="699"/>
      <c r="AR151" s="699"/>
      <c r="AS151" s="699"/>
      <c r="AT151" s="699"/>
      <c r="AU151" s="715"/>
      <c r="AV151" s="716"/>
      <c r="AW151" s="716"/>
      <c r="AX151" s="716"/>
      <c r="AY151" s="716"/>
      <c r="AZ151" s="716"/>
      <c r="BA151" s="717"/>
      <c r="BD151" s="301" t="str">
        <f>IF(AND(AU151&lt;&gt;"NIE",AU151&lt;&gt;"TAK"),"Proszę wybrać odpowiedź TAK lub NIE.","")</f>
        <v>Proszę wybrać odpowiedź TAK lub NIE.</v>
      </c>
      <c r="BE151" s="301"/>
      <c r="BF151" s="301"/>
      <c r="BG151" s="301"/>
      <c r="BH151" s="301"/>
      <c r="BI151" s="301"/>
      <c r="BJ151" s="301"/>
      <c r="BK151" s="301"/>
      <c r="BL151" s="301"/>
      <c r="BM151" s="301"/>
      <c r="BN151" s="301"/>
      <c r="BO151" s="301"/>
      <c r="BP151" s="301"/>
      <c r="BQ151" s="301"/>
      <c r="BR151" s="301"/>
      <c r="BS151" s="301"/>
      <c r="BT151" s="301"/>
      <c r="BU151" s="301"/>
      <c r="BV151" s="301"/>
      <c r="BW151" s="301"/>
      <c r="BX151" s="301"/>
      <c r="BY151" s="301"/>
      <c r="BZ151" s="301"/>
      <c r="CA151" s="60"/>
    </row>
    <row r="152" spans="1:121" s="28" customFormat="1" ht="12" customHeight="1" x14ac:dyDescent="0.25">
      <c r="B152" s="712" t="s">
        <v>5561</v>
      </c>
      <c r="C152" s="713"/>
      <c r="D152" s="713"/>
      <c r="E152" s="713"/>
      <c r="F152" s="713"/>
      <c r="G152" s="713"/>
      <c r="H152" s="713"/>
      <c r="I152" s="713"/>
      <c r="J152" s="713"/>
      <c r="K152" s="702" t="s">
        <v>5562</v>
      </c>
      <c r="L152" s="702"/>
      <c r="M152" s="702"/>
      <c r="N152" s="702"/>
      <c r="O152" s="702"/>
      <c r="P152" s="714" t="s">
        <v>5563</v>
      </c>
      <c r="Q152" s="714"/>
      <c r="R152" s="714"/>
      <c r="S152" s="714"/>
      <c r="T152" s="714"/>
      <c r="U152" s="714"/>
      <c r="V152" s="714"/>
      <c r="W152" s="714"/>
      <c r="X152" s="714"/>
      <c r="Y152" s="714"/>
      <c r="Z152" s="714"/>
      <c r="AA152" s="714"/>
      <c r="AB152" s="714"/>
      <c r="AC152" s="721"/>
      <c r="AD152" s="721"/>
      <c r="AE152" s="721"/>
      <c r="AF152" s="721"/>
      <c r="AG152" s="721"/>
      <c r="AH152" s="721"/>
      <c r="AI152" s="721"/>
      <c r="AJ152" s="721"/>
      <c r="AK152" s="721"/>
      <c r="AL152" s="721"/>
      <c r="AM152" s="721"/>
      <c r="AN152" s="721"/>
      <c r="AO152" s="721"/>
      <c r="AP152" s="721"/>
      <c r="AQ152" s="721"/>
      <c r="AR152" s="721"/>
      <c r="AS152" s="721"/>
      <c r="AT152" s="722"/>
      <c r="AU152" s="718"/>
      <c r="AV152" s="719"/>
      <c r="AW152" s="719"/>
      <c r="AX152" s="719"/>
      <c r="AY152" s="719"/>
      <c r="AZ152" s="719"/>
      <c r="BA152" s="720"/>
      <c r="BD152" s="98"/>
      <c r="BE152" s="98"/>
      <c r="BF152" s="98"/>
      <c r="BG152" s="98"/>
      <c r="BH152" s="98"/>
      <c r="BI152" s="98"/>
      <c r="BJ152" s="98"/>
      <c r="BK152" s="98"/>
      <c r="BL152" s="98"/>
      <c r="BM152" s="98"/>
      <c r="BN152" s="98"/>
      <c r="BO152" s="98"/>
      <c r="BP152" s="98"/>
      <c r="BQ152" s="98"/>
      <c r="BR152" s="98"/>
      <c r="BS152" s="98"/>
      <c r="BT152" s="98"/>
      <c r="BU152" s="98"/>
      <c r="BV152" s="98"/>
      <c r="BW152" s="98"/>
      <c r="BX152" s="98"/>
      <c r="BY152" s="98"/>
      <c r="BZ152" s="98"/>
      <c r="CA152" s="60"/>
    </row>
    <row r="153" spans="1:121" s="38" customFormat="1" ht="7.5" customHeight="1" x14ac:dyDescent="0.15">
      <c r="B153" s="39"/>
      <c r="C153" s="39"/>
      <c r="D153" s="39"/>
      <c r="E153" s="39"/>
      <c r="F153" s="39"/>
      <c r="G153" s="39"/>
      <c r="H153" s="39"/>
      <c r="I153" s="39"/>
      <c r="J153" s="39"/>
      <c r="K153" s="39"/>
      <c r="L153" s="39"/>
      <c r="M153" s="39"/>
      <c r="N153" s="39"/>
      <c r="O153" s="40"/>
      <c r="P153" s="41"/>
      <c r="Q153" s="41"/>
      <c r="R153" s="41"/>
      <c r="S153" s="41"/>
      <c r="T153" s="41"/>
      <c r="U153" s="41"/>
      <c r="V153" s="40"/>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row>
    <row r="154" spans="1:121" s="43" customFormat="1" x14ac:dyDescent="0.3">
      <c r="A154" s="42"/>
      <c r="B154" s="436" t="s">
        <v>5188</v>
      </c>
      <c r="C154" s="437"/>
      <c r="D154" s="437"/>
      <c r="E154" s="437"/>
      <c r="F154" s="437"/>
      <c r="G154" s="437"/>
      <c r="H154" s="437"/>
      <c r="I154" s="437"/>
      <c r="J154" s="437"/>
      <c r="K154" s="437"/>
      <c r="L154" s="437"/>
      <c r="M154" s="437"/>
      <c r="N154" s="437"/>
      <c r="O154" s="437"/>
      <c r="P154" s="437"/>
      <c r="Q154" s="437"/>
      <c r="R154" s="437"/>
      <c r="S154" s="437"/>
      <c r="T154" s="437"/>
      <c r="U154" s="437"/>
      <c r="V154" s="438"/>
      <c r="W154" s="457" t="s">
        <v>5186</v>
      </c>
      <c r="X154" s="479"/>
      <c r="Y154" s="479"/>
      <c r="Z154" s="479"/>
      <c r="AA154" s="479"/>
      <c r="AB154" s="479"/>
      <c r="AC154" s="479"/>
      <c r="AD154" s="457" t="s">
        <v>5187</v>
      </c>
      <c r="AE154" s="457"/>
      <c r="AF154" s="457"/>
      <c r="AG154" s="457"/>
      <c r="AH154" s="457"/>
      <c r="AI154" s="457"/>
      <c r="AJ154" s="457"/>
      <c r="AK154" s="457"/>
      <c r="AL154" s="457"/>
      <c r="AM154" s="457"/>
      <c r="AN154" s="42"/>
      <c r="AO154" s="42"/>
      <c r="AP154" s="42"/>
      <c r="AQ154" s="42"/>
      <c r="AR154" s="42"/>
      <c r="AS154" s="42"/>
      <c r="AT154" s="42"/>
      <c r="AU154" s="42"/>
      <c r="AV154" s="42"/>
      <c r="AW154" s="42"/>
      <c r="AX154" s="42"/>
      <c r="AY154" s="42"/>
      <c r="AZ154" s="42"/>
      <c r="BA154" s="42"/>
      <c r="BB154" s="42"/>
    </row>
    <row r="155" spans="1:121" s="29" customFormat="1" ht="12" x14ac:dyDescent="0.25">
      <c r="A155" s="28"/>
      <c r="B155" s="380" t="s">
        <v>5184</v>
      </c>
      <c r="C155" s="701"/>
      <c r="D155" s="701"/>
      <c r="E155" s="701"/>
      <c r="F155" s="701"/>
      <c r="G155" s="701"/>
      <c r="H155" s="701"/>
      <c r="I155" s="701"/>
      <c r="J155" s="701"/>
      <c r="K155" s="701"/>
      <c r="L155" s="701"/>
      <c r="M155" s="701"/>
      <c r="N155" s="701"/>
      <c r="O155" s="701"/>
      <c r="P155" s="701"/>
      <c r="Q155" s="701"/>
      <c r="R155" s="701"/>
      <c r="S155" s="701"/>
      <c r="T155" s="701"/>
      <c r="U155" s="701"/>
      <c r="V155" s="701"/>
      <c r="W155" s="388"/>
      <c r="X155" s="389"/>
      <c r="Y155" s="389"/>
      <c r="Z155" s="389"/>
      <c r="AA155" s="389"/>
      <c r="AB155" s="389"/>
      <c r="AC155" s="390"/>
      <c r="AD155" s="383" t="str">
        <f>IFERROR(IF(W155="","",W155/$AT$126),)</f>
        <v/>
      </c>
      <c r="AE155" s="383"/>
      <c r="AF155" s="383"/>
      <c r="AG155" s="383"/>
      <c r="AH155" s="383"/>
      <c r="AI155" s="383"/>
      <c r="AJ155" s="383"/>
      <c r="AK155" s="383"/>
      <c r="AL155" s="383"/>
      <c r="AM155" s="383"/>
      <c r="AN155" s="18"/>
      <c r="AO155" s="18"/>
      <c r="AP155" s="18"/>
      <c r="AQ155" s="18"/>
      <c r="AR155" s="18"/>
      <c r="AS155" s="18"/>
      <c r="AT155" s="18"/>
      <c r="AU155" s="18"/>
      <c r="AV155" s="18"/>
      <c r="AW155" s="18"/>
      <c r="AX155" s="18"/>
      <c r="AY155" s="18"/>
      <c r="AZ155" s="18"/>
      <c r="BA155" s="18"/>
      <c r="BB155" s="28"/>
    </row>
    <row r="156" spans="1:121" s="29" customFormat="1" ht="12" x14ac:dyDescent="0.25">
      <c r="A156" s="28"/>
      <c r="B156" s="386" t="s">
        <v>5564</v>
      </c>
      <c r="C156" s="387"/>
      <c r="D156" s="387"/>
      <c r="E156" s="387"/>
      <c r="F156" s="387"/>
      <c r="G156" s="387"/>
      <c r="H156" s="387"/>
      <c r="I156" s="387"/>
      <c r="J156" s="387"/>
      <c r="K156" s="387"/>
      <c r="L156" s="387"/>
      <c r="M156" s="387"/>
      <c r="N156" s="387"/>
      <c r="O156" s="387"/>
      <c r="P156" s="387"/>
      <c r="Q156" s="387"/>
      <c r="R156" s="387"/>
      <c r="S156" s="387"/>
      <c r="T156" s="387"/>
      <c r="U156" s="387"/>
      <c r="V156" s="387"/>
      <c r="W156" s="388"/>
      <c r="X156" s="389"/>
      <c r="Y156" s="389"/>
      <c r="Z156" s="389"/>
      <c r="AA156" s="389"/>
      <c r="AB156" s="389"/>
      <c r="AC156" s="390"/>
      <c r="AD156" s="383" t="str">
        <f>IFERROR(IF(W156="","",W156/$P$126),0)</f>
        <v/>
      </c>
      <c r="AE156" s="383"/>
      <c r="AF156" s="383"/>
      <c r="AG156" s="383"/>
      <c r="AH156" s="383"/>
      <c r="AI156" s="383"/>
      <c r="AJ156" s="383"/>
      <c r="AK156" s="383"/>
      <c r="AL156" s="383"/>
      <c r="AM156" s="383"/>
      <c r="AN156" s="18"/>
      <c r="AO156" s="18"/>
      <c r="AP156" s="18"/>
      <c r="AQ156" s="18"/>
      <c r="AR156" s="18"/>
      <c r="AS156" s="18"/>
      <c r="AT156" s="18"/>
      <c r="AU156" s="18"/>
      <c r="AV156" s="18"/>
      <c r="AW156" s="18"/>
      <c r="AX156" s="18"/>
      <c r="AY156" s="18"/>
      <c r="AZ156" s="18"/>
      <c r="BA156" s="18"/>
      <c r="BB156" s="28"/>
    </row>
    <row r="157" spans="1:121" s="29" customFormat="1" ht="12" x14ac:dyDescent="0.25">
      <c r="A157" s="28"/>
      <c r="B157" s="380" t="s">
        <v>5185</v>
      </c>
      <c r="C157" s="701"/>
      <c r="D157" s="701"/>
      <c r="E157" s="701"/>
      <c r="F157" s="701"/>
      <c r="G157" s="701"/>
      <c r="H157" s="701"/>
      <c r="I157" s="701"/>
      <c r="J157" s="701"/>
      <c r="K157" s="701"/>
      <c r="L157" s="701"/>
      <c r="M157" s="701"/>
      <c r="N157" s="701"/>
      <c r="O157" s="701"/>
      <c r="P157" s="701"/>
      <c r="Q157" s="701"/>
      <c r="R157" s="701"/>
      <c r="S157" s="701"/>
      <c r="T157" s="701"/>
      <c r="U157" s="701"/>
      <c r="V157" s="701"/>
      <c r="W157" s="388"/>
      <c r="X157" s="389"/>
      <c r="Y157" s="389"/>
      <c r="Z157" s="389"/>
      <c r="AA157" s="389"/>
      <c r="AB157" s="389"/>
      <c r="AC157" s="390"/>
      <c r="AD157" s="383" t="str">
        <f>IFERROR(IF(W157="","",W157/$AT$126),0)</f>
        <v/>
      </c>
      <c r="AE157" s="383"/>
      <c r="AF157" s="383"/>
      <c r="AG157" s="383"/>
      <c r="AH157" s="383"/>
      <c r="AI157" s="383"/>
      <c r="AJ157" s="383"/>
      <c r="AK157" s="383"/>
      <c r="AL157" s="383"/>
      <c r="AM157" s="383"/>
      <c r="AN157" s="18"/>
      <c r="AO157" s="18"/>
      <c r="AP157" s="18"/>
      <c r="AQ157" s="18"/>
      <c r="AR157" s="18"/>
      <c r="AS157" s="18"/>
      <c r="AT157" s="18"/>
      <c r="AU157" s="18"/>
      <c r="AV157" s="18"/>
      <c r="AW157" s="18"/>
      <c r="AX157" s="18"/>
      <c r="AY157" s="18"/>
      <c r="AZ157" s="18"/>
      <c r="BA157" s="18"/>
      <c r="BB157" s="28"/>
    </row>
    <row r="158" spans="1:121" s="29" customFormat="1" ht="12" x14ac:dyDescent="0.25">
      <c r="A158" s="28"/>
      <c r="B158" s="386" t="s">
        <v>5564</v>
      </c>
      <c r="C158" s="387"/>
      <c r="D158" s="387"/>
      <c r="E158" s="387"/>
      <c r="F158" s="387"/>
      <c r="G158" s="387"/>
      <c r="H158" s="387"/>
      <c r="I158" s="387"/>
      <c r="J158" s="387"/>
      <c r="K158" s="387"/>
      <c r="L158" s="387"/>
      <c r="M158" s="387"/>
      <c r="N158" s="387"/>
      <c r="O158" s="387"/>
      <c r="P158" s="387"/>
      <c r="Q158" s="387"/>
      <c r="R158" s="387"/>
      <c r="S158" s="387"/>
      <c r="T158" s="387"/>
      <c r="U158" s="387"/>
      <c r="V158" s="387"/>
      <c r="W158" s="388"/>
      <c r="X158" s="389"/>
      <c r="Y158" s="389"/>
      <c r="Z158" s="389"/>
      <c r="AA158" s="389"/>
      <c r="AB158" s="389"/>
      <c r="AC158" s="390"/>
      <c r="AD158" s="383" t="str">
        <f>IFERROR(IF(W158="","",W158/$P$126),0)</f>
        <v/>
      </c>
      <c r="AE158" s="383"/>
      <c r="AF158" s="383"/>
      <c r="AG158" s="383"/>
      <c r="AH158" s="383"/>
      <c r="AI158" s="383"/>
      <c r="AJ158" s="383"/>
      <c r="AK158" s="383"/>
      <c r="AL158" s="383"/>
      <c r="AM158" s="383"/>
      <c r="AN158" s="18"/>
      <c r="AO158" s="18"/>
      <c r="AP158" s="18"/>
      <c r="AQ158" s="18"/>
      <c r="AR158" s="18"/>
      <c r="AS158" s="18"/>
      <c r="AT158" s="18"/>
      <c r="AU158" s="18"/>
      <c r="AV158" s="18"/>
      <c r="AW158" s="18"/>
      <c r="AX158" s="18"/>
      <c r="AY158" s="18"/>
      <c r="AZ158" s="18"/>
      <c r="BA158" s="18"/>
      <c r="BB158" s="28"/>
    </row>
    <row r="160" spans="1:121" s="9" customFormat="1" ht="12" x14ac:dyDescent="0.25">
      <c r="A160" s="47"/>
      <c r="B160" s="448" t="s">
        <v>5276</v>
      </c>
      <c r="C160" s="449"/>
      <c r="D160" s="449"/>
      <c r="E160" s="449"/>
      <c r="F160" s="449"/>
      <c r="G160" s="449"/>
      <c r="H160" s="449"/>
      <c r="I160" s="449"/>
      <c r="J160" s="449"/>
      <c r="K160" s="449"/>
      <c r="L160" s="449"/>
      <c r="M160" s="449"/>
      <c r="N160" s="449"/>
      <c r="O160" s="449"/>
      <c r="P160" s="449"/>
      <c r="Q160" s="449"/>
      <c r="R160" s="449"/>
      <c r="S160" s="449"/>
      <c r="T160" s="449"/>
      <c r="U160" s="449"/>
      <c r="V160" s="449"/>
      <c r="W160" s="449"/>
      <c r="X160" s="449"/>
      <c r="Y160" s="449"/>
      <c r="Z160" s="449"/>
      <c r="AA160" s="449"/>
      <c r="AB160" s="449"/>
      <c r="AC160" s="449"/>
      <c r="AD160" s="449"/>
      <c r="AE160" s="449"/>
      <c r="AF160" s="449"/>
      <c r="AG160" s="449"/>
      <c r="AH160" s="449"/>
      <c r="AI160" s="449"/>
      <c r="AJ160" s="449"/>
      <c r="AK160" s="449"/>
      <c r="AL160" s="449"/>
      <c r="AM160" s="449"/>
      <c r="AN160" s="449"/>
      <c r="AO160" s="449"/>
      <c r="AP160" s="449"/>
      <c r="AQ160" s="449"/>
      <c r="AR160" s="449"/>
      <c r="AS160" s="449"/>
      <c r="AT160" s="450"/>
      <c r="AU160" s="342"/>
      <c r="AV160" s="343"/>
      <c r="AW160" s="343"/>
      <c r="AX160" s="343"/>
      <c r="AY160" s="343"/>
      <c r="AZ160" s="343"/>
      <c r="BA160" s="344"/>
      <c r="BB160" s="47"/>
      <c r="BD160" s="68"/>
      <c r="BE160" s="68"/>
      <c r="BF160" s="68"/>
      <c r="BG160" s="68"/>
      <c r="BH160" s="68"/>
      <c r="BI160" s="68"/>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0"/>
      <c r="DI160" s="60"/>
      <c r="DJ160" s="60"/>
      <c r="DK160" s="60"/>
      <c r="DL160" s="60"/>
      <c r="DM160" s="60"/>
      <c r="DN160" s="60"/>
      <c r="DO160" s="60"/>
      <c r="DP160" s="60"/>
      <c r="DQ160" s="60"/>
    </row>
    <row r="161" spans="1:121" s="9" customFormat="1" ht="12" customHeight="1" x14ac:dyDescent="0.25">
      <c r="A161" s="47"/>
      <c r="B161" s="448" t="s">
        <v>5277</v>
      </c>
      <c r="C161" s="449"/>
      <c r="D161" s="449"/>
      <c r="E161" s="449"/>
      <c r="F161" s="449"/>
      <c r="G161" s="449"/>
      <c r="H161" s="449"/>
      <c r="I161" s="449"/>
      <c r="J161" s="449"/>
      <c r="K161" s="449"/>
      <c r="L161" s="449"/>
      <c r="M161" s="449"/>
      <c r="N161" s="449"/>
      <c r="O161" s="449"/>
      <c r="P161" s="449"/>
      <c r="Q161" s="449"/>
      <c r="R161" s="449"/>
      <c r="S161" s="449"/>
      <c r="T161" s="449"/>
      <c r="U161" s="449"/>
      <c r="V161" s="449"/>
      <c r="W161" s="449"/>
      <c r="X161" s="449"/>
      <c r="Y161" s="449"/>
      <c r="Z161" s="449"/>
      <c r="AA161" s="449"/>
      <c r="AB161" s="449"/>
      <c r="AC161" s="449"/>
      <c r="AD161" s="449"/>
      <c r="AE161" s="449"/>
      <c r="AF161" s="449"/>
      <c r="AG161" s="449"/>
      <c r="AH161" s="449"/>
      <c r="AI161" s="449"/>
      <c r="AJ161" s="449"/>
      <c r="AK161" s="449"/>
      <c r="AL161" s="449"/>
      <c r="AM161" s="449"/>
      <c r="AN161" s="449"/>
      <c r="AO161" s="449"/>
      <c r="AP161" s="449"/>
      <c r="AQ161" s="449"/>
      <c r="AR161" s="449"/>
      <c r="AS161" s="449"/>
      <c r="AT161" s="450"/>
      <c r="AU161" s="342"/>
      <c r="AV161" s="343"/>
      <c r="AW161" s="343"/>
      <c r="AX161" s="343"/>
      <c r="AY161" s="343"/>
      <c r="AZ161" s="343"/>
      <c r="BA161" s="344"/>
      <c r="BB161" s="47"/>
      <c r="BD161" s="68"/>
      <c r="BE161" s="68"/>
      <c r="BF161" s="68"/>
      <c r="BG161" s="68"/>
      <c r="BH161" s="68"/>
      <c r="BI161" s="68"/>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0"/>
      <c r="DI161" s="60"/>
      <c r="DJ161" s="60"/>
      <c r="DK161" s="60"/>
      <c r="DL161" s="60"/>
      <c r="DM161" s="60"/>
      <c r="DN161" s="60"/>
      <c r="DO161" s="60"/>
      <c r="DP161" s="60"/>
      <c r="DQ161" s="60"/>
    </row>
    <row r="162" spans="1:121" s="46" customFormat="1" ht="6" x14ac:dyDescent="0.15">
      <c r="A162" s="44"/>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c r="AV162" s="45"/>
      <c r="AW162" s="45"/>
      <c r="AX162" s="45"/>
      <c r="AY162" s="45"/>
      <c r="AZ162" s="45"/>
      <c r="BA162" s="45"/>
      <c r="BB162" s="44"/>
    </row>
    <row r="163" spans="1:121" x14ac:dyDescent="0.3">
      <c r="A163" s="261" t="s">
        <v>5125</v>
      </c>
      <c r="B163" s="261"/>
      <c r="C163" s="261"/>
      <c r="D163" s="261"/>
      <c r="E163" s="261"/>
      <c r="F163" s="261"/>
      <c r="G163" s="261"/>
      <c r="H163" s="261"/>
      <c r="I163" s="261"/>
      <c r="J163" s="261"/>
      <c r="K163" s="261"/>
      <c r="L163" s="261"/>
      <c r="M163" s="261"/>
      <c r="N163" s="261"/>
      <c r="O163" s="261"/>
      <c r="P163" s="261"/>
      <c r="Q163" s="261"/>
      <c r="R163" s="261"/>
      <c r="S163" s="261"/>
      <c r="T163" s="261"/>
      <c r="U163" s="261"/>
      <c r="V163" s="261"/>
      <c r="W163" s="261"/>
      <c r="X163" s="261"/>
      <c r="Y163" s="261"/>
      <c r="Z163" s="261"/>
      <c r="AA163" s="261"/>
      <c r="AB163" s="261"/>
      <c r="AC163" s="261"/>
      <c r="AD163" s="261"/>
      <c r="AE163" s="261"/>
      <c r="AF163" s="261"/>
      <c r="AG163" s="261"/>
      <c r="AH163" s="261"/>
      <c r="AI163" s="261"/>
      <c r="AJ163" s="261"/>
      <c r="AK163" s="261"/>
      <c r="AL163" s="261"/>
      <c r="AM163" s="261"/>
      <c r="AN163" s="261"/>
      <c r="AO163" s="261"/>
      <c r="AP163" s="261"/>
      <c r="AQ163" s="261"/>
      <c r="AR163" s="261"/>
      <c r="AS163" s="261"/>
      <c r="AT163" s="261"/>
      <c r="AU163" s="261"/>
      <c r="AV163" s="261"/>
      <c r="AW163" s="261"/>
      <c r="AX163" s="261"/>
      <c r="AY163" s="261"/>
      <c r="AZ163" s="261"/>
      <c r="BA163" s="261"/>
      <c r="BB163" s="261"/>
    </row>
    <row r="164" spans="1:121" s="7" customFormat="1" ht="6" x14ac:dyDescent="0.1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row>
    <row r="165" spans="1:121" s="9" customFormat="1" ht="12" customHeight="1" x14ac:dyDescent="0.25">
      <c r="A165" s="47"/>
      <c r="B165" s="424" t="s">
        <v>5126</v>
      </c>
      <c r="C165" s="425"/>
      <c r="D165" s="425"/>
      <c r="E165" s="425"/>
      <c r="F165" s="425"/>
      <c r="G165" s="425"/>
      <c r="H165" s="425"/>
      <c r="I165" s="425"/>
      <c r="J165" s="425"/>
      <c r="K165" s="425"/>
      <c r="L165" s="425"/>
      <c r="M165" s="425"/>
      <c r="N165" s="425"/>
      <c r="O165" s="425"/>
      <c r="P165" s="425"/>
      <c r="Q165" s="425"/>
      <c r="R165" s="425"/>
      <c r="S165" s="425"/>
      <c r="T165" s="425"/>
      <c r="U165" s="425"/>
      <c r="V165" s="425"/>
      <c r="W165" s="425"/>
      <c r="X165" s="425"/>
      <c r="Y165" s="425"/>
      <c r="Z165" s="425"/>
      <c r="AA165" s="425"/>
      <c r="AB165" s="425"/>
      <c r="AC165" s="425"/>
      <c r="AD165" s="425"/>
      <c r="AE165" s="425"/>
      <c r="AF165" s="425"/>
      <c r="AG165" s="425"/>
      <c r="AH165" s="425"/>
      <c r="AI165" s="425"/>
      <c r="AJ165" s="425"/>
      <c r="AK165" s="425"/>
      <c r="AL165" s="425"/>
      <c r="AM165" s="425"/>
      <c r="AN165" s="425"/>
      <c r="AO165" s="425"/>
      <c r="AP165" s="425"/>
      <c r="AQ165" s="425"/>
      <c r="AR165" s="425"/>
      <c r="AS165" s="425"/>
      <c r="AT165" s="426"/>
      <c r="AU165" s="342"/>
      <c r="AV165" s="343"/>
      <c r="AW165" s="343"/>
      <c r="AX165" s="343"/>
      <c r="AY165" s="343"/>
      <c r="AZ165" s="343"/>
      <c r="BA165" s="344"/>
      <c r="BB165" s="47"/>
      <c r="BD165" s="680"/>
      <c r="BE165" s="680"/>
      <c r="BF165" s="680"/>
      <c r="BG165" s="680"/>
      <c r="BH165" s="680"/>
      <c r="BI165" s="680"/>
      <c r="BJ165" s="680"/>
      <c r="BK165" s="680"/>
      <c r="BL165" s="680"/>
      <c r="BM165" s="680"/>
      <c r="BN165" s="680"/>
      <c r="BO165" s="680"/>
      <c r="BP165" s="680"/>
      <c r="BQ165" s="680"/>
      <c r="BR165" s="680"/>
      <c r="BS165" s="680"/>
      <c r="BT165" s="680"/>
      <c r="BU165" s="680"/>
      <c r="BV165" s="680"/>
      <c r="BW165" s="680"/>
      <c r="BX165" s="680"/>
      <c r="BY165" s="680"/>
      <c r="BZ165" s="680"/>
      <c r="CA165" s="680"/>
      <c r="CB165" s="680"/>
      <c r="CC165" s="680"/>
      <c r="CD165" s="680"/>
      <c r="CE165" s="680"/>
      <c r="CF165" s="680"/>
      <c r="CG165" s="680"/>
      <c r="CH165" s="680"/>
      <c r="CI165" s="680"/>
      <c r="CJ165" s="680"/>
      <c r="CK165" s="680"/>
      <c r="CL165" s="680"/>
      <c r="CM165" s="680"/>
      <c r="CN165" s="680"/>
      <c r="CO165" s="680"/>
      <c r="CP165" s="680"/>
      <c r="CQ165" s="680"/>
      <c r="CR165" s="680"/>
      <c r="CS165" s="680"/>
      <c r="CT165" s="680"/>
      <c r="CU165" s="680"/>
      <c r="CV165" s="680"/>
      <c r="CW165" s="680"/>
      <c r="CX165" s="680"/>
      <c r="CY165" s="680"/>
      <c r="CZ165" s="680"/>
      <c r="DA165" s="680"/>
      <c r="DB165" s="680"/>
      <c r="DC165" s="680"/>
      <c r="DD165" s="680"/>
      <c r="DE165" s="680"/>
      <c r="DF165" s="680"/>
      <c r="DG165" s="680"/>
      <c r="DH165" s="60"/>
      <c r="DI165" s="60"/>
      <c r="DJ165" s="60"/>
      <c r="DK165" s="60"/>
      <c r="DL165" s="60"/>
      <c r="DM165" s="60"/>
      <c r="DN165" s="60"/>
      <c r="DO165" s="60"/>
      <c r="DP165" s="60"/>
      <c r="DQ165" s="60"/>
    </row>
    <row r="166" spans="1:121" s="9" customFormat="1" ht="6.75" customHeight="1" x14ac:dyDescent="0.25">
      <c r="A166" s="47"/>
      <c r="B166" s="69"/>
      <c r="C166" s="61"/>
      <c r="D166" s="61"/>
      <c r="E166" s="61"/>
      <c r="F166" s="61"/>
      <c r="G166" s="61"/>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c r="AE166" s="61"/>
      <c r="AF166" s="61"/>
      <c r="AG166" s="61"/>
      <c r="AH166" s="61"/>
      <c r="AI166" s="61"/>
      <c r="AJ166" s="61"/>
      <c r="AK166" s="61"/>
      <c r="AL166" s="61"/>
      <c r="AM166" s="61"/>
      <c r="AN166" s="61"/>
      <c r="AO166" s="61"/>
      <c r="AP166" s="61"/>
      <c r="AQ166" s="61"/>
      <c r="AR166" s="61"/>
      <c r="AS166" s="61"/>
      <c r="AT166" s="61"/>
      <c r="AU166" s="79"/>
      <c r="AV166" s="79"/>
      <c r="AW166" s="79"/>
      <c r="AX166" s="79"/>
      <c r="AY166" s="79"/>
      <c r="AZ166" s="79"/>
      <c r="BA166" s="79"/>
      <c r="BB166" s="47"/>
      <c r="BD166" s="68"/>
      <c r="BE166" s="68"/>
      <c r="BF166" s="68"/>
      <c r="BG166" s="68"/>
      <c r="BH166" s="68"/>
      <c r="BI166" s="68"/>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0"/>
      <c r="DI166" s="60"/>
      <c r="DJ166" s="60"/>
      <c r="DK166" s="60"/>
      <c r="DL166" s="60"/>
      <c r="DM166" s="60"/>
      <c r="DN166" s="60"/>
      <c r="DO166" s="60"/>
      <c r="DP166" s="60"/>
      <c r="DQ166" s="60"/>
    </row>
    <row r="167" spans="1:121" s="9" customFormat="1" ht="12" customHeight="1" x14ac:dyDescent="0.25">
      <c r="A167" s="47"/>
      <c r="B167" s="371" t="s">
        <v>5267</v>
      </c>
      <c r="C167" s="372"/>
      <c r="D167" s="372"/>
      <c r="E167" s="372"/>
      <c r="F167" s="372"/>
      <c r="G167" s="372"/>
      <c r="H167" s="372"/>
      <c r="I167" s="372"/>
      <c r="J167" s="372"/>
      <c r="K167" s="372"/>
      <c r="L167" s="372"/>
      <c r="M167" s="372"/>
      <c r="N167" s="372"/>
      <c r="O167" s="372"/>
      <c r="P167" s="372"/>
      <c r="Q167" s="372"/>
      <c r="R167" s="372"/>
      <c r="S167" s="372"/>
      <c r="T167" s="372"/>
      <c r="U167" s="372"/>
      <c r="V167" s="372"/>
      <c r="W167" s="372"/>
      <c r="X167" s="372"/>
      <c r="Y167" s="372"/>
      <c r="Z167" s="372"/>
      <c r="AA167" s="372"/>
      <c r="AB167" s="372"/>
      <c r="AC167" s="372"/>
      <c r="AD167" s="372"/>
      <c r="AE167" s="372"/>
      <c r="AF167" s="372"/>
      <c r="AG167" s="372"/>
      <c r="AH167" s="372"/>
      <c r="AI167" s="372"/>
      <c r="AJ167" s="372"/>
      <c r="AK167" s="372"/>
      <c r="AL167" s="372"/>
      <c r="AM167" s="372"/>
      <c r="AN167" s="372"/>
      <c r="AO167" s="372"/>
      <c r="AP167" s="372"/>
      <c r="AQ167" s="372"/>
      <c r="AR167" s="372"/>
      <c r="AS167" s="372"/>
      <c r="AT167" s="372"/>
      <c r="AU167" s="342"/>
      <c r="AV167" s="343"/>
      <c r="AW167" s="343"/>
      <c r="AX167" s="343"/>
      <c r="AY167" s="343"/>
      <c r="AZ167" s="343"/>
      <c r="BA167" s="344"/>
      <c r="BB167" s="47"/>
      <c r="BD167" s="68"/>
      <c r="BE167" s="68"/>
      <c r="BF167" s="68"/>
      <c r="BG167" s="68"/>
      <c r="BH167" s="68"/>
      <c r="BI167" s="68"/>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0"/>
      <c r="DI167" s="60"/>
      <c r="DJ167" s="60"/>
      <c r="DK167" s="60"/>
      <c r="DL167" s="60"/>
      <c r="DM167" s="60"/>
      <c r="DN167" s="60"/>
      <c r="DO167" s="60"/>
      <c r="DP167" s="60"/>
      <c r="DQ167" s="60"/>
    </row>
    <row r="168" spans="1:121" s="9" customFormat="1" ht="6.75" customHeight="1" x14ac:dyDescent="0.25">
      <c r="A168" s="47"/>
      <c r="B168" s="69"/>
      <c r="C168" s="61"/>
      <c r="D168" s="61"/>
      <c r="E168" s="61"/>
      <c r="F168" s="61"/>
      <c r="G168" s="61"/>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c r="AE168" s="61"/>
      <c r="AF168" s="61"/>
      <c r="AG168" s="61"/>
      <c r="AH168" s="61"/>
      <c r="AI168" s="61"/>
      <c r="AJ168" s="61"/>
      <c r="AK168" s="61"/>
      <c r="AL168" s="61"/>
      <c r="AM168" s="61"/>
      <c r="AN168" s="61"/>
      <c r="AO168" s="61"/>
      <c r="AP168" s="61"/>
      <c r="AQ168" s="61"/>
      <c r="AR168" s="61"/>
      <c r="AS168" s="61"/>
      <c r="AT168" s="61"/>
      <c r="AU168" s="79"/>
      <c r="AV168" s="79"/>
      <c r="AW168" s="79"/>
      <c r="AX168" s="79"/>
      <c r="AY168" s="79"/>
      <c r="AZ168" s="79"/>
      <c r="BA168" s="79"/>
      <c r="BB168" s="47"/>
      <c r="BD168" s="68"/>
      <c r="BE168" s="68"/>
      <c r="BF168" s="68"/>
      <c r="BG168" s="68"/>
      <c r="BH168" s="68"/>
      <c r="BI168" s="68"/>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0"/>
      <c r="DI168" s="60"/>
      <c r="DJ168" s="60"/>
      <c r="DK168" s="60"/>
      <c r="DL168" s="60"/>
      <c r="DM168" s="60"/>
      <c r="DN168" s="60"/>
      <c r="DO168" s="60"/>
      <c r="DP168" s="60"/>
      <c r="DQ168" s="60"/>
    </row>
    <row r="169" spans="1:121" s="9" customFormat="1" ht="25.5" customHeight="1" x14ac:dyDescent="0.25">
      <c r="A169" s="47"/>
      <c r="B169" s="371" t="s">
        <v>5312</v>
      </c>
      <c r="C169" s="372"/>
      <c r="D169" s="372"/>
      <c r="E169" s="372"/>
      <c r="F169" s="372"/>
      <c r="G169" s="372"/>
      <c r="H169" s="372"/>
      <c r="I169" s="372"/>
      <c r="J169" s="372"/>
      <c r="K169" s="372"/>
      <c r="L169" s="372"/>
      <c r="M169" s="372"/>
      <c r="N169" s="372"/>
      <c r="O169" s="372"/>
      <c r="P169" s="372"/>
      <c r="Q169" s="372"/>
      <c r="R169" s="372"/>
      <c r="S169" s="372"/>
      <c r="T169" s="372"/>
      <c r="U169" s="372"/>
      <c r="V169" s="372"/>
      <c r="W169" s="372"/>
      <c r="X169" s="372"/>
      <c r="Y169" s="372"/>
      <c r="Z169" s="372"/>
      <c r="AA169" s="372"/>
      <c r="AB169" s="372"/>
      <c r="AC169" s="372"/>
      <c r="AD169" s="372"/>
      <c r="AE169" s="372"/>
      <c r="AF169" s="372"/>
      <c r="AG169" s="372"/>
      <c r="AH169" s="372"/>
      <c r="AI169" s="372"/>
      <c r="AJ169" s="372"/>
      <c r="AK169" s="372"/>
      <c r="AL169" s="372"/>
      <c r="AM169" s="372"/>
      <c r="AN169" s="372"/>
      <c r="AO169" s="372"/>
      <c r="AP169" s="372"/>
      <c r="AQ169" s="372"/>
      <c r="AR169" s="372"/>
      <c r="AS169" s="372"/>
      <c r="AT169" s="372"/>
      <c r="AU169" s="342"/>
      <c r="AV169" s="343"/>
      <c r="AW169" s="343"/>
      <c r="AX169" s="343"/>
      <c r="AY169" s="343"/>
      <c r="AZ169" s="343"/>
      <c r="BA169" s="344"/>
      <c r="BB169" s="47"/>
      <c r="BD169" s="208"/>
      <c r="BE169" s="208"/>
      <c r="BF169" s="208"/>
      <c r="BG169" s="208"/>
      <c r="BH169" s="208"/>
      <c r="BI169" s="208"/>
      <c r="BJ169" s="208"/>
      <c r="BK169" s="208"/>
      <c r="BL169" s="208"/>
      <c r="BM169" s="208"/>
      <c r="BN169" s="208"/>
      <c r="BO169" s="208"/>
      <c r="BP169" s="208"/>
      <c r="BQ169" s="208"/>
      <c r="BR169" s="208"/>
      <c r="BS169" s="20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0"/>
      <c r="DI169" s="60"/>
      <c r="DJ169" s="60"/>
      <c r="DK169" s="60"/>
      <c r="DL169" s="60"/>
      <c r="DM169" s="60"/>
      <c r="DN169" s="60"/>
      <c r="DO169" s="60"/>
      <c r="DP169" s="60"/>
      <c r="DQ169" s="60"/>
    </row>
    <row r="170" spans="1:121" s="9" customFormat="1" ht="9" customHeight="1" x14ac:dyDescent="0.25">
      <c r="A170" s="47"/>
      <c r="B170" s="69"/>
      <c r="C170" s="61"/>
      <c r="D170" s="61"/>
      <c r="E170" s="61"/>
      <c r="F170" s="61"/>
      <c r="G170" s="61"/>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c r="AE170" s="61"/>
      <c r="AF170" s="61"/>
      <c r="AG170" s="61"/>
      <c r="AH170" s="61"/>
      <c r="AI170" s="61"/>
      <c r="AJ170" s="61"/>
      <c r="AK170" s="61"/>
      <c r="AL170" s="61"/>
      <c r="AM170" s="61"/>
      <c r="AN170" s="61"/>
      <c r="AO170" s="61"/>
      <c r="AP170" s="61"/>
      <c r="AQ170" s="61"/>
      <c r="AR170" s="61"/>
      <c r="AS170" s="61"/>
      <c r="AT170" s="61"/>
      <c r="AU170" s="79"/>
      <c r="AV170" s="79"/>
      <c r="AW170" s="79"/>
      <c r="AX170" s="79"/>
      <c r="AY170" s="79"/>
      <c r="AZ170" s="79"/>
      <c r="BA170" s="79"/>
      <c r="BB170" s="47"/>
      <c r="BD170" s="75"/>
      <c r="BE170" s="75"/>
      <c r="BF170" s="75"/>
      <c r="BG170" s="75"/>
      <c r="BH170" s="75"/>
      <c r="BI170" s="75"/>
      <c r="BJ170" s="75"/>
      <c r="BK170" s="75"/>
      <c r="BL170" s="75"/>
      <c r="BM170" s="75"/>
      <c r="BN170" s="75"/>
      <c r="BO170" s="75"/>
      <c r="BP170" s="75"/>
      <c r="BQ170" s="75"/>
      <c r="BR170" s="75"/>
      <c r="BS170" s="75"/>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0"/>
      <c r="DI170" s="60"/>
      <c r="DJ170" s="60"/>
      <c r="DK170" s="60"/>
      <c r="DL170" s="60"/>
      <c r="DM170" s="60"/>
      <c r="DN170" s="60"/>
      <c r="DO170" s="60"/>
      <c r="DP170" s="60"/>
      <c r="DQ170" s="60"/>
    </row>
    <row r="171" spans="1:121" s="9" customFormat="1" ht="25.5" customHeight="1" x14ac:dyDescent="0.25">
      <c r="A171" s="47"/>
      <c r="B171" s="371" t="s">
        <v>5314</v>
      </c>
      <c r="C171" s="372"/>
      <c r="D171" s="372"/>
      <c r="E171" s="372"/>
      <c r="F171" s="372"/>
      <c r="G171" s="372"/>
      <c r="H171" s="372"/>
      <c r="I171" s="372"/>
      <c r="J171" s="372"/>
      <c r="K171" s="372"/>
      <c r="L171" s="372"/>
      <c r="M171" s="372"/>
      <c r="N171" s="372"/>
      <c r="O171" s="372"/>
      <c r="P171" s="372"/>
      <c r="Q171" s="372"/>
      <c r="R171" s="372"/>
      <c r="S171" s="372"/>
      <c r="T171" s="372"/>
      <c r="U171" s="372"/>
      <c r="V171" s="372"/>
      <c r="W171" s="372"/>
      <c r="X171" s="372"/>
      <c r="Y171" s="372"/>
      <c r="Z171" s="372"/>
      <c r="AA171" s="372"/>
      <c r="AB171" s="372"/>
      <c r="AC171" s="372"/>
      <c r="AD171" s="372"/>
      <c r="AE171" s="372"/>
      <c r="AF171" s="372"/>
      <c r="AG171" s="372"/>
      <c r="AH171" s="372"/>
      <c r="AI171" s="372"/>
      <c r="AJ171" s="372"/>
      <c r="AK171" s="372"/>
      <c r="AL171" s="372"/>
      <c r="AM171" s="372"/>
      <c r="AN171" s="372"/>
      <c r="AO171" s="372"/>
      <c r="AP171" s="372"/>
      <c r="AQ171" s="372"/>
      <c r="AR171" s="372"/>
      <c r="AS171" s="372"/>
      <c r="AT171" s="372"/>
      <c r="AU171" s="686"/>
      <c r="AV171" s="687"/>
      <c r="AW171" s="687"/>
      <c r="AX171" s="687"/>
      <c r="AY171" s="687"/>
      <c r="AZ171" s="687"/>
      <c r="BA171" s="688"/>
      <c r="BB171" s="47"/>
      <c r="BD171" s="75"/>
      <c r="BE171" s="75"/>
      <c r="BF171" s="75"/>
      <c r="BG171" s="75"/>
      <c r="BH171" s="75"/>
      <c r="BI171" s="75"/>
      <c r="BJ171" s="75"/>
      <c r="BK171" s="75"/>
      <c r="BL171" s="75"/>
      <c r="BM171" s="75"/>
      <c r="BN171" s="75"/>
      <c r="BO171" s="75"/>
      <c r="BP171" s="75"/>
      <c r="BQ171" s="75"/>
      <c r="BR171" s="75"/>
      <c r="BS171" s="75"/>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0"/>
      <c r="DI171" s="60"/>
      <c r="DJ171" s="60"/>
      <c r="DK171" s="60"/>
      <c r="DL171" s="60"/>
      <c r="DM171" s="60"/>
      <c r="DN171" s="60"/>
      <c r="DO171" s="60"/>
      <c r="DP171" s="60"/>
      <c r="DQ171" s="60"/>
    </row>
    <row r="172" spans="1:121" s="9" customFormat="1" ht="7.5" customHeight="1" x14ac:dyDescent="0.25">
      <c r="A172" s="47"/>
      <c r="B172" s="69"/>
      <c r="C172" s="61"/>
      <c r="D172" s="61"/>
      <c r="E172" s="61"/>
      <c r="F172" s="61"/>
      <c r="G172" s="61"/>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M172" s="61"/>
      <c r="AN172" s="61"/>
      <c r="AO172" s="61"/>
      <c r="AP172" s="61"/>
      <c r="AQ172" s="61"/>
      <c r="AR172" s="61"/>
      <c r="AS172" s="61"/>
      <c r="AT172" s="61"/>
      <c r="AU172" s="79"/>
      <c r="AV172" s="79"/>
      <c r="AW172" s="79"/>
      <c r="AX172" s="79"/>
      <c r="AY172" s="79"/>
      <c r="AZ172" s="79"/>
      <c r="BA172" s="79"/>
      <c r="BB172" s="47"/>
      <c r="BD172" s="75"/>
      <c r="BE172" s="75"/>
      <c r="BF172" s="75"/>
      <c r="BG172" s="75"/>
      <c r="BH172" s="75"/>
      <c r="BI172" s="75"/>
      <c r="BJ172" s="75"/>
      <c r="BK172" s="75"/>
      <c r="BL172" s="75"/>
      <c r="BM172" s="75"/>
      <c r="BN172" s="75"/>
      <c r="BO172" s="75"/>
      <c r="BP172" s="75"/>
      <c r="BQ172" s="75"/>
      <c r="BR172" s="75"/>
      <c r="BS172" s="75"/>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0"/>
      <c r="DI172" s="60"/>
      <c r="DJ172" s="60"/>
      <c r="DK172" s="60"/>
      <c r="DL172" s="60"/>
      <c r="DM172" s="60"/>
      <c r="DN172" s="60"/>
      <c r="DO172" s="60"/>
      <c r="DP172" s="60"/>
      <c r="DQ172" s="60"/>
    </row>
    <row r="173" spans="1:121" s="9" customFormat="1" ht="38.700000000000003" customHeight="1" x14ac:dyDescent="0.25">
      <c r="A173" s="47"/>
      <c r="B173" s="371" t="s">
        <v>5313</v>
      </c>
      <c r="C173" s="372"/>
      <c r="D173" s="372"/>
      <c r="E173" s="372"/>
      <c r="F173" s="372"/>
      <c r="G173" s="372"/>
      <c r="H173" s="372"/>
      <c r="I173" s="372"/>
      <c r="J173" s="372"/>
      <c r="K173" s="372"/>
      <c r="L173" s="372"/>
      <c r="M173" s="372"/>
      <c r="N173" s="372"/>
      <c r="O173" s="372"/>
      <c r="P173" s="372"/>
      <c r="Q173" s="372"/>
      <c r="R173" s="372"/>
      <c r="S173" s="372"/>
      <c r="T173" s="372"/>
      <c r="U173" s="372"/>
      <c r="V173" s="372"/>
      <c r="W173" s="372"/>
      <c r="X173" s="372"/>
      <c r="Y173" s="372"/>
      <c r="Z173" s="372"/>
      <c r="AA173" s="372"/>
      <c r="AB173" s="372"/>
      <c r="AC173" s="372"/>
      <c r="AD173" s="372"/>
      <c r="AE173" s="372"/>
      <c r="AF173" s="372"/>
      <c r="AG173" s="372"/>
      <c r="AH173" s="372"/>
      <c r="AI173" s="372"/>
      <c r="AJ173" s="372"/>
      <c r="AK173" s="372"/>
      <c r="AL173" s="372"/>
      <c r="AM173" s="372"/>
      <c r="AN173" s="372"/>
      <c r="AO173" s="372"/>
      <c r="AP173" s="372"/>
      <c r="AQ173" s="372"/>
      <c r="AR173" s="372"/>
      <c r="AS173" s="372"/>
      <c r="AT173" s="372"/>
      <c r="AU173" s="342"/>
      <c r="AV173" s="343"/>
      <c r="AW173" s="343"/>
      <c r="AX173" s="343"/>
      <c r="AY173" s="343"/>
      <c r="AZ173" s="343"/>
      <c r="BA173" s="344"/>
      <c r="BB173" s="47"/>
      <c r="BD173" s="75"/>
      <c r="BE173" s="75"/>
      <c r="BF173" s="75"/>
      <c r="BG173" s="75"/>
      <c r="BH173" s="75"/>
      <c r="BI173" s="75"/>
      <c r="BJ173" s="75"/>
      <c r="BK173" s="75"/>
      <c r="BL173" s="75"/>
      <c r="BM173" s="75"/>
      <c r="BN173" s="75"/>
      <c r="BO173" s="75"/>
      <c r="BP173" s="75"/>
      <c r="BQ173" s="75"/>
      <c r="BR173" s="75"/>
      <c r="BS173" s="75"/>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8"/>
      <c r="CX173" s="68"/>
      <c r="CY173" s="68"/>
      <c r="CZ173" s="68"/>
      <c r="DA173" s="68"/>
      <c r="DB173" s="68"/>
      <c r="DC173" s="68"/>
      <c r="DD173" s="68"/>
      <c r="DE173" s="68"/>
      <c r="DF173" s="68"/>
      <c r="DG173" s="68"/>
      <c r="DH173" s="60"/>
      <c r="DI173" s="60"/>
      <c r="DJ173" s="60"/>
      <c r="DK173" s="60"/>
      <c r="DL173" s="60"/>
      <c r="DM173" s="60"/>
      <c r="DN173" s="60"/>
      <c r="DO173" s="60"/>
      <c r="DP173" s="60"/>
      <c r="DQ173" s="60"/>
    </row>
    <row r="174" spans="1:121" s="9" customFormat="1" ht="7.2" customHeight="1" x14ac:dyDescent="0.25">
      <c r="A174" s="104"/>
      <c r="B174" s="69"/>
      <c r="C174" s="61"/>
      <c r="D174" s="61"/>
      <c r="E174" s="61"/>
      <c r="F174" s="61"/>
      <c r="G174" s="61"/>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M174" s="61"/>
      <c r="AN174" s="61"/>
      <c r="AO174" s="61"/>
      <c r="AP174" s="61"/>
      <c r="AQ174" s="61"/>
      <c r="AR174" s="61"/>
      <c r="AS174" s="61"/>
      <c r="AT174" s="61"/>
      <c r="AU174" s="105"/>
      <c r="AV174" s="105"/>
      <c r="AW174" s="105"/>
      <c r="AX174" s="105"/>
      <c r="AY174" s="105"/>
      <c r="AZ174" s="105"/>
      <c r="BA174" s="105"/>
      <c r="BB174" s="104"/>
      <c r="BD174" s="75"/>
      <c r="BE174" s="75"/>
      <c r="BF174" s="75"/>
      <c r="BG174" s="75"/>
      <c r="BH174" s="75"/>
      <c r="BI174" s="75"/>
      <c r="BJ174" s="75"/>
      <c r="BK174" s="75"/>
      <c r="BL174" s="75"/>
      <c r="BM174" s="75"/>
      <c r="BN174" s="75"/>
      <c r="BO174" s="75"/>
      <c r="BP174" s="75"/>
      <c r="BQ174" s="75"/>
      <c r="BR174" s="75"/>
      <c r="BS174" s="75"/>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8"/>
      <c r="CX174" s="68"/>
      <c r="CY174" s="68"/>
      <c r="CZ174" s="68"/>
      <c r="DA174" s="68"/>
      <c r="DB174" s="68"/>
      <c r="DC174" s="68"/>
      <c r="DD174" s="68"/>
      <c r="DE174" s="68"/>
      <c r="DF174" s="68"/>
      <c r="DG174" s="68"/>
      <c r="DH174" s="60"/>
      <c r="DI174" s="60"/>
      <c r="DJ174" s="60"/>
      <c r="DK174" s="60"/>
      <c r="DL174" s="60"/>
      <c r="DM174" s="60"/>
      <c r="DN174" s="60"/>
      <c r="DO174" s="60"/>
      <c r="DP174" s="60"/>
      <c r="DQ174" s="60"/>
    </row>
    <row r="175" spans="1:121" s="9" customFormat="1" ht="38.1" customHeight="1" x14ac:dyDescent="0.25">
      <c r="A175" s="47"/>
      <c r="B175" s="371" t="s">
        <v>5317</v>
      </c>
      <c r="C175" s="372"/>
      <c r="D175" s="372"/>
      <c r="E175" s="372"/>
      <c r="F175" s="372"/>
      <c r="G175" s="372"/>
      <c r="H175" s="372"/>
      <c r="I175" s="372"/>
      <c r="J175" s="372"/>
      <c r="K175" s="372"/>
      <c r="L175" s="372"/>
      <c r="M175" s="372"/>
      <c r="N175" s="372"/>
      <c r="O175" s="372"/>
      <c r="P175" s="372"/>
      <c r="Q175" s="372"/>
      <c r="R175" s="372"/>
      <c r="S175" s="372"/>
      <c r="T175" s="372"/>
      <c r="U175" s="372"/>
      <c r="V175" s="372"/>
      <c r="W175" s="372"/>
      <c r="X175" s="372"/>
      <c r="Y175" s="372"/>
      <c r="Z175" s="372"/>
      <c r="AA175" s="372"/>
      <c r="AB175" s="372"/>
      <c r="AC175" s="372"/>
      <c r="AD175" s="372"/>
      <c r="AE175" s="372"/>
      <c r="AF175" s="372"/>
      <c r="AG175" s="372"/>
      <c r="AH175" s="372"/>
      <c r="AI175" s="372"/>
      <c r="AJ175" s="372"/>
      <c r="AK175" s="372"/>
      <c r="AL175" s="372"/>
      <c r="AM175" s="372"/>
      <c r="AN175" s="372"/>
      <c r="AO175" s="372"/>
      <c r="AP175" s="372"/>
      <c r="AQ175" s="372"/>
      <c r="AR175" s="372"/>
      <c r="AS175" s="372"/>
      <c r="AT175" s="372"/>
      <c r="AU175" s="686"/>
      <c r="AV175" s="687"/>
      <c r="AW175" s="687"/>
      <c r="AX175" s="687"/>
      <c r="AY175" s="687"/>
      <c r="AZ175" s="687"/>
      <c r="BA175" s="688"/>
      <c r="BB175" s="47"/>
      <c r="BD175" s="75"/>
      <c r="BE175" s="75"/>
      <c r="BF175" s="75"/>
      <c r="BG175" s="75"/>
      <c r="BH175" s="75"/>
      <c r="BI175" s="75"/>
      <c r="BJ175" s="75"/>
      <c r="BK175" s="75"/>
      <c r="BL175" s="75"/>
      <c r="BM175" s="75"/>
      <c r="BN175" s="75"/>
      <c r="BO175" s="75"/>
      <c r="BP175" s="75"/>
      <c r="BQ175" s="75"/>
      <c r="BR175" s="75"/>
      <c r="BS175" s="75"/>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8"/>
      <c r="CX175" s="68"/>
      <c r="CY175" s="68"/>
      <c r="CZ175" s="68"/>
      <c r="DA175" s="68"/>
      <c r="DB175" s="68"/>
      <c r="DC175" s="68"/>
      <c r="DD175" s="68"/>
      <c r="DE175" s="68"/>
      <c r="DF175" s="68"/>
      <c r="DG175" s="68"/>
      <c r="DH175" s="60"/>
      <c r="DI175" s="60"/>
      <c r="DJ175" s="60"/>
      <c r="DK175" s="60"/>
      <c r="DL175" s="60"/>
      <c r="DM175" s="60"/>
      <c r="DN175" s="60"/>
      <c r="DO175" s="60"/>
      <c r="DP175" s="60"/>
      <c r="DQ175" s="60"/>
    </row>
    <row r="176" spans="1:121" s="6" customFormat="1" ht="7.2" customHeight="1" x14ac:dyDescent="0.15">
      <c r="AU176" s="79"/>
      <c r="AV176" s="79"/>
      <c r="AW176" s="79"/>
      <c r="AX176" s="79"/>
      <c r="AY176" s="79"/>
      <c r="AZ176" s="79"/>
      <c r="BA176" s="79"/>
      <c r="BD176" s="61"/>
      <c r="BE176" s="61"/>
      <c r="BF176" s="61"/>
      <c r="BG176" s="61"/>
      <c r="BH176" s="61"/>
      <c r="BI176" s="61"/>
      <c r="BJ176" s="61"/>
      <c r="BK176" s="61"/>
      <c r="BL176" s="61"/>
      <c r="BM176" s="61"/>
      <c r="BN176" s="61"/>
      <c r="BO176" s="61"/>
      <c r="BP176" s="61"/>
      <c r="BQ176" s="61"/>
      <c r="BR176" s="61"/>
      <c r="BS176" s="61"/>
      <c r="BT176" s="61"/>
      <c r="BU176" s="61"/>
      <c r="BV176" s="61"/>
      <c r="BW176" s="61"/>
      <c r="BX176" s="61"/>
      <c r="BY176" s="61"/>
      <c r="BZ176" s="61"/>
      <c r="CA176" s="61"/>
      <c r="CB176" s="61"/>
      <c r="CC176" s="61"/>
      <c r="CD176" s="61"/>
      <c r="CE176" s="61"/>
      <c r="CF176" s="61"/>
      <c r="CG176" s="61"/>
      <c r="CH176" s="61"/>
      <c r="CI176" s="61"/>
      <c r="CJ176" s="61"/>
    </row>
    <row r="177" spans="1:104" s="9" customFormat="1" ht="48.75" customHeight="1" x14ac:dyDescent="0.25">
      <c r="A177" s="47"/>
      <c r="B177" s="418" t="s">
        <v>5566</v>
      </c>
      <c r="C177" s="684"/>
      <c r="D177" s="684"/>
      <c r="E177" s="684"/>
      <c r="F177" s="684"/>
      <c r="G177" s="684"/>
      <c r="H177" s="684"/>
      <c r="I177" s="684"/>
      <c r="J177" s="684"/>
      <c r="K177" s="684"/>
      <c r="L177" s="684"/>
      <c r="M177" s="684"/>
      <c r="N177" s="684"/>
      <c r="O177" s="684"/>
      <c r="P177" s="684"/>
      <c r="Q177" s="684"/>
      <c r="R177" s="684"/>
      <c r="S177" s="684"/>
      <c r="T177" s="684"/>
      <c r="U177" s="684"/>
      <c r="V177" s="684"/>
      <c r="W177" s="684"/>
      <c r="X177" s="684"/>
      <c r="Y177" s="684"/>
      <c r="Z177" s="684"/>
      <c r="AA177" s="684"/>
      <c r="AB177" s="684"/>
      <c r="AC177" s="684"/>
      <c r="AD177" s="684"/>
      <c r="AE177" s="684"/>
      <c r="AF177" s="684"/>
      <c r="AG177" s="684"/>
      <c r="AH177" s="684"/>
      <c r="AI177" s="684"/>
      <c r="AJ177" s="684"/>
      <c r="AK177" s="684"/>
      <c r="AL177" s="684"/>
      <c r="AM177" s="684"/>
      <c r="AN177" s="684"/>
      <c r="AO177" s="684"/>
      <c r="AP177" s="684"/>
      <c r="AQ177" s="684"/>
      <c r="AR177" s="684"/>
      <c r="AS177" s="684"/>
      <c r="AT177" s="685"/>
      <c r="AU177" s="412"/>
      <c r="AV177" s="413"/>
      <c r="AW177" s="413"/>
      <c r="AX177" s="413"/>
      <c r="AY177" s="413"/>
      <c r="AZ177" s="413"/>
      <c r="BA177" s="414"/>
      <c r="BB177" s="47"/>
      <c r="BD177" s="208" t="str">
        <f>IF(AND(AU177&lt;&gt;"NIE",AU177&lt;&gt;"TAK"),"Proszę wybrać odpowiedź TAK lub NIE.","")</f>
        <v>Proszę wybrać odpowiedź TAK lub NIE.</v>
      </c>
      <c r="BE177" s="208"/>
      <c r="BF177" s="208"/>
      <c r="BG177" s="208"/>
      <c r="BH177" s="208"/>
      <c r="BI177" s="208"/>
      <c r="BJ177" s="208"/>
      <c r="BK177" s="208"/>
      <c r="BL177" s="208"/>
      <c r="BM177" s="208"/>
      <c r="BN177" s="208"/>
      <c r="BO177" s="208"/>
      <c r="BP177" s="208"/>
      <c r="BQ177" s="208"/>
      <c r="BR177" s="208"/>
      <c r="BS177" s="208"/>
      <c r="BT177" s="208"/>
      <c r="BU177" s="208"/>
      <c r="BV177" s="208"/>
      <c r="BW177" s="208"/>
      <c r="BX177" s="208"/>
      <c r="BY177" s="208"/>
      <c r="BZ177" s="208"/>
      <c r="CA177" s="60"/>
      <c r="CB177" s="60"/>
      <c r="CC177" s="60"/>
      <c r="CD177" s="60"/>
      <c r="CE177" s="60"/>
      <c r="CF177" s="60"/>
      <c r="CG177" s="60"/>
      <c r="CH177" s="60"/>
      <c r="CI177" s="60"/>
      <c r="CJ177" s="60"/>
      <c r="CK177" s="60"/>
      <c r="CL177" s="60"/>
      <c r="CM177" s="60"/>
      <c r="CN177" s="60"/>
      <c r="CO177" s="60"/>
      <c r="CP177" s="60"/>
      <c r="CQ177" s="60"/>
      <c r="CR177" s="60"/>
      <c r="CS177" s="60"/>
      <c r="CT177" s="60"/>
      <c r="CU177" s="60"/>
      <c r="CV177" s="60"/>
      <c r="CW177" s="60"/>
      <c r="CX177" s="60"/>
      <c r="CY177" s="60"/>
      <c r="CZ177" s="60"/>
    </row>
    <row r="178" spans="1:104" s="6" customFormat="1" ht="9" customHeight="1" x14ac:dyDescent="0.15">
      <c r="B178" s="176"/>
      <c r="C178" s="176"/>
      <c r="D178" s="176"/>
      <c r="E178" s="176"/>
      <c r="F178" s="176"/>
      <c r="G178" s="176"/>
      <c r="H178" s="176"/>
      <c r="I178" s="176"/>
      <c r="J178" s="176"/>
      <c r="K178" s="176"/>
      <c r="L178" s="176"/>
      <c r="M178" s="176"/>
      <c r="N178" s="176"/>
      <c r="O178" s="176"/>
      <c r="P178" s="176"/>
      <c r="Q178" s="176"/>
      <c r="R178" s="176"/>
      <c r="S178" s="176"/>
      <c r="T178" s="176"/>
      <c r="U178" s="176"/>
      <c r="V178" s="176"/>
      <c r="W178" s="176"/>
      <c r="X178" s="176"/>
      <c r="Y178" s="176"/>
      <c r="Z178" s="176"/>
      <c r="AA178" s="176"/>
      <c r="AB178" s="176"/>
      <c r="AC178" s="176"/>
      <c r="AD178" s="176"/>
      <c r="AE178" s="176"/>
      <c r="AF178" s="176"/>
      <c r="AG178" s="176"/>
      <c r="AH178" s="176"/>
      <c r="AI178" s="176"/>
      <c r="AJ178" s="176"/>
      <c r="AK178" s="176"/>
      <c r="AL178" s="176"/>
      <c r="AM178" s="176"/>
      <c r="AN178" s="176"/>
      <c r="AO178" s="176"/>
      <c r="AP178" s="176"/>
      <c r="AQ178" s="176"/>
      <c r="AR178" s="176"/>
      <c r="AS178" s="176"/>
      <c r="AT178" s="176"/>
      <c r="AU178" s="79"/>
      <c r="AV178" s="79"/>
      <c r="AW178" s="79"/>
      <c r="AX178" s="79"/>
      <c r="AY178" s="79"/>
      <c r="AZ178" s="79"/>
      <c r="BA178" s="79"/>
    </row>
    <row r="179" spans="1:104" s="9" customFormat="1" ht="28.5" customHeight="1" x14ac:dyDescent="0.25">
      <c r="A179" s="47"/>
      <c r="B179" s="708" t="s">
        <v>5565</v>
      </c>
      <c r="C179" s="709"/>
      <c r="D179" s="709"/>
      <c r="E179" s="709"/>
      <c r="F179" s="709"/>
      <c r="G179" s="709"/>
      <c r="H179" s="709"/>
      <c r="I179" s="709"/>
      <c r="J179" s="709"/>
      <c r="K179" s="709"/>
      <c r="L179" s="709"/>
      <c r="M179" s="709"/>
      <c r="N179" s="709"/>
      <c r="O179" s="709"/>
      <c r="P179" s="709"/>
      <c r="Q179" s="709"/>
      <c r="R179" s="709"/>
      <c r="S179" s="709"/>
      <c r="T179" s="709"/>
      <c r="U179" s="709"/>
      <c r="V179" s="709"/>
      <c r="W179" s="709"/>
      <c r="X179" s="709"/>
      <c r="Y179" s="709"/>
      <c r="Z179" s="709"/>
      <c r="AA179" s="709"/>
      <c r="AB179" s="709"/>
      <c r="AC179" s="709"/>
      <c r="AD179" s="709"/>
      <c r="AE179" s="709"/>
      <c r="AF179" s="709"/>
      <c r="AG179" s="709"/>
      <c r="AH179" s="709"/>
      <c r="AI179" s="709"/>
      <c r="AJ179" s="709"/>
      <c r="AK179" s="709"/>
      <c r="AL179" s="709"/>
      <c r="AM179" s="709"/>
      <c r="AN179" s="709"/>
      <c r="AO179" s="709"/>
      <c r="AP179" s="709"/>
      <c r="AQ179" s="709"/>
      <c r="AR179" s="709"/>
      <c r="AS179" s="709"/>
      <c r="AT179" s="709"/>
      <c r="AU179" s="422"/>
      <c r="AV179" s="422"/>
      <c r="AW179" s="422"/>
      <c r="AX179" s="422"/>
      <c r="AY179" s="422"/>
      <c r="AZ179" s="422"/>
      <c r="BA179" s="422"/>
      <c r="BB179" s="47"/>
      <c r="BD179" s="208" t="str">
        <f>IF(AND(AU179&lt;&gt;"NIE",AU179&lt;&gt;"TAK"),"Proszę wybrać odpowiedź TAK lub NIE.","")</f>
        <v>Proszę wybrać odpowiedź TAK lub NIE.</v>
      </c>
      <c r="BE179" s="208"/>
      <c r="BF179" s="208"/>
      <c r="BG179" s="208"/>
      <c r="BH179" s="208"/>
      <c r="BI179" s="208"/>
      <c r="BJ179" s="208"/>
      <c r="BK179" s="208"/>
      <c r="BL179" s="208"/>
      <c r="BM179" s="208"/>
      <c r="BN179" s="208"/>
      <c r="BO179" s="208"/>
      <c r="BP179" s="208"/>
      <c r="BQ179" s="208"/>
      <c r="BR179" s="208"/>
      <c r="BS179" s="208"/>
      <c r="BT179" s="208"/>
      <c r="BU179" s="208"/>
      <c r="BV179" s="208"/>
      <c r="BW179" s="208"/>
      <c r="BX179" s="208"/>
      <c r="BY179" s="208"/>
      <c r="BZ179" s="208"/>
    </row>
    <row r="180" spans="1:104" s="6" customFormat="1" ht="6" x14ac:dyDescent="0.15">
      <c r="AU180" s="79"/>
      <c r="AV180" s="79"/>
      <c r="AW180" s="79"/>
      <c r="AX180" s="79"/>
      <c r="AY180" s="79"/>
      <c r="AZ180" s="79"/>
      <c r="BA180" s="79"/>
    </row>
    <row r="181" spans="1:104" s="9" customFormat="1" ht="12" customHeight="1" x14ac:dyDescent="0.25">
      <c r="A181" s="8"/>
      <c r="B181" s="424" t="s">
        <v>5161</v>
      </c>
      <c r="C181" s="425"/>
      <c r="D181" s="425"/>
      <c r="E181" s="425"/>
      <c r="F181" s="425"/>
      <c r="G181" s="425"/>
      <c r="H181" s="425"/>
      <c r="I181" s="425"/>
      <c r="J181" s="425"/>
      <c r="K181" s="425"/>
      <c r="L181" s="425"/>
      <c r="M181" s="425"/>
      <c r="N181" s="425"/>
      <c r="O181" s="425"/>
      <c r="P181" s="425"/>
      <c r="Q181" s="425"/>
      <c r="R181" s="425"/>
      <c r="S181" s="425"/>
      <c r="T181" s="425"/>
      <c r="U181" s="425"/>
      <c r="V181" s="425"/>
      <c r="W181" s="425"/>
      <c r="X181" s="425"/>
      <c r="Y181" s="425"/>
      <c r="Z181" s="425"/>
      <c r="AA181" s="425"/>
      <c r="AB181" s="425"/>
      <c r="AC181" s="425"/>
      <c r="AD181" s="425"/>
      <c r="AE181" s="425"/>
      <c r="AF181" s="425"/>
      <c r="AG181" s="425"/>
      <c r="AH181" s="425"/>
      <c r="AI181" s="425"/>
      <c r="AJ181" s="425"/>
      <c r="AK181" s="425"/>
      <c r="AL181" s="425"/>
      <c r="AM181" s="425"/>
      <c r="AN181" s="425"/>
      <c r="AO181" s="425"/>
      <c r="AP181" s="425"/>
      <c r="AQ181" s="425"/>
      <c r="AR181" s="425"/>
      <c r="AS181" s="425"/>
      <c r="AT181" s="426"/>
      <c r="AU181" s="342"/>
      <c r="AV181" s="343"/>
      <c r="AW181" s="343"/>
      <c r="AX181" s="343"/>
      <c r="AY181" s="343"/>
      <c r="AZ181" s="343"/>
      <c r="BA181" s="344"/>
      <c r="BB181" s="8"/>
      <c r="BD181" s="301"/>
      <c r="BE181" s="301"/>
      <c r="BF181" s="301"/>
      <c r="BG181" s="301"/>
      <c r="BH181" s="301"/>
      <c r="BI181" s="301"/>
      <c r="BJ181" s="301"/>
      <c r="BK181" s="301"/>
      <c r="BL181" s="301"/>
      <c r="BM181" s="301"/>
      <c r="BN181" s="301"/>
      <c r="BO181" s="301"/>
      <c r="BP181" s="301"/>
      <c r="BQ181" s="301"/>
      <c r="BR181" s="301"/>
      <c r="BS181" s="301"/>
      <c r="BT181" s="301"/>
      <c r="BU181" s="301"/>
      <c r="BV181" s="301"/>
      <c r="BW181" s="301"/>
      <c r="BX181" s="301"/>
      <c r="BY181" s="301"/>
      <c r="BZ181" s="301"/>
    </row>
    <row r="182" spans="1:104" s="6" customFormat="1" ht="6" x14ac:dyDescent="0.15">
      <c r="AU182" s="79"/>
      <c r="AV182" s="79"/>
      <c r="AW182" s="79"/>
      <c r="AX182" s="79"/>
      <c r="AY182" s="79"/>
      <c r="AZ182" s="79"/>
      <c r="BA182" s="79"/>
    </row>
    <row r="183" spans="1:104" s="9" customFormat="1" ht="15" customHeight="1" x14ac:dyDescent="0.25">
      <c r="A183" s="8"/>
      <c r="B183" s="371" t="s">
        <v>5567</v>
      </c>
      <c r="C183" s="423"/>
      <c r="D183" s="423"/>
      <c r="E183" s="423"/>
      <c r="F183" s="423"/>
      <c r="G183" s="423"/>
      <c r="H183" s="423"/>
      <c r="I183" s="423"/>
      <c r="J183" s="423"/>
      <c r="K183" s="423"/>
      <c r="L183" s="423"/>
      <c r="M183" s="423"/>
      <c r="N183" s="423"/>
      <c r="O183" s="423"/>
      <c r="P183" s="423"/>
      <c r="Q183" s="423"/>
      <c r="R183" s="423"/>
      <c r="S183" s="423"/>
      <c r="T183" s="423"/>
      <c r="U183" s="423"/>
      <c r="V183" s="423"/>
      <c r="W183" s="423"/>
      <c r="X183" s="423"/>
      <c r="Y183" s="423"/>
      <c r="Z183" s="423"/>
      <c r="AA183" s="423"/>
      <c r="AB183" s="423"/>
      <c r="AC183" s="423"/>
      <c r="AD183" s="423"/>
      <c r="AE183" s="423"/>
      <c r="AF183" s="423"/>
      <c r="AG183" s="423"/>
      <c r="AH183" s="423"/>
      <c r="AI183" s="423"/>
      <c r="AJ183" s="423"/>
      <c r="AK183" s="423"/>
      <c r="AL183" s="423"/>
      <c r="AM183" s="423"/>
      <c r="AN183" s="423"/>
      <c r="AO183" s="423"/>
      <c r="AP183" s="423"/>
      <c r="AQ183" s="423"/>
      <c r="AR183" s="423"/>
      <c r="AS183" s="423"/>
      <c r="AT183" s="423"/>
      <c r="AU183" s="422"/>
      <c r="AV183" s="422"/>
      <c r="AW183" s="422"/>
      <c r="AX183" s="422"/>
      <c r="AY183" s="422"/>
      <c r="AZ183" s="422"/>
      <c r="BA183" s="422"/>
      <c r="BB183" s="8"/>
      <c r="BD183" s="208" t="str">
        <f>IF(AND(AU183&lt;&gt;"NIE",AU183&lt;&gt;"TAK"),"Proszę wybrać odpowiedź TAK lub NIE.","")</f>
        <v>Proszę wybrać odpowiedź TAK lub NIE.</v>
      </c>
      <c r="BE183" s="208"/>
      <c r="BF183" s="208"/>
      <c r="BG183" s="208"/>
      <c r="BH183" s="208"/>
      <c r="BI183" s="208"/>
      <c r="BJ183" s="208"/>
      <c r="BK183" s="208"/>
      <c r="BL183" s="208"/>
      <c r="BM183" s="208"/>
      <c r="BN183" s="208"/>
      <c r="BO183" s="208"/>
      <c r="BP183" s="208"/>
      <c r="BQ183" s="208"/>
      <c r="BR183" s="208"/>
      <c r="BS183" s="208"/>
      <c r="BT183" s="208"/>
      <c r="BU183" s="208"/>
      <c r="BV183" s="208"/>
      <c r="BW183" s="208"/>
      <c r="BX183" s="208"/>
      <c r="BY183" s="208"/>
      <c r="BZ183" s="208"/>
    </row>
    <row r="184" spans="1:104" s="6" customFormat="1" ht="6" x14ac:dyDescent="0.15">
      <c r="AU184" s="79"/>
      <c r="AV184" s="79"/>
      <c r="AW184" s="79"/>
      <c r="AX184" s="79"/>
      <c r="AY184" s="79"/>
      <c r="AZ184" s="79"/>
      <c r="BA184" s="79"/>
    </row>
    <row r="185" spans="1:104" s="9" customFormat="1" ht="12" customHeight="1" x14ac:dyDescent="0.25">
      <c r="A185" s="8"/>
      <c r="B185" s="371" t="s">
        <v>5568</v>
      </c>
      <c r="C185" s="423"/>
      <c r="D185" s="423"/>
      <c r="E185" s="423"/>
      <c r="F185" s="423"/>
      <c r="G185" s="423"/>
      <c r="H185" s="423"/>
      <c r="I185" s="423"/>
      <c r="J185" s="423"/>
      <c r="K185" s="423"/>
      <c r="L185" s="423"/>
      <c r="M185" s="423"/>
      <c r="N185" s="423"/>
      <c r="O185" s="423"/>
      <c r="P185" s="423"/>
      <c r="Q185" s="423"/>
      <c r="R185" s="423"/>
      <c r="S185" s="423"/>
      <c r="T185" s="423"/>
      <c r="U185" s="423"/>
      <c r="V185" s="423"/>
      <c r="W185" s="423"/>
      <c r="X185" s="423"/>
      <c r="Y185" s="423"/>
      <c r="Z185" s="423"/>
      <c r="AA185" s="423"/>
      <c r="AB185" s="423"/>
      <c r="AC185" s="423"/>
      <c r="AD185" s="423"/>
      <c r="AE185" s="423"/>
      <c r="AF185" s="423"/>
      <c r="AG185" s="423"/>
      <c r="AH185" s="423"/>
      <c r="AI185" s="423"/>
      <c r="AJ185" s="423"/>
      <c r="AK185" s="423"/>
      <c r="AL185" s="423"/>
      <c r="AM185" s="423"/>
      <c r="AN185" s="423"/>
      <c r="AO185" s="423"/>
      <c r="AP185" s="423"/>
      <c r="AQ185" s="423"/>
      <c r="AR185" s="423"/>
      <c r="AS185" s="423"/>
      <c r="AT185" s="423"/>
      <c r="AU185" s="422"/>
      <c r="AV185" s="422"/>
      <c r="AW185" s="422"/>
      <c r="AX185" s="422"/>
      <c r="AY185" s="422"/>
      <c r="AZ185" s="422"/>
      <c r="BA185" s="422"/>
      <c r="BB185" s="8"/>
      <c r="BD185" s="208" t="str">
        <f>IF(AND(AU185&lt;&gt;"NIE",AU185&lt;&gt;"TAK"),"Proszę wybrać odpowiedź TAK lub NIE.","")</f>
        <v>Proszę wybrać odpowiedź TAK lub NIE.</v>
      </c>
      <c r="BE185" s="208"/>
      <c r="BF185" s="208"/>
      <c r="BG185" s="208"/>
      <c r="BH185" s="208"/>
      <c r="BI185" s="208"/>
      <c r="BJ185" s="208"/>
      <c r="BK185" s="208"/>
      <c r="BL185" s="208"/>
      <c r="BM185" s="208"/>
      <c r="BN185" s="208"/>
      <c r="BO185" s="208"/>
      <c r="BP185" s="208"/>
      <c r="BQ185" s="208"/>
      <c r="BR185" s="208"/>
      <c r="BS185" s="208"/>
      <c r="BT185" s="208"/>
      <c r="BU185" s="208"/>
      <c r="BV185" s="208"/>
      <c r="BW185" s="208"/>
      <c r="BX185" s="208"/>
      <c r="BY185" s="208"/>
      <c r="BZ185" s="208"/>
    </row>
    <row r="186" spans="1:104" s="6" customFormat="1" ht="6" x14ac:dyDescent="0.15">
      <c r="AU186" s="79"/>
      <c r="AV186" s="79"/>
      <c r="AW186" s="79"/>
      <c r="AX186" s="79"/>
      <c r="AY186" s="79"/>
      <c r="AZ186" s="79"/>
      <c r="BA186" s="79"/>
    </row>
    <row r="187" spans="1:104" s="9" customFormat="1" ht="15" customHeight="1" x14ac:dyDescent="0.25">
      <c r="A187" s="8"/>
      <c r="B187" s="371" t="s">
        <v>5569</v>
      </c>
      <c r="C187" s="423"/>
      <c r="D187" s="423"/>
      <c r="E187" s="423"/>
      <c r="F187" s="423"/>
      <c r="G187" s="423"/>
      <c r="H187" s="423"/>
      <c r="I187" s="423"/>
      <c r="J187" s="423"/>
      <c r="K187" s="423"/>
      <c r="L187" s="423"/>
      <c r="M187" s="423"/>
      <c r="N187" s="423"/>
      <c r="O187" s="423"/>
      <c r="P187" s="423"/>
      <c r="Q187" s="423"/>
      <c r="R187" s="423"/>
      <c r="S187" s="423"/>
      <c r="T187" s="423"/>
      <c r="U187" s="423"/>
      <c r="V187" s="423"/>
      <c r="W187" s="423"/>
      <c r="X187" s="423"/>
      <c r="Y187" s="423"/>
      <c r="Z187" s="423"/>
      <c r="AA187" s="423"/>
      <c r="AB187" s="423"/>
      <c r="AC187" s="423"/>
      <c r="AD187" s="423"/>
      <c r="AE187" s="423"/>
      <c r="AF187" s="423"/>
      <c r="AG187" s="423"/>
      <c r="AH187" s="423"/>
      <c r="AI187" s="423"/>
      <c r="AJ187" s="423"/>
      <c r="AK187" s="423"/>
      <c r="AL187" s="423"/>
      <c r="AM187" s="423"/>
      <c r="AN187" s="423"/>
      <c r="AO187" s="423"/>
      <c r="AP187" s="423"/>
      <c r="AQ187" s="423"/>
      <c r="AR187" s="423"/>
      <c r="AS187" s="423"/>
      <c r="AT187" s="423"/>
      <c r="AU187" s="422"/>
      <c r="AV187" s="422"/>
      <c r="AW187" s="422"/>
      <c r="AX187" s="422"/>
      <c r="AY187" s="422"/>
      <c r="AZ187" s="422"/>
      <c r="BA187" s="422"/>
      <c r="BD187" s="208" t="str">
        <f>IF(AND(AU187&lt;&gt;"NIE",AU187&lt;&gt;"TAK"),"Proszę wybrać odpowiedź TAK lub NIE.","")</f>
        <v>Proszę wybrać odpowiedź TAK lub NIE.</v>
      </c>
      <c r="BE187" s="208"/>
      <c r="BF187" s="208"/>
      <c r="BG187" s="208"/>
      <c r="BH187" s="208"/>
      <c r="BI187" s="208"/>
      <c r="BJ187" s="208"/>
      <c r="BK187" s="208"/>
      <c r="BL187" s="208"/>
      <c r="BM187" s="208"/>
      <c r="BN187" s="208"/>
      <c r="BO187" s="208"/>
      <c r="BP187" s="208"/>
      <c r="BQ187" s="208"/>
      <c r="BR187" s="208"/>
      <c r="BS187" s="208"/>
      <c r="BT187" s="208"/>
      <c r="BU187" s="208"/>
      <c r="BV187" s="208"/>
      <c r="BW187" s="208"/>
      <c r="BX187" s="208"/>
      <c r="BY187" s="208"/>
      <c r="BZ187" s="208"/>
    </row>
    <row r="188" spans="1:104" s="6" customFormat="1" ht="6" x14ac:dyDescent="0.15">
      <c r="AU188" s="79"/>
      <c r="AV188" s="79"/>
      <c r="AW188" s="79"/>
      <c r="AX188" s="79"/>
      <c r="AY188" s="79"/>
      <c r="AZ188" s="79"/>
      <c r="BA188" s="79"/>
    </row>
    <row r="189" spans="1:104" s="6" customFormat="1" ht="26.25" customHeight="1" x14ac:dyDescent="0.15">
      <c r="B189" s="418" t="s">
        <v>5570</v>
      </c>
      <c r="C189" s="419"/>
      <c r="D189" s="419"/>
      <c r="E189" s="419"/>
      <c r="F189" s="419"/>
      <c r="G189" s="419"/>
      <c r="H189" s="419"/>
      <c r="I189" s="419"/>
      <c r="J189" s="419"/>
      <c r="K189" s="419"/>
      <c r="L189" s="419"/>
      <c r="M189" s="419"/>
      <c r="N189" s="419"/>
      <c r="O189" s="419"/>
      <c r="P189" s="419"/>
      <c r="Q189" s="419"/>
      <c r="R189" s="419"/>
      <c r="S189" s="419"/>
      <c r="T189" s="419"/>
      <c r="U189" s="419"/>
      <c r="V189" s="419"/>
      <c r="W189" s="419"/>
      <c r="X189" s="419"/>
      <c r="Y189" s="419"/>
      <c r="Z189" s="419"/>
      <c r="AA189" s="419"/>
      <c r="AB189" s="419"/>
      <c r="AC189" s="419"/>
      <c r="AD189" s="419"/>
      <c r="AE189" s="419"/>
      <c r="AF189" s="419"/>
      <c r="AG189" s="419"/>
      <c r="AH189" s="419"/>
      <c r="AI189" s="419"/>
      <c r="AJ189" s="419"/>
      <c r="AK189" s="419"/>
      <c r="AL189" s="419"/>
      <c r="AM189" s="419"/>
      <c r="AN189" s="419"/>
      <c r="AO189" s="419"/>
      <c r="AP189" s="419"/>
      <c r="AQ189" s="419"/>
      <c r="AR189" s="419"/>
      <c r="AS189" s="419"/>
      <c r="AT189" s="420"/>
      <c r="AU189" s="412"/>
      <c r="AV189" s="413"/>
      <c r="AW189" s="413"/>
      <c r="AX189" s="413"/>
      <c r="AY189" s="413"/>
      <c r="AZ189" s="413"/>
      <c r="BA189" s="414"/>
      <c r="BD189" s="301" t="str">
        <f>IF(AND(AU189&lt;&gt;"NIE",AU189&lt;&gt;"TAK"),"Proszę wybrać odpowiedź TAK lub NIE.","")</f>
        <v>Proszę wybrać odpowiedź TAK lub NIE.</v>
      </c>
      <c r="BE189" s="301"/>
      <c r="BF189" s="301"/>
      <c r="BG189" s="301"/>
      <c r="BH189" s="301"/>
      <c r="BI189" s="301"/>
      <c r="BJ189" s="301"/>
      <c r="BK189" s="301"/>
      <c r="BL189" s="301"/>
      <c r="BM189" s="301"/>
      <c r="BN189" s="301"/>
      <c r="BO189" s="301"/>
      <c r="BP189" s="301"/>
      <c r="BQ189" s="301"/>
      <c r="BR189" s="301"/>
      <c r="BS189" s="301"/>
      <c r="BT189" s="301"/>
      <c r="BU189" s="301"/>
      <c r="BV189" s="301"/>
      <c r="BW189" s="301"/>
      <c r="BX189" s="301"/>
      <c r="BY189" s="301"/>
      <c r="BZ189" s="301"/>
    </row>
    <row r="190" spans="1:104" s="6" customFormat="1" ht="6" x14ac:dyDescent="0.15">
      <c r="AU190" s="79"/>
      <c r="AV190" s="79"/>
      <c r="AW190" s="79"/>
      <c r="AX190" s="79"/>
      <c r="AY190" s="79"/>
      <c r="AZ190" s="79"/>
      <c r="BA190" s="79"/>
    </row>
    <row r="191" spans="1:104" x14ac:dyDescent="0.3">
      <c r="A191" s="261" t="s">
        <v>5220</v>
      </c>
      <c r="B191" s="261"/>
      <c r="C191" s="261"/>
      <c r="D191" s="261"/>
      <c r="E191" s="261"/>
      <c r="F191" s="261"/>
      <c r="G191" s="261"/>
      <c r="H191" s="261"/>
      <c r="I191" s="261"/>
      <c r="J191" s="261"/>
      <c r="K191" s="261"/>
      <c r="L191" s="261"/>
      <c r="M191" s="261"/>
      <c r="N191" s="261"/>
      <c r="O191" s="261"/>
      <c r="P191" s="261"/>
      <c r="Q191" s="261"/>
      <c r="R191" s="261"/>
      <c r="S191" s="261"/>
      <c r="T191" s="261"/>
      <c r="U191" s="261"/>
      <c r="V191" s="261"/>
      <c r="W191" s="261"/>
      <c r="X191" s="261"/>
      <c r="Y191" s="261"/>
      <c r="Z191" s="261"/>
      <c r="AA191" s="261"/>
      <c r="AB191" s="261"/>
      <c r="AC191" s="261"/>
      <c r="AD191" s="261"/>
      <c r="AE191" s="261"/>
      <c r="AF191" s="261"/>
      <c r="AG191" s="261"/>
      <c r="AH191" s="261"/>
      <c r="AI191" s="261"/>
      <c r="AJ191" s="261"/>
      <c r="AK191" s="261"/>
      <c r="AL191" s="261"/>
      <c r="AM191" s="261"/>
      <c r="AN191" s="261"/>
      <c r="AO191" s="261"/>
      <c r="AP191" s="261"/>
      <c r="AQ191" s="261"/>
      <c r="AR191" s="261"/>
      <c r="AS191" s="261"/>
      <c r="AT191" s="261"/>
      <c r="AU191" s="261"/>
      <c r="AV191" s="261"/>
      <c r="AW191" s="261"/>
      <c r="AX191" s="261"/>
      <c r="AY191" s="261"/>
      <c r="AZ191" s="261"/>
      <c r="BA191" s="261"/>
      <c r="BB191" s="261"/>
    </row>
    <row r="192" spans="1:104" s="7" customFormat="1" ht="6" x14ac:dyDescent="0.1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row>
    <row r="193" spans="1:107" s="9" customFormat="1" ht="12" x14ac:dyDescent="0.25">
      <c r="A193" s="8"/>
      <c r="B193" s="424" t="s">
        <v>5225</v>
      </c>
      <c r="C193" s="434"/>
      <c r="D193" s="434"/>
      <c r="E193" s="434"/>
      <c r="F193" s="434"/>
      <c r="G193" s="434"/>
      <c r="H193" s="434"/>
      <c r="I193" s="434"/>
      <c r="J193" s="434"/>
      <c r="K193" s="434"/>
      <c r="L193" s="434"/>
      <c r="M193" s="434"/>
      <c r="N193" s="434"/>
      <c r="O193" s="434"/>
      <c r="P193" s="434"/>
      <c r="Q193" s="434"/>
      <c r="R193" s="434"/>
      <c r="S193" s="434"/>
      <c r="T193" s="434"/>
      <c r="U193" s="434"/>
      <c r="V193" s="434"/>
      <c r="W193" s="434"/>
      <c r="X193" s="434"/>
      <c r="Y193" s="434"/>
      <c r="Z193" s="434"/>
      <c r="AA193" s="434"/>
      <c r="AB193" s="434"/>
      <c r="AC193" s="434"/>
      <c r="AD193" s="434"/>
      <c r="AE193" s="434"/>
      <c r="AF193" s="434"/>
      <c r="AG193" s="434"/>
      <c r="AH193" s="434"/>
      <c r="AI193" s="434"/>
      <c r="AJ193" s="434"/>
      <c r="AK193" s="434"/>
      <c r="AL193" s="434"/>
      <c r="AM193" s="434"/>
      <c r="AN193" s="434"/>
      <c r="AO193" s="434"/>
      <c r="AP193" s="434"/>
      <c r="AQ193" s="434"/>
      <c r="AR193" s="434"/>
      <c r="AS193" s="434"/>
      <c r="AT193" s="435"/>
      <c r="AU193" s="412"/>
      <c r="AV193" s="413"/>
      <c r="AW193" s="413"/>
      <c r="AX193" s="413"/>
      <c r="AY193" s="413"/>
      <c r="AZ193" s="413"/>
      <c r="BA193" s="414"/>
      <c r="BD193" s="656" t="str">
        <f>IF(AND(AU193&lt;&gt;"NIE",AU193&lt;&gt;"TAK"),"Proszę wybrać odpowiedź TAK lub NIE.",IF(AU193="TAK","Jeżeli Wnioskodawca posiada zaległości podatkowe, nie jest możliwe uzyskanie finansowania",""))</f>
        <v>Proszę wybrać odpowiedź TAK lub NIE.</v>
      </c>
      <c r="BE193" s="657"/>
      <c r="BF193" s="657"/>
      <c r="BG193" s="657"/>
      <c r="BH193" s="657"/>
      <c r="BI193" s="657"/>
      <c r="BJ193" s="657"/>
      <c r="BK193" s="657"/>
      <c r="BL193" s="657"/>
      <c r="BM193" s="657"/>
      <c r="BN193" s="657"/>
      <c r="BO193" s="657"/>
      <c r="BP193" s="657"/>
      <c r="BQ193" s="657"/>
      <c r="BR193" s="657"/>
      <c r="BS193" s="657"/>
      <c r="BT193" s="657"/>
      <c r="BU193" s="657"/>
      <c r="BV193" s="657"/>
      <c r="BW193" s="657"/>
      <c r="BX193" s="657"/>
      <c r="BY193" s="657"/>
      <c r="BZ193" s="657"/>
      <c r="CA193" s="657"/>
      <c r="CB193" s="657"/>
      <c r="CC193" s="657"/>
      <c r="CD193" s="657"/>
      <c r="CE193" s="657"/>
      <c r="CF193" s="657"/>
      <c r="CG193" s="657"/>
      <c r="CH193" s="657"/>
      <c r="CI193" s="657"/>
      <c r="CJ193" s="657"/>
      <c r="CK193" s="657"/>
      <c r="CL193" s="657"/>
      <c r="CM193" s="657"/>
      <c r="CN193" s="657"/>
    </row>
    <row r="194" spans="1:107" s="6" customFormat="1" ht="6" x14ac:dyDescent="0.15">
      <c r="BD194" s="657"/>
      <c r="BE194" s="657"/>
      <c r="BF194" s="657"/>
      <c r="BG194" s="657"/>
      <c r="BH194" s="657"/>
      <c r="BI194" s="657"/>
      <c r="BJ194" s="657"/>
      <c r="BK194" s="657"/>
      <c r="BL194" s="657"/>
      <c r="BM194" s="657"/>
      <c r="BN194" s="657"/>
      <c r="BO194" s="657"/>
      <c r="BP194" s="657"/>
      <c r="BQ194" s="657"/>
      <c r="BR194" s="657"/>
      <c r="BS194" s="657"/>
      <c r="BT194" s="657"/>
      <c r="BU194" s="657"/>
      <c r="BV194" s="657"/>
      <c r="BW194" s="657"/>
      <c r="BX194" s="657"/>
      <c r="BY194" s="657"/>
      <c r="BZ194" s="657"/>
      <c r="CA194" s="657"/>
      <c r="CB194" s="657"/>
      <c r="CC194" s="657"/>
      <c r="CD194" s="657"/>
      <c r="CE194" s="657"/>
      <c r="CF194" s="657"/>
      <c r="CG194" s="657"/>
      <c r="CH194" s="657"/>
      <c r="CI194" s="657"/>
      <c r="CJ194" s="657"/>
      <c r="CK194" s="657"/>
      <c r="CL194" s="657"/>
      <c r="CM194" s="657"/>
      <c r="CN194" s="657"/>
    </row>
    <row r="195" spans="1:107" s="9" customFormat="1" ht="12" customHeight="1" x14ac:dyDescent="0.25">
      <c r="A195" s="8"/>
      <c r="B195" s="424" t="s">
        <v>5226</v>
      </c>
      <c r="C195" s="434"/>
      <c r="D195" s="434"/>
      <c r="E195" s="434"/>
      <c r="F195" s="434"/>
      <c r="G195" s="434"/>
      <c r="H195" s="434"/>
      <c r="I195" s="434"/>
      <c r="J195" s="434"/>
      <c r="K195" s="434"/>
      <c r="L195" s="434"/>
      <c r="M195" s="434"/>
      <c r="N195" s="434"/>
      <c r="O195" s="434"/>
      <c r="P195" s="434"/>
      <c r="Q195" s="434"/>
      <c r="R195" s="434"/>
      <c r="S195" s="434"/>
      <c r="T195" s="434"/>
      <c r="U195" s="434"/>
      <c r="V195" s="434"/>
      <c r="W195" s="434"/>
      <c r="X195" s="434"/>
      <c r="Y195" s="434"/>
      <c r="Z195" s="434"/>
      <c r="AA195" s="434"/>
      <c r="AB195" s="434"/>
      <c r="AC195" s="434"/>
      <c r="AD195" s="434"/>
      <c r="AE195" s="434"/>
      <c r="AF195" s="434"/>
      <c r="AG195" s="434"/>
      <c r="AH195" s="434"/>
      <c r="AI195" s="434"/>
      <c r="AJ195" s="434"/>
      <c r="AK195" s="434"/>
      <c r="AL195" s="434"/>
      <c r="AM195" s="434"/>
      <c r="AN195" s="434"/>
      <c r="AO195" s="434"/>
      <c r="AP195" s="434"/>
      <c r="AQ195" s="434"/>
      <c r="AR195" s="434"/>
      <c r="AS195" s="434"/>
      <c r="AT195" s="435"/>
      <c r="AU195" s="412"/>
      <c r="AV195" s="413"/>
      <c r="AW195" s="413"/>
      <c r="AX195" s="413"/>
      <c r="AY195" s="413"/>
      <c r="AZ195" s="413"/>
      <c r="BA195" s="414"/>
      <c r="BB195" s="8"/>
      <c r="BD195" s="659" t="str">
        <f>IF(AND(AU195&lt;&gt;"NIE",AU195&lt;&gt;"TAK"),"Proszę wybrać odpowiedź TAK lub NIE.",IF(AU195="TAK","Jeżeli Wnioskodawca posiada zaległości w zobowiązaniach wobec ZUS, nie jest możliwe uzyskanie finansowania",""))</f>
        <v>Proszę wybrać odpowiedź TAK lub NIE.</v>
      </c>
      <c r="BE195" s="659"/>
      <c r="BF195" s="659"/>
      <c r="BG195" s="659"/>
      <c r="BH195" s="659"/>
      <c r="BI195" s="659"/>
      <c r="BJ195" s="659"/>
      <c r="BK195" s="659"/>
      <c r="BL195" s="659"/>
      <c r="BM195" s="659"/>
      <c r="BN195" s="659"/>
      <c r="BO195" s="659"/>
      <c r="BP195" s="659"/>
      <c r="BQ195" s="659"/>
      <c r="BR195" s="659"/>
      <c r="BS195" s="659"/>
      <c r="BT195" s="659"/>
      <c r="BU195" s="659"/>
      <c r="BV195" s="659"/>
      <c r="BW195" s="659"/>
      <c r="BX195" s="659"/>
      <c r="BY195" s="659"/>
      <c r="BZ195" s="659"/>
      <c r="CA195" s="659"/>
      <c r="CB195" s="659"/>
      <c r="CC195" s="95"/>
      <c r="CD195" s="95"/>
      <c r="CE195" s="95"/>
      <c r="CF195" s="95"/>
      <c r="CG195" s="95"/>
      <c r="CH195" s="95"/>
      <c r="CI195" s="95"/>
      <c r="CJ195" s="95"/>
      <c r="CK195" s="95"/>
      <c r="CL195" s="95"/>
      <c r="CM195" s="95"/>
      <c r="CN195" s="95"/>
      <c r="CO195" s="95"/>
      <c r="CP195" s="95"/>
      <c r="CQ195" s="95"/>
      <c r="CR195" s="95"/>
      <c r="CS195" s="95"/>
      <c r="CT195" s="95"/>
      <c r="CU195" s="95"/>
      <c r="CV195" s="95"/>
      <c r="CW195" s="95"/>
      <c r="CX195" s="95"/>
      <c r="CY195" s="95"/>
      <c r="CZ195" s="95"/>
      <c r="DA195" s="95"/>
      <c r="DB195" s="95"/>
      <c r="DC195" s="95"/>
    </row>
    <row r="196" spans="1:107" s="9" customFormat="1" ht="6" customHeight="1" x14ac:dyDescent="0.25">
      <c r="A196" s="6"/>
      <c r="B196" s="6" t="s">
        <v>5298</v>
      </c>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8"/>
      <c r="BD196" s="95"/>
      <c r="BE196" s="95"/>
      <c r="BF196" s="95"/>
      <c r="BG196" s="95"/>
      <c r="BH196" s="95"/>
      <c r="BI196" s="95"/>
      <c r="BJ196" s="95"/>
      <c r="BK196" s="95"/>
      <c r="BL196" s="95"/>
      <c r="BM196" s="95"/>
      <c r="BN196" s="95"/>
      <c r="BO196" s="95"/>
      <c r="BP196" s="95"/>
      <c r="BQ196" s="95"/>
      <c r="BR196" s="95"/>
      <c r="BS196" s="95"/>
      <c r="BT196" s="95"/>
      <c r="BU196" s="95"/>
      <c r="BV196" s="95"/>
      <c r="BW196" s="95"/>
      <c r="BX196" s="95"/>
      <c r="BY196" s="95"/>
      <c r="BZ196" s="95"/>
      <c r="CA196" s="95"/>
      <c r="CB196" s="95"/>
      <c r="CC196" s="95"/>
      <c r="CD196" s="95"/>
      <c r="CE196" s="95"/>
      <c r="CF196" s="95"/>
      <c r="CG196" s="95"/>
      <c r="CH196" s="95"/>
      <c r="CI196" s="95"/>
      <c r="CJ196" s="95"/>
      <c r="CK196" s="95"/>
      <c r="CL196" s="95"/>
      <c r="CM196" s="95"/>
      <c r="CN196" s="95"/>
      <c r="CO196" s="95"/>
      <c r="CP196" s="95"/>
      <c r="CQ196" s="95"/>
      <c r="CR196" s="95"/>
      <c r="CS196" s="95"/>
      <c r="CT196" s="95"/>
      <c r="CU196" s="95"/>
      <c r="CV196" s="95"/>
      <c r="CW196" s="95"/>
      <c r="CX196" s="95"/>
      <c r="CY196" s="95"/>
      <c r="CZ196" s="95"/>
      <c r="DA196" s="95"/>
      <c r="DB196" s="95"/>
      <c r="DC196" s="95"/>
    </row>
    <row r="197" spans="1:107" s="9" customFormat="1" ht="12" customHeight="1" x14ac:dyDescent="0.25">
      <c r="A197" s="8"/>
      <c r="B197" s="424" t="s">
        <v>5299</v>
      </c>
      <c r="C197" s="434"/>
      <c r="D197" s="434"/>
      <c r="E197" s="434"/>
      <c r="F197" s="434"/>
      <c r="G197" s="434"/>
      <c r="H197" s="434"/>
      <c r="I197" s="434"/>
      <c r="J197" s="434"/>
      <c r="K197" s="434"/>
      <c r="L197" s="434"/>
      <c r="M197" s="434"/>
      <c r="N197" s="434"/>
      <c r="O197" s="434"/>
      <c r="P197" s="434"/>
      <c r="Q197" s="434"/>
      <c r="R197" s="434"/>
      <c r="S197" s="434"/>
      <c r="T197" s="434"/>
      <c r="U197" s="434"/>
      <c r="V197" s="434"/>
      <c r="W197" s="434"/>
      <c r="X197" s="434"/>
      <c r="Y197" s="434"/>
      <c r="Z197" s="434"/>
      <c r="AA197" s="434"/>
      <c r="AB197" s="434"/>
      <c r="AC197" s="434"/>
      <c r="AD197" s="434"/>
      <c r="AE197" s="434"/>
      <c r="AF197" s="434"/>
      <c r="AG197" s="434"/>
      <c r="AH197" s="434"/>
      <c r="AI197" s="434"/>
      <c r="AJ197" s="434"/>
      <c r="AK197" s="434"/>
      <c r="AL197" s="434"/>
      <c r="AM197" s="434"/>
      <c r="AN197" s="434"/>
      <c r="AO197" s="434"/>
      <c r="AP197" s="434"/>
      <c r="AQ197" s="434"/>
      <c r="AR197" s="434"/>
      <c r="AS197" s="434"/>
      <c r="AT197" s="435"/>
      <c r="AU197" s="412"/>
      <c r="AV197" s="413"/>
      <c r="AW197" s="413"/>
      <c r="AX197" s="413"/>
      <c r="AY197" s="413"/>
      <c r="AZ197" s="413"/>
      <c r="BA197" s="414"/>
      <c r="BB197" s="8"/>
      <c r="BD197" s="659" t="str">
        <f>IF(AND(AU197&lt;&gt;"NIE",AU197&lt;&gt;"TAK"),"Proszę wybrać odpowiedź TAK lub NIE.","")</f>
        <v>Proszę wybrać odpowiedź TAK lub NIE.</v>
      </c>
      <c r="BE197" s="659"/>
      <c r="BF197" s="659"/>
      <c r="BG197" s="659"/>
      <c r="BH197" s="659"/>
      <c r="BI197" s="659"/>
      <c r="BJ197" s="659"/>
      <c r="BK197" s="659"/>
      <c r="BL197" s="659"/>
      <c r="BM197" s="659"/>
      <c r="BN197" s="659"/>
      <c r="BO197" s="659"/>
      <c r="BP197" s="659"/>
      <c r="BQ197" s="659"/>
      <c r="BR197" s="659"/>
      <c r="BS197" s="659"/>
      <c r="BT197" s="659"/>
      <c r="BU197" s="659"/>
      <c r="BV197" s="659"/>
      <c r="BW197" s="659"/>
      <c r="BX197" s="659"/>
      <c r="BY197" s="95"/>
      <c r="BZ197" s="95"/>
      <c r="CA197" s="95"/>
      <c r="CB197" s="95"/>
      <c r="CC197" s="95"/>
      <c r="CD197" s="95"/>
      <c r="CE197" s="95"/>
      <c r="CF197" s="95"/>
      <c r="CG197" s="95"/>
      <c r="CH197" s="95"/>
      <c r="CI197" s="95"/>
      <c r="CJ197" s="95"/>
      <c r="CK197" s="95"/>
      <c r="CL197" s="95"/>
      <c r="CM197" s="95"/>
      <c r="CN197" s="95"/>
      <c r="CO197" s="95"/>
      <c r="CP197" s="95"/>
      <c r="CQ197" s="95"/>
      <c r="CR197" s="95"/>
      <c r="CS197" s="95"/>
      <c r="CT197" s="95"/>
      <c r="CU197" s="95"/>
      <c r="CV197" s="95"/>
      <c r="CW197" s="95"/>
      <c r="CX197" s="95"/>
      <c r="CY197" s="95"/>
      <c r="CZ197" s="95"/>
      <c r="DA197" s="95"/>
      <c r="DB197" s="95"/>
      <c r="DC197" s="95"/>
    </row>
    <row r="198" spans="1:107" s="9" customFormat="1" ht="12" hidden="1" customHeight="1" x14ac:dyDescent="0.25">
      <c r="A198" s="8"/>
      <c r="B198" s="679"/>
      <c r="C198" s="679"/>
      <c r="D198" s="679"/>
      <c r="E198" s="679"/>
      <c r="F198" s="679"/>
      <c r="G198" s="679"/>
      <c r="H198" s="679"/>
      <c r="I198" s="679"/>
      <c r="J198" s="679"/>
      <c r="K198" s="679"/>
      <c r="L198" s="679"/>
      <c r="M198" s="679"/>
      <c r="N198" s="679"/>
      <c r="O198" s="679"/>
      <c r="P198" s="679"/>
      <c r="Q198" s="679"/>
      <c r="R198" s="679"/>
      <c r="S198" s="679"/>
      <c r="T198" s="679"/>
      <c r="U198" s="679"/>
      <c r="V198" s="679"/>
      <c r="W198" s="679"/>
      <c r="X198" s="679"/>
      <c r="Y198" s="679"/>
      <c r="Z198" s="679"/>
      <c r="AA198" s="679"/>
      <c r="AB198" s="679"/>
      <c r="AC198" s="679"/>
      <c r="AD198" s="679"/>
      <c r="AE198" s="679"/>
      <c r="AF198" s="679"/>
      <c r="AG198" s="679"/>
      <c r="AH198" s="679"/>
      <c r="AI198" s="679"/>
      <c r="AJ198" s="679"/>
      <c r="AK198" s="679"/>
      <c r="AL198" s="679"/>
      <c r="AM198" s="679"/>
      <c r="AN198" s="679"/>
      <c r="AO198" s="679"/>
      <c r="AP198" s="679"/>
      <c r="AQ198" s="679"/>
      <c r="AR198" s="679"/>
      <c r="AS198" s="679"/>
      <c r="AT198" s="679"/>
      <c r="AU198" s="679"/>
      <c r="AV198" s="679"/>
      <c r="AW198" s="679"/>
      <c r="AX198" s="679"/>
      <c r="AY198" s="679"/>
      <c r="AZ198" s="679"/>
      <c r="BA198" s="679"/>
      <c r="BB198" s="8"/>
      <c r="BD198" s="659" t="str">
        <f>IF(AU197="TAK","Proszę wpisać jakie.","")</f>
        <v/>
      </c>
      <c r="BE198" s="659"/>
      <c r="BF198" s="659"/>
      <c r="BG198" s="659"/>
      <c r="BH198" s="659"/>
      <c r="BI198" s="659"/>
      <c r="BJ198" s="659"/>
      <c r="BK198" s="659"/>
      <c r="BL198" s="659"/>
      <c r="BM198" s="659"/>
      <c r="BN198" s="659"/>
      <c r="BO198" s="659"/>
      <c r="BP198" s="659"/>
      <c r="BQ198" s="659"/>
      <c r="BR198" s="659"/>
      <c r="BS198" s="659"/>
      <c r="BT198" s="659"/>
      <c r="BU198" s="659"/>
      <c r="BV198" s="659"/>
      <c r="BW198" s="659"/>
      <c r="BX198" s="659"/>
      <c r="BY198" s="659"/>
      <c r="BZ198" s="95"/>
      <c r="CA198" s="95"/>
      <c r="CB198" s="95"/>
      <c r="CC198" s="95"/>
      <c r="CD198" s="95"/>
      <c r="CE198" s="95"/>
      <c r="CF198" s="95"/>
      <c r="CG198" s="95"/>
      <c r="CH198" s="95"/>
      <c r="CI198" s="95"/>
      <c r="CJ198" s="95"/>
      <c r="CK198" s="95"/>
      <c r="CL198" s="95"/>
      <c r="CM198" s="95"/>
      <c r="CN198" s="95"/>
      <c r="CO198" s="95"/>
      <c r="CP198" s="95"/>
      <c r="CQ198" s="95"/>
      <c r="CR198" s="95"/>
      <c r="CS198" s="95"/>
      <c r="CT198" s="95"/>
      <c r="CU198" s="95"/>
      <c r="CV198" s="95"/>
      <c r="CW198" s="95"/>
      <c r="CX198" s="95"/>
      <c r="CY198" s="95"/>
      <c r="CZ198" s="95"/>
      <c r="DA198" s="95"/>
      <c r="DB198" s="95"/>
      <c r="DC198" s="95"/>
    </row>
    <row r="199" spans="1:107" s="6" customFormat="1" ht="6.75" customHeight="1" x14ac:dyDescent="0.15">
      <c r="BD199" s="95"/>
      <c r="BE199" s="95"/>
      <c r="BF199" s="95"/>
      <c r="BG199" s="95"/>
      <c r="BH199" s="95"/>
      <c r="BI199" s="95"/>
      <c r="BJ199" s="95"/>
      <c r="BK199" s="95"/>
      <c r="BL199" s="95"/>
      <c r="BM199" s="95"/>
      <c r="BN199" s="95"/>
      <c r="BO199" s="95"/>
      <c r="BP199" s="95"/>
      <c r="BQ199" s="95"/>
      <c r="BR199" s="95"/>
      <c r="BS199" s="95"/>
      <c r="BT199" s="95"/>
      <c r="BU199" s="95"/>
      <c r="BV199" s="95"/>
      <c r="BW199" s="95"/>
      <c r="BX199" s="95"/>
      <c r="BY199" s="95"/>
      <c r="BZ199" s="95"/>
      <c r="CA199" s="95"/>
      <c r="CB199" s="95"/>
      <c r="CC199" s="95"/>
      <c r="CD199" s="95"/>
      <c r="CE199" s="95"/>
      <c r="CF199" s="95"/>
      <c r="CG199" s="95"/>
      <c r="CH199" s="95"/>
      <c r="CI199" s="95"/>
      <c r="CJ199" s="95"/>
      <c r="CK199" s="95"/>
      <c r="CL199" s="95"/>
      <c r="CM199" s="95"/>
      <c r="CN199" s="95"/>
      <c r="CO199" s="95"/>
      <c r="CP199" s="95"/>
      <c r="CQ199" s="95"/>
      <c r="CR199" s="95"/>
      <c r="CS199" s="95"/>
      <c r="CT199" s="95"/>
      <c r="CU199" s="95"/>
      <c r="CV199" s="95"/>
      <c r="CW199" s="95"/>
      <c r="CX199" s="95"/>
      <c r="CY199" s="95"/>
      <c r="CZ199" s="95"/>
      <c r="DA199" s="95"/>
      <c r="DB199" s="95"/>
      <c r="DC199" s="95"/>
    </row>
    <row r="200" spans="1:107" s="9" customFormat="1" ht="9.75" customHeight="1" x14ac:dyDescent="0.25">
      <c r="A200" s="8"/>
      <c r="B200" s="371" t="s">
        <v>5221</v>
      </c>
      <c r="C200" s="371"/>
      <c r="D200" s="371"/>
      <c r="E200" s="371"/>
      <c r="F200" s="371"/>
      <c r="G200" s="371"/>
      <c r="H200" s="371"/>
      <c r="I200" s="371"/>
      <c r="J200" s="371"/>
      <c r="K200" s="371"/>
      <c r="L200" s="371"/>
      <c r="M200" s="371"/>
      <c r="N200" s="371"/>
      <c r="O200" s="371"/>
      <c r="P200" s="371"/>
      <c r="Q200" s="371"/>
      <c r="R200" s="371"/>
      <c r="S200" s="371"/>
      <c r="T200" s="371"/>
      <c r="U200" s="371"/>
      <c r="V200" s="371"/>
      <c r="W200" s="371"/>
      <c r="X200" s="371"/>
      <c r="Y200" s="371"/>
      <c r="Z200" s="371"/>
      <c r="AA200" s="371"/>
      <c r="AB200" s="371"/>
      <c r="AC200" s="371"/>
      <c r="AD200" s="371"/>
      <c r="AE200" s="371"/>
      <c r="AF200" s="371"/>
      <c r="AG200" s="371"/>
      <c r="AH200" s="371"/>
      <c r="AI200" s="371"/>
      <c r="AJ200" s="371"/>
      <c r="AK200" s="371"/>
      <c r="AL200" s="371"/>
      <c r="AM200" s="371"/>
      <c r="AN200" s="371"/>
      <c r="AO200" s="371"/>
      <c r="AP200" s="371"/>
      <c r="AQ200" s="371"/>
      <c r="AR200" s="371"/>
      <c r="AS200" s="371"/>
      <c r="AT200" s="371"/>
      <c r="AU200" s="670"/>
      <c r="AV200" s="671"/>
      <c r="AW200" s="671"/>
      <c r="AX200" s="671"/>
      <c r="AY200" s="671"/>
      <c r="AZ200" s="671"/>
      <c r="BA200" s="672"/>
      <c r="BB200" s="8"/>
      <c r="BD200" s="659" t="str">
        <f>IF(AND(AU200&lt;&gt;"NIE",AU200&lt;&gt;"TAK"),"Proszę wybrać odpowiedź TAK lub NIE.",IF(AU200="TAK","Jeżeli w okresie 12 miesięcy poprzedzających złożenie wniosku wystąpiły zajęcia komornicze/tytuły egzekucyjne na rachunkach Wnioskodawcy, nie jest możliwe uzyskanie finansowania",""))</f>
        <v>Proszę wybrać odpowiedź TAK lub NIE.</v>
      </c>
      <c r="BE200" s="659"/>
      <c r="BF200" s="659"/>
      <c r="BG200" s="659"/>
      <c r="BH200" s="659"/>
      <c r="BI200" s="659"/>
      <c r="BJ200" s="659"/>
      <c r="BK200" s="659"/>
      <c r="BL200" s="659"/>
      <c r="BM200" s="659"/>
      <c r="BN200" s="659"/>
      <c r="BO200" s="659"/>
      <c r="BP200" s="659"/>
      <c r="BQ200" s="659"/>
      <c r="BR200" s="659"/>
      <c r="BS200" s="659"/>
      <c r="BT200" s="659"/>
      <c r="BU200" s="659"/>
      <c r="BV200" s="659"/>
      <c r="BW200" s="659"/>
      <c r="BX200" s="659"/>
      <c r="BY200" s="659"/>
      <c r="BZ200" s="659"/>
      <c r="CA200" s="659"/>
      <c r="CB200" s="659"/>
      <c r="CC200" s="659"/>
      <c r="CD200" s="659"/>
      <c r="CE200" s="659"/>
      <c r="CF200" s="659"/>
      <c r="CG200" s="659"/>
      <c r="CH200" s="659"/>
      <c r="CI200" s="659"/>
      <c r="CJ200" s="659"/>
      <c r="CK200" s="659"/>
      <c r="CL200" s="659"/>
      <c r="CM200" s="659"/>
      <c r="CN200" s="659"/>
      <c r="CO200" s="659"/>
      <c r="CP200" s="659"/>
      <c r="CQ200" s="659"/>
      <c r="CR200" s="659"/>
    </row>
    <row r="201" spans="1:107" s="9" customFormat="1" ht="3" customHeight="1" x14ac:dyDescent="0.25">
      <c r="A201" s="8"/>
      <c r="B201" s="310"/>
      <c r="C201" s="310"/>
      <c r="D201" s="310"/>
      <c r="E201" s="310"/>
      <c r="F201" s="310"/>
      <c r="G201" s="310"/>
      <c r="H201" s="310"/>
      <c r="I201" s="310"/>
      <c r="J201" s="310"/>
      <c r="K201" s="310"/>
      <c r="L201" s="310"/>
      <c r="M201" s="310"/>
      <c r="N201" s="310"/>
      <c r="O201" s="310"/>
      <c r="P201" s="310"/>
      <c r="Q201" s="310"/>
      <c r="R201" s="310"/>
      <c r="S201" s="310"/>
      <c r="T201" s="310"/>
      <c r="U201" s="310"/>
      <c r="V201" s="310"/>
      <c r="W201" s="310"/>
      <c r="X201" s="310"/>
      <c r="Y201" s="310"/>
      <c r="Z201" s="310"/>
      <c r="AA201" s="310"/>
      <c r="AB201" s="310"/>
      <c r="AC201" s="310"/>
      <c r="AD201" s="310"/>
      <c r="AE201" s="310"/>
      <c r="AF201" s="310"/>
      <c r="AG201" s="310"/>
      <c r="AH201" s="310"/>
      <c r="AI201" s="310"/>
      <c r="AJ201" s="310"/>
      <c r="AK201" s="310"/>
      <c r="AL201" s="310"/>
      <c r="AM201" s="310"/>
      <c r="AN201" s="310"/>
      <c r="AO201" s="310"/>
      <c r="AP201" s="310"/>
      <c r="AQ201" s="310"/>
      <c r="AR201" s="310"/>
      <c r="AS201" s="310"/>
      <c r="AT201" s="310"/>
      <c r="AU201" s="673"/>
      <c r="AV201" s="674"/>
      <c r="AW201" s="674"/>
      <c r="AX201" s="674"/>
      <c r="AY201" s="674"/>
      <c r="AZ201" s="674"/>
      <c r="BA201" s="675"/>
      <c r="BB201" s="8"/>
      <c r="BD201" s="659"/>
      <c r="BE201" s="659"/>
      <c r="BF201" s="659"/>
      <c r="BG201" s="659"/>
      <c r="BH201" s="659"/>
      <c r="BI201" s="659"/>
      <c r="BJ201" s="659"/>
      <c r="BK201" s="659"/>
      <c r="BL201" s="659"/>
      <c r="BM201" s="659"/>
      <c r="BN201" s="659"/>
      <c r="BO201" s="659"/>
      <c r="BP201" s="659"/>
      <c r="BQ201" s="659"/>
      <c r="BR201" s="659"/>
      <c r="BS201" s="659"/>
      <c r="BT201" s="659"/>
      <c r="BU201" s="659"/>
      <c r="BV201" s="659"/>
      <c r="BW201" s="659"/>
      <c r="BX201" s="659"/>
      <c r="BY201" s="659"/>
      <c r="BZ201" s="659"/>
      <c r="CA201" s="659"/>
      <c r="CB201" s="659"/>
      <c r="CC201" s="659"/>
      <c r="CD201" s="659"/>
      <c r="CE201" s="659"/>
      <c r="CF201" s="659"/>
      <c r="CG201" s="659"/>
      <c r="CH201" s="659"/>
      <c r="CI201" s="659"/>
      <c r="CJ201" s="659"/>
      <c r="CK201" s="659"/>
      <c r="CL201" s="659"/>
      <c r="CM201" s="659"/>
      <c r="CN201" s="659"/>
      <c r="CO201" s="659"/>
      <c r="CP201" s="659"/>
      <c r="CQ201" s="659"/>
      <c r="CR201" s="659"/>
    </row>
    <row r="202" spans="1:107" s="6" customFormat="1" ht="6" x14ac:dyDescent="0.15"/>
    <row r="203" spans="1:107" s="6" customFormat="1" ht="27" customHeight="1" x14ac:dyDescent="0.15">
      <c r="B203" s="262" t="str">
        <f>IF($B$18="spółdzielnia mieszkaniowa","Liczba planowanych do podpisania umów o wkład mieszkaniowy/wkład najemcy z osobami fizycznymi (dotyczy części inwestycji objętej finansowaniem zwrotnym)","Liczba planowanych do podpisania umów partycypacyjnych z osobami fizycznymi (dotyczy części inwestycji objętej finansowaniem zwrotnym)")</f>
        <v>Liczba planowanych do podpisania umów partycypacyjnych z osobami fizycznymi (dotyczy części inwestycji objętej finansowaniem zwrotnym)</v>
      </c>
      <c r="C203" s="263"/>
      <c r="D203" s="263"/>
      <c r="E203" s="263"/>
      <c r="F203" s="263"/>
      <c r="G203" s="263"/>
      <c r="H203" s="263"/>
      <c r="I203" s="263"/>
      <c r="J203" s="263"/>
      <c r="K203" s="263"/>
      <c r="L203" s="263"/>
      <c r="M203" s="263"/>
      <c r="N203" s="263"/>
      <c r="O203" s="263"/>
      <c r="P203" s="263"/>
      <c r="Q203" s="263"/>
      <c r="R203" s="263"/>
      <c r="S203" s="263"/>
      <c r="T203" s="263"/>
      <c r="U203" s="263"/>
      <c r="V203" s="263"/>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4"/>
      <c r="AR203" s="518"/>
      <c r="AS203" s="519"/>
      <c r="AT203" s="519"/>
      <c r="AU203" s="519"/>
      <c r="AV203" s="519"/>
      <c r="AW203" s="519"/>
      <c r="AX203" s="519"/>
      <c r="AY203" s="519"/>
      <c r="AZ203" s="519"/>
      <c r="BA203" s="520"/>
    </row>
    <row r="204" spans="1:107" s="6" customFormat="1" ht="14.1" customHeight="1" x14ac:dyDescent="0.25">
      <c r="B204" s="326" t="str">
        <f>IF($B$18="spółdzielnia mieszkaniowa","Liczba podpisanych umów o wkład mieszkaniowy/wkład najemcy z osobami fizycznymi","Liczba podpisanych umów partycypacyjnych z osobami fizycznymi")</f>
        <v>Liczba podpisanych umów partycypacyjnych z osobami fizycznymi</v>
      </c>
      <c r="C204" s="327"/>
      <c r="D204" s="327"/>
      <c r="E204" s="327"/>
      <c r="F204" s="327"/>
      <c r="G204" s="327"/>
      <c r="H204" s="327"/>
      <c r="I204" s="327"/>
      <c r="J204" s="327"/>
      <c r="K204" s="327"/>
      <c r="L204" s="327"/>
      <c r="M204" s="327"/>
      <c r="N204" s="327"/>
      <c r="O204" s="327"/>
      <c r="P204" s="327"/>
      <c r="Q204" s="327"/>
      <c r="R204" s="327"/>
      <c r="S204" s="327"/>
      <c r="T204" s="327"/>
      <c r="U204" s="327"/>
      <c r="V204" s="327"/>
      <c r="W204" s="327"/>
      <c r="X204" s="327"/>
      <c r="Y204" s="327"/>
      <c r="Z204" s="327"/>
      <c r="AA204" s="327"/>
      <c r="AB204" s="327"/>
      <c r="AC204" s="327"/>
      <c r="AD204" s="327"/>
      <c r="AE204" s="327"/>
      <c r="AF204" s="327"/>
      <c r="AG204" s="327"/>
      <c r="AH204" s="327"/>
      <c r="AI204" s="327"/>
      <c r="AJ204" s="327"/>
      <c r="AK204" s="327"/>
      <c r="AL204" s="327"/>
      <c r="AM204" s="327"/>
      <c r="AN204" s="327"/>
      <c r="AO204" s="327"/>
      <c r="AP204" s="327"/>
      <c r="AQ204" s="328"/>
      <c r="AR204" s="518"/>
      <c r="AS204" s="519"/>
      <c r="AT204" s="519"/>
      <c r="AU204" s="519"/>
      <c r="AV204" s="519"/>
      <c r="AW204" s="519"/>
      <c r="AX204" s="519"/>
      <c r="AY204" s="519"/>
      <c r="AZ204" s="519"/>
      <c r="BA204" s="520"/>
    </row>
    <row r="205" spans="1:107" s="6" customFormat="1" ht="14.1" customHeight="1" x14ac:dyDescent="0.25">
      <c r="B205" s="326" t="str">
        <f>IF($B$18="spółdzielnia mieszkaniowa","Kwota zebranego wkładu mieszkaniowego/wkładu najemcy z tytułu umów, o których mowa powyżej","Kwota zebranych partycypacji z tytułu umów, o których mowa powyżej")</f>
        <v>Kwota zebranych partycypacji z tytułu umów, o których mowa powyżej</v>
      </c>
      <c r="C205" s="327"/>
      <c r="D205" s="327"/>
      <c r="E205" s="327"/>
      <c r="F205" s="327"/>
      <c r="G205" s="327"/>
      <c r="H205" s="327"/>
      <c r="I205" s="327"/>
      <c r="J205" s="327"/>
      <c r="K205" s="327"/>
      <c r="L205" s="327"/>
      <c r="M205" s="327"/>
      <c r="N205" s="327"/>
      <c r="O205" s="327"/>
      <c r="P205" s="327"/>
      <c r="Q205" s="327"/>
      <c r="R205" s="327"/>
      <c r="S205" s="327"/>
      <c r="T205" s="327"/>
      <c r="U205" s="327"/>
      <c r="V205" s="327"/>
      <c r="W205" s="327"/>
      <c r="X205" s="327"/>
      <c r="Y205" s="327"/>
      <c r="Z205" s="327"/>
      <c r="AA205" s="327"/>
      <c r="AB205" s="327"/>
      <c r="AC205" s="327"/>
      <c r="AD205" s="327"/>
      <c r="AE205" s="327"/>
      <c r="AF205" s="327"/>
      <c r="AG205" s="327"/>
      <c r="AH205" s="327"/>
      <c r="AI205" s="327"/>
      <c r="AJ205" s="327"/>
      <c r="AK205" s="327"/>
      <c r="AL205" s="327"/>
      <c r="AM205" s="327"/>
      <c r="AN205" s="327"/>
      <c r="AO205" s="327"/>
      <c r="AP205" s="327"/>
      <c r="AQ205" s="328"/>
      <c r="AR205" s="427"/>
      <c r="AS205" s="428"/>
      <c r="AT205" s="428"/>
      <c r="AU205" s="428"/>
      <c r="AV205" s="428"/>
      <c r="AW205" s="428"/>
      <c r="AX205" s="428"/>
      <c r="AY205" s="428"/>
      <c r="AZ205" s="428"/>
      <c r="BA205" s="429"/>
    </row>
    <row r="206" spans="1:107" s="6" customFormat="1" ht="14.1" customHeight="1" x14ac:dyDescent="0.25">
      <c r="B206" s="326" t="str">
        <f>IF($B$18="spółdzielnia mieszkaniowa","Planowany termin podpisania wszystkich umów o wkład mieszkaniowy/wkład najemcy","Planowany termin podpisania wszystkich umów partycypacji")</f>
        <v>Planowany termin podpisania wszystkich umów partycypacji</v>
      </c>
      <c r="C206" s="327"/>
      <c r="D206" s="327"/>
      <c r="E206" s="327"/>
      <c r="F206" s="327"/>
      <c r="G206" s="327"/>
      <c r="H206" s="327"/>
      <c r="I206" s="327"/>
      <c r="J206" s="327"/>
      <c r="K206" s="327"/>
      <c r="L206" s="327"/>
      <c r="M206" s="327"/>
      <c r="N206" s="327"/>
      <c r="O206" s="327"/>
      <c r="P206" s="327"/>
      <c r="Q206" s="327"/>
      <c r="R206" s="327"/>
      <c r="S206" s="327"/>
      <c r="T206" s="327"/>
      <c r="U206" s="327"/>
      <c r="V206" s="327"/>
      <c r="W206" s="327"/>
      <c r="X206" s="327"/>
      <c r="Y206" s="327"/>
      <c r="Z206" s="327"/>
      <c r="AA206" s="327"/>
      <c r="AB206" s="327"/>
      <c r="AC206" s="327"/>
      <c r="AD206" s="327"/>
      <c r="AE206" s="327"/>
      <c r="AF206" s="327"/>
      <c r="AG206" s="327"/>
      <c r="AH206" s="327"/>
      <c r="AI206" s="327"/>
      <c r="AJ206" s="327"/>
      <c r="AK206" s="327"/>
      <c r="AL206" s="327"/>
      <c r="AM206" s="327"/>
      <c r="AN206" s="327"/>
      <c r="AO206" s="327"/>
      <c r="AP206" s="327"/>
      <c r="AQ206" s="328"/>
      <c r="AR206" s="482"/>
      <c r="AS206" s="483"/>
      <c r="AT206" s="483"/>
      <c r="AU206" s="483"/>
      <c r="AV206" s="483"/>
      <c r="AW206" s="483"/>
      <c r="AX206" s="483"/>
      <c r="AY206" s="483"/>
      <c r="AZ206" s="483"/>
      <c r="BA206" s="484"/>
    </row>
    <row r="207" spans="1:107" s="6" customFormat="1" ht="14.1" customHeight="1" x14ac:dyDescent="0.25">
      <c r="B207" s="326" t="str">
        <f>IF($B$18="spółdzielnia mieszkaniowa","Planowany termin zebrania wszystkich środków z tytułu wkładów mieszkaniowcyh/wkładów najemców","Planowany termin zebrania wszystkich środków z tytułu partycypacji")</f>
        <v>Planowany termin zebrania wszystkich środków z tytułu partycypacji</v>
      </c>
      <c r="C207" s="327"/>
      <c r="D207" s="327"/>
      <c r="E207" s="327"/>
      <c r="F207" s="327"/>
      <c r="G207" s="327"/>
      <c r="H207" s="327"/>
      <c r="I207" s="327"/>
      <c r="J207" s="327"/>
      <c r="K207" s="327"/>
      <c r="L207" s="327"/>
      <c r="M207" s="327"/>
      <c r="N207" s="327"/>
      <c r="O207" s="327"/>
      <c r="P207" s="327"/>
      <c r="Q207" s="327"/>
      <c r="R207" s="327"/>
      <c r="S207" s="327"/>
      <c r="T207" s="327"/>
      <c r="U207" s="327"/>
      <c r="V207" s="327"/>
      <c r="W207" s="327"/>
      <c r="X207" s="327"/>
      <c r="Y207" s="327"/>
      <c r="Z207" s="327"/>
      <c r="AA207" s="327"/>
      <c r="AB207" s="327"/>
      <c r="AC207" s="327"/>
      <c r="AD207" s="327"/>
      <c r="AE207" s="327"/>
      <c r="AF207" s="327"/>
      <c r="AG207" s="327"/>
      <c r="AH207" s="327"/>
      <c r="AI207" s="327"/>
      <c r="AJ207" s="327"/>
      <c r="AK207" s="327"/>
      <c r="AL207" s="327"/>
      <c r="AM207" s="327"/>
      <c r="AN207" s="327"/>
      <c r="AO207" s="327"/>
      <c r="AP207" s="327"/>
      <c r="AQ207" s="328"/>
      <c r="AR207" s="482"/>
      <c r="AS207" s="483"/>
      <c r="AT207" s="483"/>
      <c r="AU207" s="483"/>
      <c r="AV207" s="483"/>
      <c r="AW207" s="483"/>
      <c r="AX207" s="483"/>
      <c r="AY207" s="483"/>
      <c r="AZ207" s="483"/>
      <c r="BA207" s="484"/>
    </row>
    <row r="208" spans="1:107" s="6" customFormat="1" ht="14.1" customHeight="1" x14ac:dyDescent="0.25">
      <c r="B208" s="326" t="s">
        <v>5664</v>
      </c>
      <c r="C208" s="327"/>
      <c r="D208" s="327"/>
      <c r="E208" s="327"/>
      <c r="F208" s="327"/>
      <c r="G208" s="327"/>
      <c r="H208" s="327"/>
      <c r="I208" s="327"/>
      <c r="J208" s="327"/>
      <c r="K208" s="327"/>
      <c r="L208" s="327"/>
      <c r="M208" s="327"/>
      <c r="N208" s="327"/>
      <c r="O208" s="327"/>
      <c r="P208" s="327"/>
      <c r="Q208" s="327"/>
      <c r="R208" s="327"/>
      <c r="S208" s="327"/>
      <c r="T208" s="327"/>
      <c r="U208" s="327"/>
      <c r="V208" s="327"/>
      <c r="W208" s="327"/>
      <c r="X208" s="327"/>
      <c r="Y208" s="327"/>
      <c r="Z208" s="327"/>
      <c r="AA208" s="327"/>
      <c r="AB208" s="327"/>
      <c r="AC208" s="327"/>
      <c r="AD208" s="327"/>
      <c r="AE208" s="327"/>
      <c r="AF208" s="327"/>
      <c r="AG208" s="327"/>
      <c r="AH208" s="327"/>
      <c r="AI208" s="327"/>
      <c r="AJ208" s="327"/>
      <c r="AK208" s="327"/>
      <c r="AL208" s="327"/>
      <c r="AM208" s="327"/>
      <c r="AN208" s="327"/>
      <c r="AO208" s="327"/>
      <c r="AP208" s="327"/>
      <c r="AQ208" s="327"/>
      <c r="AR208" s="327"/>
      <c r="AS208" s="327"/>
      <c r="AT208" s="327"/>
      <c r="AU208" s="412"/>
      <c r="AV208" s="413"/>
      <c r="AW208" s="413"/>
      <c r="AX208" s="413"/>
      <c r="AY208" s="413"/>
      <c r="AZ208" s="413"/>
      <c r="BA208" s="414"/>
      <c r="BD208" s="656" t="str">
        <f>IF(AU208="","Proszę wybrać odpowiedź TAK lub NIE.","")</f>
        <v>Proszę wybrać odpowiedź TAK lub NIE.</v>
      </c>
      <c r="BE208" s="657"/>
      <c r="BF208" s="657"/>
      <c r="BG208" s="657"/>
      <c r="BH208" s="657"/>
      <c r="BI208" s="657"/>
      <c r="BJ208" s="657"/>
      <c r="BK208" s="657"/>
      <c r="BL208" s="657"/>
      <c r="BM208" s="657"/>
      <c r="BN208" s="657"/>
      <c r="BO208" s="657"/>
      <c r="BP208" s="657"/>
      <c r="BQ208" s="657"/>
      <c r="BR208" s="657"/>
      <c r="BS208" s="657"/>
      <c r="BT208" s="657"/>
    </row>
    <row r="209" spans="1:105" s="6" customFormat="1" ht="14.1" customHeight="1" x14ac:dyDescent="0.25">
      <c r="B209" s="326" t="s">
        <v>5654</v>
      </c>
      <c r="C209" s="327"/>
      <c r="D209" s="327"/>
      <c r="E209" s="327"/>
      <c r="F209" s="327"/>
      <c r="G209" s="327"/>
      <c r="H209" s="327"/>
      <c r="I209" s="327"/>
      <c r="J209" s="327"/>
      <c r="K209" s="327"/>
      <c r="L209" s="327"/>
      <c r="M209" s="327"/>
      <c r="N209" s="327"/>
      <c r="O209" s="327"/>
      <c r="P209" s="327"/>
      <c r="Q209" s="327"/>
      <c r="R209" s="327"/>
      <c r="S209" s="327"/>
      <c r="T209" s="327"/>
      <c r="U209" s="327"/>
      <c r="V209" s="327"/>
      <c r="W209" s="327"/>
      <c r="X209" s="327"/>
      <c r="Y209" s="327"/>
      <c r="Z209" s="327"/>
      <c r="AA209" s="327"/>
      <c r="AB209" s="327"/>
      <c r="AC209" s="327"/>
      <c r="AD209" s="327"/>
      <c r="AE209" s="327"/>
      <c r="AF209" s="327"/>
      <c r="AG209" s="327"/>
      <c r="AH209" s="327"/>
      <c r="AI209" s="327"/>
      <c r="AJ209" s="327"/>
      <c r="AK209" s="327"/>
      <c r="AL209" s="327"/>
      <c r="AM209" s="327"/>
      <c r="AN209" s="327"/>
      <c r="AO209" s="327"/>
      <c r="AP209" s="327"/>
      <c r="AQ209" s="327"/>
      <c r="AR209" s="327"/>
      <c r="AS209" s="327"/>
      <c r="AT209" s="327"/>
      <c r="AU209" s="412"/>
      <c r="AV209" s="413"/>
      <c r="AW209" s="413"/>
      <c r="AX209" s="413"/>
      <c r="AY209" s="413"/>
      <c r="AZ209" s="413"/>
      <c r="BA209" s="414"/>
      <c r="BD209" s="656" t="str">
        <f t="shared" ref="BD209" si="14">IF(AU209="","Proszę wybrać odpowiedź TAK lub NIE.","")</f>
        <v>Proszę wybrać odpowiedź TAK lub NIE.</v>
      </c>
      <c r="BE209" s="657"/>
      <c r="BF209" s="657"/>
      <c r="BG209" s="657"/>
      <c r="BH209" s="657"/>
      <c r="BI209" s="657"/>
      <c r="BJ209" s="657"/>
      <c r="BK209" s="657"/>
      <c r="BL209" s="657"/>
      <c r="BM209" s="657"/>
      <c r="BN209" s="657"/>
      <c r="BO209" s="657"/>
      <c r="BP209" s="657"/>
      <c r="BQ209" s="657"/>
      <c r="BR209" s="657"/>
      <c r="BS209" s="657"/>
      <c r="BT209" s="657"/>
    </row>
    <row r="210" spans="1:105" s="6" customFormat="1" ht="25.5" customHeight="1" x14ac:dyDescent="0.25">
      <c r="B210" s="399" t="s">
        <v>5571</v>
      </c>
      <c r="C210" s="399"/>
      <c r="D210" s="399"/>
      <c r="E210" s="399"/>
      <c r="F210" s="399"/>
      <c r="G210" s="399"/>
      <c r="H210" s="399"/>
      <c r="I210" s="399"/>
      <c r="J210" s="399"/>
      <c r="K210" s="399"/>
      <c r="L210" s="399"/>
      <c r="M210" s="399"/>
      <c r="N210" s="399"/>
      <c r="O210" s="399"/>
      <c r="P210" s="399"/>
      <c r="Q210" s="399"/>
      <c r="R210" s="399"/>
      <c r="S210" s="399"/>
      <c r="T210" s="399"/>
      <c r="U210" s="399"/>
      <c r="V210" s="399"/>
      <c r="W210" s="399"/>
      <c r="X210" s="399"/>
      <c r="Y210" s="399"/>
      <c r="Z210" s="399"/>
      <c r="AA210" s="399"/>
      <c r="AB210" s="399"/>
      <c r="AC210" s="399"/>
      <c r="AD210" s="399"/>
      <c r="AE210" s="399"/>
      <c r="AF210" s="399"/>
      <c r="AG210" s="399"/>
      <c r="AH210" s="399"/>
      <c r="AI210" s="399"/>
      <c r="AJ210" s="399"/>
      <c r="AK210" s="399"/>
      <c r="AL210" s="399"/>
      <c r="AM210" s="399"/>
      <c r="AN210" s="399"/>
      <c r="AO210" s="399"/>
      <c r="AP210" s="399"/>
      <c r="AQ210" s="399"/>
      <c r="AR210" s="399"/>
      <c r="AS210" s="399"/>
      <c r="AT210" s="399"/>
      <c r="AU210" s="412"/>
      <c r="AV210" s="413"/>
      <c r="AW210" s="413"/>
      <c r="AX210" s="413"/>
      <c r="AY210" s="413"/>
      <c r="AZ210" s="413"/>
      <c r="BA210" s="414"/>
      <c r="BD210" s="669" t="str">
        <f>IF(AU210="","Proszę wybrać odpowiedź TAK lub NIE.","")</f>
        <v>Proszę wybrać odpowiedź TAK lub NIE.</v>
      </c>
      <c r="BE210" s="697"/>
      <c r="BF210" s="697"/>
      <c r="BG210" s="697"/>
      <c r="BH210" s="697"/>
      <c r="BI210" s="697"/>
      <c r="BJ210" s="697"/>
      <c r="BK210" s="697"/>
      <c r="BL210" s="697"/>
      <c r="BM210" s="697"/>
      <c r="BN210" s="697"/>
      <c r="BO210" s="697"/>
      <c r="BP210" s="697"/>
      <c r="BQ210" s="697"/>
      <c r="BR210" s="697"/>
      <c r="BS210" s="697"/>
      <c r="BT210" s="697"/>
    </row>
    <row r="211" spans="1:105" s="6" customFormat="1" ht="14.1" customHeight="1" x14ac:dyDescent="0.15">
      <c r="B211" s="703" t="s">
        <v>5236</v>
      </c>
      <c r="C211" s="703"/>
      <c r="D211" s="703"/>
      <c r="E211" s="703"/>
      <c r="F211" s="703"/>
      <c r="G211" s="703"/>
      <c r="H211" s="703"/>
      <c r="I211" s="703"/>
      <c r="J211" s="703"/>
      <c r="K211" s="703"/>
      <c r="L211" s="703"/>
      <c r="M211" s="703"/>
      <c r="N211" s="703"/>
      <c r="O211" s="703"/>
      <c r="P211" s="703"/>
      <c r="Q211" s="703"/>
      <c r="R211" s="703"/>
      <c r="S211" s="703"/>
      <c r="T211" s="703"/>
      <c r="U211" s="703"/>
      <c r="V211" s="703"/>
      <c r="W211" s="703"/>
      <c r="X211" s="703"/>
      <c r="Y211" s="703"/>
      <c r="Z211" s="703"/>
      <c r="AA211" s="703"/>
      <c r="AB211" s="703"/>
      <c r="AC211" s="703"/>
      <c r="AD211" s="703"/>
      <c r="AE211" s="703"/>
      <c r="AF211" s="703"/>
      <c r="AG211" s="703"/>
      <c r="AH211" s="703"/>
      <c r="AI211" s="703"/>
      <c r="AJ211" s="703"/>
      <c r="AK211" s="703"/>
      <c r="AL211" s="703"/>
      <c r="AM211" s="703"/>
      <c r="AN211" s="703"/>
      <c r="AO211" s="703"/>
      <c r="AP211" s="703"/>
      <c r="AQ211" s="703"/>
      <c r="AR211" s="704"/>
      <c r="AS211" s="704"/>
      <c r="AT211" s="704"/>
      <c r="AU211" s="705"/>
      <c r="AV211" s="705"/>
      <c r="AW211" s="705"/>
      <c r="AX211" s="705"/>
      <c r="AY211" s="705"/>
      <c r="AZ211" s="705"/>
      <c r="BA211" s="705"/>
      <c r="BD211" s="669" t="str">
        <f>IF(AU211="","Proszę wybrać odpowiedź TAK lub NIE.","")</f>
        <v>Proszę wybrać odpowiedź TAK lub NIE.</v>
      </c>
      <c r="BE211" s="697"/>
      <c r="BF211" s="697"/>
      <c r="BG211" s="697"/>
      <c r="BH211" s="697"/>
      <c r="BI211" s="697"/>
      <c r="BJ211" s="697"/>
      <c r="BK211" s="697"/>
      <c r="BL211" s="697"/>
      <c r="BM211" s="697"/>
      <c r="BN211" s="697"/>
      <c r="BO211" s="697"/>
      <c r="BP211" s="697"/>
      <c r="BQ211" s="697"/>
      <c r="BR211" s="697"/>
      <c r="BS211" s="697"/>
      <c r="BT211" s="697"/>
    </row>
    <row r="212" spans="1:105" s="6" customFormat="1" ht="14.1" customHeight="1" x14ac:dyDescent="0.15">
      <c r="B212" s="262" t="str">
        <f>IF($AU$211="TAK","Data zawarcia umowy z Generalnym Wykonawcą",IF($AU$211="NIE","Planowana data zawarcia umowy z Generalnym Wykonawcą",""))</f>
        <v/>
      </c>
      <c r="C212" s="263"/>
      <c r="D212" s="263"/>
      <c r="E212" s="263"/>
      <c r="F212" s="263"/>
      <c r="G212" s="263"/>
      <c r="H212" s="263"/>
      <c r="I212" s="263"/>
      <c r="J212" s="263"/>
      <c r="K212" s="263"/>
      <c r="L212" s="263"/>
      <c r="M212" s="263"/>
      <c r="N212" s="263"/>
      <c r="O212" s="263"/>
      <c r="P212" s="263"/>
      <c r="Q212" s="263"/>
      <c r="R212" s="263"/>
      <c r="S212" s="263"/>
      <c r="T212" s="263"/>
      <c r="U212" s="263"/>
      <c r="V212" s="263"/>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706"/>
      <c r="AS212" s="706"/>
      <c r="AT212" s="706"/>
      <c r="AU212" s="706"/>
      <c r="AV212" s="706"/>
      <c r="AW212" s="706"/>
      <c r="AX212" s="706"/>
      <c r="AY212" s="706"/>
      <c r="AZ212" s="706"/>
      <c r="BA212" s="706"/>
      <c r="BD212" s="73"/>
      <c r="BE212" s="74"/>
      <c r="BF212" s="74"/>
      <c r="BG212" s="74"/>
      <c r="BH212" s="74"/>
      <c r="BI212" s="74"/>
      <c r="BJ212" s="74"/>
      <c r="BK212" s="74"/>
      <c r="BL212" s="74"/>
      <c r="BM212" s="74"/>
      <c r="BN212" s="74"/>
      <c r="BO212" s="74"/>
      <c r="BP212" s="74"/>
      <c r="BQ212" s="74"/>
      <c r="BR212" s="74"/>
      <c r="BS212" s="74"/>
      <c r="BT212" s="74"/>
    </row>
    <row r="213" spans="1:105" s="6" customFormat="1" ht="14.1" customHeight="1" x14ac:dyDescent="0.15">
      <c r="B213" s="690" t="s">
        <v>5273</v>
      </c>
      <c r="C213" s="691"/>
      <c r="D213" s="691"/>
      <c r="E213" s="691"/>
      <c r="F213" s="691"/>
      <c r="G213" s="691"/>
      <c r="H213" s="691"/>
      <c r="I213" s="691"/>
      <c r="J213" s="691"/>
      <c r="K213" s="691"/>
      <c r="L213" s="691"/>
      <c r="M213" s="691"/>
      <c r="N213" s="691"/>
      <c r="O213" s="691"/>
      <c r="P213" s="691"/>
      <c r="Q213" s="691"/>
      <c r="R213" s="691"/>
      <c r="S213" s="691"/>
      <c r="T213" s="691"/>
      <c r="U213" s="691"/>
      <c r="V213" s="691"/>
      <c r="W213" s="691"/>
      <c r="X213" s="691"/>
      <c r="Y213" s="691"/>
      <c r="Z213" s="691"/>
      <c r="AA213" s="691"/>
      <c r="AB213" s="691"/>
      <c r="AC213" s="691"/>
      <c r="AD213" s="691"/>
      <c r="AE213" s="691"/>
      <c r="AF213" s="691"/>
      <c r="AG213" s="691"/>
      <c r="AH213" s="691"/>
      <c r="AI213" s="691"/>
      <c r="AJ213" s="691"/>
      <c r="AK213" s="691"/>
      <c r="AL213" s="691"/>
      <c r="AM213" s="691"/>
      <c r="AN213" s="691"/>
      <c r="AO213" s="691"/>
      <c r="AP213" s="691"/>
      <c r="AQ213" s="692"/>
      <c r="AR213" s="405"/>
      <c r="AS213" s="406"/>
      <c r="AT213" s="406"/>
      <c r="AU213" s="406"/>
      <c r="AV213" s="406"/>
      <c r="AW213" s="406"/>
      <c r="AX213" s="406"/>
      <c r="AY213" s="406"/>
      <c r="AZ213" s="406"/>
      <c r="BA213" s="407"/>
      <c r="BD213" s="73"/>
      <c r="BE213" s="74"/>
      <c r="BF213" s="74"/>
      <c r="BG213" s="74"/>
      <c r="BH213" s="74"/>
      <c r="BI213" s="74"/>
      <c r="BJ213" s="74"/>
      <c r="BK213" s="74"/>
      <c r="BL213" s="74"/>
      <c r="BM213" s="74"/>
      <c r="BN213" s="74"/>
      <c r="BO213" s="74"/>
      <c r="BP213" s="74"/>
      <c r="BQ213" s="74"/>
      <c r="BR213" s="74"/>
      <c r="BS213" s="74"/>
      <c r="BT213" s="74"/>
    </row>
    <row r="214" spans="1:105" s="6" customFormat="1" ht="4.5" customHeight="1" x14ac:dyDescent="0.3">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c r="AV214"/>
      <c r="AW214"/>
      <c r="AX214"/>
      <c r="AY214"/>
      <c r="AZ214"/>
      <c r="BA214"/>
      <c r="BD214" s="73"/>
      <c r="BE214" s="74"/>
      <c r="BF214" s="74"/>
      <c r="BG214" s="74"/>
      <c r="BH214" s="74"/>
      <c r="BI214" s="74"/>
      <c r="BJ214" s="74"/>
      <c r="BK214" s="74"/>
      <c r="BL214" s="74"/>
      <c r="BM214" s="74"/>
      <c r="BN214" s="74"/>
      <c r="BO214" s="74"/>
      <c r="BP214" s="74"/>
      <c r="BQ214" s="74"/>
      <c r="BR214" s="74"/>
      <c r="BS214" s="74"/>
      <c r="BT214" s="74"/>
    </row>
    <row r="215" spans="1:105" s="6" customFormat="1" ht="36" customHeight="1" x14ac:dyDescent="0.3">
      <c r="B215" s="67"/>
      <c r="C215" s="693"/>
      <c r="D215" s="694"/>
      <c r="E215" s="694"/>
      <c r="F215" s="694"/>
      <c r="G215" s="694"/>
      <c r="H215" s="694"/>
      <c r="I215" s="694"/>
      <c r="J215" s="694"/>
      <c r="K215" s="694"/>
      <c r="L215" s="694"/>
      <c r="M215" s="694"/>
      <c r="N215" s="694"/>
      <c r="O215" s="694"/>
      <c r="P215" s="694"/>
      <c r="Q215" s="694"/>
      <c r="R215" s="694"/>
      <c r="S215" s="694"/>
      <c r="T215" s="694"/>
      <c r="U215" s="694"/>
      <c r="V215" s="694"/>
      <c r="W215" s="694"/>
      <c r="X215" s="694"/>
      <c r="Y215" s="694"/>
      <c r="Z215" s="694"/>
      <c r="AA215" s="694"/>
      <c r="AB215" s="694"/>
      <c r="AC215" s="695"/>
      <c r="AD215"/>
      <c r="AE215"/>
      <c r="AF215"/>
      <c r="AG215"/>
      <c r="AH215"/>
      <c r="AI215"/>
      <c r="AJ215"/>
      <c r="AK215"/>
      <c r="AL215"/>
      <c r="AM215"/>
      <c r="AN215"/>
      <c r="AO215"/>
      <c r="AP215"/>
      <c r="AQ215"/>
      <c r="AR215"/>
      <c r="AS215"/>
      <c r="AT215" s="67"/>
      <c r="AU215"/>
      <c r="AV215"/>
      <c r="AW215"/>
      <c r="AX215"/>
      <c r="AY215"/>
      <c r="AZ215"/>
      <c r="BA215"/>
      <c r="BD215" s="211" t="str">
        <f>IF(RIGHT(C215,1)="u","","W przypadku lokali oddawanych do używania/użytkowania na zasadach spółdzielczego lokatorskiego prawa do lokalu należy wybrać odpowiednią opcję z listy")</f>
        <v>W przypadku lokali oddawanych do używania/użytkowania na zasadach spółdzielczego lokatorskiego prawa do lokalu należy wybrać odpowiednią opcję z listy</v>
      </c>
      <c r="BE215" s="211"/>
      <c r="BF215" s="211"/>
      <c r="BG215" s="211"/>
      <c r="BH215" s="211"/>
      <c r="BI215" s="211"/>
      <c r="BJ215" s="211"/>
      <c r="BK215" s="211"/>
      <c r="BL215" s="211"/>
      <c r="BM215" s="211"/>
      <c r="BN215" s="211"/>
      <c r="BO215" s="211"/>
      <c r="BP215" s="211"/>
      <c r="BQ215" s="211"/>
      <c r="BR215" s="211"/>
      <c r="BS215" s="211"/>
      <c r="BT215" s="211"/>
      <c r="BU215" s="211"/>
      <c r="BV215" s="211"/>
      <c r="BW215" s="211"/>
      <c r="BX215" s="211"/>
      <c r="BY215" s="211"/>
      <c r="BZ215" s="211"/>
      <c r="CA215" s="211"/>
      <c r="CB215" s="211"/>
      <c r="CC215" s="211"/>
      <c r="CD215" s="211"/>
      <c r="CE215" s="211"/>
      <c r="CF215" s="211"/>
      <c r="CG215" s="211"/>
      <c r="CH215" s="211"/>
      <c r="CI215" s="211"/>
      <c r="CJ215" s="211"/>
      <c r="CK215" s="211"/>
      <c r="CL215" s="78"/>
      <c r="CM215" s="78"/>
      <c r="CN215" s="78"/>
      <c r="CO215" s="78"/>
      <c r="CP215" s="78"/>
      <c r="CQ215" s="78"/>
      <c r="CR215" s="78"/>
      <c r="CS215" s="78"/>
      <c r="CT215" s="78"/>
      <c r="CU215" s="78"/>
      <c r="CV215" s="78"/>
      <c r="CW215" s="78"/>
      <c r="CX215" s="78"/>
      <c r="CY215" s="78"/>
      <c r="CZ215" s="78"/>
      <c r="DA215" s="78"/>
    </row>
    <row r="216" spans="1:105" ht="39.75" customHeight="1" x14ac:dyDescent="0.3">
      <c r="A216" s="63"/>
      <c r="B216" s="63"/>
      <c r="C216" s="303" t="str">
        <f>IF(RIGHT(C215,1)="m","Planowany czynsz (zł/m2), w tym*:","Planowana opłata eksploatacyjna (zł/m2), w tym:")</f>
        <v>Planowana opłata eksploatacyjna (zł/m2), w tym:</v>
      </c>
      <c r="D216" s="304"/>
      <c r="E216" s="304"/>
      <c r="F216" s="304"/>
      <c r="G216" s="304"/>
      <c r="H216" s="304"/>
      <c r="I216" s="304"/>
      <c r="J216" s="304"/>
      <c r="K216" s="305"/>
      <c r="L216" s="676">
        <f>SUM(L217:O220)</f>
        <v>0</v>
      </c>
      <c r="M216" s="676"/>
      <c r="N216" s="676"/>
      <c r="O216" s="676"/>
      <c r="P216" s="677">
        <v>1</v>
      </c>
      <c r="Q216" s="678"/>
      <c r="R216" s="678"/>
      <c r="S216" s="678"/>
      <c r="T216" s="77"/>
      <c r="BB216" s="63"/>
      <c r="BD216" s="23" t="str">
        <f>IF(RIGHT(C215,1)="u","Opłata eksploatacyjna jest rozumiana jako suma opłat na pokrycie kosztów eksploatacji i remontów oraz spłatę zobowiązań kredytowych","")</f>
        <v/>
      </c>
    </row>
    <row r="217" spans="1:105" ht="12" customHeight="1" x14ac:dyDescent="0.3">
      <c r="A217" s="63"/>
      <c r="B217" s="63"/>
      <c r="C217" s="391" t="s">
        <v>5246</v>
      </c>
      <c r="D217" s="391"/>
      <c r="E217" s="391"/>
      <c r="F217" s="391"/>
      <c r="G217" s="391"/>
      <c r="H217" s="391"/>
      <c r="I217" s="391"/>
      <c r="J217" s="391"/>
      <c r="K217" s="391"/>
      <c r="L217" s="404"/>
      <c r="M217" s="404"/>
      <c r="N217" s="404"/>
      <c r="O217" s="404"/>
      <c r="P217" s="451">
        <f>IF($L$216=0,0,L217/$L$216*100%)</f>
        <v>0</v>
      </c>
      <c r="Q217" s="451"/>
      <c r="R217" s="451"/>
      <c r="S217" s="451"/>
      <c r="T217" s="66"/>
      <c r="U217" s="70"/>
      <c r="V217" s="70"/>
      <c r="W217" s="70"/>
      <c r="X217" s="71"/>
      <c r="Y217" s="70"/>
      <c r="AZ217" s="63"/>
      <c r="BA217" s="63"/>
      <c r="BB217" s="63"/>
    </row>
    <row r="218" spans="1:105" ht="12" customHeight="1" x14ac:dyDescent="0.3">
      <c r="A218" s="63"/>
      <c r="B218" s="63"/>
      <c r="C218" s="391" t="s">
        <v>5247</v>
      </c>
      <c r="D218" s="391"/>
      <c r="E218" s="391"/>
      <c r="F218" s="391"/>
      <c r="G218" s="391"/>
      <c r="H218" s="391"/>
      <c r="I218" s="391"/>
      <c r="J218" s="391"/>
      <c r="K218" s="391"/>
      <c r="L218" s="404"/>
      <c r="M218" s="404"/>
      <c r="N218" s="404"/>
      <c r="O218" s="404"/>
      <c r="P218" s="451">
        <f>IF($L$216=0,0,L218/$L$216*100%)</f>
        <v>0</v>
      </c>
      <c r="Q218" s="451"/>
      <c r="R218" s="451"/>
      <c r="S218" s="451"/>
      <c r="T218" s="66"/>
      <c r="U218" s="65"/>
      <c r="V218" s="65"/>
      <c r="W218" s="65"/>
      <c r="X218" s="66"/>
      <c r="Y218" s="65"/>
      <c r="AZ218" s="63"/>
      <c r="BA218" s="63"/>
      <c r="BB218" s="63"/>
    </row>
    <row r="219" spans="1:105" ht="12" customHeight="1" x14ac:dyDescent="0.3">
      <c r="A219" s="63"/>
      <c r="B219" s="63"/>
      <c r="C219" s="391" t="str">
        <f>IF(RIGHT(C215,1)="m","odpisy na remonty","fundusz remontowy")</f>
        <v>fundusz remontowy</v>
      </c>
      <c r="D219" s="391"/>
      <c r="E219" s="391"/>
      <c r="F219" s="391"/>
      <c r="G219" s="391"/>
      <c r="H219" s="391"/>
      <c r="I219" s="391"/>
      <c r="J219" s="391"/>
      <c r="K219" s="391"/>
      <c r="L219" s="404"/>
      <c r="M219" s="404"/>
      <c r="N219" s="404"/>
      <c r="O219" s="404"/>
      <c r="P219" s="451">
        <f>IF($L$216=0,0,L219/$L$216*100%)</f>
        <v>0</v>
      </c>
      <c r="Q219" s="451"/>
      <c r="R219" s="451"/>
      <c r="S219" s="451"/>
      <c r="T219" s="66"/>
      <c r="U219" s="65"/>
      <c r="V219" s="65"/>
      <c r="W219" s="65"/>
      <c r="X219" s="66"/>
      <c r="Y219" s="65"/>
      <c r="Z219" s="72"/>
      <c r="AA219" s="72"/>
      <c r="AB219" s="72"/>
      <c r="AC219" s="72"/>
      <c r="AD219" s="72"/>
      <c r="AE219" s="72"/>
      <c r="AF219" s="72"/>
      <c r="AG219" s="72"/>
      <c r="AH219" s="72"/>
      <c r="AI219" s="72"/>
      <c r="AJ219" s="64"/>
      <c r="AK219" s="64"/>
      <c r="AL219" s="64"/>
      <c r="AM219" s="63"/>
      <c r="AN219" s="63"/>
      <c r="AO219" s="63"/>
      <c r="AP219" s="63"/>
      <c r="AQ219" s="63"/>
      <c r="AR219" s="63"/>
      <c r="AS219" s="63"/>
      <c r="AT219" s="63"/>
      <c r="AU219" s="63"/>
      <c r="AV219" s="63"/>
      <c r="AW219" s="63"/>
      <c r="AX219" s="63"/>
      <c r="AY219" s="63"/>
      <c r="AZ219" s="63"/>
      <c r="BA219" s="63"/>
      <c r="BB219" s="63"/>
    </row>
    <row r="220" spans="1:105" ht="12" customHeight="1" x14ac:dyDescent="0.3">
      <c r="A220" s="63"/>
      <c r="B220" s="63"/>
      <c r="C220" s="391" t="str">
        <f>IF(RIGHT(C215,1)="u","","rezerwa")</f>
        <v>rezerwa</v>
      </c>
      <c r="D220" s="391"/>
      <c r="E220" s="391"/>
      <c r="F220" s="391"/>
      <c r="G220" s="391"/>
      <c r="H220" s="391"/>
      <c r="I220" s="391"/>
      <c r="J220" s="391"/>
      <c r="K220" s="391"/>
      <c r="L220" s="404"/>
      <c r="M220" s="404"/>
      <c r="N220" s="404"/>
      <c r="O220" s="404"/>
      <c r="P220" s="451">
        <f>IF(RIGHT(C215,1)="u","",IF($L$216=0,0,L220/$L$216*100%))</f>
        <v>0</v>
      </c>
      <c r="Q220" s="451"/>
      <c r="R220" s="451"/>
      <c r="S220" s="451"/>
      <c r="T220" s="66"/>
      <c r="U220" s="65"/>
      <c r="V220" s="65"/>
      <c r="W220" s="65"/>
      <c r="X220" s="66"/>
      <c r="Y220" s="65"/>
      <c r="Z220" s="72"/>
      <c r="AA220" s="72"/>
      <c r="AB220" s="72"/>
      <c r="AC220" s="72"/>
      <c r="AD220" s="72"/>
      <c r="AE220" s="72"/>
      <c r="AF220" s="72"/>
      <c r="AG220" s="72"/>
      <c r="AH220" s="72"/>
      <c r="AI220" s="72"/>
      <c r="AJ220" s="64"/>
      <c r="AK220" s="64"/>
      <c r="AL220" s="64"/>
      <c r="AM220" s="63"/>
      <c r="AN220" s="63"/>
      <c r="AO220" s="63"/>
      <c r="AP220" s="63"/>
      <c r="AQ220" s="63"/>
      <c r="AR220" s="63"/>
      <c r="AS220" s="63"/>
      <c r="AT220" s="63"/>
      <c r="AU220" s="63"/>
      <c r="AV220" s="63"/>
      <c r="AW220" s="63"/>
      <c r="AX220" s="63"/>
      <c r="AY220" s="63"/>
      <c r="AZ220" s="63"/>
      <c r="BA220" s="63"/>
      <c r="BB220" s="63"/>
    </row>
    <row r="221" spans="1:105" ht="22.5" customHeight="1" x14ac:dyDescent="0.3">
      <c r="A221" s="63"/>
      <c r="B221" s="63"/>
      <c r="C221" s="306" t="str">
        <f>IF(RIGHT(C215,1)="m","*czynsz nie może przekraczać stawki maksymalnej określonej w art. 28 Ustawy z uwzględnieniem art. 7c ustawy z "&amp;"dnia 8 grudnia 2006 r. o finansowym wsparciu niektórych przedsięwzięć mieszkaniowych, "&amp;"ustalonej na podstawie wartości odtworzeniowej lub kosztu budowy lokalu mieszkalnego (w zależności od tego, która z tych wartości jest wyższa)","")</f>
        <v/>
      </c>
      <c r="D221" s="306"/>
      <c r="E221" s="306"/>
      <c r="F221" s="306"/>
      <c r="G221" s="306"/>
      <c r="H221" s="306"/>
      <c r="I221" s="306"/>
      <c r="J221" s="306"/>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6"/>
      <c r="AI221" s="306"/>
      <c r="AJ221" s="306"/>
      <c r="AK221" s="306"/>
      <c r="AL221" s="306"/>
      <c r="AM221" s="306"/>
      <c r="AN221" s="306"/>
      <c r="AO221" s="306"/>
      <c r="AP221" s="306"/>
      <c r="AQ221" s="306"/>
      <c r="AR221" s="306"/>
      <c r="AS221" s="306"/>
      <c r="AT221" s="306"/>
      <c r="AU221" s="306"/>
      <c r="AV221" s="306"/>
      <c r="AW221" s="306"/>
      <c r="AX221" s="306"/>
      <c r="AY221" s="306"/>
      <c r="AZ221" s="306"/>
      <c r="BA221" s="306"/>
      <c r="BB221" s="63"/>
    </row>
    <row r="222" spans="1:105" ht="12" customHeight="1" x14ac:dyDescent="0.3">
      <c r="A222" s="63"/>
      <c r="B222" s="63"/>
      <c r="C222" s="268" t="s">
        <v>5464</v>
      </c>
      <c r="D222" s="268"/>
      <c r="E222" s="268"/>
      <c r="F222" s="268"/>
      <c r="G222" s="268"/>
      <c r="H222" s="268"/>
      <c r="I222" s="268"/>
      <c r="J222" s="268"/>
      <c r="K222" s="268"/>
      <c r="L222" s="268"/>
      <c r="M222" s="268"/>
      <c r="N222" s="268"/>
      <c r="O222" s="268"/>
      <c r="P222" s="268"/>
      <c r="Q222" s="268"/>
      <c r="R222" s="268"/>
      <c r="S222" s="268"/>
      <c r="T222" s="268"/>
      <c r="U222" s="268"/>
      <c r="V222" s="268"/>
      <c r="W222" s="268"/>
      <c r="X222" s="268"/>
      <c r="Y222" s="268"/>
      <c r="Z222" s="268"/>
      <c r="AA222" s="268"/>
      <c r="AB222" s="268"/>
      <c r="AC222" s="268"/>
      <c r="AD222" s="268"/>
      <c r="AE222" s="268"/>
      <c r="AF222" s="268"/>
      <c r="AG222" s="268"/>
      <c r="AH222" s="268"/>
      <c r="AI222" s="268"/>
      <c r="AJ222" s="268"/>
      <c r="AK222" s="268"/>
      <c r="AL222" s="268"/>
      <c r="AM222" s="268"/>
      <c r="AN222" s="268"/>
      <c r="AO222" s="268"/>
      <c r="AP222" s="268"/>
      <c r="AQ222" s="268"/>
      <c r="AR222" s="268"/>
      <c r="AS222" s="268"/>
      <c r="AT222" s="268"/>
      <c r="AU222" s="268"/>
      <c r="AV222" s="268"/>
      <c r="AW222" s="268"/>
      <c r="AX222" s="268"/>
      <c r="AY222" s="268"/>
      <c r="AZ222" s="268"/>
      <c r="BA222" s="268"/>
      <c r="BB222" s="63"/>
    </row>
    <row r="223" spans="1:105" ht="19.5" customHeight="1" x14ac:dyDescent="0.3">
      <c r="A223" s="63"/>
      <c r="B223" s="63"/>
      <c r="C223" s="307" t="s">
        <v>5248</v>
      </c>
      <c r="D223" s="309"/>
      <c r="E223" s="307" t="s">
        <v>5249</v>
      </c>
      <c r="F223" s="308"/>
      <c r="G223" s="308"/>
      <c r="H223" s="308"/>
      <c r="I223" s="308"/>
      <c r="J223" s="308"/>
      <c r="K223" s="308"/>
      <c r="L223" s="308"/>
      <c r="M223" s="308"/>
      <c r="N223" s="308"/>
      <c r="O223" s="308"/>
      <c r="P223" s="309"/>
      <c r="Q223" s="307" t="s">
        <v>5250</v>
      </c>
      <c r="R223" s="308"/>
      <c r="S223" s="308"/>
      <c r="T223" s="309"/>
      <c r="U223" s="307" t="s">
        <v>5251</v>
      </c>
      <c r="V223" s="308"/>
      <c r="W223" s="308"/>
      <c r="X223" s="309"/>
      <c r="AI223" s="63"/>
      <c r="AJ223" s="63"/>
      <c r="AK223" s="63"/>
      <c r="AL223" s="63"/>
      <c r="AM223" s="63"/>
      <c r="AN223" s="63"/>
      <c r="AO223" s="63"/>
      <c r="AP223" s="63"/>
      <c r="AQ223" s="63"/>
      <c r="AR223" s="63"/>
      <c r="AS223" s="63"/>
      <c r="AT223" s="63"/>
      <c r="AU223" s="63"/>
      <c r="AV223" s="63"/>
      <c r="AW223" s="63"/>
      <c r="AX223" s="63"/>
      <c r="AY223" s="63"/>
      <c r="AZ223" s="63"/>
      <c r="BA223" s="63"/>
      <c r="BB223" s="63"/>
    </row>
    <row r="224" spans="1:105" ht="12" customHeight="1" x14ac:dyDescent="0.3">
      <c r="A224" s="63"/>
      <c r="B224" s="63"/>
      <c r="C224" s="294">
        <v>1</v>
      </c>
      <c r="D224" s="295"/>
      <c r="E224" s="291"/>
      <c r="F224" s="292"/>
      <c r="G224" s="292"/>
      <c r="H224" s="292"/>
      <c r="I224" s="292"/>
      <c r="J224" s="292"/>
      <c r="K224" s="292"/>
      <c r="L224" s="292"/>
      <c r="M224" s="292"/>
      <c r="N224" s="292"/>
      <c r="O224" s="292"/>
      <c r="P224" s="293"/>
      <c r="Q224" s="260"/>
      <c r="R224" s="260"/>
      <c r="S224" s="260"/>
      <c r="T224" s="260"/>
      <c r="U224" s="290"/>
      <c r="V224" s="290"/>
      <c r="W224" s="290"/>
      <c r="X224" s="290"/>
      <c r="Y224" s="63"/>
      <c r="Z224" s="63"/>
      <c r="AA224" s="63"/>
      <c r="AB224" s="63"/>
      <c r="AC224" s="63"/>
      <c r="AD224" s="63"/>
      <c r="AE224" s="63"/>
      <c r="AF224" s="63"/>
      <c r="AG224" s="63"/>
      <c r="AH224" s="63"/>
      <c r="AI224" s="63"/>
      <c r="AJ224" s="63"/>
      <c r="AK224" s="63"/>
      <c r="AL224" s="63"/>
      <c r="AM224" s="63"/>
      <c r="AN224" s="63"/>
      <c r="AO224" s="63"/>
      <c r="AP224" s="63"/>
      <c r="AQ224" s="63"/>
      <c r="AR224" s="63"/>
      <c r="AS224" s="63"/>
      <c r="AT224" s="63"/>
      <c r="AU224" s="63"/>
      <c r="AV224" s="63"/>
      <c r="AW224" s="63"/>
      <c r="AX224" s="63"/>
      <c r="AY224" s="63"/>
      <c r="AZ224" s="63"/>
      <c r="BA224" s="63"/>
      <c r="BB224" s="63"/>
    </row>
    <row r="225" spans="1:89" ht="12" customHeight="1" x14ac:dyDescent="0.3">
      <c r="A225" s="63"/>
      <c r="B225" s="63"/>
      <c r="C225" s="294">
        <v>2</v>
      </c>
      <c r="D225" s="295"/>
      <c r="E225" s="291"/>
      <c r="F225" s="292"/>
      <c r="G225" s="292"/>
      <c r="H225" s="292"/>
      <c r="I225" s="292"/>
      <c r="J225" s="292"/>
      <c r="K225" s="292"/>
      <c r="L225" s="292"/>
      <c r="M225" s="292"/>
      <c r="N225" s="292"/>
      <c r="O225" s="292"/>
      <c r="P225" s="293"/>
      <c r="Q225" s="260"/>
      <c r="R225" s="260"/>
      <c r="S225" s="260"/>
      <c r="T225" s="260"/>
      <c r="U225" s="290"/>
      <c r="V225" s="290"/>
      <c r="W225" s="290"/>
      <c r="X225" s="290"/>
      <c r="Y225" s="63"/>
      <c r="Z225" s="63"/>
      <c r="AA225" s="63"/>
      <c r="AB225" s="63"/>
      <c r="AC225" s="63"/>
      <c r="AD225" s="63"/>
      <c r="AE225" s="63"/>
      <c r="AF225" s="63"/>
      <c r="AG225" s="63"/>
      <c r="AH225" s="63"/>
      <c r="AI225" s="63"/>
      <c r="AJ225" s="63"/>
      <c r="AK225" s="63"/>
      <c r="AL225" s="63"/>
      <c r="AM225" s="63"/>
      <c r="AN225" s="63"/>
      <c r="AO225" s="63"/>
      <c r="AP225" s="63"/>
      <c r="AQ225" s="63"/>
      <c r="AR225" s="63"/>
      <c r="AS225" s="63"/>
      <c r="AT225" s="63"/>
      <c r="AU225" s="63"/>
      <c r="AV225" s="63"/>
      <c r="AW225" s="63"/>
      <c r="AX225" s="63"/>
      <c r="AY225" s="63"/>
      <c r="AZ225" s="63"/>
      <c r="BA225" s="63"/>
      <c r="BB225" s="63"/>
    </row>
    <row r="226" spans="1:89" ht="12" customHeight="1" x14ac:dyDescent="0.3">
      <c r="A226" s="63"/>
      <c r="B226" s="63"/>
      <c r="C226" s="294">
        <v>3</v>
      </c>
      <c r="D226" s="295"/>
      <c r="E226" s="291"/>
      <c r="F226" s="292"/>
      <c r="G226" s="292"/>
      <c r="H226" s="292"/>
      <c r="I226" s="292"/>
      <c r="J226" s="292"/>
      <c r="K226" s="292"/>
      <c r="L226" s="292"/>
      <c r="M226" s="292"/>
      <c r="N226" s="292"/>
      <c r="O226" s="292"/>
      <c r="P226" s="293"/>
      <c r="Q226" s="260"/>
      <c r="R226" s="260"/>
      <c r="S226" s="260"/>
      <c r="T226" s="260"/>
      <c r="U226" s="290"/>
      <c r="V226" s="290"/>
      <c r="W226" s="290"/>
      <c r="X226" s="290"/>
      <c r="Y226" s="63"/>
      <c r="Z226" s="63"/>
      <c r="AA226" s="63"/>
      <c r="AB226" s="63"/>
      <c r="AC226" s="63"/>
      <c r="AD226" s="63"/>
      <c r="AE226" s="63"/>
      <c r="AF226" s="63"/>
      <c r="AG226" s="63"/>
      <c r="AH226" s="63"/>
      <c r="AI226" s="63"/>
      <c r="AJ226" s="63"/>
      <c r="AK226" s="63"/>
      <c r="AL226" s="63"/>
      <c r="AM226" s="63"/>
      <c r="AN226" s="63"/>
      <c r="AO226" s="63"/>
      <c r="AP226" s="63"/>
      <c r="AQ226" s="63"/>
      <c r="AR226" s="63"/>
      <c r="AS226" s="63"/>
      <c r="AT226" s="63"/>
      <c r="AU226" s="63"/>
      <c r="AV226" s="63"/>
      <c r="AW226" s="63"/>
      <c r="AX226" s="63"/>
      <c r="AY226" s="63"/>
      <c r="AZ226" s="63"/>
      <c r="BA226" s="63"/>
      <c r="BB226" s="63"/>
    </row>
    <row r="227" spans="1:89" ht="12" customHeight="1" x14ac:dyDescent="0.3">
      <c r="A227" s="63"/>
      <c r="B227" s="63"/>
      <c r="C227" s="294">
        <v>4</v>
      </c>
      <c r="D227" s="295"/>
      <c r="E227" s="291"/>
      <c r="F227" s="292"/>
      <c r="G227" s="292"/>
      <c r="H227" s="292"/>
      <c r="I227" s="292"/>
      <c r="J227" s="292"/>
      <c r="K227" s="292"/>
      <c r="L227" s="292"/>
      <c r="M227" s="292"/>
      <c r="N227" s="292"/>
      <c r="O227" s="292"/>
      <c r="P227" s="293"/>
      <c r="Q227" s="260"/>
      <c r="R227" s="260"/>
      <c r="S227" s="260"/>
      <c r="T227" s="260"/>
      <c r="U227" s="290"/>
      <c r="V227" s="290"/>
      <c r="W227" s="290"/>
      <c r="X227" s="290"/>
      <c r="Y227" s="63"/>
      <c r="Z227" s="63"/>
      <c r="AA227" s="63"/>
      <c r="AB227" s="63"/>
      <c r="AC227" s="63"/>
      <c r="AD227" s="63"/>
      <c r="AE227" s="63"/>
      <c r="AF227" s="63"/>
      <c r="AG227" s="63"/>
      <c r="AH227" s="63"/>
      <c r="AI227" s="63"/>
      <c r="AJ227" s="63"/>
      <c r="AK227" s="63"/>
      <c r="AL227" s="63"/>
      <c r="AM227" s="63"/>
      <c r="AN227" s="63"/>
      <c r="AO227" s="63"/>
      <c r="AP227" s="63"/>
      <c r="AQ227" s="63"/>
      <c r="AR227" s="63"/>
      <c r="AS227" s="63"/>
      <c r="AT227" s="63"/>
      <c r="AU227" s="63"/>
      <c r="AV227" s="63"/>
      <c r="AW227" s="63"/>
      <c r="AX227" s="63"/>
      <c r="AY227" s="63"/>
      <c r="AZ227" s="63"/>
      <c r="BA227" s="63"/>
      <c r="BB227" s="63"/>
    </row>
    <row r="228" spans="1:89" ht="12" customHeight="1" x14ac:dyDescent="0.3">
      <c r="A228" s="63"/>
      <c r="B228" s="63"/>
      <c r="C228" s="294">
        <v>5</v>
      </c>
      <c r="D228" s="295"/>
      <c r="E228" s="291"/>
      <c r="F228" s="292"/>
      <c r="G228" s="292"/>
      <c r="H228" s="292"/>
      <c r="I228" s="292"/>
      <c r="J228" s="292"/>
      <c r="K228" s="292"/>
      <c r="L228" s="292"/>
      <c r="M228" s="292"/>
      <c r="N228" s="292"/>
      <c r="O228" s="292"/>
      <c r="P228" s="293"/>
      <c r="Q228" s="260"/>
      <c r="R228" s="260"/>
      <c r="S228" s="260"/>
      <c r="T228" s="260"/>
      <c r="U228" s="290"/>
      <c r="V228" s="290"/>
      <c r="W228" s="290"/>
      <c r="X228" s="290"/>
      <c r="Y228" s="63"/>
      <c r="Z228" s="63"/>
      <c r="AA228" s="63"/>
      <c r="AB228" s="63"/>
      <c r="AC228" s="63"/>
      <c r="AD228" s="63"/>
      <c r="AE228" s="63"/>
      <c r="AF228" s="63"/>
      <c r="AG228" s="63"/>
      <c r="AH228" s="63"/>
      <c r="AI228" s="63"/>
      <c r="AJ228" s="63"/>
      <c r="AK228" s="63"/>
      <c r="AL228" s="63"/>
      <c r="AM228" s="63"/>
      <c r="AN228" s="63"/>
      <c r="AO228" s="63"/>
      <c r="AP228" s="63"/>
      <c r="AQ228" s="63"/>
      <c r="AR228" s="63"/>
      <c r="AS228" s="63"/>
      <c r="AT228" s="63"/>
      <c r="AU228" s="63"/>
      <c r="AV228" s="63"/>
      <c r="AW228" s="63"/>
      <c r="AX228" s="63"/>
      <c r="AY228" s="63"/>
      <c r="AZ228" s="63"/>
      <c r="BA228" s="63"/>
      <c r="BB228" s="63"/>
    </row>
    <row r="229" spans="1:89" ht="12" hidden="1" customHeight="1" x14ac:dyDescent="0.3">
      <c r="A229" s="63"/>
      <c r="B229" s="63"/>
      <c r="C229" s="294">
        <v>6</v>
      </c>
      <c r="D229" s="295"/>
      <c r="E229" s="291"/>
      <c r="F229" s="292"/>
      <c r="G229" s="292"/>
      <c r="H229" s="292"/>
      <c r="I229" s="292"/>
      <c r="J229" s="292"/>
      <c r="K229" s="292"/>
      <c r="L229" s="292"/>
      <c r="M229" s="292"/>
      <c r="N229" s="292"/>
      <c r="O229" s="292"/>
      <c r="P229" s="293"/>
      <c r="Q229" s="260"/>
      <c r="R229" s="260"/>
      <c r="S229" s="260"/>
      <c r="T229" s="260"/>
      <c r="U229" s="290"/>
      <c r="V229" s="290"/>
      <c r="W229" s="290"/>
      <c r="X229" s="290"/>
      <c r="Y229" s="63"/>
      <c r="Z229" s="63"/>
      <c r="AA229" s="63"/>
      <c r="AB229" s="63"/>
      <c r="AC229" s="63"/>
      <c r="AD229" s="63"/>
      <c r="AE229" s="63"/>
      <c r="AF229" s="63"/>
      <c r="AG229" s="63"/>
      <c r="AH229" s="63"/>
      <c r="AI229" s="63"/>
      <c r="AJ229" s="63"/>
      <c r="AK229" s="63"/>
      <c r="AL229" s="63"/>
      <c r="AM229" s="63"/>
      <c r="AN229" s="63"/>
      <c r="AO229" s="63"/>
      <c r="AP229" s="63"/>
      <c r="AQ229" s="63"/>
      <c r="AR229" s="63"/>
      <c r="AS229" s="63"/>
      <c r="AT229" s="63"/>
      <c r="AU229" s="63"/>
      <c r="AV229" s="63"/>
      <c r="AW229" s="63"/>
      <c r="AX229" s="63"/>
      <c r="AY229" s="63"/>
      <c r="AZ229" s="63"/>
      <c r="BA229" s="63"/>
      <c r="BB229" s="63"/>
    </row>
    <row r="230" spans="1:89" ht="12" hidden="1" customHeight="1" x14ac:dyDescent="0.3">
      <c r="A230" s="63"/>
      <c r="B230" s="63"/>
      <c r="C230" s="294">
        <v>7</v>
      </c>
      <c r="D230" s="295"/>
      <c r="E230" s="291"/>
      <c r="F230" s="292"/>
      <c r="G230" s="292"/>
      <c r="H230" s="292"/>
      <c r="I230" s="292"/>
      <c r="J230" s="292"/>
      <c r="K230" s="292"/>
      <c r="L230" s="292"/>
      <c r="M230" s="292"/>
      <c r="N230" s="292"/>
      <c r="O230" s="292"/>
      <c r="P230" s="293"/>
      <c r="Q230" s="260"/>
      <c r="R230" s="260"/>
      <c r="S230" s="260"/>
      <c r="T230" s="260"/>
      <c r="U230" s="290"/>
      <c r="V230" s="290"/>
      <c r="W230" s="290"/>
      <c r="X230" s="290"/>
      <c r="Y230" s="63"/>
      <c r="Z230" s="63"/>
      <c r="AA230" s="63"/>
      <c r="AB230" s="63"/>
      <c r="AC230" s="63"/>
      <c r="AD230" s="63"/>
      <c r="AE230" s="63"/>
      <c r="AF230" s="63"/>
      <c r="AG230" s="63"/>
      <c r="AH230" s="63"/>
      <c r="AI230" s="63"/>
      <c r="AJ230" s="63"/>
      <c r="AK230" s="63"/>
      <c r="AL230" s="63"/>
      <c r="AM230" s="63"/>
      <c r="AN230" s="63"/>
      <c r="AO230" s="63"/>
      <c r="AP230" s="63"/>
      <c r="AQ230" s="63"/>
      <c r="AR230" s="63"/>
      <c r="AS230" s="63"/>
      <c r="AT230" s="63"/>
      <c r="AU230" s="63"/>
      <c r="AV230" s="63"/>
      <c r="AW230" s="63"/>
      <c r="AX230" s="63"/>
      <c r="AY230" s="63"/>
      <c r="AZ230" s="63"/>
      <c r="BA230" s="63"/>
      <c r="BB230" s="63"/>
    </row>
    <row r="231" spans="1:89" ht="12" hidden="1" customHeight="1" x14ac:dyDescent="0.3">
      <c r="A231" s="63"/>
      <c r="B231" s="63"/>
      <c r="C231" s="294">
        <v>8</v>
      </c>
      <c r="D231" s="295"/>
      <c r="E231" s="291"/>
      <c r="F231" s="292"/>
      <c r="G231" s="292"/>
      <c r="H231" s="292"/>
      <c r="I231" s="292"/>
      <c r="J231" s="292"/>
      <c r="K231" s="292"/>
      <c r="L231" s="292"/>
      <c r="M231" s="292"/>
      <c r="N231" s="292"/>
      <c r="O231" s="292"/>
      <c r="P231" s="293"/>
      <c r="Q231" s="260"/>
      <c r="R231" s="260"/>
      <c r="S231" s="260"/>
      <c r="T231" s="260"/>
      <c r="U231" s="290"/>
      <c r="V231" s="290"/>
      <c r="W231" s="290"/>
      <c r="X231" s="290"/>
      <c r="Y231" s="63"/>
      <c r="Z231" s="63"/>
      <c r="AA231" s="63"/>
      <c r="AB231" s="63"/>
      <c r="AC231" s="63"/>
      <c r="AD231" s="63"/>
      <c r="AE231" s="63"/>
      <c r="AF231" s="63"/>
      <c r="AG231" s="63"/>
      <c r="AH231" s="63"/>
      <c r="AI231" s="63"/>
      <c r="AJ231" s="63"/>
      <c r="AK231" s="63"/>
      <c r="AL231" s="63"/>
      <c r="AM231" s="63"/>
      <c r="AN231" s="63"/>
      <c r="AO231" s="63"/>
      <c r="AP231" s="63"/>
      <c r="AQ231" s="63"/>
      <c r="AR231" s="63"/>
      <c r="AS231" s="63"/>
      <c r="AT231" s="63"/>
      <c r="AU231" s="63"/>
      <c r="AV231" s="63"/>
      <c r="AW231" s="63"/>
      <c r="AX231" s="63"/>
      <c r="AY231" s="63"/>
      <c r="AZ231" s="63"/>
      <c r="BA231" s="63"/>
      <c r="BB231" s="63"/>
    </row>
    <row r="232" spans="1:89" ht="12" hidden="1" customHeight="1" x14ac:dyDescent="0.3">
      <c r="A232" s="63"/>
      <c r="B232" s="63"/>
      <c r="C232" s="294">
        <v>9</v>
      </c>
      <c r="D232" s="295"/>
      <c r="E232" s="291"/>
      <c r="F232" s="292"/>
      <c r="G232" s="292"/>
      <c r="H232" s="292"/>
      <c r="I232" s="292"/>
      <c r="J232" s="292"/>
      <c r="K232" s="292"/>
      <c r="L232" s="292"/>
      <c r="M232" s="292"/>
      <c r="N232" s="292"/>
      <c r="O232" s="292"/>
      <c r="P232" s="293"/>
      <c r="Q232" s="260"/>
      <c r="R232" s="260"/>
      <c r="S232" s="260"/>
      <c r="T232" s="260"/>
      <c r="U232" s="290"/>
      <c r="V232" s="290"/>
      <c r="W232" s="290"/>
      <c r="X232" s="290"/>
      <c r="Y232" s="63"/>
      <c r="Z232" s="63"/>
      <c r="AA232" s="63"/>
      <c r="AB232" s="63"/>
      <c r="AC232" s="63"/>
      <c r="AD232" s="63"/>
      <c r="AE232" s="63"/>
      <c r="AF232" s="63"/>
      <c r="AG232" s="63"/>
      <c r="AH232" s="63"/>
      <c r="AI232" s="63"/>
      <c r="AJ232" s="63"/>
      <c r="AK232" s="63"/>
      <c r="AL232" s="63"/>
      <c r="AM232" s="63"/>
      <c r="AN232" s="63"/>
      <c r="AO232" s="63"/>
      <c r="AP232" s="63"/>
      <c r="AQ232" s="63"/>
      <c r="AR232" s="63"/>
      <c r="AS232" s="63"/>
      <c r="AT232" s="63"/>
      <c r="AU232" s="63"/>
      <c r="AV232" s="63"/>
      <c r="AW232" s="63"/>
      <c r="AX232" s="63"/>
      <c r="AY232" s="63"/>
      <c r="AZ232" s="63"/>
      <c r="BA232" s="63"/>
      <c r="BB232" s="63"/>
    </row>
    <row r="233" spans="1:89" ht="12" hidden="1" customHeight="1" x14ac:dyDescent="0.3">
      <c r="A233" s="63"/>
      <c r="B233" s="63"/>
      <c r="C233" s="294">
        <v>10</v>
      </c>
      <c r="D233" s="295"/>
      <c r="E233" s="291"/>
      <c r="F233" s="292"/>
      <c r="G233" s="292"/>
      <c r="H233" s="292"/>
      <c r="I233" s="292"/>
      <c r="J233" s="292"/>
      <c r="K233" s="292"/>
      <c r="L233" s="292"/>
      <c r="M233" s="292"/>
      <c r="N233" s="292"/>
      <c r="O233" s="292"/>
      <c r="P233" s="293"/>
      <c r="Q233" s="260"/>
      <c r="R233" s="260"/>
      <c r="S233" s="260"/>
      <c r="T233" s="260"/>
      <c r="U233" s="290"/>
      <c r="V233" s="290"/>
      <c r="W233" s="290"/>
      <c r="X233" s="290"/>
      <c r="Y233" s="63"/>
      <c r="Z233" s="63"/>
      <c r="AA233" s="63"/>
      <c r="AB233" s="63"/>
      <c r="AC233" s="63"/>
      <c r="AD233" s="63"/>
      <c r="AE233" s="63"/>
      <c r="AF233" s="63"/>
      <c r="AG233" s="63"/>
      <c r="AH233" s="63"/>
      <c r="AI233" s="63"/>
      <c r="AJ233" s="63"/>
      <c r="AK233" s="63"/>
      <c r="AL233" s="63"/>
      <c r="AM233" s="63"/>
      <c r="AN233" s="63"/>
      <c r="AO233" s="63"/>
      <c r="AP233" s="63"/>
      <c r="AQ233" s="63"/>
      <c r="AR233" s="63"/>
      <c r="AS233" s="63"/>
      <c r="AT233" s="63"/>
      <c r="AU233" s="63"/>
      <c r="AV233" s="63"/>
      <c r="AW233" s="63"/>
      <c r="AX233" s="63"/>
      <c r="AY233" s="63"/>
      <c r="AZ233" s="63"/>
      <c r="BA233" s="63"/>
      <c r="BB233" s="63"/>
    </row>
    <row r="234" spans="1:89" ht="12" hidden="1" customHeight="1" x14ac:dyDescent="0.3">
      <c r="A234" s="63"/>
      <c r="B234" s="63"/>
      <c r="C234" s="294">
        <v>11</v>
      </c>
      <c r="D234" s="295"/>
      <c r="E234" s="291"/>
      <c r="F234" s="292"/>
      <c r="G234" s="292"/>
      <c r="H234" s="292"/>
      <c r="I234" s="292"/>
      <c r="J234" s="292"/>
      <c r="K234" s="292"/>
      <c r="L234" s="292"/>
      <c r="M234" s="292"/>
      <c r="N234" s="292"/>
      <c r="O234" s="292"/>
      <c r="P234" s="293"/>
      <c r="Q234" s="260"/>
      <c r="R234" s="260"/>
      <c r="S234" s="260"/>
      <c r="T234" s="260"/>
      <c r="U234" s="290"/>
      <c r="V234" s="290"/>
      <c r="W234" s="290"/>
      <c r="X234" s="290"/>
      <c r="Y234" s="63"/>
      <c r="Z234" s="63"/>
      <c r="AA234" s="63"/>
      <c r="AB234" s="63"/>
      <c r="AC234" s="63"/>
      <c r="AD234" s="63"/>
      <c r="AE234" s="63"/>
      <c r="AF234" s="63"/>
      <c r="AG234" s="63"/>
      <c r="AH234" s="63"/>
      <c r="AI234" s="63"/>
      <c r="AJ234" s="63"/>
      <c r="AK234" s="63"/>
      <c r="AL234" s="63"/>
      <c r="AM234" s="63"/>
      <c r="AN234" s="63"/>
      <c r="AO234" s="63"/>
      <c r="AP234" s="63"/>
      <c r="AQ234" s="63"/>
      <c r="AR234" s="63"/>
      <c r="AS234" s="63"/>
      <c r="AT234" s="63"/>
      <c r="AU234" s="63"/>
      <c r="AV234" s="63"/>
      <c r="AW234" s="63"/>
      <c r="AX234" s="63"/>
      <c r="AY234" s="63"/>
      <c r="AZ234" s="63"/>
      <c r="BA234" s="63"/>
      <c r="BB234" s="63"/>
    </row>
    <row r="235" spans="1:89" ht="12" hidden="1" customHeight="1" x14ac:dyDescent="0.3">
      <c r="A235" s="63"/>
      <c r="B235" s="63"/>
      <c r="C235" s="294">
        <v>12</v>
      </c>
      <c r="D235" s="295"/>
      <c r="E235" s="291"/>
      <c r="F235" s="292"/>
      <c r="G235" s="292"/>
      <c r="H235" s="292"/>
      <c r="I235" s="292"/>
      <c r="J235" s="292"/>
      <c r="K235" s="292"/>
      <c r="L235" s="292"/>
      <c r="M235" s="292"/>
      <c r="N235" s="292"/>
      <c r="O235" s="292"/>
      <c r="P235" s="293"/>
      <c r="Q235" s="260"/>
      <c r="R235" s="260"/>
      <c r="S235" s="260"/>
      <c r="T235" s="260"/>
      <c r="U235" s="290"/>
      <c r="V235" s="290"/>
      <c r="W235" s="290"/>
      <c r="X235" s="290"/>
      <c r="Y235" s="63"/>
      <c r="Z235" s="63"/>
      <c r="AA235" s="63"/>
      <c r="AB235" s="63"/>
      <c r="AC235" s="63"/>
      <c r="AD235" s="63"/>
      <c r="AE235" s="63"/>
      <c r="AF235" s="63"/>
      <c r="AG235" s="63"/>
      <c r="AH235" s="63"/>
      <c r="AI235" s="63"/>
      <c r="AJ235" s="63"/>
      <c r="AK235" s="63"/>
      <c r="AL235" s="63"/>
      <c r="AM235" s="63"/>
      <c r="AN235" s="63"/>
      <c r="AO235" s="63"/>
      <c r="AP235" s="63"/>
      <c r="AQ235" s="63"/>
      <c r="AR235" s="63"/>
      <c r="AS235" s="63"/>
      <c r="AT235" s="63"/>
      <c r="AU235" s="63"/>
      <c r="AV235" s="63"/>
      <c r="AW235" s="63"/>
      <c r="AX235" s="63"/>
      <c r="AY235" s="63"/>
      <c r="AZ235" s="63"/>
      <c r="BA235" s="63"/>
      <c r="BB235" s="63"/>
    </row>
    <row r="236" spans="1:89" ht="12" hidden="1" customHeight="1" x14ac:dyDescent="0.3">
      <c r="A236" s="63"/>
      <c r="B236" s="63"/>
      <c r="C236" s="289">
        <v>13</v>
      </c>
      <c r="D236" s="289"/>
      <c r="E236" s="291"/>
      <c r="F236" s="292"/>
      <c r="G236" s="292"/>
      <c r="H236" s="292"/>
      <c r="I236" s="292"/>
      <c r="J236" s="292"/>
      <c r="K236" s="292"/>
      <c r="L236" s="292"/>
      <c r="M236" s="292"/>
      <c r="N236" s="292"/>
      <c r="O236" s="292"/>
      <c r="P236" s="293"/>
      <c r="Q236" s="260"/>
      <c r="R236" s="260"/>
      <c r="S236" s="260"/>
      <c r="T236" s="260"/>
      <c r="U236" s="290"/>
      <c r="V236" s="290"/>
      <c r="W236" s="290"/>
      <c r="X236" s="290"/>
      <c r="Y236" s="63"/>
      <c r="Z236" s="63"/>
      <c r="AA236" s="63"/>
      <c r="AB236" s="63"/>
      <c r="AC236" s="63"/>
      <c r="AD236" s="63"/>
      <c r="AE236" s="63"/>
      <c r="AF236" s="63"/>
      <c r="AG236" s="63"/>
      <c r="AH236" s="63"/>
      <c r="AI236" s="63"/>
      <c r="AJ236" s="63"/>
      <c r="AK236" s="63"/>
      <c r="AL236" s="63"/>
      <c r="AM236" s="63"/>
      <c r="AN236" s="63"/>
      <c r="AO236" s="63"/>
      <c r="AP236" s="63"/>
      <c r="AQ236" s="63"/>
      <c r="AR236" s="63"/>
      <c r="AS236" s="63"/>
      <c r="AT236" s="63"/>
      <c r="AU236" s="63"/>
      <c r="AV236" s="63"/>
      <c r="AW236" s="63"/>
      <c r="AX236" s="63"/>
      <c r="AY236" s="63"/>
      <c r="AZ236" s="63"/>
      <c r="BA236" s="63"/>
      <c r="BB236" s="63"/>
    </row>
    <row r="237" spans="1:89" ht="12" hidden="1" customHeight="1" x14ac:dyDescent="0.3">
      <c r="A237" s="63"/>
      <c r="B237" s="63"/>
      <c r="C237" s="289">
        <v>14</v>
      </c>
      <c r="D237" s="289"/>
      <c r="E237" s="291"/>
      <c r="F237" s="292"/>
      <c r="G237" s="292"/>
      <c r="H237" s="292"/>
      <c r="I237" s="292"/>
      <c r="J237" s="292"/>
      <c r="K237" s="292"/>
      <c r="L237" s="292"/>
      <c r="M237" s="292"/>
      <c r="N237" s="292"/>
      <c r="O237" s="292"/>
      <c r="P237" s="293"/>
      <c r="Q237" s="260"/>
      <c r="R237" s="260"/>
      <c r="S237" s="260"/>
      <c r="T237" s="260"/>
      <c r="U237" s="290"/>
      <c r="V237" s="290"/>
      <c r="W237" s="290"/>
      <c r="X237" s="290"/>
      <c r="Y237" s="63"/>
      <c r="Z237" s="63"/>
      <c r="AA237" s="63"/>
      <c r="AB237" s="63"/>
      <c r="AC237" s="63"/>
      <c r="AD237" s="63"/>
      <c r="AE237" s="63"/>
      <c r="AF237" s="63"/>
      <c r="AG237" s="63"/>
      <c r="AH237" s="63"/>
      <c r="AI237" s="63"/>
      <c r="AJ237" s="63"/>
      <c r="AK237" s="63"/>
      <c r="AL237" s="63"/>
      <c r="AM237" s="63"/>
      <c r="AN237" s="63"/>
      <c r="AO237" s="63"/>
      <c r="AP237" s="63"/>
      <c r="AQ237" s="63"/>
      <c r="AR237" s="63"/>
      <c r="AS237" s="63"/>
      <c r="AT237" s="63"/>
      <c r="AU237" s="63"/>
      <c r="AV237" s="63"/>
      <c r="AW237" s="63"/>
      <c r="AX237" s="63"/>
      <c r="AY237" s="63"/>
      <c r="AZ237" s="63"/>
      <c r="BA237" s="63"/>
      <c r="BB237" s="63"/>
    </row>
    <row r="238" spans="1:89" ht="12" hidden="1" customHeight="1" x14ac:dyDescent="0.3">
      <c r="A238" s="63"/>
      <c r="B238" s="63"/>
      <c r="C238" s="289">
        <v>15</v>
      </c>
      <c r="D238" s="289"/>
      <c r="E238" s="291"/>
      <c r="F238" s="292"/>
      <c r="G238" s="292"/>
      <c r="H238" s="292"/>
      <c r="I238" s="292"/>
      <c r="J238" s="292"/>
      <c r="K238" s="292"/>
      <c r="L238" s="292"/>
      <c r="M238" s="292"/>
      <c r="N238" s="292"/>
      <c r="O238" s="292"/>
      <c r="P238" s="293"/>
      <c r="Q238" s="260"/>
      <c r="R238" s="260"/>
      <c r="S238" s="260"/>
      <c r="T238" s="260"/>
      <c r="U238" s="290"/>
      <c r="V238" s="290"/>
      <c r="W238" s="290"/>
      <c r="X238" s="290"/>
      <c r="Y238" s="63"/>
      <c r="Z238" s="63"/>
      <c r="AA238" s="63"/>
      <c r="AB238" s="63"/>
      <c r="AC238" s="63"/>
      <c r="AD238" s="63"/>
      <c r="AE238" s="63"/>
      <c r="AF238" s="63"/>
      <c r="AG238" s="63"/>
      <c r="AH238" s="63"/>
      <c r="AI238" s="63"/>
      <c r="AJ238" s="63"/>
      <c r="AK238" s="63"/>
      <c r="AL238" s="63"/>
      <c r="AM238" s="63"/>
      <c r="AN238" s="63"/>
      <c r="AO238" s="63"/>
      <c r="AP238" s="63"/>
      <c r="AQ238" s="63"/>
      <c r="AR238" s="63"/>
      <c r="AS238" s="63"/>
      <c r="AT238" s="63"/>
      <c r="AU238" s="63"/>
      <c r="AV238" s="63"/>
      <c r="AW238" s="63"/>
      <c r="AX238" s="63"/>
      <c r="AY238" s="63"/>
      <c r="AZ238" s="63"/>
      <c r="BA238" s="63"/>
      <c r="BB238" s="63"/>
    </row>
    <row r="239" spans="1:89" ht="12" customHeight="1" x14ac:dyDescent="0.3">
      <c r="A239" s="63"/>
      <c r="B239" s="63"/>
      <c r="C239" s="289" t="s">
        <v>5274</v>
      </c>
      <c r="D239" s="289"/>
      <c r="E239" s="289"/>
      <c r="F239" s="289"/>
      <c r="G239" s="289"/>
      <c r="H239" s="666">
        <f>SUM(E224:P238)</f>
        <v>0</v>
      </c>
      <c r="I239" s="666"/>
      <c r="J239" s="666"/>
      <c r="K239" s="666"/>
      <c r="L239" s="666"/>
      <c r="M239" s="666"/>
      <c r="N239" s="666"/>
      <c r="O239" s="666"/>
      <c r="P239" s="666"/>
      <c r="Q239" s="666"/>
      <c r="R239" s="666"/>
      <c r="S239" s="666"/>
      <c r="T239" s="666"/>
      <c r="U239" s="666"/>
      <c r="V239" s="666"/>
      <c r="W239" s="666"/>
      <c r="X239" s="666"/>
      <c r="Y239" s="63"/>
      <c r="Z239" s="63"/>
      <c r="AA239" s="63"/>
      <c r="AB239" s="63"/>
      <c r="AC239" s="63"/>
      <c r="AD239" s="63"/>
      <c r="AE239" s="63"/>
      <c r="AF239" s="63"/>
      <c r="AG239" s="63"/>
      <c r="AH239" s="63"/>
      <c r="AI239" s="63"/>
      <c r="AJ239" s="63"/>
      <c r="AK239" s="63"/>
      <c r="AL239" s="63"/>
      <c r="AM239" s="63"/>
      <c r="AN239" s="63"/>
      <c r="AO239" s="63"/>
      <c r="AP239" s="63"/>
      <c r="AQ239" s="63"/>
      <c r="AR239" s="63"/>
      <c r="AS239" s="63"/>
      <c r="AT239" s="63"/>
      <c r="AU239" s="63"/>
      <c r="AV239" s="63"/>
      <c r="AW239" s="63"/>
      <c r="AX239" s="63"/>
      <c r="AY239" s="63"/>
      <c r="AZ239" s="63"/>
      <c r="BA239" s="63"/>
      <c r="BB239" s="63"/>
    </row>
    <row r="240" spans="1:89" ht="12" customHeight="1" x14ac:dyDescent="0.3">
      <c r="A240" s="63"/>
      <c r="B240" s="63"/>
      <c r="C240" s="689" t="s">
        <v>5318</v>
      </c>
      <c r="D240" s="689"/>
      <c r="E240" s="689"/>
      <c r="F240" s="689"/>
      <c r="G240" s="689"/>
      <c r="H240" s="689"/>
      <c r="I240" s="689"/>
      <c r="J240" s="689"/>
      <c r="K240" s="689"/>
      <c r="L240" s="689"/>
      <c r="M240" s="689"/>
      <c r="N240" s="689"/>
      <c r="O240" s="689"/>
      <c r="P240" s="689"/>
      <c r="Q240" s="689"/>
      <c r="R240" s="689"/>
      <c r="S240" s="689"/>
      <c r="T240" s="689"/>
      <c r="U240" s="689"/>
      <c r="V240" s="689"/>
      <c r="W240" s="689"/>
      <c r="X240" s="689"/>
      <c r="Y240" s="689"/>
      <c r="Z240" s="689"/>
      <c r="AA240" s="689"/>
      <c r="AB240" s="689"/>
      <c r="AC240" s="689"/>
      <c r="AD240" s="689"/>
      <c r="AE240" s="689"/>
      <c r="AF240" s="689"/>
      <c r="AG240" s="689"/>
      <c r="AH240" s="689"/>
      <c r="AI240" s="689"/>
      <c r="AJ240" s="689"/>
      <c r="AK240" s="689"/>
      <c r="AL240" s="689"/>
      <c r="AM240" s="689"/>
      <c r="AN240" s="689"/>
      <c r="AO240" s="689"/>
      <c r="AP240" s="689"/>
      <c r="AQ240" s="689"/>
      <c r="AR240" s="689"/>
      <c r="AS240" s="689"/>
      <c r="AT240" s="689"/>
      <c r="AU240" s="689"/>
      <c r="AV240" s="689"/>
      <c r="AW240" s="689"/>
      <c r="AX240" s="689"/>
      <c r="AY240" s="689"/>
      <c r="AZ240" s="689"/>
      <c r="BA240" s="63"/>
      <c r="BB240" s="63"/>
      <c r="BD240" s="669" t="str">
        <f>IF($H$239=$O$41,"","Suma transz nie jest równa wnioskowanej kwocie finansowania.")</f>
        <v/>
      </c>
      <c r="BE240" s="669"/>
      <c r="BF240" s="669"/>
      <c r="BG240" s="669"/>
      <c r="BH240" s="669"/>
      <c r="BI240" s="669"/>
      <c r="BJ240" s="669"/>
      <c r="BK240" s="669"/>
      <c r="BL240" s="669"/>
      <c r="BM240" s="669"/>
      <c r="BN240" s="669"/>
      <c r="BO240" s="669"/>
      <c r="BP240" s="669"/>
      <c r="BQ240" s="669"/>
      <c r="BR240" s="669"/>
      <c r="BS240" s="669"/>
      <c r="BT240" s="669"/>
      <c r="BU240" s="669"/>
      <c r="BV240" s="669"/>
      <c r="BW240" s="669"/>
      <c r="BX240" s="669"/>
      <c r="BY240" s="669"/>
      <c r="BZ240" s="669"/>
      <c r="CA240" s="669"/>
      <c r="CB240" s="669"/>
      <c r="CC240" s="669"/>
      <c r="CD240" s="669"/>
      <c r="CE240" s="669"/>
      <c r="CF240" s="669"/>
      <c r="CG240" s="669"/>
      <c r="CH240" s="669"/>
      <c r="CI240" s="669"/>
      <c r="CJ240" s="669"/>
      <c r="CK240" s="669"/>
    </row>
    <row r="241" spans="1:92" ht="9" customHeight="1" x14ac:dyDescent="0.3">
      <c r="A241" s="63"/>
      <c r="B241" s="63"/>
      <c r="C241" s="689" t="s">
        <v>5651</v>
      </c>
      <c r="D241" s="689"/>
      <c r="E241" s="689"/>
      <c r="F241" s="689"/>
      <c r="G241" s="689"/>
      <c r="H241" s="689"/>
      <c r="I241" s="689"/>
      <c r="J241" s="689"/>
      <c r="K241" s="689"/>
      <c r="L241" s="689"/>
      <c r="M241" s="689"/>
      <c r="N241" s="689"/>
      <c r="O241" s="689"/>
      <c r="P241" s="689"/>
      <c r="Q241" s="689"/>
      <c r="R241" s="689"/>
      <c r="S241" s="689"/>
      <c r="T241" s="689"/>
      <c r="U241" s="689"/>
      <c r="V241" s="689"/>
      <c r="W241" s="689"/>
      <c r="X241" s="689"/>
      <c r="Y241" s="689"/>
      <c r="Z241" s="96"/>
      <c r="AA241" s="96"/>
      <c r="AB241" s="96"/>
      <c r="AC241" s="96"/>
      <c r="AD241" s="96"/>
      <c r="AE241" s="96"/>
      <c r="AF241" s="96"/>
      <c r="AG241" s="96"/>
      <c r="AH241" s="96"/>
      <c r="AI241" s="96"/>
      <c r="AJ241" s="96"/>
      <c r="AK241" s="96"/>
      <c r="AL241" s="96"/>
      <c r="AM241" s="96"/>
      <c r="AN241" s="96"/>
      <c r="AO241" s="96"/>
      <c r="AP241" s="96"/>
      <c r="AQ241" s="96"/>
      <c r="AR241" s="96"/>
      <c r="AS241" s="96"/>
      <c r="AT241" s="96"/>
      <c r="AU241" s="96"/>
      <c r="AV241" s="96"/>
      <c r="AW241" s="96"/>
      <c r="AX241" s="96"/>
      <c r="AY241" s="96"/>
      <c r="AZ241" s="96"/>
      <c r="BA241" s="63"/>
      <c r="BB241" s="63"/>
      <c r="BD241" s="73"/>
      <c r="BE241" s="73"/>
      <c r="BF241" s="73"/>
      <c r="BG241" s="73"/>
      <c r="BH241" s="73"/>
      <c r="BI241" s="73"/>
      <c r="BJ241" s="73"/>
      <c r="BK241" s="73"/>
      <c r="BL241" s="73"/>
      <c r="BM241" s="73"/>
      <c r="BN241" s="73"/>
      <c r="BO241" s="73"/>
      <c r="BP241" s="73"/>
      <c r="BQ241" s="73"/>
      <c r="BR241" s="73"/>
      <c r="BS241" s="73"/>
      <c r="BT241" s="73"/>
      <c r="BU241" s="73"/>
      <c r="BV241" s="73"/>
      <c r="BW241" s="73"/>
      <c r="BX241" s="73"/>
      <c r="BY241" s="73"/>
      <c r="BZ241" s="73"/>
      <c r="CA241" s="73"/>
      <c r="CB241" s="73"/>
      <c r="CC241" s="73"/>
      <c r="CD241" s="73"/>
      <c r="CE241" s="73"/>
      <c r="CF241" s="73"/>
      <c r="CG241" s="73"/>
      <c r="CH241" s="73"/>
      <c r="CI241" s="73"/>
      <c r="CJ241" s="73"/>
      <c r="CK241" s="73"/>
    </row>
    <row r="242" spans="1:92" s="6" customFormat="1" ht="12" customHeight="1" x14ac:dyDescent="0.3">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row>
    <row r="243" spans="1:92" s="6" customFormat="1" ht="14.1" customHeight="1" x14ac:dyDescent="0.25">
      <c r="B243" s="681" t="s">
        <v>5650</v>
      </c>
      <c r="C243" s="682"/>
      <c r="D243" s="682"/>
      <c r="E243" s="682"/>
      <c r="F243" s="682"/>
      <c r="G243" s="682"/>
      <c r="H243" s="682"/>
      <c r="I243" s="682"/>
      <c r="J243" s="682"/>
      <c r="K243" s="682"/>
      <c r="L243" s="682"/>
      <c r="M243" s="682"/>
      <c r="N243" s="682"/>
      <c r="O243" s="682"/>
      <c r="P243" s="682"/>
      <c r="Q243" s="682"/>
      <c r="R243" s="682"/>
      <c r="S243" s="682"/>
      <c r="T243" s="682"/>
      <c r="U243" s="682"/>
      <c r="V243" s="682"/>
      <c r="W243" s="682"/>
      <c r="X243" s="682"/>
      <c r="Y243" s="682"/>
      <c r="Z243" s="682"/>
      <c r="AA243" s="682"/>
      <c r="AB243" s="682"/>
      <c r="AC243" s="682"/>
      <c r="AD243" s="682"/>
      <c r="AE243" s="682"/>
      <c r="AF243" s="682"/>
      <c r="AG243" s="682"/>
      <c r="AH243" s="682"/>
      <c r="AI243" s="682"/>
      <c r="AJ243" s="682"/>
      <c r="AK243" s="682"/>
      <c r="AL243" s="682"/>
      <c r="AM243" s="682"/>
      <c r="AN243" s="682"/>
      <c r="AO243" s="682"/>
      <c r="AP243" s="682"/>
      <c r="AQ243" s="682"/>
      <c r="AR243" s="682"/>
      <c r="AS243" s="682"/>
      <c r="AT243" s="682"/>
      <c r="AU243" s="682"/>
      <c r="AV243" s="682"/>
      <c r="AW243" s="682"/>
      <c r="AX243" s="682"/>
      <c r="AY243" s="682"/>
      <c r="AZ243" s="682"/>
      <c r="BA243" s="683"/>
    </row>
    <row r="244" spans="1:92" s="6" customFormat="1" ht="14.1" customHeight="1" x14ac:dyDescent="0.25">
      <c r="B244" s="300" t="s">
        <v>5264</v>
      </c>
      <c r="C244" s="300"/>
      <c r="D244" s="300"/>
      <c r="E244" s="300"/>
      <c r="F244" s="300"/>
      <c r="G244" s="300"/>
      <c r="H244" s="300"/>
      <c r="I244" s="299"/>
      <c r="J244" s="299"/>
      <c r="K244" s="299"/>
      <c r="L244" s="299"/>
      <c r="M244" s="299"/>
      <c r="N244" s="299"/>
      <c r="O244" s="299"/>
      <c r="P244" s="299"/>
      <c r="Q244" s="299"/>
      <c r="R244" s="299"/>
      <c r="S244" s="299"/>
      <c r="T244" s="299"/>
      <c r="U244" s="299"/>
      <c r="V244" s="299"/>
      <c r="W244" s="299"/>
      <c r="X244" s="300" t="s">
        <v>5265</v>
      </c>
      <c r="Y244" s="300"/>
      <c r="Z244" s="300"/>
      <c r="AA244" s="300"/>
      <c r="AB244" s="300"/>
      <c r="AC244" s="300"/>
      <c r="AD244" s="300"/>
      <c r="AE244" s="300"/>
      <c r="AF244" s="300"/>
      <c r="AG244" s="663"/>
      <c r="AH244" s="664"/>
      <c r="AI244" s="664"/>
      <c r="AJ244" s="664"/>
      <c r="AK244" s="664"/>
      <c r="AL244" s="664"/>
      <c r="AM244" s="664"/>
      <c r="AN244" s="664"/>
      <c r="AO244" s="664"/>
      <c r="AP244" s="664"/>
      <c r="AQ244" s="664"/>
      <c r="AR244" s="664"/>
      <c r="AS244" s="664"/>
      <c r="AT244" s="664"/>
      <c r="AU244" s="664"/>
      <c r="AV244" s="664"/>
      <c r="AW244" s="664"/>
      <c r="AX244" s="664"/>
      <c r="AY244" s="664"/>
      <c r="AZ244" s="664"/>
      <c r="BA244" s="665"/>
    </row>
    <row r="245" spans="1:92" s="6" customFormat="1" ht="14.1" customHeight="1" x14ac:dyDescent="0.25">
      <c r="B245" s="681" t="s">
        <v>5572</v>
      </c>
      <c r="C245" s="682"/>
      <c r="D245" s="682"/>
      <c r="E245" s="682"/>
      <c r="F245" s="682"/>
      <c r="G245" s="682"/>
      <c r="H245" s="682"/>
      <c r="I245" s="682"/>
      <c r="J245" s="682"/>
      <c r="K245" s="682"/>
      <c r="L245" s="682"/>
      <c r="M245" s="682"/>
      <c r="N245" s="682"/>
      <c r="O245" s="682"/>
      <c r="P245" s="682"/>
      <c r="Q245" s="682"/>
      <c r="R245" s="682"/>
      <c r="S245" s="682"/>
      <c r="T245" s="682"/>
      <c r="U245" s="682"/>
      <c r="V245" s="682"/>
      <c r="W245" s="682"/>
      <c r="X245" s="682"/>
      <c r="Y245" s="682"/>
      <c r="Z245" s="682"/>
      <c r="AA245" s="682"/>
      <c r="AB245" s="682"/>
      <c r="AC245" s="682"/>
      <c r="AD245" s="682"/>
      <c r="AE245" s="682"/>
      <c r="AF245" s="682"/>
      <c r="AG245" s="682"/>
      <c r="AH245" s="682"/>
      <c r="AI245" s="682"/>
      <c r="AJ245" s="682"/>
      <c r="AK245" s="682"/>
      <c r="AL245" s="682"/>
      <c r="AM245" s="682"/>
      <c r="AN245" s="682"/>
      <c r="AO245" s="682"/>
      <c r="AP245" s="682"/>
      <c r="AQ245" s="682"/>
      <c r="AR245" s="682"/>
      <c r="AS245" s="682"/>
      <c r="AT245" s="682"/>
      <c r="AU245" s="682"/>
      <c r="AV245" s="682"/>
      <c r="AW245" s="682"/>
      <c r="AX245" s="682"/>
      <c r="AY245" s="682"/>
      <c r="AZ245" s="682"/>
      <c r="BA245" s="683"/>
    </row>
    <row r="246" spans="1:92" s="6" customFormat="1" ht="14.1" customHeight="1" x14ac:dyDescent="0.25">
      <c r="B246" s="300" t="s">
        <v>5264</v>
      </c>
      <c r="C246" s="300"/>
      <c r="D246" s="300"/>
      <c r="E246" s="300"/>
      <c r="F246" s="300"/>
      <c r="G246" s="300"/>
      <c r="H246" s="300"/>
      <c r="I246" s="299"/>
      <c r="J246" s="299"/>
      <c r="K246" s="299"/>
      <c r="L246" s="299"/>
      <c r="M246" s="299"/>
      <c r="N246" s="299"/>
      <c r="O246" s="299"/>
      <c r="P246" s="299"/>
      <c r="Q246" s="299"/>
      <c r="R246" s="299"/>
      <c r="S246" s="299"/>
      <c r="T246" s="299"/>
      <c r="U246" s="299"/>
      <c r="V246" s="299"/>
      <c r="W246" s="299"/>
      <c r="X246" s="300" t="s">
        <v>5265</v>
      </c>
      <c r="Y246" s="300"/>
      <c r="Z246" s="300"/>
      <c r="AA246" s="300"/>
      <c r="AB246" s="300"/>
      <c r="AC246" s="300"/>
      <c r="AD246" s="300"/>
      <c r="AE246" s="300"/>
      <c r="AF246" s="300"/>
      <c r="AG246" s="663"/>
      <c r="AH246" s="664"/>
      <c r="AI246" s="664"/>
      <c r="AJ246" s="664"/>
      <c r="AK246" s="664"/>
      <c r="AL246" s="664"/>
      <c r="AM246" s="664"/>
      <c r="AN246" s="664"/>
      <c r="AO246" s="664"/>
      <c r="AP246" s="664"/>
      <c r="AQ246" s="664"/>
      <c r="AR246" s="664"/>
      <c r="AS246" s="664"/>
      <c r="AT246" s="664"/>
      <c r="AU246" s="664"/>
      <c r="AV246" s="664"/>
      <c r="AW246" s="664"/>
      <c r="AX246" s="664"/>
      <c r="AY246" s="664"/>
      <c r="AZ246" s="664"/>
      <c r="BA246" s="665"/>
    </row>
    <row r="247" spans="1:92" s="6" customFormat="1" ht="6" x14ac:dyDescent="0.15"/>
    <row r="248" spans="1:92" s="6" customFormat="1" ht="6" x14ac:dyDescent="0.15"/>
    <row r="249" spans="1:92" s="9" customFormat="1" ht="14.25" customHeight="1" x14ac:dyDescent="0.3">
      <c r="A249" s="8"/>
      <c r="B249" s="284" t="s">
        <v>5194</v>
      </c>
      <c r="C249" s="284"/>
      <c r="D249" s="284"/>
      <c r="E249" s="284"/>
      <c r="F249" s="284"/>
      <c r="G249" s="284"/>
      <c r="H249" s="284"/>
      <c r="I249" s="284"/>
      <c r="J249" s="284"/>
      <c r="K249" s="284"/>
      <c r="L249" s="284"/>
      <c r="M249" s="284"/>
      <c r="N249" s="284"/>
      <c r="O249" s="284"/>
      <c r="P249" s="284"/>
      <c r="Q249" s="284"/>
      <c r="R249" s="284"/>
      <c r="S249" s="284"/>
      <c r="T249" s="284"/>
      <c r="U249" s="284"/>
      <c r="V249" s="284"/>
      <c r="W249" s="284"/>
      <c r="X249" s="284"/>
      <c r="Y249" s="284"/>
      <c r="Z249" s="284"/>
      <c r="AA249" s="284"/>
      <c r="AB249" s="284"/>
      <c r="AC249" s="284"/>
      <c r="AD249" s="284"/>
      <c r="AE249" s="284"/>
      <c r="AF249" s="284"/>
      <c r="AG249" s="284"/>
      <c r="AH249" s="284"/>
      <c r="AI249" s="284"/>
      <c r="AJ249" s="284"/>
      <c r="AK249" s="284"/>
      <c r="AL249" s="284"/>
      <c r="AM249" s="284"/>
      <c r="AN249" s="284"/>
      <c r="AO249" s="284"/>
      <c r="AP249" s="285"/>
      <c r="AQ249" s="285"/>
      <c r="AR249" s="296">
        <v>45657</v>
      </c>
      <c r="AS249" s="297"/>
      <c r="AT249" s="297"/>
      <c r="AU249" s="297"/>
      <c r="AV249" s="298"/>
      <c r="AW249" s="296">
        <v>46022</v>
      </c>
      <c r="AX249" s="297"/>
      <c r="AY249" s="297"/>
      <c r="AZ249" s="297"/>
      <c r="BA249" s="298"/>
      <c r="BB249" s="8"/>
    </row>
    <row r="250" spans="1:92" s="9" customFormat="1" ht="14.25" customHeight="1" x14ac:dyDescent="0.3">
      <c r="A250" s="8"/>
      <c r="B250" s="284" t="str">
        <f>IF(B18="spółdzielnia mieszkaniowa","Należności netto z tytułu opłat eksploatacyjnych (przeterminowane)","Należności netto z tytułu czynszu wraz z mediami w zasobie własnym (przeterminowane)")</f>
        <v>Należności netto z tytułu czynszu wraz z mediami w zasobie własnym (przeterminowane)</v>
      </c>
      <c r="C250" s="284"/>
      <c r="D250" s="284"/>
      <c r="E250" s="284"/>
      <c r="F250" s="284"/>
      <c r="G250" s="284"/>
      <c r="H250" s="284"/>
      <c r="I250" s="284"/>
      <c r="J250" s="284"/>
      <c r="K250" s="284"/>
      <c r="L250" s="284"/>
      <c r="M250" s="284"/>
      <c r="N250" s="284"/>
      <c r="O250" s="284"/>
      <c r="P250" s="284"/>
      <c r="Q250" s="284"/>
      <c r="R250" s="284"/>
      <c r="S250" s="284"/>
      <c r="T250" s="284"/>
      <c r="U250" s="284"/>
      <c r="V250" s="284"/>
      <c r="W250" s="284"/>
      <c r="X250" s="284"/>
      <c r="Y250" s="284"/>
      <c r="Z250" s="284"/>
      <c r="AA250" s="284"/>
      <c r="AB250" s="284"/>
      <c r="AC250" s="284"/>
      <c r="AD250" s="284"/>
      <c r="AE250" s="284"/>
      <c r="AF250" s="284"/>
      <c r="AG250" s="284"/>
      <c r="AH250" s="284"/>
      <c r="AI250" s="284"/>
      <c r="AJ250" s="284"/>
      <c r="AK250" s="284"/>
      <c r="AL250" s="284"/>
      <c r="AM250" s="284"/>
      <c r="AN250" s="284"/>
      <c r="AO250" s="284"/>
      <c r="AP250" s="285"/>
      <c r="AQ250" s="285"/>
      <c r="AR250" s="275"/>
      <c r="AS250" s="276"/>
      <c r="AT250" s="276"/>
      <c r="AU250" s="276"/>
      <c r="AV250" s="277"/>
      <c r="AW250" s="275"/>
      <c r="AX250" s="276"/>
      <c r="AY250" s="276"/>
      <c r="AZ250" s="276"/>
      <c r="BA250" s="277"/>
      <c r="BB250" s="8"/>
      <c r="BD250" s="512" t="s">
        <v>5649</v>
      </c>
      <c r="BE250" s="512"/>
      <c r="BF250" s="512"/>
      <c r="BG250" s="512"/>
      <c r="BH250" s="512"/>
      <c r="BI250" s="512"/>
      <c r="BJ250" s="512"/>
      <c r="BK250" s="512"/>
      <c r="BL250" s="512"/>
      <c r="BM250" s="512"/>
      <c r="BN250" s="512"/>
      <c r="BO250" s="512"/>
      <c r="BP250" s="512"/>
      <c r="BQ250" s="512"/>
      <c r="BR250" s="512"/>
      <c r="BS250" s="512"/>
      <c r="BT250" s="512"/>
      <c r="BU250" s="512"/>
      <c r="BV250" s="512"/>
      <c r="BW250" s="512"/>
      <c r="BX250" s="512"/>
      <c r="BY250" s="512"/>
      <c r="BZ250" s="512"/>
      <c r="CA250" s="512"/>
      <c r="CB250" s="512"/>
      <c r="CC250" s="512"/>
      <c r="CD250" s="512"/>
      <c r="CE250" s="512"/>
      <c r="CF250" s="512"/>
      <c r="CG250" s="512"/>
      <c r="CH250" s="512"/>
      <c r="CI250" s="512"/>
      <c r="CJ250" s="512"/>
      <c r="CK250" s="512"/>
      <c r="CL250" s="82"/>
      <c r="CM250" s="82"/>
      <c r="CN250" s="82"/>
    </row>
    <row r="251" spans="1:92" s="9" customFormat="1" ht="14.25" customHeight="1" x14ac:dyDescent="0.3">
      <c r="A251" s="8"/>
      <c r="B251" s="284" t="str">
        <f>IF(B18="spółdzielnia mieszkaniowa","Przychody należne z tytułu opłat eksploatacyjnych z zasobów własnych (za 12 miesięcy) ","Przychody z tytułu czynszu wraz z mediami za okres 12 miesięcy (w zasobie własnym)")</f>
        <v>Przychody z tytułu czynszu wraz z mediami za okres 12 miesięcy (w zasobie własnym)</v>
      </c>
      <c r="C251" s="284"/>
      <c r="D251" s="284"/>
      <c r="E251" s="284"/>
      <c r="F251" s="284"/>
      <c r="G251" s="284"/>
      <c r="H251" s="284"/>
      <c r="I251" s="284"/>
      <c r="J251" s="284"/>
      <c r="K251" s="284"/>
      <c r="L251" s="284"/>
      <c r="M251" s="284"/>
      <c r="N251" s="284"/>
      <c r="O251" s="284"/>
      <c r="P251" s="284"/>
      <c r="Q251" s="284"/>
      <c r="R251" s="284"/>
      <c r="S251" s="284"/>
      <c r="T251" s="284"/>
      <c r="U251" s="284"/>
      <c r="V251" s="284"/>
      <c r="W251" s="284"/>
      <c r="X251" s="284"/>
      <c r="Y251" s="284"/>
      <c r="Z251" s="284"/>
      <c r="AA251" s="284"/>
      <c r="AB251" s="284"/>
      <c r="AC251" s="284"/>
      <c r="AD251" s="284"/>
      <c r="AE251" s="284"/>
      <c r="AF251" s="284"/>
      <c r="AG251" s="284"/>
      <c r="AH251" s="284"/>
      <c r="AI251" s="284"/>
      <c r="AJ251" s="284"/>
      <c r="AK251" s="284"/>
      <c r="AL251" s="284"/>
      <c r="AM251" s="284"/>
      <c r="AN251" s="284"/>
      <c r="AO251" s="284"/>
      <c r="AP251" s="285"/>
      <c r="AQ251" s="285"/>
      <c r="AR251" s="275"/>
      <c r="AS251" s="276"/>
      <c r="AT251" s="276"/>
      <c r="AU251" s="276"/>
      <c r="AV251" s="277"/>
      <c r="AW251" s="275"/>
      <c r="AX251" s="276"/>
      <c r="AY251" s="276"/>
      <c r="AZ251" s="276"/>
      <c r="BA251" s="277"/>
      <c r="BB251" s="8"/>
      <c r="BD251" s="512"/>
      <c r="BE251" s="512"/>
      <c r="BF251" s="512"/>
      <c r="BG251" s="512"/>
      <c r="BH251" s="512"/>
      <c r="BI251" s="512"/>
      <c r="BJ251" s="512"/>
      <c r="BK251" s="512"/>
      <c r="BL251" s="512"/>
      <c r="BM251" s="512"/>
      <c r="BN251" s="512"/>
      <c r="BO251" s="512"/>
      <c r="BP251" s="512"/>
      <c r="BQ251" s="512"/>
      <c r="BR251" s="512"/>
      <c r="BS251" s="512"/>
      <c r="BT251" s="512"/>
      <c r="BU251" s="512"/>
      <c r="BV251" s="512"/>
      <c r="BW251" s="512"/>
      <c r="BX251" s="512"/>
      <c r="BY251" s="512"/>
      <c r="BZ251" s="512"/>
      <c r="CA251" s="512"/>
      <c r="CB251" s="512"/>
      <c r="CC251" s="512"/>
      <c r="CD251" s="512"/>
      <c r="CE251" s="512"/>
      <c r="CF251" s="512"/>
      <c r="CG251" s="512"/>
      <c r="CH251" s="512"/>
      <c r="CI251" s="512"/>
      <c r="CJ251" s="512"/>
      <c r="CK251" s="512"/>
      <c r="CL251" s="82"/>
      <c r="CM251" s="82"/>
      <c r="CN251" s="82"/>
    </row>
    <row r="252" spans="1:92" s="9" customFormat="1" ht="14.25" customHeight="1" x14ac:dyDescent="0.3">
      <c r="A252" s="8"/>
      <c r="B252" s="284" t="s">
        <v>5189</v>
      </c>
      <c r="C252" s="284"/>
      <c r="D252" s="284"/>
      <c r="E252" s="284"/>
      <c r="F252" s="284"/>
      <c r="G252" s="284"/>
      <c r="H252" s="284"/>
      <c r="I252" s="284"/>
      <c r="J252" s="284"/>
      <c r="K252" s="284"/>
      <c r="L252" s="284"/>
      <c r="M252" s="284"/>
      <c r="N252" s="284"/>
      <c r="O252" s="284"/>
      <c r="P252" s="284"/>
      <c r="Q252" s="284"/>
      <c r="R252" s="284"/>
      <c r="S252" s="284"/>
      <c r="T252" s="284"/>
      <c r="U252" s="284"/>
      <c r="V252" s="284"/>
      <c r="W252" s="284"/>
      <c r="X252" s="284"/>
      <c r="Y252" s="284"/>
      <c r="Z252" s="284"/>
      <c r="AA252" s="284"/>
      <c r="AB252" s="284"/>
      <c r="AC252" s="284"/>
      <c r="AD252" s="284"/>
      <c r="AE252" s="284"/>
      <c r="AF252" s="284"/>
      <c r="AG252" s="284"/>
      <c r="AH252" s="284"/>
      <c r="AI252" s="284"/>
      <c r="AJ252" s="284"/>
      <c r="AK252" s="284"/>
      <c r="AL252" s="284"/>
      <c r="AM252" s="284"/>
      <c r="AN252" s="284"/>
      <c r="AO252" s="284"/>
      <c r="AP252" s="285"/>
      <c r="AQ252" s="285"/>
      <c r="AR252" s="286"/>
      <c r="AS252" s="287"/>
      <c r="AT252" s="287"/>
      <c r="AU252" s="287"/>
      <c r="AV252" s="288"/>
      <c r="AW252" s="286"/>
      <c r="AX252" s="287"/>
      <c r="AY252" s="287"/>
      <c r="AZ252" s="287"/>
      <c r="BA252" s="288"/>
      <c r="BB252" s="8"/>
      <c r="BD252" s="512"/>
      <c r="BE252" s="512"/>
      <c r="BF252" s="512"/>
      <c r="BG252" s="512"/>
      <c r="BH252" s="512"/>
      <c r="BI252" s="512"/>
      <c r="BJ252" s="512"/>
      <c r="BK252" s="512"/>
      <c r="BL252" s="512"/>
      <c r="BM252" s="512"/>
      <c r="BN252" s="512"/>
      <c r="BO252" s="512"/>
      <c r="BP252" s="512"/>
      <c r="BQ252" s="512"/>
      <c r="BR252" s="512"/>
      <c r="BS252" s="512"/>
      <c r="BT252" s="512"/>
      <c r="BU252" s="512"/>
      <c r="BV252" s="512"/>
      <c r="BW252" s="512"/>
      <c r="BX252" s="512"/>
      <c r="BY252" s="512"/>
      <c r="BZ252" s="512"/>
      <c r="CA252" s="512"/>
      <c r="CB252" s="512"/>
      <c r="CC252" s="512"/>
      <c r="CD252" s="512"/>
      <c r="CE252" s="512"/>
      <c r="CF252" s="512"/>
      <c r="CG252" s="512"/>
      <c r="CH252" s="512"/>
      <c r="CI252" s="512"/>
      <c r="CJ252" s="512"/>
      <c r="CK252" s="512"/>
      <c r="CL252" s="82"/>
      <c r="CM252" s="82"/>
      <c r="CN252" s="82"/>
    </row>
    <row r="253" spans="1:92" s="9" customFormat="1" ht="14.25" customHeight="1" x14ac:dyDescent="0.3">
      <c r="A253" s="8"/>
      <c r="B253" s="284" t="s">
        <v>5193</v>
      </c>
      <c r="C253" s="284"/>
      <c r="D253" s="284"/>
      <c r="E253" s="284"/>
      <c r="F253" s="284"/>
      <c r="G253" s="284"/>
      <c r="H253" s="284"/>
      <c r="I253" s="284"/>
      <c r="J253" s="284"/>
      <c r="K253" s="284"/>
      <c r="L253" s="284"/>
      <c r="M253" s="284"/>
      <c r="N253" s="284"/>
      <c r="O253" s="284"/>
      <c r="P253" s="284"/>
      <c r="Q253" s="284"/>
      <c r="R253" s="284"/>
      <c r="S253" s="284"/>
      <c r="T253" s="284"/>
      <c r="U253" s="284"/>
      <c r="V253" s="284"/>
      <c r="W253" s="284"/>
      <c r="X253" s="284"/>
      <c r="Y253" s="284"/>
      <c r="Z253" s="284"/>
      <c r="AA253" s="284"/>
      <c r="AB253" s="284"/>
      <c r="AC253" s="284"/>
      <c r="AD253" s="284"/>
      <c r="AE253" s="284"/>
      <c r="AF253" s="284"/>
      <c r="AG253" s="284"/>
      <c r="AH253" s="284"/>
      <c r="AI253" s="284"/>
      <c r="AJ253" s="284"/>
      <c r="AK253" s="284"/>
      <c r="AL253" s="284"/>
      <c r="AM253" s="284"/>
      <c r="AN253" s="284"/>
      <c r="AO253" s="284"/>
      <c r="AP253" s="285"/>
      <c r="AQ253" s="285"/>
      <c r="AR253" s="286"/>
      <c r="AS253" s="287"/>
      <c r="AT253" s="287"/>
      <c r="AU253" s="287"/>
      <c r="AV253" s="288"/>
      <c r="AW253" s="286"/>
      <c r="AX253" s="287"/>
      <c r="AY253" s="287"/>
      <c r="AZ253" s="287"/>
      <c r="BA253" s="288"/>
      <c r="BB253" s="8"/>
      <c r="BD253" s="512"/>
      <c r="BE253" s="512"/>
      <c r="BF253" s="512"/>
      <c r="BG253" s="512"/>
      <c r="BH253" s="512"/>
      <c r="BI253" s="512"/>
      <c r="BJ253" s="512"/>
      <c r="BK253" s="512"/>
      <c r="BL253" s="512"/>
      <c r="BM253" s="512"/>
      <c r="BN253" s="512"/>
      <c r="BO253" s="512"/>
      <c r="BP253" s="512"/>
      <c r="BQ253" s="512"/>
      <c r="BR253" s="512"/>
      <c r="BS253" s="512"/>
      <c r="BT253" s="512"/>
      <c r="BU253" s="512"/>
      <c r="BV253" s="512"/>
      <c r="BW253" s="512"/>
      <c r="BX253" s="512"/>
      <c r="BY253" s="512"/>
      <c r="BZ253" s="512"/>
      <c r="CA253" s="512"/>
      <c r="CB253" s="512"/>
      <c r="CC253" s="512"/>
      <c r="CD253" s="512"/>
      <c r="CE253" s="512"/>
      <c r="CF253" s="512"/>
      <c r="CG253" s="512"/>
      <c r="CH253" s="512"/>
      <c r="CI253" s="512"/>
      <c r="CJ253" s="512"/>
      <c r="CK253" s="512"/>
      <c r="CL253" s="82"/>
      <c r="CM253" s="82"/>
      <c r="CN253" s="82"/>
    </row>
    <row r="254" spans="1:92" s="9" customFormat="1" ht="14.25" customHeight="1" x14ac:dyDescent="0.3">
      <c r="A254" s="8"/>
      <c r="B254" s="284" t="s">
        <v>5289</v>
      </c>
      <c r="C254" s="284"/>
      <c r="D254" s="284"/>
      <c r="E254" s="284"/>
      <c r="F254" s="284"/>
      <c r="G254" s="284"/>
      <c r="H254" s="284"/>
      <c r="I254" s="284"/>
      <c r="J254" s="284"/>
      <c r="K254" s="284"/>
      <c r="L254" s="284"/>
      <c r="M254" s="284"/>
      <c r="N254" s="284"/>
      <c r="O254" s="284"/>
      <c r="P254" s="284"/>
      <c r="Q254" s="284"/>
      <c r="R254" s="284"/>
      <c r="S254" s="284"/>
      <c r="T254" s="284"/>
      <c r="U254" s="284"/>
      <c r="V254" s="284"/>
      <c r="W254" s="284"/>
      <c r="X254" s="284"/>
      <c r="Y254" s="284"/>
      <c r="Z254" s="284"/>
      <c r="AA254" s="284"/>
      <c r="AB254" s="284"/>
      <c r="AC254" s="284"/>
      <c r="AD254" s="284"/>
      <c r="AE254" s="284"/>
      <c r="AF254" s="284"/>
      <c r="AG254" s="284"/>
      <c r="AH254" s="284"/>
      <c r="AI254" s="284"/>
      <c r="AJ254" s="284"/>
      <c r="AK254" s="284"/>
      <c r="AL254" s="284"/>
      <c r="AM254" s="284"/>
      <c r="AN254" s="284"/>
      <c r="AO254" s="284"/>
      <c r="AP254" s="285"/>
      <c r="AQ254" s="285"/>
      <c r="AR254" s="275"/>
      <c r="AS254" s="276"/>
      <c r="AT254" s="276"/>
      <c r="AU254" s="276"/>
      <c r="AV254" s="277"/>
      <c r="AW254" s="275"/>
      <c r="AX254" s="276"/>
      <c r="AY254" s="276"/>
      <c r="AZ254" s="276"/>
      <c r="BA254" s="277"/>
      <c r="BB254" s="8"/>
      <c r="BD254" s="512"/>
      <c r="BE254" s="512"/>
      <c r="BF254" s="512"/>
      <c r="BG254" s="512"/>
      <c r="BH254" s="512"/>
      <c r="BI254" s="512"/>
      <c r="BJ254" s="512"/>
      <c r="BK254" s="512"/>
      <c r="BL254" s="512"/>
      <c r="BM254" s="512"/>
      <c r="BN254" s="512"/>
      <c r="BO254" s="512"/>
      <c r="BP254" s="512"/>
      <c r="BQ254" s="512"/>
      <c r="BR254" s="512"/>
      <c r="BS254" s="512"/>
      <c r="BT254" s="512"/>
      <c r="BU254" s="512"/>
      <c r="BV254" s="512"/>
      <c r="BW254" s="512"/>
      <c r="BX254" s="512"/>
      <c r="BY254" s="512"/>
      <c r="BZ254" s="512"/>
      <c r="CA254" s="512"/>
      <c r="CB254" s="512"/>
      <c r="CC254" s="512"/>
      <c r="CD254" s="512"/>
      <c r="CE254" s="512"/>
      <c r="CF254" s="512"/>
      <c r="CG254" s="512"/>
      <c r="CH254" s="512"/>
      <c r="CI254" s="512"/>
      <c r="CJ254" s="512"/>
      <c r="CK254" s="512"/>
      <c r="CL254" s="82"/>
      <c r="CM254" s="82"/>
      <c r="CN254" s="82"/>
    </row>
    <row r="255" spans="1:92" s="9" customFormat="1" ht="14.25" customHeight="1" x14ac:dyDescent="0.3">
      <c r="A255" s="8"/>
      <c r="B255" s="284" t="s">
        <v>5296</v>
      </c>
      <c r="C255" s="284"/>
      <c r="D255" s="284"/>
      <c r="E255" s="284"/>
      <c r="F255" s="284"/>
      <c r="G255" s="284"/>
      <c r="H255" s="284"/>
      <c r="I255" s="284"/>
      <c r="J255" s="284"/>
      <c r="K255" s="284"/>
      <c r="L255" s="284"/>
      <c r="M255" s="284"/>
      <c r="N255" s="284"/>
      <c r="O255" s="284"/>
      <c r="P255" s="284"/>
      <c r="Q255" s="284"/>
      <c r="R255" s="284"/>
      <c r="S255" s="284"/>
      <c r="T255" s="284"/>
      <c r="U255" s="284"/>
      <c r="V255" s="284"/>
      <c r="W255" s="284"/>
      <c r="X255" s="284"/>
      <c r="Y255" s="284"/>
      <c r="Z255" s="284"/>
      <c r="AA255" s="284"/>
      <c r="AB255" s="284"/>
      <c r="AC255" s="284"/>
      <c r="AD255" s="284"/>
      <c r="AE255" s="284"/>
      <c r="AF255" s="284"/>
      <c r="AG255" s="284"/>
      <c r="AH255" s="284"/>
      <c r="AI255" s="284"/>
      <c r="AJ255" s="284"/>
      <c r="AK255" s="284"/>
      <c r="AL255" s="284"/>
      <c r="AM255" s="284"/>
      <c r="AN255" s="284"/>
      <c r="AO255" s="284"/>
      <c r="AP255" s="285"/>
      <c r="AQ255" s="285"/>
      <c r="AR255" s="275"/>
      <c r="AS255" s="276"/>
      <c r="AT255" s="276"/>
      <c r="AU255" s="276"/>
      <c r="AV255" s="277"/>
      <c r="AW255" s="275"/>
      <c r="AX255" s="276"/>
      <c r="AY255" s="276"/>
      <c r="AZ255" s="276"/>
      <c r="BA255" s="277"/>
      <c r="BB255" s="8"/>
      <c r="BD255" s="512"/>
      <c r="BE255" s="512"/>
      <c r="BF255" s="512"/>
      <c r="BG255" s="512"/>
      <c r="BH255" s="512"/>
      <c r="BI255" s="512"/>
      <c r="BJ255" s="512"/>
      <c r="BK255" s="512"/>
      <c r="BL255" s="512"/>
      <c r="BM255" s="512"/>
      <c r="BN255" s="512"/>
      <c r="BO255" s="512"/>
      <c r="BP255" s="512"/>
      <c r="BQ255" s="512"/>
      <c r="BR255" s="512"/>
      <c r="BS255" s="512"/>
      <c r="BT255" s="512"/>
      <c r="BU255" s="512"/>
      <c r="BV255" s="512"/>
      <c r="BW255" s="512"/>
      <c r="BX255" s="512"/>
      <c r="BY255" s="512"/>
      <c r="BZ255" s="512"/>
      <c r="CA255" s="512"/>
      <c r="CB255" s="512"/>
      <c r="CC255" s="512"/>
      <c r="CD255" s="512"/>
      <c r="CE255" s="512"/>
      <c r="CF255" s="512"/>
      <c r="CG255" s="512"/>
      <c r="CH255" s="512"/>
      <c r="CI255" s="512"/>
      <c r="CJ255" s="512"/>
      <c r="CK255" s="512"/>
      <c r="CL255" s="82"/>
      <c r="CM255" s="82"/>
      <c r="CN255" s="82"/>
    </row>
    <row r="256" spans="1:92" s="9" customFormat="1" ht="14.25" customHeight="1" x14ac:dyDescent="0.3">
      <c r="A256" s="8"/>
      <c r="B256" s="310" t="s">
        <v>5372</v>
      </c>
      <c r="C256" s="310"/>
      <c r="D256" s="310"/>
      <c r="E256" s="310"/>
      <c r="F256" s="310"/>
      <c r="G256" s="310"/>
      <c r="H256" s="310"/>
      <c r="I256" s="310"/>
      <c r="J256" s="310"/>
      <c r="K256" s="310"/>
      <c r="L256" s="310"/>
      <c r="M256" s="310"/>
      <c r="N256" s="310"/>
      <c r="O256" s="310"/>
      <c r="P256" s="310"/>
      <c r="Q256" s="310"/>
      <c r="R256" s="310"/>
      <c r="S256" s="310"/>
      <c r="T256" s="310"/>
      <c r="U256" s="310"/>
      <c r="V256" s="310"/>
      <c r="W256" s="310"/>
      <c r="X256" s="310"/>
      <c r="Y256" s="310"/>
      <c r="Z256" s="310"/>
      <c r="AA256" s="310"/>
      <c r="AB256" s="310"/>
      <c r="AC256" s="310"/>
      <c r="AD256" s="310"/>
      <c r="AE256" s="310"/>
      <c r="AF256" s="310"/>
      <c r="AG256" s="310"/>
      <c r="AH256" s="310"/>
      <c r="AI256" s="310"/>
      <c r="AJ256" s="310"/>
      <c r="AK256" s="310"/>
      <c r="AL256" s="310"/>
      <c r="AM256" s="310"/>
      <c r="AN256" s="310"/>
      <c r="AO256" s="310"/>
      <c r="AP256" s="311"/>
      <c r="AQ256" s="311"/>
      <c r="AR256" s="275"/>
      <c r="AS256" s="276"/>
      <c r="AT256" s="276"/>
      <c r="AU256" s="276"/>
      <c r="AV256" s="277"/>
      <c r="AW256" s="275"/>
      <c r="AX256" s="276"/>
      <c r="AY256" s="276"/>
      <c r="AZ256" s="276"/>
      <c r="BA256" s="277"/>
      <c r="BB256" s="8"/>
      <c r="BD256" s="512"/>
      <c r="BE256" s="512"/>
      <c r="BF256" s="512"/>
      <c r="BG256" s="512"/>
      <c r="BH256" s="512"/>
      <c r="BI256" s="512"/>
      <c r="BJ256" s="512"/>
      <c r="BK256" s="512"/>
      <c r="BL256" s="512"/>
      <c r="BM256" s="512"/>
      <c r="BN256" s="512"/>
      <c r="BO256" s="512"/>
      <c r="BP256" s="512"/>
      <c r="BQ256" s="512"/>
      <c r="BR256" s="512"/>
      <c r="BS256" s="512"/>
      <c r="BT256" s="512"/>
      <c r="BU256" s="512"/>
      <c r="BV256" s="512"/>
      <c r="BW256" s="512"/>
      <c r="BX256" s="512"/>
      <c r="BY256" s="512"/>
      <c r="BZ256" s="512"/>
      <c r="CA256" s="512"/>
      <c r="CB256" s="512"/>
      <c r="CC256" s="512"/>
      <c r="CD256" s="512"/>
      <c r="CE256" s="512"/>
      <c r="CF256" s="512"/>
      <c r="CG256" s="512"/>
      <c r="CH256" s="512"/>
      <c r="CI256" s="512"/>
      <c r="CJ256" s="512"/>
      <c r="CK256" s="512"/>
      <c r="CL256" s="82"/>
      <c r="CM256" s="82"/>
      <c r="CN256" s="82"/>
    </row>
    <row r="257" spans="1:92" s="9" customFormat="1" ht="14.25" customHeight="1" x14ac:dyDescent="0.3">
      <c r="A257" s="8"/>
      <c r="B257" s="284" t="s">
        <v>5295</v>
      </c>
      <c r="C257" s="284"/>
      <c r="D257" s="284"/>
      <c r="E257" s="284"/>
      <c r="F257" s="284"/>
      <c r="G257" s="284"/>
      <c r="H257" s="284"/>
      <c r="I257" s="284"/>
      <c r="J257" s="284"/>
      <c r="K257" s="284"/>
      <c r="L257" s="284"/>
      <c r="M257" s="284"/>
      <c r="N257" s="284"/>
      <c r="O257" s="284"/>
      <c r="P257" s="284"/>
      <c r="Q257" s="284"/>
      <c r="R257" s="284"/>
      <c r="S257" s="284"/>
      <c r="T257" s="284"/>
      <c r="U257" s="284"/>
      <c r="V257" s="284"/>
      <c r="W257" s="284"/>
      <c r="X257" s="284"/>
      <c r="Y257" s="284"/>
      <c r="Z257" s="284"/>
      <c r="AA257" s="284"/>
      <c r="AB257" s="284"/>
      <c r="AC257" s="284"/>
      <c r="AD257" s="284"/>
      <c r="AE257" s="284"/>
      <c r="AF257" s="284"/>
      <c r="AG257" s="284"/>
      <c r="AH257" s="284"/>
      <c r="AI257" s="284"/>
      <c r="AJ257" s="284"/>
      <c r="AK257" s="284"/>
      <c r="AL257" s="284"/>
      <c r="AM257" s="284"/>
      <c r="AN257" s="284"/>
      <c r="AO257" s="284"/>
      <c r="AP257" s="285"/>
      <c r="AQ257" s="285"/>
      <c r="AR257" s="275"/>
      <c r="AS257" s="276"/>
      <c r="AT257" s="276"/>
      <c r="AU257" s="276"/>
      <c r="AV257" s="277"/>
      <c r="AW257" s="275"/>
      <c r="AX257" s="276"/>
      <c r="AY257" s="276"/>
      <c r="AZ257" s="276"/>
      <c r="BA257" s="277"/>
      <c r="BB257" s="8"/>
      <c r="BD257" s="512"/>
      <c r="BE257" s="512"/>
      <c r="BF257" s="512"/>
      <c r="BG257" s="512"/>
      <c r="BH257" s="512"/>
      <c r="BI257" s="512"/>
      <c r="BJ257" s="512"/>
      <c r="BK257" s="512"/>
      <c r="BL257" s="512"/>
      <c r="BM257" s="512"/>
      <c r="BN257" s="512"/>
      <c r="BO257" s="512"/>
      <c r="BP257" s="512"/>
      <c r="BQ257" s="512"/>
      <c r="BR257" s="512"/>
      <c r="BS257" s="512"/>
      <c r="BT257" s="512"/>
      <c r="BU257" s="512"/>
      <c r="BV257" s="512"/>
      <c r="BW257" s="512"/>
      <c r="BX257" s="512"/>
      <c r="BY257" s="512"/>
      <c r="BZ257" s="512"/>
      <c r="CA257" s="512"/>
      <c r="CB257" s="512"/>
      <c r="CC257" s="512"/>
      <c r="CD257" s="512"/>
      <c r="CE257" s="512"/>
      <c r="CF257" s="512"/>
      <c r="CG257" s="512"/>
      <c r="CH257" s="512"/>
      <c r="CI257" s="512"/>
      <c r="CJ257" s="512"/>
      <c r="CK257" s="512"/>
      <c r="CL257" s="82"/>
      <c r="CM257" s="82"/>
      <c r="CN257" s="82"/>
    </row>
    <row r="258" spans="1:92" s="9" customFormat="1" ht="14.25" customHeight="1" x14ac:dyDescent="0.3">
      <c r="A258" s="8"/>
      <c r="B258" s="284" t="s">
        <v>5234</v>
      </c>
      <c r="C258" s="284"/>
      <c r="D258" s="284"/>
      <c r="E258" s="284"/>
      <c r="F258" s="284"/>
      <c r="G258" s="284"/>
      <c r="H258" s="284"/>
      <c r="I258" s="284"/>
      <c r="J258" s="284"/>
      <c r="K258" s="284"/>
      <c r="L258" s="284"/>
      <c r="M258" s="284"/>
      <c r="N258" s="284"/>
      <c r="O258" s="284"/>
      <c r="P258" s="284"/>
      <c r="Q258" s="284"/>
      <c r="R258" s="284"/>
      <c r="S258" s="284"/>
      <c r="T258" s="284"/>
      <c r="U258" s="284"/>
      <c r="V258" s="284"/>
      <c r="W258" s="284"/>
      <c r="X258" s="284"/>
      <c r="Y258" s="284"/>
      <c r="Z258" s="284"/>
      <c r="AA258" s="284"/>
      <c r="AB258" s="284"/>
      <c r="AC258" s="284"/>
      <c r="AD258" s="284"/>
      <c r="AE258" s="284"/>
      <c r="AF258" s="284"/>
      <c r="AG258" s="284"/>
      <c r="AH258" s="284"/>
      <c r="AI258" s="284"/>
      <c r="AJ258" s="284"/>
      <c r="AK258" s="284"/>
      <c r="AL258" s="284"/>
      <c r="AM258" s="284"/>
      <c r="AN258" s="284"/>
      <c r="AO258" s="284"/>
      <c r="AP258" s="285"/>
      <c r="AQ258" s="285"/>
      <c r="AR258" s="275"/>
      <c r="AS258" s="276"/>
      <c r="AT258" s="276"/>
      <c r="AU258" s="276"/>
      <c r="AV258" s="277"/>
      <c r="AW258" s="275"/>
      <c r="AX258" s="276"/>
      <c r="AY258" s="276"/>
      <c r="AZ258" s="276"/>
      <c r="BA258" s="277"/>
      <c r="BB258" s="8"/>
      <c r="BD258" s="512"/>
      <c r="BE258" s="512"/>
      <c r="BF258" s="512"/>
      <c r="BG258" s="512"/>
      <c r="BH258" s="512"/>
      <c r="BI258" s="512"/>
      <c r="BJ258" s="512"/>
      <c r="BK258" s="512"/>
      <c r="BL258" s="512"/>
      <c r="BM258" s="512"/>
      <c r="BN258" s="512"/>
      <c r="BO258" s="512"/>
      <c r="BP258" s="512"/>
      <c r="BQ258" s="512"/>
      <c r="BR258" s="512"/>
      <c r="BS258" s="512"/>
      <c r="BT258" s="512"/>
      <c r="BU258" s="512"/>
      <c r="BV258" s="512"/>
      <c r="BW258" s="512"/>
      <c r="BX258" s="512"/>
      <c r="BY258" s="512"/>
      <c r="BZ258" s="512"/>
      <c r="CA258" s="512"/>
      <c r="CB258" s="512"/>
      <c r="CC258" s="512"/>
      <c r="CD258" s="512"/>
      <c r="CE258" s="512"/>
      <c r="CF258" s="512"/>
      <c r="CG258" s="512"/>
      <c r="CH258" s="512"/>
      <c r="CI258" s="512"/>
      <c r="CJ258" s="512"/>
      <c r="CK258" s="512"/>
      <c r="CL258" s="82"/>
      <c r="CM258" s="82"/>
      <c r="CN258" s="82"/>
    </row>
    <row r="259" spans="1:92" s="9" customFormat="1" ht="14.25" customHeight="1" x14ac:dyDescent="0.3">
      <c r="A259" s="8"/>
      <c r="B259" s="310" t="s">
        <v>5362</v>
      </c>
      <c r="C259" s="310"/>
      <c r="D259" s="310"/>
      <c r="E259" s="310"/>
      <c r="F259" s="310"/>
      <c r="G259" s="310"/>
      <c r="H259" s="310"/>
      <c r="I259" s="310"/>
      <c r="J259" s="310"/>
      <c r="K259" s="310"/>
      <c r="L259" s="310"/>
      <c r="M259" s="310"/>
      <c r="N259" s="310"/>
      <c r="O259" s="310"/>
      <c r="P259" s="310"/>
      <c r="Q259" s="310"/>
      <c r="R259" s="310"/>
      <c r="S259" s="310"/>
      <c r="T259" s="310"/>
      <c r="U259" s="310"/>
      <c r="V259" s="310"/>
      <c r="W259" s="310"/>
      <c r="X259" s="310"/>
      <c r="Y259" s="310"/>
      <c r="Z259" s="310"/>
      <c r="AA259" s="310"/>
      <c r="AB259" s="310"/>
      <c r="AC259" s="310"/>
      <c r="AD259" s="310"/>
      <c r="AE259" s="310"/>
      <c r="AF259" s="310"/>
      <c r="AG259" s="310"/>
      <c r="AH259" s="310"/>
      <c r="AI259" s="310"/>
      <c r="AJ259" s="310"/>
      <c r="AK259" s="310"/>
      <c r="AL259" s="310"/>
      <c r="AM259" s="310"/>
      <c r="AN259" s="310"/>
      <c r="AO259" s="310"/>
      <c r="AP259" s="311"/>
      <c r="AQ259" s="311"/>
      <c r="AR259" s="275"/>
      <c r="AS259" s="276"/>
      <c r="AT259" s="276"/>
      <c r="AU259" s="276"/>
      <c r="AV259" s="277"/>
      <c r="AW259" s="275"/>
      <c r="AX259" s="276"/>
      <c r="AY259" s="276"/>
      <c r="AZ259" s="276"/>
      <c r="BA259" s="277"/>
      <c r="BB259" s="8"/>
      <c r="BD259" s="512"/>
      <c r="BE259" s="512"/>
      <c r="BF259" s="512"/>
      <c r="BG259" s="512"/>
      <c r="BH259" s="512"/>
      <c r="BI259" s="512"/>
      <c r="BJ259" s="512"/>
      <c r="BK259" s="512"/>
      <c r="BL259" s="512"/>
      <c r="BM259" s="512"/>
      <c r="BN259" s="512"/>
      <c r="BO259" s="512"/>
      <c r="BP259" s="512"/>
      <c r="BQ259" s="512"/>
      <c r="BR259" s="512"/>
      <c r="BS259" s="512"/>
      <c r="BT259" s="512"/>
      <c r="BU259" s="512"/>
      <c r="BV259" s="512"/>
      <c r="BW259" s="512"/>
      <c r="BX259" s="512"/>
      <c r="BY259" s="512"/>
      <c r="BZ259" s="512"/>
      <c r="CA259" s="512"/>
      <c r="CB259" s="512"/>
      <c r="CC259" s="512"/>
      <c r="CD259" s="512"/>
      <c r="CE259" s="512"/>
      <c r="CF259" s="512"/>
      <c r="CG259" s="512"/>
      <c r="CH259" s="512"/>
      <c r="CI259" s="512"/>
      <c r="CJ259" s="512"/>
      <c r="CK259" s="512"/>
      <c r="CL259" s="82"/>
      <c r="CM259" s="82"/>
      <c r="CN259" s="82"/>
    </row>
    <row r="260" spans="1:92" s="9" customFormat="1" ht="14.25" customHeight="1" x14ac:dyDescent="0.3">
      <c r="A260" s="8"/>
      <c r="B260" s="284" t="s">
        <v>5231</v>
      </c>
      <c r="C260" s="284"/>
      <c r="D260" s="284"/>
      <c r="E260" s="284"/>
      <c r="F260" s="284"/>
      <c r="G260" s="284"/>
      <c r="H260" s="284"/>
      <c r="I260" s="284"/>
      <c r="J260" s="284"/>
      <c r="K260" s="284"/>
      <c r="L260" s="284"/>
      <c r="M260" s="284"/>
      <c r="N260" s="284"/>
      <c r="O260" s="284"/>
      <c r="P260" s="284"/>
      <c r="Q260" s="284"/>
      <c r="R260" s="284"/>
      <c r="S260" s="284"/>
      <c r="T260" s="284"/>
      <c r="U260" s="284"/>
      <c r="V260" s="284"/>
      <c r="W260" s="284"/>
      <c r="X260" s="284"/>
      <c r="Y260" s="284"/>
      <c r="Z260" s="284"/>
      <c r="AA260" s="284"/>
      <c r="AB260" s="284"/>
      <c r="AC260" s="284"/>
      <c r="AD260" s="284"/>
      <c r="AE260" s="284"/>
      <c r="AF260" s="284"/>
      <c r="AG260" s="284"/>
      <c r="AH260" s="284"/>
      <c r="AI260" s="284"/>
      <c r="AJ260" s="284"/>
      <c r="AK260" s="284"/>
      <c r="AL260" s="284"/>
      <c r="AM260" s="284"/>
      <c r="AN260" s="284"/>
      <c r="AO260" s="284"/>
      <c r="AP260" s="285"/>
      <c r="AQ260" s="285"/>
      <c r="AR260" s="275"/>
      <c r="AS260" s="276"/>
      <c r="AT260" s="276"/>
      <c r="AU260" s="276"/>
      <c r="AV260" s="277"/>
      <c r="AW260" s="275"/>
      <c r="AX260" s="276"/>
      <c r="AY260" s="276"/>
      <c r="AZ260" s="276"/>
      <c r="BA260" s="277"/>
      <c r="BB260" s="8"/>
      <c r="BD260" s="512"/>
      <c r="BE260" s="512"/>
      <c r="BF260" s="512"/>
      <c r="BG260" s="512"/>
      <c r="BH260" s="512"/>
      <c r="BI260" s="512"/>
      <c r="BJ260" s="512"/>
      <c r="BK260" s="512"/>
      <c r="BL260" s="512"/>
      <c r="BM260" s="512"/>
      <c r="BN260" s="512"/>
      <c r="BO260" s="512"/>
      <c r="BP260" s="512"/>
      <c r="BQ260" s="512"/>
      <c r="BR260" s="512"/>
      <c r="BS260" s="512"/>
      <c r="BT260" s="512"/>
      <c r="BU260" s="512"/>
      <c r="BV260" s="512"/>
      <c r="BW260" s="512"/>
      <c r="BX260" s="512"/>
      <c r="BY260" s="512"/>
      <c r="BZ260" s="512"/>
      <c r="CA260" s="512"/>
      <c r="CB260" s="512"/>
      <c r="CC260" s="512"/>
      <c r="CD260" s="512"/>
      <c r="CE260" s="512"/>
      <c r="CF260" s="512"/>
      <c r="CG260" s="512"/>
      <c r="CH260" s="512"/>
      <c r="CI260" s="512"/>
      <c r="CJ260" s="512"/>
      <c r="CK260" s="512"/>
      <c r="CL260" s="82"/>
      <c r="CM260" s="82"/>
      <c r="CN260" s="82"/>
    </row>
    <row r="261" spans="1:92" s="9" customFormat="1" ht="14.25" customHeight="1" x14ac:dyDescent="0.3">
      <c r="A261" s="8"/>
      <c r="B261" s="284" t="s">
        <v>5342</v>
      </c>
      <c r="C261" s="284"/>
      <c r="D261" s="284"/>
      <c r="E261" s="284"/>
      <c r="F261" s="284"/>
      <c r="G261" s="284"/>
      <c r="H261" s="284"/>
      <c r="I261" s="284"/>
      <c r="J261" s="284"/>
      <c r="K261" s="284"/>
      <c r="L261" s="284"/>
      <c r="M261" s="284"/>
      <c r="N261" s="284"/>
      <c r="O261" s="284"/>
      <c r="P261" s="284"/>
      <c r="Q261" s="284"/>
      <c r="R261" s="284"/>
      <c r="S261" s="284"/>
      <c r="T261" s="284"/>
      <c r="U261" s="284"/>
      <c r="V261" s="284"/>
      <c r="W261" s="284"/>
      <c r="X261" s="284"/>
      <c r="Y261" s="284"/>
      <c r="Z261" s="284"/>
      <c r="AA261" s="284"/>
      <c r="AB261" s="284"/>
      <c r="AC261" s="284"/>
      <c r="AD261" s="284"/>
      <c r="AE261" s="284"/>
      <c r="AF261" s="284"/>
      <c r="AG261" s="284"/>
      <c r="AH261" s="284"/>
      <c r="AI261" s="284"/>
      <c r="AJ261" s="284"/>
      <c r="AK261" s="284"/>
      <c r="AL261" s="284"/>
      <c r="AM261" s="284"/>
      <c r="AN261" s="284"/>
      <c r="AO261" s="284"/>
      <c r="AP261" s="285"/>
      <c r="AQ261" s="285"/>
      <c r="AR261" s="275"/>
      <c r="AS261" s="276"/>
      <c r="AT261" s="276"/>
      <c r="AU261" s="276"/>
      <c r="AV261" s="277"/>
      <c r="AW261" s="275"/>
      <c r="AX261" s="276"/>
      <c r="AY261" s="276"/>
      <c r="AZ261" s="276"/>
      <c r="BA261" s="277"/>
      <c r="BB261" s="8"/>
      <c r="BD261" s="512"/>
      <c r="BE261" s="512"/>
      <c r="BF261" s="512"/>
      <c r="BG261" s="512"/>
      <c r="BH261" s="512"/>
      <c r="BI261" s="512"/>
      <c r="BJ261" s="512"/>
      <c r="BK261" s="512"/>
      <c r="BL261" s="512"/>
      <c r="BM261" s="512"/>
      <c r="BN261" s="512"/>
      <c r="BO261" s="512"/>
      <c r="BP261" s="512"/>
      <c r="BQ261" s="512"/>
      <c r="BR261" s="512"/>
      <c r="BS261" s="512"/>
      <c r="BT261" s="512"/>
      <c r="BU261" s="512"/>
      <c r="BV261" s="512"/>
      <c r="BW261" s="512"/>
      <c r="BX261" s="512"/>
      <c r="BY261" s="512"/>
      <c r="BZ261" s="512"/>
      <c r="CA261" s="512"/>
      <c r="CB261" s="512"/>
      <c r="CC261" s="512"/>
      <c r="CD261" s="512"/>
      <c r="CE261" s="512"/>
      <c r="CF261" s="512"/>
      <c r="CG261" s="512"/>
      <c r="CH261" s="512"/>
      <c r="CI261" s="512"/>
      <c r="CJ261" s="512"/>
      <c r="CK261" s="512"/>
      <c r="CL261" s="82"/>
      <c r="CM261" s="82"/>
      <c r="CN261" s="82"/>
    </row>
    <row r="262" spans="1:92" s="9" customFormat="1" ht="14.25" customHeight="1" x14ac:dyDescent="0.3">
      <c r="A262" s="8"/>
      <c r="B262" s="284" t="s">
        <v>5343</v>
      </c>
      <c r="C262" s="284"/>
      <c r="D262" s="284"/>
      <c r="E262" s="284"/>
      <c r="F262" s="284"/>
      <c r="G262" s="284"/>
      <c r="H262" s="284"/>
      <c r="I262" s="284"/>
      <c r="J262" s="284"/>
      <c r="K262" s="284"/>
      <c r="L262" s="284"/>
      <c r="M262" s="284"/>
      <c r="N262" s="284"/>
      <c r="O262" s="284"/>
      <c r="P262" s="284"/>
      <c r="Q262" s="284"/>
      <c r="R262" s="284"/>
      <c r="S262" s="284"/>
      <c r="T262" s="284"/>
      <c r="U262" s="284"/>
      <c r="V262" s="284"/>
      <c r="W262" s="284"/>
      <c r="X262" s="284"/>
      <c r="Y262" s="284"/>
      <c r="Z262" s="284"/>
      <c r="AA262" s="284"/>
      <c r="AB262" s="284"/>
      <c r="AC262" s="284"/>
      <c r="AD262" s="284"/>
      <c r="AE262" s="284"/>
      <c r="AF262" s="284"/>
      <c r="AG262" s="284"/>
      <c r="AH262" s="284"/>
      <c r="AI262" s="284"/>
      <c r="AJ262" s="284"/>
      <c r="AK262" s="284"/>
      <c r="AL262" s="284"/>
      <c r="AM262" s="284"/>
      <c r="AN262" s="284"/>
      <c r="AO262" s="284"/>
      <c r="AP262" s="285"/>
      <c r="AQ262" s="285"/>
      <c r="AR262" s="275"/>
      <c r="AS262" s="276"/>
      <c r="AT262" s="276"/>
      <c r="AU262" s="276"/>
      <c r="AV262" s="277"/>
      <c r="AW262" s="275"/>
      <c r="AX262" s="276"/>
      <c r="AY262" s="276"/>
      <c r="AZ262" s="276"/>
      <c r="BA262" s="277"/>
      <c r="BB262" s="8"/>
      <c r="BD262" s="512"/>
      <c r="BE262" s="512"/>
      <c r="BF262" s="512"/>
      <c r="BG262" s="512"/>
      <c r="BH262" s="512"/>
      <c r="BI262" s="512"/>
      <c r="BJ262" s="512"/>
      <c r="BK262" s="512"/>
      <c r="BL262" s="512"/>
      <c r="BM262" s="512"/>
      <c r="BN262" s="512"/>
      <c r="BO262" s="512"/>
      <c r="BP262" s="512"/>
      <c r="BQ262" s="512"/>
      <c r="BR262" s="512"/>
      <c r="BS262" s="512"/>
      <c r="BT262" s="512"/>
      <c r="BU262" s="512"/>
      <c r="BV262" s="512"/>
      <c r="BW262" s="512"/>
      <c r="BX262" s="512"/>
      <c r="BY262" s="512"/>
      <c r="BZ262" s="512"/>
      <c r="CA262" s="512"/>
      <c r="CB262" s="512"/>
      <c r="CC262" s="512"/>
      <c r="CD262" s="512"/>
      <c r="CE262" s="512"/>
      <c r="CF262" s="512"/>
      <c r="CG262" s="512"/>
      <c r="CH262" s="512"/>
      <c r="CI262" s="512"/>
      <c r="CJ262" s="512"/>
      <c r="CK262" s="512"/>
      <c r="CL262" s="82"/>
      <c r="CM262" s="82"/>
      <c r="CN262" s="82"/>
    </row>
    <row r="263" spans="1:92" s="9" customFormat="1" ht="14.1" customHeight="1" x14ac:dyDescent="0.3">
      <c r="A263" s="8"/>
      <c r="B263" s="284" t="s">
        <v>5290</v>
      </c>
      <c r="C263" s="284"/>
      <c r="D263" s="284"/>
      <c r="E263" s="284"/>
      <c r="F263" s="284"/>
      <c r="G263" s="284"/>
      <c r="H263" s="284"/>
      <c r="I263" s="284"/>
      <c r="J263" s="284"/>
      <c r="K263" s="284"/>
      <c r="L263" s="284"/>
      <c r="M263" s="284"/>
      <c r="N263" s="284"/>
      <c r="O263" s="284"/>
      <c r="P263" s="284"/>
      <c r="Q263" s="284"/>
      <c r="R263" s="284"/>
      <c r="S263" s="284"/>
      <c r="T263" s="284"/>
      <c r="U263" s="284"/>
      <c r="V263" s="284"/>
      <c r="W263" s="284"/>
      <c r="X263" s="284"/>
      <c r="Y263" s="284"/>
      <c r="Z263" s="284"/>
      <c r="AA263" s="284"/>
      <c r="AB263" s="284"/>
      <c r="AC263" s="284"/>
      <c r="AD263" s="284"/>
      <c r="AE263" s="284"/>
      <c r="AF263" s="284"/>
      <c r="AG263" s="284"/>
      <c r="AH263" s="284"/>
      <c r="AI263" s="284"/>
      <c r="AJ263" s="284"/>
      <c r="AK263" s="284"/>
      <c r="AL263" s="284"/>
      <c r="AM263" s="284"/>
      <c r="AN263" s="284"/>
      <c r="AO263" s="284"/>
      <c r="AP263" s="285"/>
      <c r="AQ263" s="285"/>
      <c r="AR263" s="275"/>
      <c r="AS263" s="276"/>
      <c r="AT263" s="276"/>
      <c r="AU263" s="276"/>
      <c r="AV263" s="277"/>
      <c r="AW263" s="275"/>
      <c r="AX263" s="276"/>
      <c r="AY263" s="276"/>
      <c r="AZ263" s="276"/>
      <c r="BA263" s="277"/>
      <c r="BB263" s="8"/>
      <c r="BD263" s="512"/>
      <c r="BE263" s="512"/>
      <c r="BF263" s="512"/>
      <c r="BG263" s="512"/>
      <c r="BH263" s="512"/>
      <c r="BI263" s="512"/>
      <c r="BJ263" s="512"/>
      <c r="BK263" s="512"/>
      <c r="BL263" s="512"/>
      <c r="BM263" s="512"/>
      <c r="BN263" s="512"/>
      <c r="BO263" s="512"/>
      <c r="BP263" s="512"/>
      <c r="BQ263" s="512"/>
      <c r="BR263" s="512"/>
      <c r="BS263" s="512"/>
      <c r="BT263" s="512"/>
      <c r="BU263" s="512"/>
      <c r="BV263" s="512"/>
      <c r="BW263" s="512"/>
      <c r="BX263" s="512"/>
      <c r="BY263" s="512"/>
      <c r="BZ263" s="512"/>
      <c r="CA263" s="512"/>
      <c r="CB263" s="512"/>
      <c r="CC263" s="512"/>
      <c r="CD263" s="512"/>
      <c r="CE263" s="512"/>
      <c r="CF263" s="512"/>
      <c r="CG263" s="512"/>
      <c r="CH263" s="512"/>
      <c r="CI263" s="512"/>
      <c r="CJ263" s="512"/>
      <c r="CK263" s="512"/>
      <c r="CL263" s="82"/>
      <c r="CM263" s="82"/>
      <c r="CN263" s="82"/>
    </row>
    <row r="264" spans="1:92" s="9" customFormat="1" ht="14.1" customHeight="1" x14ac:dyDescent="0.3">
      <c r="A264" s="8"/>
      <c r="B264" s="310" t="s">
        <v>5371</v>
      </c>
      <c r="C264" s="310"/>
      <c r="D264" s="310"/>
      <c r="E264" s="310"/>
      <c r="F264" s="310"/>
      <c r="G264" s="310"/>
      <c r="H264" s="310"/>
      <c r="I264" s="310"/>
      <c r="J264" s="310"/>
      <c r="K264" s="310"/>
      <c r="L264" s="310"/>
      <c r="M264" s="310"/>
      <c r="N264" s="310"/>
      <c r="O264" s="310"/>
      <c r="P264" s="310"/>
      <c r="Q264" s="310"/>
      <c r="R264" s="310"/>
      <c r="S264" s="310"/>
      <c r="T264" s="310"/>
      <c r="U264" s="310"/>
      <c r="V264" s="310"/>
      <c r="W264" s="310"/>
      <c r="X264" s="310"/>
      <c r="Y264" s="310"/>
      <c r="Z264" s="310"/>
      <c r="AA264" s="310"/>
      <c r="AB264" s="310"/>
      <c r="AC264" s="310"/>
      <c r="AD264" s="310"/>
      <c r="AE264" s="310"/>
      <c r="AF264" s="310"/>
      <c r="AG264" s="310"/>
      <c r="AH264" s="310"/>
      <c r="AI264" s="310"/>
      <c r="AJ264" s="310"/>
      <c r="AK264" s="310"/>
      <c r="AL264" s="310"/>
      <c r="AM264" s="310"/>
      <c r="AN264" s="310"/>
      <c r="AO264" s="310"/>
      <c r="AP264" s="311"/>
      <c r="AQ264" s="311"/>
      <c r="AR264" s="275"/>
      <c r="AS264" s="276"/>
      <c r="AT264" s="276"/>
      <c r="AU264" s="276"/>
      <c r="AV264" s="277"/>
      <c r="AW264" s="275"/>
      <c r="AX264" s="276"/>
      <c r="AY264" s="276"/>
      <c r="AZ264" s="276"/>
      <c r="BA264" s="277"/>
      <c r="BB264" s="8"/>
      <c r="BD264" s="512"/>
      <c r="BE264" s="512"/>
      <c r="BF264" s="512"/>
      <c r="BG264" s="512"/>
      <c r="BH264" s="512"/>
      <c r="BI264" s="512"/>
      <c r="BJ264" s="512"/>
      <c r="BK264" s="512"/>
      <c r="BL264" s="512"/>
      <c r="BM264" s="512"/>
      <c r="BN264" s="512"/>
      <c r="BO264" s="512"/>
      <c r="BP264" s="512"/>
      <c r="BQ264" s="512"/>
      <c r="BR264" s="512"/>
      <c r="BS264" s="512"/>
      <c r="BT264" s="512"/>
      <c r="BU264" s="512"/>
      <c r="BV264" s="512"/>
      <c r="BW264" s="512"/>
      <c r="BX264" s="512"/>
      <c r="BY264" s="512"/>
      <c r="BZ264" s="512"/>
      <c r="CA264" s="512"/>
      <c r="CB264" s="512"/>
      <c r="CC264" s="512"/>
      <c r="CD264" s="512"/>
      <c r="CE264" s="512"/>
      <c r="CF264" s="512"/>
      <c r="CG264" s="512"/>
      <c r="CH264" s="512"/>
      <c r="CI264" s="512"/>
      <c r="CJ264" s="512"/>
      <c r="CK264" s="512"/>
      <c r="CL264" s="82"/>
      <c r="CM264" s="82"/>
      <c r="CN264" s="82"/>
    </row>
    <row r="265" spans="1:92" s="9" customFormat="1" ht="14.25" customHeight="1" x14ac:dyDescent="0.3">
      <c r="A265" s="8"/>
      <c r="B265" s="282" t="s">
        <v>5462</v>
      </c>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c r="AA265" s="282"/>
      <c r="AB265" s="282"/>
      <c r="AC265" s="282"/>
      <c r="AD265" s="282"/>
      <c r="AE265" s="282"/>
      <c r="AF265" s="282"/>
      <c r="AG265" s="282"/>
      <c r="AH265" s="282"/>
      <c r="AI265" s="282"/>
      <c r="AJ265" s="282"/>
      <c r="AK265" s="282"/>
      <c r="AL265" s="282"/>
      <c r="AM265" s="282"/>
      <c r="AN265" s="282"/>
      <c r="AO265" s="282"/>
      <c r="AP265" s="283"/>
      <c r="AQ265" s="283"/>
      <c r="AR265" s="275"/>
      <c r="AS265" s="276"/>
      <c r="AT265" s="276"/>
      <c r="AU265" s="276"/>
      <c r="AV265" s="277"/>
      <c r="AW265" s="275"/>
      <c r="AX265" s="276"/>
      <c r="AY265" s="276"/>
      <c r="AZ265" s="276"/>
      <c r="BA265" s="277"/>
      <c r="BB265" s="8"/>
      <c r="BD265" s="512"/>
      <c r="BE265" s="512"/>
      <c r="BF265" s="512"/>
      <c r="BG265" s="512"/>
      <c r="BH265" s="512"/>
      <c r="BI265" s="512"/>
      <c r="BJ265" s="512"/>
      <c r="BK265" s="512"/>
      <c r="BL265" s="512"/>
      <c r="BM265" s="512"/>
      <c r="BN265" s="512"/>
      <c r="BO265" s="512"/>
      <c r="BP265" s="512"/>
      <c r="BQ265" s="512"/>
      <c r="BR265" s="512"/>
      <c r="BS265" s="512"/>
      <c r="BT265" s="512"/>
      <c r="BU265" s="512"/>
      <c r="BV265" s="512"/>
      <c r="BW265" s="512"/>
      <c r="BX265" s="512"/>
      <c r="BY265" s="512"/>
      <c r="BZ265" s="512"/>
      <c r="CA265" s="512"/>
      <c r="CB265" s="512"/>
      <c r="CC265" s="512"/>
      <c r="CD265" s="512"/>
      <c r="CE265" s="512"/>
      <c r="CF265" s="512"/>
      <c r="CG265" s="512"/>
      <c r="CH265" s="512"/>
      <c r="CI265" s="512"/>
      <c r="CJ265" s="512"/>
      <c r="CK265" s="512"/>
      <c r="CL265" s="82"/>
      <c r="CM265" s="82"/>
      <c r="CN265" s="82"/>
    </row>
    <row r="266" spans="1:92" s="9" customFormat="1" ht="14.25" customHeight="1" x14ac:dyDescent="0.3">
      <c r="A266" s="8"/>
      <c r="B266" s="282" t="s">
        <v>5348</v>
      </c>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c r="AA266" s="282"/>
      <c r="AB266" s="282"/>
      <c r="AC266" s="282"/>
      <c r="AD266" s="282"/>
      <c r="AE266" s="282"/>
      <c r="AF266" s="282"/>
      <c r="AG266" s="282"/>
      <c r="AH266" s="282"/>
      <c r="AI266" s="282"/>
      <c r="AJ266" s="282"/>
      <c r="AK266" s="282"/>
      <c r="AL266" s="282"/>
      <c r="AM266" s="282"/>
      <c r="AN266" s="282"/>
      <c r="AO266" s="282"/>
      <c r="AP266" s="283"/>
      <c r="AQ266" s="283"/>
      <c r="AR266" s="275"/>
      <c r="AS266" s="276"/>
      <c r="AT266" s="276"/>
      <c r="AU266" s="276"/>
      <c r="AV266" s="277"/>
      <c r="AW266" s="275"/>
      <c r="AX266" s="276"/>
      <c r="AY266" s="276"/>
      <c r="AZ266" s="276"/>
      <c r="BA266" s="277"/>
      <c r="BB266" s="8"/>
      <c r="BD266" s="512"/>
      <c r="BE266" s="512"/>
      <c r="BF266" s="512"/>
      <c r="BG266" s="512"/>
      <c r="BH266" s="512"/>
      <c r="BI266" s="512"/>
      <c r="BJ266" s="512"/>
      <c r="BK266" s="512"/>
      <c r="BL266" s="512"/>
      <c r="BM266" s="512"/>
      <c r="BN266" s="512"/>
      <c r="BO266" s="512"/>
      <c r="BP266" s="512"/>
      <c r="BQ266" s="512"/>
      <c r="BR266" s="512"/>
      <c r="BS266" s="512"/>
      <c r="BT266" s="512"/>
      <c r="BU266" s="512"/>
      <c r="BV266" s="512"/>
      <c r="BW266" s="512"/>
      <c r="BX266" s="512"/>
      <c r="BY266" s="512"/>
      <c r="BZ266" s="512"/>
      <c r="CA266" s="512"/>
      <c r="CB266" s="512"/>
      <c r="CC266" s="512"/>
      <c r="CD266" s="512"/>
      <c r="CE266" s="512"/>
      <c r="CF266" s="512"/>
      <c r="CG266" s="512"/>
      <c r="CH266" s="512"/>
      <c r="CI266" s="512"/>
      <c r="CJ266" s="512"/>
      <c r="CK266" s="512"/>
      <c r="CL266" s="82"/>
      <c r="CM266" s="82"/>
      <c r="CN266" s="82"/>
    </row>
    <row r="267" spans="1:92" s="9" customFormat="1" ht="14.25" customHeight="1" x14ac:dyDescent="0.3">
      <c r="A267" s="8"/>
      <c r="B267" s="324" t="s">
        <v>5370</v>
      </c>
      <c r="C267" s="324"/>
      <c r="D267" s="324"/>
      <c r="E267" s="324"/>
      <c r="F267" s="324"/>
      <c r="G267" s="324"/>
      <c r="H267" s="324"/>
      <c r="I267" s="324"/>
      <c r="J267" s="324"/>
      <c r="K267" s="324"/>
      <c r="L267" s="324"/>
      <c r="M267" s="324"/>
      <c r="N267" s="324"/>
      <c r="O267" s="324"/>
      <c r="P267" s="324"/>
      <c r="Q267" s="324"/>
      <c r="R267" s="324"/>
      <c r="S267" s="324"/>
      <c r="T267" s="324"/>
      <c r="U267" s="324"/>
      <c r="V267" s="324"/>
      <c r="W267" s="324"/>
      <c r="X267" s="324"/>
      <c r="Y267" s="324"/>
      <c r="Z267" s="324"/>
      <c r="AA267" s="324"/>
      <c r="AB267" s="324"/>
      <c r="AC267" s="324"/>
      <c r="AD267" s="324"/>
      <c r="AE267" s="324"/>
      <c r="AF267" s="324"/>
      <c r="AG267" s="324"/>
      <c r="AH267" s="324"/>
      <c r="AI267" s="324"/>
      <c r="AJ267" s="324"/>
      <c r="AK267" s="324"/>
      <c r="AL267" s="324"/>
      <c r="AM267" s="324"/>
      <c r="AN267" s="324"/>
      <c r="AO267" s="324"/>
      <c r="AP267" s="325"/>
      <c r="AQ267" s="325"/>
      <c r="AR267" s="275"/>
      <c r="AS267" s="276"/>
      <c r="AT267" s="276"/>
      <c r="AU267" s="276"/>
      <c r="AV267" s="277"/>
      <c r="AW267" s="275"/>
      <c r="AX267" s="276"/>
      <c r="AY267" s="276"/>
      <c r="AZ267" s="276"/>
      <c r="BA267" s="277"/>
      <c r="BB267" s="8"/>
      <c r="BD267" s="512"/>
      <c r="BE267" s="512"/>
      <c r="BF267" s="512"/>
      <c r="BG267" s="512"/>
      <c r="BH267" s="512"/>
      <c r="BI267" s="512"/>
      <c r="BJ267" s="512"/>
      <c r="BK267" s="512"/>
      <c r="BL267" s="512"/>
      <c r="BM267" s="512"/>
      <c r="BN267" s="512"/>
      <c r="BO267" s="512"/>
      <c r="BP267" s="512"/>
      <c r="BQ267" s="512"/>
      <c r="BR267" s="512"/>
      <c r="BS267" s="512"/>
      <c r="BT267" s="512"/>
      <c r="BU267" s="512"/>
      <c r="BV267" s="512"/>
      <c r="BW267" s="512"/>
      <c r="BX267" s="512"/>
      <c r="BY267" s="512"/>
      <c r="BZ267" s="512"/>
      <c r="CA267" s="512"/>
      <c r="CB267" s="512"/>
      <c r="CC267" s="512"/>
      <c r="CD267" s="512"/>
      <c r="CE267" s="512"/>
      <c r="CF267" s="512"/>
      <c r="CG267" s="512"/>
      <c r="CH267" s="512"/>
      <c r="CI267" s="512"/>
      <c r="CJ267" s="512"/>
      <c r="CK267" s="512"/>
      <c r="CL267" s="82"/>
      <c r="CM267" s="82"/>
      <c r="CN267" s="82"/>
    </row>
    <row r="268" spans="1:92" s="9" customFormat="1" ht="14.25" customHeight="1" x14ac:dyDescent="0.3">
      <c r="A268" s="8"/>
      <c r="B268" s="282" t="s">
        <v>5475</v>
      </c>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c r="AA268" s="282"/>
      <c r="AB268" s="282"/>
      <c r="AC268" s="282"/>
      <c r="AD268" s="282"/>
      <c r="AE268" s="282"/>
      <c r="AF268" s="282"/>
      <c r="AG268" s="282"/>
      <c r="AH268" s="282"/>
      <c r="AI268" s="282"/>
      <c r="AJ268" s="282"/>
      <c r="AK268" s="282"/>
      <c r="AL268" s="282"/>
      <c r="AM268" s="282"/>
      <c r="AN268" s="282"/>
      <c r="AO268" s="282"/>
      <c r="AP268" s="283"/>
      <c r="AQ268" s="283"/>
      <c r="AR268" s="275"/>
      <c r="AS268" s="276"/>
      <c r="AT268" s="276"/>
      <c r="AU268" s="276"/>
      <c r="AV268" s="276"/>
      <c r="AW268" s="276"/>
      <c r="AX268" s="276"/>
      <c r="AY268" s="276"/>
      <c r="AZ268" s="276"/>
      <c r="BA268" s="277"/>
      <c r="BB268" s="8"/>
      <c r="BD268" s="512"/>
      <c r="BE268" s="512"/>
      <c r="BF268" s="512"/>
      <c r="BG268" s="512"/>
      <c r="BH268" s="512"/>
      <c r="BI268" s="512"/>
      <c r="BJ268" s="512"/>
      <c r="BK268" s="512"/>
      <c r="BL268" s="512"/>
      <c r="BM268" s="512"/>
      <c r="BN268" s="512"/>
      <c r="BO268" s="512"/>
      <c r="BP268" s="512"/>
      <c r="BQ268" s="512"/>
      <c r="BR268" s="512"/>
      <c r="BS268" s="512"/>
      <c r="BT268" s="512"/>
      <c r="BU268" s="512"/>
      <c r="BV268" s="512"/>
      <c r="BW268" s="512"/>
      <c r="BX268" s="512"/>
      <c r="BY268" s="512"/>
      <c r="BZ268" s="512"/>
      <c r="CA268" s="512"/>
      <c r="CB268" s="512"/>
      <c r="CC268" s="512"/>
      <c r="CD268" s="512"/>
      <c r="CE268" s="512"/>
      <c r="CF268" s="512"/>
      <c r="CG268" s="512"/>
      <c r="CH268" s="512"/>
      <c r="CI268" s="512"/>
      <c r="CJ268" s="512"/>
      <c r="CK268" s="512"/>
      <c r="CL268" s="82"/>
      <c r="CM268" s="82"/>
      <c r="CN268" s="82"/>
    </row>
    <row r="269" spans="1:92" s="9" customFormat="1" ht="14.25" customHeight="1" x14ac:dyDescent="0.3">
      <c r="A269" s="8"/>
      <c r="B269" s="282" t="s">
        <v>5479</v>
      </c>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c r="AA269" s="282"/>
      <c r="AB269" s="282"/>
      <c r="AC269" s="282"/>
      <c r="AD269" s="282"/>
      <c r="AE269" s="282"/>
      <c r="AF269" s="282"/>
      <c r="AG269" s="282"/>
      <c r="AH269" s="282"/>
      <c r="AI269" s="282"/>
      <c r="AJ269" s="282"/>
      <c r="AK269" s="282"/>
      <c r="AL269" s="282"/>
      <c r="AM269" s="282"/>
      <c r="AN269" s="282"/>
      <c r="AO269" s="282"/>
      <c r="AP269" s="283"/>
      <c r="AQ269" s="283"/>
      <c r="AR269" s="275"/>
      <c r="AS269" s="276"/>
      <c r="AT269" s="276"/>
      <c r="AU269" s="276"/>
      <c r="AV269" s="276"/>
      <c r="AW269" s="276"/>
      <c r="AX269" s="276"/>
      <c r="AY269" s="276"/>
      <c r="AZ269" s="276"/>
      <c r="BA269" s="277"/>
      <c r="BB269" s="8"/>
      <c r="BD269" s="512"/>
      <c r="BE269" s="512"/>
      <c r="BF269" s="512"/>
      <c r="BG269" s="512"/>
      <c r="BH269" s="512"/>
      <c r="BI269" s="512"/>
      <c r="BJ269" s="512"/>
      <c r="BK269" s="512"/>
      <c r="BL269" s="512"/>
      <c r="BM269" s="512"/>
      <c r="BN269" s="512"/>
      <c r="BO269" s="512"/>
      <c r="BP269" s="512"/>
      <c r="BQ269" s="512"/>
      <c r="BR269" s="512"/>
      <c r="BS269" s="512"/>
      <c r="BT269" s="512"/>
      <c r="BU269" s="512"/>
      <c r="BV269" s="512"/>
      <c r="BW269" s="512"/>
      <c r="BX269" s="512"/>
      <c r="BY269" s="512"/>
      <c r="BZ269" s="512"/>
      <c r="CA269" s="512"/>
      <c r="CB269" s="512"/>
      <c r="CC269" s="512"/>
      <c r="CD269" s="512"/>
      <c r="CE269" s="512"/>
      <c r="CF269" s="512"/>
      <c r="CG269" s="512"/>
      <c r="CH269" s="512"/>
      <c r="CI269" s="512"/>
      <c r="CJ269" s="512"/>
      <c r="CK269" s="512"/>
      <c r="CL269" s="82"/>
      <c r="CM269" s="82"/>
      <c r="CN269" s="82"/>
    </row>
    <row r="270" spans="1:92" s="9" customFormat="1" ht="14.25" customHeight="1" x14ac:dyDescent="0.3">
      <c r="A270" s="8"/>
      <c r="B270" s="282" t="s">
        <v>5573</v>
      </c>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c r="AA270" s="282"/>
      <c r="AB270" s="282"/>
      <c r="AC270" s="282"/>
      <c r="AD270" s="282"/>
      <c r="AE270" s="282"/>
      <c r="AF270" s="282"/>
      <c r="AG270" s="282"/>
      <c r="AH270" s="282"/>
      <c r="AI270" s="282"/>
      <c r="AJ270" s="282"/>
      <c r="AK270" s="282"/>
      <c r="AL270" s="282"/>
      <c r="AM270" s="282"/>
      <c r="AN270" s="282"/>
      <c r="AO270" s="282"/>
      <c r="AP270" s="283"/>
      <c r="AQ270" s="283"/>
      <c r="AR270" s="275"/>
      <c r="AS270" s="276"/>
      <c r="AT270" s="276"/>
      <c r="AU270" s="276"/>
      <c r="AV270" s="276"/>
      <c r="AW270" s="276"/>
      <c r="AX270" s="276"/>
      <c r="AY270" s="276"/>
      <c r="AZ270" s="276"/>
      <c r="BA270" s="277"/>
      <c r="BB270" s="8"/>
      <c r="BD270" s="512"/>
      <c r="BE270" s="512"/>
      <c r="BF270" s="512"/>
      <c r="BG270" s="512"/>
      <c r="BH270" s="512"/>
      <c r="BI270" s="512"/>
      <c r="BJ270" s="512"/>
      <c r="BK270" s="512"/>
      <c r="BL270" s="512"/>
      <c r="BM270" s="512"/>
      <c r="BN270" s="512"/>
      <c r="BO270" s="512"/>
      <c r="BP270" s="512"/>
      <c r="BQ270" s="512"/>
      <c r="BR270" s="512"/>
      <c r="BS270" s="512"/>
      <c r="BT270" s="512"/>
      <c r="BU270" s="512"/>
      <c r="BV270" s="512"/>
      <c r="BW270" s="512"/>
      <c r="BX270" s="512"/>
      <c r="BY270" s="512"/>
      <c r="BZ270" s="512"/>
      <c r="CA270" s="512"/>
      <c r="CB270" s="512"/>
      <c r="CC270" s="512"/>
      <c r="CD270" s="512"/>
      <c r="CE270" s="512"/>
      <c r="CF270" s="512"/>
      <c r="CG270" s="512"/>
      <c r="CH270" s="512"/>
      <c r="CI270" s="512"/>
      <c r="CJ270" s="512"/>
      <c r="CK270" s="512"/>
      <c r="CL270" s="82"/>
      <c r="CM270" s="82"/>
      <c r="CN270" s="82"/>
    </row>
    <row r="271" spans="1:92" s="9" customFormat="1" ht="14.25" hidden="1" customHeight="1" x14ac:dyDescent="0.3">
      <c r="A271" s="8"/>
      <c r="B271" s="324" t="s">
        <v>5574</v>
      </c>
      <c r="C271" s="324"/>
      <c r="D271" s="324"/>
      <c r="E271" s="324"/>
      <c r="F271" s="324"/>
      <c r="G271" s="324"/>
      <c r="H271" s="324"/>
      <c r="I271" s="324"/>
      <c r="J271" s="324"/>
      <c r="K271" s="324"/>
      <c r="L271" s="324"/>
      <c r="M271" s="324"/>
      <c r="N271" s="324"/>
      <c r="O271" s="324"/>
      <c r="P271" s="324"/>
      <c r="Q271" s="324"/>
      <c r="R271" s="324"/>
      <c r="S271" s="324"/>
      <c r="T271" s="324"/>
      <c r="U271" s="324"/>
      <c r="V271" s="324"/>
      <c r="W271" s="324"/>
      <c r="X271" s="324"/>
      <c r="Y271" s="324"/>
      <c r="Z271" s="324"/>
      <c r="AA271" s="324"/>
      <c r="AB271" s="324"/>
      <c r="AC271" s="324"/>
      <c r="AD271" s="324"/>
      <c r="AE271" s="324"/>
      <c r="AF271" s="324"/>
      <c r="AG271" s="324"/>
      <c r="AH271" s="324"/>
      <c r="AI271" s="324"/>
      <c r="AJ271" s="324"/>
      <c r="AK271" s="324"/>
      <c r="AL271" s="324"/>
      <c r="AM271" s="324"/>
      <c r="AN271" s="324"/>
      <c r="AO271" s="324"/>
      <c r="AP271" s="325"/>
      <c r="AQ271" s="325"/>
      <c r="AR271" s="275"/>
      <c r="AS271" s="276"/>
      <c r="AT271" s="276"/>
      <c r="AU271" s="276"/>
      <c r="AV271" s="276"/>
      <c r="AW271" s="276"/>
      <c r="AX271" s="276"/>
      <c r="AY271" s="276"/>
      <c r="AZ271" s="276"/>
      <c r="BA271" s="277"/>
      <c r="BB271" s="8"/>
      <c r="BD271" s="512"/>
      <c r="BE271" s="512"/>
      <c r="BF271" s="512"/>
      <c r="BG271" s="512"/>
      <c r="BH271" s="512"/>
      <c r="BI271" s="512"/>
      <c r="BJ271" s="512"/>
      <c r="BK271" s="512"/>
      <c r="BL271" s="512"/>
      <c r="BM271" s="512"/>
      <c r="BN271" s="512"/>
      <c r="BO271" s="512"/>
      <c r="BP271" s="512"/>
      <c r="BQ271" s="512"/>
      <c r="BR271" s="512"/>
      <c r="BS271" s="512"/>
      <c r="BT271" s="512"/>
      <c r="BU271" s="512"/>
      <c r="BV271" s="512"/>
      <c r="BW271" s="512"/>
      <c r="BX271" s="512"/>
      <c r="BY271" s="512"/>
      <c r="BZ271" s="512"/>
      <c r="CA271" s="512"/>
      <c r="CB271" s="512"/>
      <c r="CC271" s="512"/>
      <c r="CD271" s="512"/>
      <c r="CE271" s="512"/>
      <c r="CF271" s="512"/>
      <c r="CG271" s="512"/>
      <c r="CH271" s="512"/>
      <c r="CI271" s="512"/>
      <c r="CJ271" s="512"/>
      <c r="CK271" s="512"/>
      <c r="CL271" s="82"/>
      <c r="CM271" s="82"/>
      <c r="CN271" s="82"/>
    </row>
    <row r="272" spans="1:92" s="9" customFormat="1" ht="14.25" customHeight="1" x14ac:dyDescent="0.3">
      <c r="A272" s="8"/>
      <c r="B272" s="282" t="s">
        <v>5335</v>
      </c>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c r="AA272" s="282"/>
      <c r="AB272" s="282"/>
      <c r="AC272" s="282"/>
      <c r="AD272" s="282"/>
      <c r="AE272" s="282"/>
      <c r="AF272" s="282"/>
      <c r="AG272" s="282"/>
      <c r="AH272" s="282"/>
      <c r="AI272" s="282"/>
      <c r="AJ272" s="282"/>
      <c r="AK272" s="282"/>
      <c r="AL272" s="282"/>
      <c r="AM272" s="282"/>
      <c r="AN272" s="282"/>
      <c r="AO272" s="282"/>
      <c r="AP272" s="283"/>
      <c r="AQ272" s="283"/>
      <c r="AR272" s="275"/>
      <c r="AS272" s="276"/>
      <c r="AT272" s="276"/>
      <c r="AU272" s="276"/>
      <c r="AV272" s="277"/>
      <c r="AW272" s="275"/>
      <c r="AX272" s="276"/>
      <c r="AY272" s="276"/>
      <c r="AZ272" s="276"/>
      <c r="BA272" s="277"/>
      <c r="BB272" s="8"/>
      <c r="BD272" s="512"/>
      <c r="BE272" s="512"/>
      <c r="BF272" s="512"/>
      <c r="BG272" s="512"/>
      <c r="BH272" s="512"/>
      <c r="BI272" s="512"/>
      <c r="BJ272" s="512"/>
      <c r="BK272" s="512"/>
      <c r="BL272" s="512"/>
      <c r="BM272" s="512"/>
      <c r="BN272" s="512"/>
      <c r="BO272" s="512"/>
      <c r="BP272" s="512"/>
      <c r="BQ272" s="512"/>
      <c r="BR272" s="512"/>
      <c r="BS272" s="512"/>
      <c r="BT272" s="512"/>
      <c r="BU272" s="512"/>
      <c r="BV272" s="512"/>
      <c r="BW272" s="512"/>
      <c r="BX272" s="512"/>
      <c r="BY272" s="512"/>
      <c r="BZ272" s="512"/>
      <c r="CA272" s="512"/>
      <c r="CB272" s="512"/>
      <c r="CC272" s="512"/>
      <c r="CD272" s="512"/>
      <c r="CE272" s="512"/>
      <c r="CF272" s="512"/>
      <c r="CG272" s="512"/>
      <c r="CH272" s="512"/>
      <c r="CI272" s="512"/>
      <c r="CJ272" s="512"/>
      <c r="CK272" s="512"/>
      <c r="CL272" s="82"/>
      <c r="CM272" s="82"/>
      <c r="CN272" s="82"/>
    </row>
    <row r="273" spans="1:92" s="9" customFormat="1" ht="14.25" customHeight="1" x14ac:dyDescent="0.3">
      <c r="A273" s="8"/>
      <c r="B273" s="282" t="s">
        <v>5190</v>
      </c>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c r="AA273" s="282"/>
      <c r="AB273" s="282"/>
      <c r="AC273" s="282"/>
      <c r="AD273" s="282"/>
      <c r="AE273" s="282"/>
      <c r="AF273" s="282"/>
      <c r="AG273" s="282"/>
      <c r="AH273" s="282"/>
      <c r="AI273" s="282"/>
      <c r="AJ273" s="282"/>
      <c r="AK273" s="282"/>
      <c r="AL273" s="282"/>
      <c r="AM273" s="282"/>
      <c r="AN273" s="282"/>
      <c r="AO273" s="282"/>
      <c r="AP273" s="283"/>
      <c r="AQ273" s="283"/>
      <c r="AR273" s="275"/>
      <c r="AS273" s="276"/>
      <c r="AT273" s="276"/>
      <c r="AU273" s="276"/>
      <c r="AV273" s="277"/>
      <c r="AW273" s="275"/>
      <c r="AX273" s="276"/>
      <c r="AY273" s="276"/>
      <c r="AZ273" s="276"/>
      <c r="BA273" s="277"/>
      <c r="BB273" s="8"/>
      <c r="BD273" s="512"/>
      <c r="BE273" s="512"/>
      <c r="BF273" s="512"/>
      <c r="BG273" s="512"/>
      <c r="BH273" s="512"/>
      <c r="BI273" s="512"/>
      <c r="BJ273" s="512"/>
      <c r="BK273" s="512"/>
      <c r="BL273" s="512"/>
      <c r="BM273" s="512"/>
      <c r="BN273" s="512"/>
      <c r="BO273" s="512"/>
      <c r="BP273" s="512"/>
      <c r="BQ273" s="512"/>
      <c r="BR273" s="512"/>
      <c r="BS273" s="512"/>
      <c r="BT273" s="512"/>
      <c r="BU273" s="512"/>
      <c r="BV273" s="512"/>
      <c r="BW273" s="512"/>
      <c r="BX273" s="512"/>
      <c r="BY273" s="512"/>
      <c r="BZ273" s="512"/>
      <c r="CA273" s="512"/>
      <c r="CB273" s="512"/>
      <c r="CC273" s="512"/>
      <c r="CD273" s="512"/>
      <c r="CE273" s="512"/>
      <c r="CF273" s="512"/>
      <c r="CG273" s="512"/>
      <c r="CH273" s="512"/>
      <c r="CI273" s="512"/>
      <c r="CJ273" s="512"/>
      <c r="CK273" s="512"/>
      <c r="CL273" s="82"/>
      <c r="CM273" s="82"/>
      <c r="CN273" s="82"/>
    </row>
    <row r="274" spans="1:92" s="9" customFormat="1" ht="14.25" customHeight="1" x14ac:dyDescent="0.3">
      <c r="A274" s="8"/>
      <c r="B274" s="282" t="s">
        <v>5350</v>
      </c>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c r="AA274" s="282"/>
      <c r="AB274" s="282"/>
      <c r="AC274" s="282"/>
      <c r="AD274" s="282"/>
      <c r="AE274" s="282"/>
      <c r="AF274" s="282"/>
      <c r="AG274" s="282"/>
      <c r="AH274" s="282"/>
      <c r="AI274" s="282"/>
      <c r="AJ274" s="282"/>
      <c r="AK274" s="282"/>
      <c r="AL274" s="282"/>
      <c r="AM274" s="282"/>
      <c r="AN274" s="282"/>
      <c r="AO274" s="282"/>
      <c r="AP274" s="283"/>
      <c r="AQ274" s="283"/>
      <c r="AR274" s="275"/>
      <c r="AS274" s="276"/>
      <c r="AT274" s="276"/>
      <c r="AU274" s="276"/>
      <c r="AV274" s="277"/>
      <c r="AW274" s="275"/>
      <c r="AX274" s="276"/>
      <c r="AY274" s="276"/>
      <c r="AZ274" s="276"/>
      <c r="BA274" s="277"/>
      <c r="BB274" s="8"/>
      <c r="BD274" s="512"/>
      <c r="BE274" s="512"/>
      <c r="BF274" s="512"/>
      <c r="BG274" s="512"/>
      <c r="BH274" s="512"/>
      <c r="BI274" s="512"/>
      <c r="BJ274" s="512"/>
      <c r="BK274" s="512"/>
      <c r="BL274" s="512"/>
      <c r="BM274" s="512"/>
      <c r="BN274" s="512"/>
      <c r="BO274" s="512"/>
      <c r="BP274" s="512"/>
      <c r="BQ274" s="512"/>
      <c r="BR274" s="512"/>
      <c r="BS274" s="512"/>
      <c r="BT274" s="512"/>
      <c r="BU274" s="512"/>
      <c r="BV274" s="512"/>
      <c r="BW274" s="512"/>
      <c r="BX274" s="512"/>
      <c r="BY274" s="512"/>
      <c r="BZ274" s="512"/>
      <c r="CA274" s="512"/>
      <c r="CB274" s="512"/>
      <c r="CC274" s="512"/>
      <c r="CD274" s="512"/>
      <c r="CE274" s="512"/>
      <c r="CF274" s="512"/>
      <c r="CG274" s="512"/>
      <c r="CH274" s="512"/>
      <c r="CI274" s="512"/>
      <c r="CJ274" s="512"/>
      <c r="CK274" s="512"/>
      <c r="CL274" s="82"/>
      <c r="CM274" s="82"/>
      <c r="CN274" s="82"/>
    </row>
    <row r="275" spans="1:92" s="9" customFormat="1" ht="14.25" customHeight="1" x14ac:dyDescent="0.3">
      <c r="A275" s="8"/>
      <c r="B275" s="282" t="s">
        <v>5349</v>
      </c>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c r="AA275" s="282"/>
      <c r="AB275" s="282"/>
      <c r="AC275" s="282"/>
      <c r="AD275" s="282"/>
      <c r="AE275" s="282"/>
      <c r="AF275" s="282"/>
      <c r="AG275" s="282"/>
      <c r="AH275" s="282"/>
      <c r="AI275" s="282"/>
      <c r="AJ275" s="282"/>
      <c r="AK275" s="282"/>
      <c r="AL275" s="282"/>
      <c r="AM275" s="282"/>
      <c r="AN275" s="282"/>
      <c r="AO275" s="282"/>
      <c r="AP275" s="283"/>
      <c r="AQ275" s="283"/>
      <c r="AR275" s="275"/>
      <c r="AS275" s="276"/>
      <c r="AT275" s="276"/>
      <c r="AU275" s="276"/>
      <c r="AV275" s="277"/>
      <c r="AW275" s="275"/>
      <c r="AX275" s="276"/>
      <c r="AY275" s="276"/>
      <c r="AZ275" s="276"/>
      <c r="BA275" s="277"/>
      <c r="BB275" s="8"/>
      <c r="BD275" s="512"/>
      <c r="BE275" s="512"/>
      <c r="BF275" s="512"/>
      <c r="BG275" s="512"/>
      <c r="BH275" s="512"/>
      <c r="BI275" s="512"/>
      <c r="BJ275" s="512"/>
      <c r="BK275" s="512"/>
      <c r="BL275" s="512"/>
      <c r="BM275" s="512"/>
      <c r="BN275" s="512"/>
      <c r="BO275" s="512"/>
      <c r="BP275" s="512"/>
      <c r="BQ275" s="512"/>
      <c r="BR275" s="512"/>
      <c r="BS275" s="512"/>
      <c r="BT275" s="512"/>
      <c r="BU275" s="512"/>
      <c r="BV275" s="512"/>
      <c r="BW275" s="512"/>
      <c r="BX275" s="512"/>
      <c r="BY275" s="512"/>
      <c r="BZ275" s="512"/>
      <c r="CA275" s="512"/>
      <c r="CB275" s="512"/>
      <c r="CC275" s="512"/>
      <c r="CD275" s="512"/>
      <c r="CE275" s="512"/>
      <c r="CF275" s="512"/>
      <c r="CG275" s="512"/>
      <c r="CH275" s="512"/>
      <c r="CI275" s="512"/>
      <c r="CJ275" s="512"/>
      <c r="CK275" s="512"/>
      <c r="CL275" s="82"/>
      <c r="CM275" s="82"/>
      <c r="CN275" s="82"/>
    </row>
    <row r="276" spans="1:92" s="9" customFormat="1" ht="14.25" customHeight="1" x14ac:dyDescent="0.3">
      <c r="A276" s="8"/>
      <c r="B276" s="282" t="s">
        <v>5191</v>
      </c>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c r="AA276" s="282"/>
      <c r="AB276" s="282"/>
      <c r="AC276" s="282"/>
      <c r="AD276" s="282"/>
      <c r="AE276" s="282"/>
      <c r="AF276" s="282"/>
      <c r="AG276" s="282"/>
      <c r="AH276" s="282"/>
      <c r="AI276" s="282"/>
      <c r="AJ276" s="282"/>
      <c r="AK276" s="282"/>
      <c r="AL276" s="282"/>
      <c r="AM276" s="282"/>
      <c r="AN276" s="282"/>
      <c r="AO276" s="282"/>
      <c r="AP276" s="283"/>
      <c r="AQ276" s="283"/>
      <c r="AR276" s="275"/>
      <c r="AS276" s="276"/>
      <c r="AT276" s="276"/>
      <c r="AU276" s="276"/>
      <c r="AV276" s="277"/>
      <c r="AW276" s="275"/>
      <c r="AX276" s="276"/>
      <c r="AY276" s="276"/>
      <c r="AZ276" s="276"/>
      <c r="BA276" s="277"/>
      <c r="BB276" s="8"/>
      <c r="BD276" s="512"/>
      <c r="BE276" s="512"/>
      <c r="BF276" s="512"/>
      <c r="BG276" s="512"/>
      <c r="BH276" s="512"/>
      <c r="BI276" s="512"/>
      <c r="BJ276" s="512"/>
      <c r="BK276" s="512"/>
      <c r="BL276" s="512"/>
      <c r="BM276" s="512"/>
      <c r="BN276" s="512"/>
      <c r="BO276" s="512"/>
      <c r="BP276" s="512"/>
      <c r="BQ276" s="512"/>
      <c r="BR276" s="512"/>
      <c r="BS276" s="512"/>
      <c r="BT276" s="512"/>
      <c r="BU276" s="512"/>
      <c r="BV276" s="512"/>
      <c r="BW276" s="512"/>
      <c r="BX276" s="512"/>
      <c r="BY276" s="512"/>
      <c r="BZ276" s="512"/>
      <c r="CA276" s="512"/>
      <c r="CB276" s="512"/>
      <c r="CC276" s="512"/>
      <c r="CD276" s="512"/>
      <c r="CE276" s="512"/>
      <c r="CF276" s="512"/>
      <c r="CG276" s="512"/>
      <c r="CH276" s="512"/>
      <c r="CI276" s="512"/>
      <c r="CJ276" s="512"/>
      <c r="CK276" s="512"/>
      <c r="CL276" s="82"/>
      <c r="CM276" s="82"/>
      <c r="CN276" s="82"/>
    </row>
    <row r="277" spans="1:92" s="9" customFormat="1" ht="14.25" customHeight="1" x14ac:dyDescent="0.3">
      <c r="A277" s="8"/>
      <c r="B277" s="284" t="s">
        <v>5351</v>
      </c>
      <c r="C277" s="284"/>
      <c r="D277" s="284"/>
      <c r="E277" s="284"/>
      <c r="F277" s="284"/>
      <c r="G277" s="284"/>
      <c r="H277" s="284"/>
      <c r="I277" s="284"/>
      <c r="J277" s="284"/>
      <c r="K277" s="284"/>
      <c r="L277" s="284"/>
      <c r="M277" s="284"/>
      <c r="N277" s="284"/>
      <c r="O277" s="284"/>
      <c r="P277" s="284"/>
      <c r="Q277" s="284"/>
      <c r="R277" s="284"/>
      <c r="S277" s="284"/>
      <c r="T277" s="284"/>
      <c r="U277" s="284"/>
      <c r="V277" s="284"/>
      <c r="W277" s="284"/>
      <c r="X277" s="284"/>
      <c r="Y277" s="284"/>
      <c r="Z277" s="284"/>
      <c r="AA277" s="284"/>
      <c r="AB277" s="284"/>
      <c r="AC277" s="284"/>
      <c r="AD277" s="284"/>
      <c r="AE277" s="284"/>
      <c r="AF277" s="284"/>
      <c r="AG277" s="284"/>
      <c r="AH277" s="284"/>
      <c r="AI277" s="284"/>
      <c r="AJ277" s="284"/>
      <c r="AK277" s="284"/>
      <c r="AL277" s="284"/>
      <c r="AM277" s="284"/>
      <c r="AN277" s="284"/>
      <c r="AO277" s="284"/>
      <c r="AP277" s="285"/>
      <c r="AQ277" s="285"/>
      <c r="AR277" s="275"/>
      <c r="AS277" s="276"/>
      <c r="AT277" s="276"/>
      <c r="AU277" s="276"/>
      <c r="AV277" s="277"/>
      <c r="AW277" s="275"/>
      <c r="AX277" s="276"/>
      <c r="AY277" s="276"/>
      <c r="AZ277" s="276"/>
      <c r="BA277" s="277"/>
      <c r="BB277" s="8"/>
      <c r="BD277" s="512"/>
      <c r="BE277" s="512"/>
      <c r="BF277" s="512"/>
      <c r="BG277" s="512"/>
      <c r="BH277" s="512"/>
      <c r="BI277" s="512"/>
      <c r="BJ277" s="512"/>
      <c r="BK277" s="512"/>
      <c r="BL277" s="512"/>
      <c r="BM277" s="512"/>
      <c r="BN277" s="512"/>
      <c r="BO277" s="512"/>
      <c r="BP277" s="512"/>
      <c r="BQ277" s="512"/>
      <c r="BR277" s="512"/>
      <c r="BS277" s="512"/>
      <c r="BT277" s="512"/>
      <c r="BU277" s="512"/>
      <c r="BV277" s="512"/>
      <c r="BW277" s="512"/>
      <c r="BX277" s="512"/>
      <c r="BY277" s="512"/>
      <c r="BZ277" s="512"/>
      <c r="CA277" s="512"/>
      <c r="CB277" s="512"/>
      <c r="CC277" s="512"/>
      <c r="CD277" s="512"/>
      <c r="CE277" s="512"/>
      <c r="CF277" s="512"/>
      <c r="CG277" s="512"/>
      <c r="CH277" s="512"/>
      <c r="CI277" s="512"/>
      <c r="CJ277" s="512"/>
      <c r="CK277" s="512"/>
      <c r="CL277" s="82"/>
      <c r="CM277" s="82"/>
      <c r="CN277" s="82"/>
    </row>
    <row r="278" spans="1:92" s="9" customFormat="1" ht="14.25" customHeight="1" x14ac:dyDescent="0.3">
      <c r="A278" s="8"/>
      <c r="B278" s="284" t="s">
        <v>5300</v>
      </c>
      <c r="C278" s="284"/>
      <c r="D278" s="284"/>
      <c r="E278" s="284"/>
      <c r="F278" s="284"/>
      <c r="G278" s="284"/>
      <c r="H278" s="284"/>
      <c r="I278" s="284"/>
      <c r="J278" s="284"/>
      <c r="K278" s="284"/>
      <c r="L278" s="284"/>
      <c r="M278" s="284"/>
      <c r="N278" s="284"/>
      <c r="O278" s="284"/>
      <c r="P278" s="284"/>
      <c r="Q278" s="284"/>
      <c r="R278" s="284"/>
      <c r="S278" s="284"/>
      <c r="T278" s="284"/>
      <c r="U278" s="284"/>
      <c r="V278" s="284"/>
      <c r="W278" s="284"/>
      <c r="X278" s="284"/>
      <c r="Y278" s="284"/>
      <c r="Z278" s="284"/>
      <c r="AA278" s="284"/>
      <c r="AB278" s="284"/>
      <c r="AC278" s="284"/>
      <c r="AD278" s="284"/>
      <c r="AE278" s="284"/>
      <c r="AF278" s="284"/>
      <c r="AG278" s="284"/>
      <c r="AH278" s="284"/>
      <c r="AI278" s="284"/>
      <c r="AJ278" s="284"/>
      <c r="AK278" s="284"/>
      <c r="AL278" s="284"/>
      <c r="AM278" s="284"/>
      <c r="AN278" s="284"/>
      <c r="AO278" s="284"/>
      <c r="AP278" s="285"/>
      <c r="AQ278" s="285"/>
      <c r="AR278" s="275"/>
      <c r="AS278" s="276"/>
      <c r="AT278" s="276"/>
      <c r="AU278" s="276"/>
      <c r="AV278" s="277"/>
      <c r="AW278" s="275"/>
      <c r="AX278" s="276"/>
      <c r="AY278" s="276"/>
      <c r="AZ278" s="276"/>
      <c r="BA278" s="277"/>
      <c r="BB278" s="8"/>
      <c r="BD278" s="512"/>
      <c r="BE278" s="512"/>
      <c r="BF278" s="512"/>
      <c r="BG278" s="512"/>
      <c r="BH278" s="512"/>
      <c r="BI278" s="512"/>
      <c r="BJ278" s="512"/>
      <c r="BK278" s="512"/>
      <c r="BL278" s="512"/>
      <c r="BM278" s="512"/>
      <c r="BN278" s="512"/>
      <c r="BO278" s="512"/>
      <c r="BP278" s="512"/>
      <c r="BQ278" s="512"/>
      <c r="BR278" s="512"/>
      <c r="BS278" s="512"/>
      <c r="BT278" s="512"/>
      <c r="BU278" s="512"/>
      <c r="BV278" s="512"/>
      <c r="BW278" s="512"/>
      <c r="BX278" s="512"/>
      <c r="BY278" s="512"/>
      <c r="BZ278" s="512"/>
      <c r="CA278" s="512"/>
      <c r="CB278" s="512"/>
      <c r="CC278" s="512"/>
      <c r="CD278" s="512"/>
      <c r="CE278" s="512"/>
      <c r="CF278" s="512"/>
      <c r="CG278" s="512"/>
      <c r="CH278" s="512"/>
      <c r="CI278" s="512"/>
      <c r="CJ278" s="512"/>
      <c r="CK278" s="512"/>
      <c r="CL278" s="82"/>
      <c r="CM278" s="82"/>
      <c r="CN278" s="82"/>
    </row>
    <row r="279" spans="1:92" s="9" customFormat="1" ht="14.25" customHeight="1" x14ac:dyDescent="0.3">
      <c r="A279" s="8"/>
      <c r="B279" s="284" t="s">
        <v>5281</v>
      </c>
      <c r="C279" s="284"/>
      <c r="D279" s="284"/>
      <c r="E279" s="284"/>
      <c r="F279" s="284"/>
      <c r="G279" s="284"/>
      <c r="H279" s="284"/>
      <c r="I279" s="284"/>
      <c r="J279" s="284"/>
      <c r="K279" s="284"/>
      <c r="L279" s="284"/>
      <c r="M279" s="284"/>
      <c r="N279" s="284"/>
      <c r="O279" s="284"/>
      <c r="P279" s="284"/>
      <c r="Q279" s="284"/>
      <c r="R279" s="284"/>
      <c r="S279" s="284"/>
      <c r="T279" s="284"/>
      <c r="U279" s="284"/>
      <c r="V279" s="284"/>
      <c r="W279" s="284"/>
      <c r="X279" s="284"/>
      <c r="Y279" s="284"/>
      <c r="Z279" s="284"/>
      <c r="AA279" s="284"/>
      <c r="AB279" s="284"/>
      <c r="AC279" s="284"/>
      <c r="AD279" s="284"/>
      <c r="AE279" s="284"/>
      <c r="AF279" s="284"/>
      <c r="AG279" s="284"/>
      <c r="AH279" s="284"/>
      <c r="AI279" s="284"/>
      <c r="AJ279" s="284"/>
      <c r="AK279" s="284"/>
      <c r="AL279" s="284"/>
      <c r="AM279" s="284"/>
      <c r="AN279" s="284"/>
      <c r="AO279" s="284"/>
      <c r="AP279" s="285"/>
      <c r="AQ279" s="285"/>
      <c r="AR279" s="275"/>
      <c r="AS279" s="276"/>
      <c r="AT279" s="276"/>
      <c r="AU279" s="276"/>
      <c r="AV279" s="277"/>
      <c r="AW279" s="275"/>
      <c r="AX279" s="276"/>
      <c r="AY279" s="276"/>
      <c r="AZ279" s="276"/>
      <c r="BA279" s="277"/>
      <c r="BB279" s="8"/>
      <c r="BD279" s="512"/>
      <c r="BE279" s="512"/>
      <c r="BF279" s="512"/>
      <c r="BG279" s="512"/>
      <c r="BH279" s="512"/>
      <c r="BI279" s="512"/>
      <c r="BJ279" s="512"/>
      <c r="BK279" s="512"/>
      <c r="BL279" s="512"/>
      <c r="BM279" s="512"/>
      <c r="BN279" s="512"/>
      <c r="BO279" s="512"/>
      <c r="BP279" s="512"/>
      <c r="BQ279" s="512"/>
      <c r="BR279" s="512"/>
      <c r="BS279" s="512"/>
      <c r="BT279" s="512"/>
      <c r="BU279" s="512"/>
      <c r="BV279" s="512"/>
      <c r="BW279" s="512"/>
      <c r="BX279" s="512"/>
      <c r="BY279" s="512"/>
      <c r="BZ279" s="512"/>
      <c r="CA279" s="512"/>
      <c r="CB279" s="512"/>
      <c r="CC279" s="512"/>
      <c r="CD279" s="512"/>
      <c r="CE279" s="512"/>
      <c r="CF279" s="512"/>
      <c r="CG279" s="512"/>
      <c r="CH279" s="512"/>
      <c r="CI279" s="512"/>
      <c r="CJ279" s="512"/>
      <c r="CK279" s="512"/>
      <c r="CL279" s="82"/>
      <c r="CM279" s="82"/>
      <c r="CN279" s="82"/>
    </row>
    <row r="280" spans="1:92" s="9" customFormat="1" ht="14.25" customHeight="1" x14ac:dyDescent="0.25">
      <c r="A280" s="8"/>
      <c r="B280" s="326" t="s">
        <v>5280</v>
      </c>
      <c r="C280" s="327"/>
      <c r="D280" s="327"/>
      <c r="E280" s="327"/>
      <c r="F280" s="327"/>
      <c r="G280" s="327"/>
      <c r="H280" s="327"/>
      <c r="I280" s="327"/>
      <c r="J280" s="327"/>
      <c r="K280" s="327"/>
      <c r="L280" s="327"/>
      <c r="M280" s="327"/>
      <c r="N280" s="327"/>
      <c r="O280" s="327"/>
      <c r="P280" s="327"/>
      <c r="Q280" s="327"/>
      <c r="R280" s="327"/>
      <c r="S280" s="327"/>
      <c r="T280" s="327"/>
      <c r="U280" s="327"/>
      <c r="V280" s="327"/>
      <c r="W280" s="327"/>
      <c r="X280" s="327"/>
      <c r="Y280" s="327"/>
      <c r="Z280" s="327"/>
      <c r="AA280" s="327"/>
      <c r="AB280" s="327"/>
      <c r="AC280" s="327"/>
      <c r="AD280" s="327"/>
      <c r="AE280" s="327"/>
      <c r="AF280" s="327"/>
      <c r="AG280" s="327"/>
      <c r="AH280" s="327"/>
      <c r="AI280" s="327"/>
      <c r="AJ280" s="327"/>
      <c r="AK280" s="327"/>
      <c r="AL280" s="327"/>
      <c r="AM280" s="327"/>
      <c r="AN280" s="327"/>
      <c r="AO280" s="327"/>
      <c r="AP280" s="327"/>
      <c r="AQ280" s="328"/>
      <c r="AR280" s="275"/>
      <c r="AS280" s="276"/>
      <c r="AT280" s="276"/>
      <c r="AU280" s="276"/>
      <c r="AV280" s="277"/>
      <c r="AW280" s="275"/>
      <c r="AX280" s="276"/>
      <c r="AY280" s="276"/>
      <c r="AZ280" s="276"/>
      <c r="BA280" s="277"/>
      <c r="BB280" s="8"/>
      <c r="BD280" s="512"/>
      <c r="BE280" s="512"/>
      <c r="BF280" s="512"/>
      <c r="BG280" s="512"/>
      <c r="BH280" s="512"/>
      <c r="BI280" s="512"/>
      <c r="BJ280" s="512"/>
      <c r="BK280" s="512"/>
      <c r="BL280" s="512"/>
      <c r="BM280" s="512"/>
      <c r="BN280" s="512"/>
      <c r="BO280" s="512"/>
      <c r="BP280" s="512"/>
      <c r="BQ280" s="512"/>
      <c r="BR280" s="512"/>
      <c r="BS280" s="512"/>
      <c r="BT280" s="512"/>
      <c r="BU280" s="512"/>
      <c r="BV280" s="512"/>
      <c r="BW280" s="512"/>
      <c r="BX280" s="512"/>
      <c r="BY280" s="512"/>
      <c r="BZ280" s="512"/>
      <c r="CA280" s="512"/>
      <c r="CB280" s="512"/>
      <c r="CC280" s="512"/>
      <c r="CD280" s="512"/>
      <c r="CE280" s="512"/>
      <c r="CF280" s="512"/>
      <c r="CG280" s="512"/>
      <c r="CH280" s="512"/>
      <c r="CI280" s="512"/>
      <c r="CJ280" s="512"/>
      <c r="CK280" s="512"/>
      <c r="CL280" s="82"/>
      <c r="CM280" s="82"/>
      <c r="CN280" s="82"/>
    </row>
    <row r="281" spans="1:92" s="9" customFormat="1" ht="14.25" customHeight="1" x14ac:dyDescent="0.3">
      <c r="A281" s="8"/>
      <c r="B281" s="310" t="s">
        <v>5363</v>
      </c>
      <c r="C281" s="310"/>
      <c r="D281" s="310"/>
      <c r="E281" s="310"/>
      <c r="F281" s="310"/>
      <c r="G281" s="310"/>
      <c r="H281" s="310"/>
      <c r="I281" s="310"/>
      <c r="J281" s="310"/>
      <c r="K281" s="310"/>
      <c r="L281" s="310"/>
      <c r="M281" s="310"/>
      <c r="N281" s="310"/>
      <c r="O281" s="310"/>
      <c r="P281" s="310"/>
      <c r="Q281" s="310"/>
      <c r="R281" s="310"/>
      <c r="S281" s="310"/>
      <c r="T281" s="310"/>
      <c r="U281" s="310"/>
      <c r="V281" s="310"/>
      <c r="W281" s="310"/>
      <c r="X281" s="310"/>
      <c r="Y281" s="310"/>
      <c r="Z281" s="310"/>
      <c r="AA281" s="310"/>
      <c r="AB281" s="310"/>
      <c r="AC281" s="310"/>
      <c r="AD281" s="310"/>
      <c r="AE281" s="310"/>
      <c r="AF281" s="310"/>
      <c r="AG281" s="310"/>
      <c r="AH281" s="310"/>
      <c r="AI281" s="310"/>
      <c r="AJ281" s="310"/>
      <c r="AK281" s="310"/>
      <c r="AL281" s="310"/>
      <c r="AM281" s="310"/>
      <c r="AN281" s="310"/>
      <c r="AO281" s="310"/>
      <c r="AP281" s="311"/>
      <c r="AQ281" s="311"/>
      <c r="AR281" s="275"/>
      <c r="AS281" s="276"/>
      <c r="AT281" s="276"/>
      <c r="AU281" s="276"/>
      <c r="AV281" s="277"/>
      <c r="AW281" s="275"/>
      <c r="AX281" s="276"/>
      <c r="AY281" s="276"/>
      <c r="AZ281" s="276"/>
      <c r="BA281" s="277"/>
      <c r="BB281" s="8"/>
      <c r="BD281" s="512"/>
      <c r="BE281" s="512"/>
      <c r="BF281" s="512"/>
      <c r="BG281" s="512"/>
      <c r="BH281" s="512"/>
      <c r="BI281" s="512"/>
      <c r="BJ281" s="512"/>
      <c r="BK281" s="512"/>
      <c r="BL281" s="512"/>
      <c r="BM281" s="512"/>
      <c r="BN281" s="512"/>
      <c r="BO281" s="512"/>
      <c r="BP281" s="512"/>
      <c r="BQ281" s="512"/>
      <c r="BR281" s="512"/>
      <c r="BS281" s="512"/>
      <c r="BT281" s="512"/>
      <c r="BU281" s="512"/>
      <c r="BV281" s="512"/>
      <c r="BW281" s="512"/>
      <c r="BX281" s="512"/>
      <c r="BY281" s="512"/>
      <c r="BZ281" s="512"/>
      <c r="CA281" s="512"/>
      <c r="CB281" s="512"/>
      <c r="CC281" s="512"/>
      <c r="CD281" s="512"/>
      <c r="CE281" s="512"/>
      <c r="CF281" s="512"/>
      <c r="CG281" s="512"/>
      <c r="CH281" s="512"/>
      <c r="CI281" s="512"/>
      <c r="CJ281" s="512"/>
      <c r="CK281" s="512"/>
      <c r="CL281" s="82"/>
      <c r="CM281" s="82"/>
      <c r="CN281" s="82"/>
    </row>
    <row r="282" spans="1:92" s="9" customFormat="1" ht="14.25" customHeight="1" x14ac:dyDescent="0.3">
      <c r="A282" s="8"/>
      <c r="B282" s="284" t="s">
        <v>5291</v>
      </c>
      <c r="C282" s="284"/>
      <c r="D282" s="284"/>
      <c r="E282" s="284"/>
      <c r="F282" s="284"/>
      <c r="G282" s="284"/>
      <c r="H282" s="284"/>
      <c r="I282" s="284"/>
      <c r="J282" s="284"/>
      <c r="K282" s="284"/>
      <c r="L282" s="284"/>
      <c r="M282" s="284"/>
      <c r="N282" s="284"/>
      <c r="O282" s="284"/>
      <c r="P282" s="284"/>
      <c r="Q282" s="284"/>
      <c r="R282" s="284"/>
      <c r="S282" s="284"/>
      <c r="T282" s="284"/>
      <c r="U282" s="284"/>
      <c r="V282" s="284"/>
      <c r="W282" s="284"/>
      <c r="X282" s="284"/>
      <c r="Y282" s="284"/>
      <c r="Z282" s="284"/>
      <c r="AA282" s="284"/>
      <c r="AB282" s="284"/>
      <c r="AC282" s="284"/>
      <c r="AD282" s="284"/>
      <c r="AE282" s="284"/>
      <c r="AF282" s="284"/>
      <c r="AG282" s="284"/>
      <c r="AH282" s="284"/>
      <c r="AI282" s="284"/>
      <c r="AJ282" s="284"/>
      <c r="AK282" s="284"/>
      <c r="AL282" s="284"/>
      <c r="AM282" s="284"/>
      <c r="AN282" s="284"/>
      <c r="AO282" s="284"/>
      <c r="AP282" s="285"/>
      <c r="AQ282" s="285"/>
      <c r="AR282" s="275"/>
      <c r="AS282" s="276"/>
      <c r="AT282" s="276"/>
      <c r="AU282" s="276"/>
      <c r="AV282" s="277"/>
      <c r="AW282" s="275"/>
      <c r="AX282" s="276"/>
      <c r="AY282" s="276"/>
      <c r="AZ282" s="276"/>
      <c r="BA282" s="277"/>
      <c r="BB282" s="8"/>
      <c r="BD282" s="512"/>
      <c r="BE282" s="512"/>
      <c r="BF282" s="512"/>
      <c r="BG282" s="512"/>
      <c r="BH282" s="512"/>
      <c r="BI282" s="512"/>
      <c r="BJ282" s="512"/>
      <c r="BK282" s="512"/>
      <c r="BL282" s="512"/>
      <c r="BM282" s="512"/>
      <c r="BN282" s="512"/>
      <c r="BO282" s="512"/>
      <c r="BP282" s="512"/>
      <c r="BQ282" s="512"/>
      <c r="BR282" s="512"/>
      <c r="BS282" s="512"/>
      <c r="BT282" s="512"/>
      <c r="BU282" s="512"/>
      <c r="BV282" s="512"/>
      <c r="BW282" s="512"/>
      <c r="BX282" s="512"/>
      <c r="BY282" s="512"/>
      <c r="BZ282" s="512"/>
      <c r="CA282" s="512"/>
      <c r="CB282" s="512"/>
      <c r="CC282" s="512"/>
      <c r="CD282" s="512"/>
      <c r="CE282" s="512"/>
      <c r="CF282" s="512"/>
      <c r="CG282" s="512"/>
      <c r="CH282" s="512"/>
      <c r="CI282" s="512"/>
      <c r="CJ282" s="512"/>
      <c r="CK282" s="512"/>
      <c r="CL282" s="82"/>
      <c r="CM282" s="82"/>
      <c r="CN282" s="82"/>
    </row>
    <row r="283" spans="1:92" s="9" customFormat="1" ht="14.25" customHeight="1" x14ac:dyDescent="0.3">
      <c r="A283" s="8"/>
      <c r="B283" s="284" t="s">
        <v>5192</v>
      </c>
      <c r="C283" s="284"/>
      <c r="D283" s="284"/>
      <c r="E283" s="284"/>
      <c r="F283" s="284"/>
      <c r="G283" s="284"/>
      <c r="H283" s="284"/>
      <c r="I283" s="284"/>
      <c r="J283" s="284"/>
      <c r="K283" s="284"/>
      <c r="L283" s="284"/>
      <c r="M283" s="284"/>
      <c r="N283" s="284"/>
      <c r="O283" s="284"/>
      <c r="P283" s="284"/>
      <c r="Q283" s="284"/>
      <c r="R283" s="284"/>
      <c r="S283" s="284"/>
      <c r="T283" s="284"/>
      <c r="U283" s="284"/>
      <c r="V283" s="284"/>
      <c r="W283" s="284"/>
      <c r="X283" s="284"/>
      <c r="Y283" s="284"/>
      <c r="Z283" s="284"/>
      <c r="AA283" s="284"/>
      <c r="AB283" s="284"/>
      <c r="AC283" s="284"/>
      <c r="AD283" s="284"/>
      <c r="AE283" s="284"/>
      <c r="AF283" s="284"/>
      <c r="AG283" s="284"/>
      <c r="AH283" s="284"/>
      <c r="AI283" s="284"/>
      <c r="AJ283" s="284"/>
      <c r="AK283" s="284"/>
      <c r="AL283" s="284"/>
      <c r="AM283" s="284"/>
      <c r="AN283" s="284"/>
      <c r="AO283" s="284"/>
      <c r="AP283" s="285"/>
      <c r="AQ283" s="285"/>
      <c r="AR283" s="275"/>
      <c r="AS283" s="276"/>
      <c r="AT283" s="276"/>
      <c r="AU283" s="276"/>
      <c r="AV283" s="277"/>
      <c r="AW283" s="275"/>
      <c r="AX283" s="276"/>
      <c r="AY283" s="276"/>
      <c r="AZ283" s="276"/>
      <c r="BA283" s="277"/>
      <c r="BB283" s="8"/>
      <c r="BD283" s="512"/>
      <c r="BE283" s="512"/>
      <c r="BF283" s="512"/>
      <c r="BG283" s="512"/>
      <c r="BH283" s="512"/>
      <c r="BI283" s="512"/>
      <c r="BJ283" s="512"/>
      <c r="BK283" s="512"/>
      <c r="BL283" s="512"/>
      <c r="BM283" s="512"/>
      <c r="BN283" s="512"/>
      <c r="BO283" s="512"/>
      <c r="BP283" s="512"/>
      <c r="BQ283" s="512"/>
      <c r="BR283" s="512"/>
      <c r="BS283" s="512"/>
      <c r="BT283" s="512"/>
      <c r="BU283" s="512"/>
      <c r="BV283" s="512"/>
      <c r="BW283" s="512"/>
      <c r="BX283" s="512"/>
      <c r="BY283" s="512"/>
      <c r="BZ283" s="512"/>
      <c r="CA283" s="512"/>
      <c r="CB283" s="512"/>
      <c r="CC283" s="512"/>
      <c r="CD283" s="512"/>
      <c r="CE283" s="512"/>
      <c r="CF283" s="512"/>
      <c r="CG283" s="512"/>
      <c r="CH283" s="512"/>
      <c r="CI283" s="512"/>
      <c r="CJ283" s="512"/>
      <c r="CK283" s="512"/>
      <c r="CL283" s="3"/>
      <c r="CM283" s="3"/>
      <c r="CN283" s="3"/>
    </row>
    <row r="284" spans="1:92" s="9" customFormat="1" ht="14.25" customHeight="1" x14ac:dyDescent="0.3">
      <c r="A284" s="8"/>
      <c r="B284" s="284" t="s">
        <v>5222</v>
      </c>
      <c r="C284" s="284"/>
      <c r="D284" s="284"/>
      <c r="E284" s="284"/>
      <c r="F284" s="284"/>
      <c r="G284" s="284"/>
      <c r="H284" s="284"/>
      <c r="I284" s="284"/>
      <c r="J284" s="284"/>
      <c r="K284" s="284"/>
      <c r="L284" s="284"/>
      <c r="M284" s="284"/>
      <c r="N284" s="284"/>
      <c r="O284" s="284"/>
      <c r="P284" s="284"/>
      <c r="Q284" s="284"/>
      <c r="R284" s="284"/>
      <c r="S284" s="284"/>
      <c r="T284" s="284"/>
      <c r="U284" s="284"/>
      <c r="V284" s="284"/>
      <c r="W284" s="284"/>
      <c r="X284" s="284"/>
      <c r="Y284" s="284"/>
      <c r="Z284" s="284"/>
      <c r="AA284" s="284"/>
      <c r="AB284" s="284"/>
      <c r="AC284" s="284"/>
      <c r="AD284" s="284"/>
      <c r="AE284" s="284"/>
      <c r="AF284" s="284"/>
      <c r="AG284" s="284"/>
      <c r="AH284" s="284"/>
      <c r="AI284" s="284"/>
      <c r="AJ284" s="284"/>
      <c r="AK284" s="284"/>
      <c r="AL284" s="284"/>
      <c r="AM284" s="284"/>
      <c r="AN284" s="284"/>
      <c r="AO284" s="284"/>
      <c r="AP284" s="285"/>
      <c r="AQ284" s="285"/>
      <c r="AR284" s="275"/>
      <c r="AS284" s="276"/>
      <c r="AT284" s="276"/>
      <c r="AU284" s="276"/>
      <c r="AV284" s="277"/>
      <c r="AW284" s="275"/>
      <c r="AX284" s="276"/>
      <c r="AY284" s="276"/>
      <c r="AZ284" s="276"/>
      <c r="BA284" s="277"/>
      <c r="BB284" s="8"/>
      <c r="BD284" s="512"/>
      <c r="BE284" s="512"/>
      <c r="BF284" s="512"/>
      <c r="BG284" s="512"/>
      <c r="BH284" s="512"/>
      <c r="BI284" s="512"/>
      <c r="BJ284" s="512"/>
      <c r="BK284" s="512"/>
      <c r="BL284" s="512"/>
      <c r="BM284" s="512"/>
      <c r="BN284" s="512"/>
      <c r="BO284" s="512"/>
      <c r="BP284" s="512"/>
      <c r="BQ284" s="512"/>
      <c r="BR284" s="512"/>
      <c r="BS284" s="512"/>
      <c r="BT284" s="512"/>
      <c r="BU284" s="512"/>
      <c r="BV284" s="512"/>
      <c r="BW284" s="512"/>
      <c r="BX284" s="512"/>
      <c r="BY284" s="512"/>
      <c r="BZ284" s="512"/>
      <c r="CA284" s="512"/>
      <c r="CB284" s="512"/>
      <c r="CC284" s="512"/>
      <c r="CD284" s="512"/>
      <c r="CE284" s="512"/>
      <c r="CF284" s="512"/>
      <c r="CG284" s="512"/>
      <c r="CH284" s="512"/>
      <c r="CI284" s="512"/>
      <c r="CJ284" s="512"/>
      <c r="CK284" s="512"/>
      <c r="CL284" s="3"/>
      <c r="CM284" s="3"/>
      <c r="CN284" s="3"/>
    </row>
    <row r="285" spans="1:92" s="9" customFormat="1" ht="14.25" customHeight="1" x14ac:dyDescent="0.3">
      <c r="A285" s="8"/>
      <c r="B285" s="284" t="s">
        <v>5303</v>
      </c>
      <c r="C285" s="284"/>
      <c r="D285" s="284"/>
      <c r="E285" s="284"/>
      <c r="F285" s="284"/>
      <c r="G285" s="284"/>
      <c r="H285" s="284"/>
      <c r="I285" s="284"/>
      <c r="J285" s="284"/>
      <c r="K285" s="284"/>
      <c r="L285" s="284"/>
      <c r="M285" s="284"/>
      <c r="N285" s="284"/>
      <c r="O285" s="284"/>
      <c r="P285" s="284"/>
      <c r="Q285" s="284"/>
      <c r="R285" s="284"/>
      <c r="S285" s="284"/>
      <c r="T285" s="284"/>
      <c r="U285" s="284"/>
      <c r="V285" s="284"/>
      <c r="W285" s="284"/>
      <c r="X285" s="284"/>
      <c r="Y285" s="284"/>
      <c r="Z285" s="284"/>
      <c r="AA285" s="284"/>
      <c r="AB285" s="284"/>
      <c r="AC285" s="284"/>
      <c r="AD285" s="284"/>
      <c r="AE285" s="284"/>
      <c r="AF285" s="284"/>
      <c r="AG285" s="284"/>
      <c r="AH285" s="284"/>
      <c r="AI285" s="284"/>
      <c r="AJ285" s="284"/>
      <c r="AK285" s="284"/>
      <c r="AL285" s="284"/>
      <c r="AM285" s="284"/>
      <c r="AN285" s="284"/>
      <c r="AO285" s="284"/>
      <c r="AP285" s="285"/>
      <c r="AQ285" s="285"/>
      <c r="AR285" s="275"/>
      <c r="AS285" s="276"/>
      <c r="AT285" s="276"/>
      <c r="AU285" s="276"/>
      <c r="AV285" s="277"/>
      <c r="AW285" s="275"/>
      <c r="AX285" s="276"/>
      <c r="AY285" s="276"/>
      <c r="AZ285" s="276"/>
      <c r="BA285" s="277"/>
      <c r="BB285" s="8"/>
      <c r="BD285" s="512"/>
      <c r="BE285" s="512"/>
      <c r="BF285" s="512"/>
      <c r="BG285" s="512"/>
      <c r="BH285" s="512"/>
      <c r="BI285" s="512"/>
      <c r="BJ285" s="512"/>
      <c r="BK285" s="512"/>
      <c r="BL285" s="512"/>
      <c r="BM285" s="512"/>
      <c r="BN285" s="512"/>
      <c r="BO285" s="512"/>
      <c r="BP285" s="512"/>
      <c r="BQ285" s="512"/>
      <c r="BR285" s="512"/>
      <c r="BS285" s="512"/>
      <c r="BT285" s="512"/>
      <c r="BU285" s="512"/>
      <c r="BV285" s="512"/>
      <c r="BW285" s="512"/>
      <c r="BX285" s="512"/>
      <c r="BY285" s="512"/>
      <c r="BZ285" s="512"/>
      <c r="CA285" s="512"/>
      <c r="CB285" s="512"/>
      <c r="CC285" s="512"/>
      <c r="CD285" s="512"/>
      <c r="CE285" s="512"/>
      <c r="CF285" s="512"/>
      <c r="CG285" s="512"/>
      <c r="CH285" s="512"/>
      <c r="CI285" s="512"/>
      <c r="CJ285" s="512"/>
      <c r="CK285" s="512"/>
      <c r="CL285" s="3"/>
      <c r="CM285" s="3"/>
      <c r="CN285" s="3"/>
    </row>
    <row r="286" spans="1:92" s="9" customFormat="1" ht="14.25" customHeight="1" x14ac:dyDescent="0.3">
      <c r="A286" s="8"/>
      <c r="B286" s="284" t="s">
        <v>5304</v>
      </c>
      <c r="C286" s="284"/>
      <c r="D286" s="284"/>
      <c r="E286" s="284"/>
      <c r="F286" s="284"/>
      <c r="G286" s="284"/>
      <c r="H286" s="284"/>
      <c r="I286" s="284"/>
      <c r="J286" s="284"/>
      <c r="K286" s="284"/>
      <c r="L286" s="284"/>
      <c r="M286" s="284"/>
      <c r="N286" s="284"/>
      <c r="O286" s="284"/>
      <c r="P286" s="284"/>
      <c r="Q286" s="284"/>
      <c r="R286" s="284"/>
      <c r="S286" s="284"/>
      <c r="T286" s="284"/>
      <c r="U286" s="284"/>
      <c r="V286" s="284"/>
      <c r="W286" s="284"/>
      <c r="X286" s="284"/>
      <c r="Y286" s="284"/>
      <c r="Z286" s="284"/>
      <c r="AA286" s="284"/>
      <c r="AB286" s="284"/>
      <c r="AC286" s="284"/>
      <c r="AD286" s="284"/>
      <c r="AE286" s="284"/>
      <c r="AF286" s="284"/>
      <c r="AG286" s="284"/>
      <c r="AH286" s="284"/>
      <c r="AI286" s="284"/>
      <c r="AJ286" s="284"/>
      <c r="AK286" s="284"/>
      <c r="AL286" s="284"/>
      <c r="AM286" s="284"/>
      <c r="AN286" s="284"/>
      <c r="AO286" s="284"/>
      <c r="AP286" s="285"/>
      <c r="AQ286" s="285"/>
      <c r="AR286" s="275"/>
      <c r="AS286" s="276"/>
      <c r="AT286" s="276"/>
      <c r="AU286" s="276"/>
      <c r="AV286" s="277"/>
      <c r="AW286" s="275"/>
      <c r="AX286" s="276"/>
      <c r="AY286" s="276"/>
      <c r="AZ286" s="276"/>
      <c r="BA286" s="277"/>
      <c r="BB286" s="8"/>
      <c r="BD286" s="512"/>
      <c r="BE286" s="512"/>
      <c r="BF286" s="512"/>
      <c r="BG286" s="512"/>
      <c r="BH286" s="512"/>
      <c r="BI286" s="512"/>
      <c r="BJ286" s="512"/>
      <c r="BK286" s="512"/>
      <c r="BL286" s="512"/>
      <c r="BM286" s="512"/>
      <c r="BN286" s="512"/>
      <c r="BO286" s="512"/>
      <c r="BP286" s="512"/>
      <c r="BQ286" s="512"/>
      <c r="BR286" s="512"/>
      <c r="BS286" s="512"/>
      <c r="BT286" s="512"/>
      <c r="BU286" s="512"/>
      <c r="BV286" s="512"/>
      <c r="BW286" s="512"/>
      <c r="BX286" s="512"/>
      <c r="BY286" s="512"/>
      <c r="BZ286" s="512"/>
      <c r="CA286" s="512"/>
      <c r="CB286" s="512"/>
      <c r="CC286" s="512"/>
      <c r="CD286" s="512"/>
      <c r="CE286" s="512"/>
      <c r="CF286" s="512"/>
      <c r="CG286" s="512"/>
      <c r="CH286" s="512"/>
      <c r="CI286" s="512"/>
      <c r="CJ286" s="512"/>
      <c r="CK286" s="512"/>
      <c r="CL286" s="3"/>
      <c r="CM286" s="3"/>
      <c r="CN286" s="3"/>
    </row>
    <row r="287" spans="1:92" s="9" customFormat="1" ht="14.25" customHeight="1" x14ac:dyDescent="0.3">
      <c r="A287" s="8"/>
      <c r="B287" s="310" t="s">
        <v>5364</v>
      </c>
      <c r="C287" s="310"/>
      <c r="D287" s="310"/>
      <c r="E287" s="310"/>
      <c r="F287" s="310"/>
      <c r="G287" s="310"/>
      <c r="H287" s="310"/>
      <c r="I287" s="310"/>
      <c r="J287" s="310"/>
      <c r="K287" s="310"/>
      <c r="L287" s="310"/>
      <c r="M287" s="310"/>
      <c r="N287" s="310"/>
      <c r="O287" s="310"/>
      <c r="P287" s="310"/>
      <c r="Q287" s="310"/>
      <c r="R287" s="310"/>
      <c r="S287" s="310"/>
      <c r="T287" s="310"/>
      <c r="U287" s="310"/>
      <c r="V287" s="310"/>
      <c r="W287" s="310"/>
      <c r="X287" s="310"/>
      <c r="Y287" s="310"/>
      <c r="Z287" s="310"/>
      <c r="AA287" s="310"/>
      <c r="AB287" s="310"/>
      <c r="AC287" s="310"/>
      <c r="AD287" s="310"/>
      <c r="AE287" s="310"/>
      <c r="AF287" s="310"/>
      <c r="AG287" s="310"/>
      <c r="AH287" s="310"/>
      <c r="AI287" s="310"/>
      <c r="AJ287" s="310"/>
      <c r="AK287" s="310"/>
      <c r="AL287" s="310"/>
      <c r="AM287" s="310"/>
      <c r="AN287" s="310"/>
      <c r="AO287" s="310"/>
      <c r="AP287" s="311"/>
      <c r="AQ287" s="311"/>
      <c r="AR287" s="275"/>
      <c r="AS287" s="276"/>
      <c r="AT287" s="276"/>
      <c r="AU287" s="276"/>
      <c r="AV287" s="277"/>
      <c r="AW287" s="275"/>
      <c r="AX287" s="276"/>
      <c r="AY287" s="276"/>
      <c r="AZ287" s="276"/>
      <c r="BA287" s="277"/>
      <c r="BB287" s="8"/>
      <c r="BD287" s="512"/>
      <c r="BE287" s="512"/>
      <c r="BF287" s="512"/>
      <c r="BG287" s="512"/>
      <c r="BH287" s="512"/>
      <c r="BI287" s="512"/>
      <c r="BJ287" s="512"/>
      <c r="BK287" s="512"/>
      <c r="BL287" s="512"/>
      <c r="BM287" s="512"/>
      <c r="BN287" s="512"/>
      <c r="BO287" s="512"/>
      <c r="BP287" s="512"/>
      <c r="BQ287" s="512"/>
      <c r="BR287" s="512"/>
      <c r="BS287" s="512"/>
      <c r="BT287" s="512"/>
      <c r="BU287" s="512"/>
      <c r="BV287" s="512"/>
      <c r="BW287" s="512"/>
      <c r="BX287" s="512"/>
      <c r="BY287" s="512"/>
      <c r="BZ287" s="512"/>
      <c r="CA287" s="512"/>
      <c r="CB287" s="512"/>
      <c r="CC287" s="512"/>
      <c r="CD287" s="512"/>
      <c r="CE287" s="512"/>
      <c r="CF287" s="512"/>
      <c r="CG287" s="512"/>
      <c r="CH287" s="512"/>
      <c r="CI287" s="512"/>
      <c r="CJ287" s="512"/>
      <c r="CK287" s="512"/>
      <c r="CL287" s="3"/>
      <c r="CM287" s="3"/>
      <c r="CN287" s="3"/>
    </row>
    <row r="288" spans="1:92" s="9" customFormat="1" ht="14.25" customHeight="1" x14ac:dyDescent="0.3">
      <c r="A288" s="8"/>
      <c r="B288" s="284" t="s">
        <v>5292</v>
      </c>
      <c r="C288" s="284"/>
      <c r="D288" s="284"/>
      <c r="E288" s="284"/>
      <c r="F288" s="284"/>
      <c r="G288" s="284"/>
      <c r="H288" s="284"/>
      <c r="I288" s="284"/>
      <c r="J288" s="284"/>
      <c r="K288" s="284"/>
      <c r="L288" s="284"/>
      <c r="M288" s="284"/>
      <c r="N288" s="284"/>
      <c r="O288" s="284"/>
      <c r="P288" s="284"/>
      <c r="Q288" s="284"/>
      <c r="R288" s="284"/>
      <c r="S288" s="284"/>
      <c r="T288" s="284"/>
      <c r="U288" s="284"/>
      <c r="V288" s="284"/>
      <c r="W288" s="284"/>
      <c r="X288" s="284"/>
      <c r="Y288" s="284"/>
      <c r="Z288" s="284"/>
      <c r="AA288" s="284"/>
      <c r="AB288" s="284"/>
      <c r="AC288" s="284"/>
      <c r="AD288" s="284"/>
      <c r="AE288" s="284"/>
      <c r="AF288" s="284"/>
      <c r="AG288" s="284"/>
      <c r="AH288" s="284"/>
      <c r="AI288" s="284"/>
      <c r="AJ288" s="284"/>
      <c r="AK288" s="284"/>
      <c r="AL288" s="284"/>
      <c r="AM288" s="284"/>
      <c r="AN288" s="284"/>
      <c r="AO288" s="284"/>
      <c r="AP288" s="285"/>
      <c r="AQ288" s="285"/>
      <c r="AR288" s="275"/>
      <c r="AS288" s="276"/>
      <c r="AT288" s="276"/>
      <c r="AU288" s="276"/>
      <c r="AV288" s="277"/>
      <c r="AW288" s="275"/>
      <c r="AX288" s="276"/>
      <c r="AY288" s="276"/>
      <c r="AZ288" s="276"/>
      <c r="BA288" s="277"/>
      <c r="BB288" s="8"/>
      <c r="BD288" s="512"/>
      <c r="BE288" s="512"/>
      <c r="BF288" s="512"/>
      <c r="BG288" s="512"/>
      <c r="BH288" s="512"/>
      <c r="BI288" s="512"/>
      <c r="BJ288" s="512"/>
      <c r="BK288" s="512"/>
      <c r="BL288" s="512"/>
      <c r="BM288" s="512"/>
      <c r="BN288" s="512"/>
      <c r="BO288" s="512"/>
      <c r="BP288" s="512"/>
      <c r="BQ288" s="512"/>
      <c r="BR288" s="512"/>
      <c r="BS288" s="512"/>
      <c r="BT288" s="512"/>
      <c r="BU288" s="512"/>
      <c r="BV288" s="512"/>
      <c r="BW288" s="512"/>
      <c r="BX288" s="512"/>
      <c r="BY288" s="512"/>
      <c r="BZ288" s="512"/>
      <c r="CA288" s="512"/>
      <c r="CB288" s="512"/>
      <c r="CC288" s="512"/>
      <c r="CD288" s="512"/>
      <c r="CE288" s="512"/>
      <c r="CF288" s="512"/>
      <c r="CG288" s="512"/>
      <c r="CH288" s="512"/>
      <c r="CI288" s="512"/>
      <c r="CJ288" s="512"/>
      <c r="CK288" s="512"/>
      <c r="CL288" s="3"/>
      <c r="CM288" s="3"/>
      <c r="CN288" s="3"/>
    </row>
    <row r="289" spans="1:94" s="9" customFormat="1" ht="24.75" customHeight="1" x14ac:dyDescent="0.3">
      <c r="A289" s="8"/>
      <c r="B289" s="312" t="s">
        <v>5459</v>
      </c>
      <c r="C289" s="313"/>
      <c r="D289" s="313"/>
      <c r="E289" s="313"/>
      <c r="F289" s="313"/>
      <c r="G289" s="313"/>
      <c r="H289" s="313"/>
      <c r="I289" s="313"/>
      <c r="J289" s="313"/>
      <c r="K289" s="313"/>
      <c r="L289" s="313"/>
      <c r="M289" s="313"/>
      <c r="N289" s="313"/>
      <c r="O289" s="313"/>
      <c r="P289" s="313"/>
      <c r="Q289" s="313"/>
      <c r="R289" s="313"/>
      <c r="S289" s="313"/>
      <c r="T289" s="313"/>
      <c r="U289" s="313"/>
      <c r="V289" s="313"/>
      <c r="W289" s="313"/>
      <c r="X289" s="313"/>
      <c r="Y289" s="313"/>
      <c r="Z289" s="313"/>
      <c r="AA289" s="313"/>
      <c r="AB289" s="313"/>
      <c r="AC289" s="313"/>
      <c r="AD289" s="313"/>
      <c r="AE289" s="313"/>
      <c r="AF289" s="313"/>
      <c r="AG289" s="313"/>
      <c r="AH289" s="313"/>
      <c r="AI289" s="313"/>
      <c r="AJ289" s="313"/>
      <c r="AK289" s="313"/>
      <c r="AL289" s="313"/>
      <c r="AM289" s="313"/>
      <c r="AN289" s="313"/>
      <c r="AO289" s="313"/>
      <c r="AP289" s="313"/>
      <c r="AQ289" s="314"/>
      <c r="AR289" s="275"/>
      <c r="AS289" s="276"/>
      <c r="AT289" s="276"/>
      <c r="AU289" s="276"/>
      <c r="AV289" s="277"/>
      <c r="AW289" s="275"/>
      <c r="AX289" s="276"/>
      <c r="AY289" s="276"/>
      <c r="AZ289" s="276"/>
      <c r="BA289" s="277"/>
      <c r="BB289" s="8"/>
      <c r="BD289" s="512"/>
      <c r="BE289" s="512"/>
      <c r="BF289" s="512"/>
      <c r="BG289" s="512"/>
      <c r="BH289" s="512"/>
      <c r="BI289" s="512"/>
      <c r="BJ289" s="512"/>
      <c r="BK289" s="512"/>
      <c r="BL289" s="512"/>
      <c r="BM289" s="512"/>
      <c r="BN289" s="512"/>
      <c r="BO289" s="512"/>
      <c r="BP289" s="512"/>
      <c r="BQ289" s="512"/>
      <c r="BR289" s="512"/>
      <c r="BS289" s="512"/>
      <c r="BT289" s="512"/>
      <c r="BU289" s="512"/>
      <c r="BV289" s="512"/>
      <c r="BW289" s="512"/>
      <c r="BX289" s="512"/>
      <c r="BY289" s="512"/>
      <c r="BZ289" s="512"/>
      <c r="CA289" s="512"/>
      <c r="CB289" s="512"/>
      <c r="CC289" s="512"/>
      <c r="CD289" s="512"/>
      <c r="CE289" s="512"/>
      <c r="CF289" s="512"/>
      <c r="CG289" s="512"/>
      <c r="CH289" s="512"/>
      <c r="CI289" s="512"/>
      <c r="CJ289" s="512"/>
      <c r="CK289" s="512"/>
      <c r="CL289" s="3"/>
      <c r="CM289" s="3"/>
      <c r="CN289" s="3"/>
    </row>
    <row r="290" spans="1:94" s="9" customFormat="1" ht="12" customHeight="1" x14ac:dyDescent="0.3">
      <c r="A290" s="8"/>
      <c r="B290" s="284" t="s">
        <v>5282</v>
      </c>
      <c r="C290" s="284"/>
      <c r="D290" s="284"/>
      <c r="E290" s="284"/>
      <c r="F290" s="284"/>
      <c r="G290" s="284"/>
      <c r="H290" s="284"/>
      <c r="I290" s="284"/>
      <c r="J290" s="284"/>
      <c r="K290" s="284"/>
      <c r="L290" s="284"/>
      <c r="M290" s="284"/>
      <c r="N290" s="284"/>
      <c r="O290" s="284"/>
      <c r="P290" s="284"/>
      <c r="Q290" s="284"/>
      <c r="R290" s="284"/>
      <c r="S290" s="284"/>
      <c r="T290" s="284"/>
      <c r="U290" s="284"/>
      <c r="V290" s="284"/>
      <c r="W290" s="284"/>
      <c r="X290" s="284"/>
      <c r="Y290" s="284"/>
      <c r="Z290" s="284"/>
      <c r="AA290" s="284"/>
      <c r="AB290" s="284"/>
      <c r="AC290" s="284"/>
      <c r="AD290" s="284"/>
      <c r="AE290" s="284"/>
      <c r="AF290" s="284"/>
      <c r="AG290" s="284"/>
      <c r="AH290" s="284"/>
      <c r="AI290" s="284"/>
      <c r="AJ290" s="284"/>
      <c r="AK290" s="284"/>
      <c r="AL290" s="284"/>
      <c r="AM290" s="284"/>
      <c r="AN290" s="284"/>
      <c r="AO290" s="284"/>
      <c r="AP290" s="285"/>
      <c r="AQ290" s="285"/>
      <c r="AR290" s="367"/>
      <c r="AS290" s="368"/>
      <c r="AT290" s="368"/>
      <c r="AU290" s="368"/>
      <c r="AV290" s="369"/>
      <c r="AW290" s="367"/>
      <c r="AX290" s="368"/>
      <c r="AY290" s="368"/>
      <c r="AZ290" s="368"/>
      <c r="BA290" s="369"/>
      <c r="BB290" s="8"/>
    </row>
    <row r="291" spans="1:94" s="9" customFormat="1" x14ac:dyDescent="0.3">
      <c r="A291" s="8"/>
      <c r="B291" s="284" t="s">
        <v>5293</v>
      </c>
      <c r="C291" s="284"/>
      <c r="D291" s="284"/>
      <c r="E291" s="284"/>
      <c r="F291" s="284"/>
      <c r="G291" s="284"/>
      <c r="H291" s="284"/>
      <c r="I291" s="284"/>
      <c r="J291" s="284"/>
      <c r="K291" s="284"/>
      <c r="L291" s="284"/>
      <c r="M291" s="284"/>
      <c r="N291" s="284"/>
      <c r="O291" s="284"/>
      <c r="P291" s="284"/>
      <c r="Q291" s="284"/>
      <c r="R291" s="284"/>
      <c r="S291" s="284"/>
      <c r="T291" s="284"/>
      <c r="U291" s="284"/>
      <c r="V291" s="284"/>
      <c r="W291" s="284"/>
      <c r="X291" s="284"/>
      <c r="Y291" s="284"/>
      <c r="Z291" s="284"/>
      <c r="AA291" s="284"/>
      <c r="AB291" s="284"/>
      <c r="AC291" s="284"/>
      <c r="AD291" s="284"/>
      <c r="AE291" s="284"/>
      <c r="AF291" s="284"/>
      <c r="AG291" s="284"/>
      <c r="AH291" s="284"/>
      <c r="AI291" s="284"/>
      <c r="AJ291" s="284"/>
      <c r="AK291" s="284"/>
      <c r="AL291" s="284"/>
      <c r="AM291" s="284"/>
      <c r="AN291" s="284"/>
      <c r="AO291" s="284"/>
      <c r="AP291" s="285"/>
      <c r="AQ291" s="285"/>
      <c r="AR291" s="275"/>
      <c r="AS291" s="276"/>
      <c r="AT291" s="276"/>
      <c r="AU291" s="276"/>
      <c r="AV291" s="277"/>
      <c r="AW291" s="275"/>
      <c r="AX291" s="276"/>
      <c r="AY291" s="276"/>
      <c r="AZ291" s="276"/>
      <c r="BA291" s="277"/>
      <c r="BB291" s="8"/>
    </row>
    <row r="292" spans="1:94" s="9" customFormat="1" ht="12" customHeight="1" x14ac:dyDescent="0.3">
      <c r="A292" s="8"/>
      <c r="B292" s="284" t="s">
        <v>5232</v>
      </c>
      <c r="C292" s="284"/>
      <c r="D292" s="284"/>
      <c r="E292" s="284"/>
      <c r="F292" s="284"/>
      <c r="G292" s="284"/>
      <c r="H292" s="284"/>
      <c r="I292" s="284"/>
      <c r="J292" s="284"/>
      <c r="K292" s="284"/>
      <c r="L292" s="284"/>
      <c r="M292" s="284"/>
      <c r="N292" s="284"/>
      <c r="O292" s="284"/>
      <c r="P292" s="284"/>
      <c r="Q292" s="284"/>
      <c r="R292" s="284"/>
      <c r="S292" s="284"/>
      <c r="T292" s="284"/>
      <c r="U292" s="284"/>
      <c r="V292" s="284"/>
      <c r="W292" s="284"/>
      <c r="X292" s="284"/>
      <c r="Y292" s="284"/>
      <c r="Z292" s="284"/>
      <c r="AA292" s="284"/>
      <c r="AB292" s="284"/>
      <c r="AC292" s="284"/>
      <c r="AD292" s="284"/>
      <c r="AE292" s="284"/>
      <c r="AF292" s="284"/>
      <c r="AG292" s="284"/>
      <c r="AH292" s="284"/>
      <c r="AI292" s="284"/>
      <c r="AJ292" s="284"/>
      <c r="AK292" s="284"/>
      <c r="AL292" s="284"/>
      <c r="AM292" s="284"/>
      <c r="AN292" s="284"/>
      <c r="AO292" s="284"/>
      <c r="AP292" s="285"/>
      <c r="AQ292" s="285"/>
      <c r="AR292" s="275"/>
      <c r="AS292" s="276"/>
      <c r="AT292" s="276"/>
      <c r="AU292" s="276"/>
      <c r="AV292" s="277"/>
      <c r="AW292" s="275"/>
      <c r="AX292" s="276"/>
      <c r="AY292" s="276"/>
      <c r="AZ292" s="276"/>
      <c r="BA292" s="277"/>
      <c r="BB292" s="8"/>
    </row>
    <row r="293" spans="1:94" s="9" customFormat="1" ht="12" customHeight="1" x14ac:dyDescent="0.25">
      <c r="A293" s="8"/>
      <c r="B293" s="402" t="s">
        <v>5233</v>
      </c>
      <c r="C293" s="402"/>
      <c r="D293" s="402"/>
      <c r="E293" s="402"/>
      <c r="F293" s="402"/>
      <c r="G293" s="402"/>
      <c r="H293" s="402"/>
      <c r="I293" s="402"/>
      <c r="J293" s="402"/>
      <c r="K293" s="402"/>
      <c r="L293" s="402"/>
      <c r="M293" s="402"/>
      <c r="N293" s="402"/>
      <c r="O293" s="402"/>
      <c r="P293" s="402"/>
      <c r="Q293" s="402"/>
      <c r="R293" s="402"/>
      <c r="S293" s="402"/>
      <c r="T293" s="402"/>
      <c r="U293" s="402"/>
      <c r="V293" s="402"/>
      <c r="W293" s="402"/>
      <c r="X293" s="402"/>
      <c r="Y293" s="402"/>
      <c r="Z293" s="402"/>
      <c r="AA293" s="402"/>
      <c r="AB293" s="402"/>
      <c r="AC293" s="402"/>
      <c r="AD293" s="402"/>
      <c r="AE293" s="402"/>
      <c r="AF293" s="402"/>
      <c r="AG293" s="402"/>
      <c r="AH293" s="402"/>
      <c r="AI293" s="402"/>
      <c r="AJ293" s="402"/>
      <c r="AK293" s="402"/>
      <c r="AL293" s="402"/>
      <c r="AM293" s="402"/>
      <c r="AN293" s="402"/>
      <c r="AO293" s="402"/>
      <c r="AP293" s="403"/>
      <c r="AQ293" s="403"/>
      <c r="AR293" s="366"/>
      <c r="AS293" s="366"/>
      <c r="AT293" s="366"/>
      <c r="AU293" s="366"/>
      <c r="AV293" s="366"/>
      <c r="AW293" s="366"/>
      <c r="AX293" s="366"/>
      <c r="AY293" s="366"/>
      <c r="AZ293" s="366"/>
      <c r="BA293" s="366"/>
      <c r="BB293" s="8"/>
    </row>
    <row r="294" spans="1:94" s="9" customFormat="1" ht="12" customHeight="1" x14ac:dyDescent="0.25">
      <c r="A294" s="8"/>
      <c r="B294" s="403"/>
      <c r="C294" s="403"/>
      <c r="D294" s="403"/>
      <c r="E294" s="403"/>
      <c r="F294" s="403"/>
      <c r="G294" s="403"/>
      <c r="H294" s="403"/>
      <c r="I294" s="403"/>
      <c r="J294" s="403"/>
      <c r="K294" s="403"/>
      <c r="L294" s="403"/>
      <c r="M294" s="403"/>
      <c r="N294" s="403"/>
      <c r="O294" s="403"/>
      <c r="P294" s="403"/>
      <c r="Q294" s="403"/>
      <c r="R294" s="403"/>
      <c r="S294" s="403"/>
      <c r="T294" s="403"/>
      <c r="U294" s="403"/>
      <c r="V294" s="403"/>
      <c r="W294" s="403"/>
      <c r="X294" s="403"/>
      <c r="Y294" s="403"/>
      <c r="Z294" s="403"/>
      <c r="AA294" s="403"/>
      <c r="AB294" s="403"/>
      <c r="AC294" s="403"/>
      <c r="AD294" s="403"/>
      <c r="AE294" s="403"/>
      <c r="AF294" s="403"/>
      <c r="AG294" s="403"/>
      <c r="AH294" s="403"/>
      <c r="AI294" s="403"/>
      <c r="AJ294" s="403"/>
      <c r="AK294" s="403"/>
      <c r="AL294" s="403"/>
      <c r="AM294" s="403"/>
      <c r="AN294" s="403"/>
      <c r="AO294" s="403"/>
      <c r="AP294" s="403"/>
      <c r="AQ294" s="403"/>
      <c r="AR294" s="366"/>
      <c r="AS294" s="366"/>
      <c r="AT294" s="366"/>
      <c r="AU294" s="366"/>
      <c r="AV294" s="366"/>
      <c r="AW294" s="366"/>
      <c r="AX294" s="366"/>
      <c r="AY294" s="366"/>
      <c r="AZ294" s="366"/>
      <c r="BA294" s="366"/>
      <c r="BB294" s="8"/>
    </row>
    <row r="295" spans="1:94" s="9" customFormat="1" ht="12" customHeight="1" x14ac:dyDescent="0.3">
      <c r="A295" s="8"/>
      <c r="B295" s="400" t="str">
        <f>IF($B$18="spółdzielnia mieszkaniowa","","Roczna stawka amortyzacji, jaka będzie stosowana przez Wnioskodawcę w odniesieniu do finansowanej inwestycji (w %)")</f>
        <v>Roczna stawka amortyzacji, jaka będzie stosowana przez Wnioskodawcę w odniesieniu do finansowanej inwestycji (w %)</v>
      </c>
      <c r="C295" s="400"/>
      <c r="D295" s="400"/>
      <c r="E295" s="400"/>
      <c r="F295" s="400"/>
      <c r="G295" s="400"/>
      <c r="H295" s="400"/>
      <c r="I295" s="400"/>
      <c r="J295" s="400"/>
      <c r="K295" s="400"/>
      <c r="L295" s="400"/>
      <c r="M295" s="400"/>
      <c r="N295" s="400"/>
      <c r="O295" s="400"/>
      <c r="P295" s="400"/>
      <c r="Q295" s="400"/>
      <c r="R295" s="400"/>
      <c r="S295" s="400"/>
      <c r="T295" s="400"/>
      <c r="U295" s="400"/>
      <c r="V295" s="400"/>
      <c r="W295" s="400"/>
      <c r="X295" s="400"/>
      <c r="Y295" s="400"/>
      <c r="Z295" s="400"/>
      <c r="AA295" s="400"/>
      <c r="AB295" s="400"/>
      <c r="AC295" s="400"/>
      <c r="AD295" s="400"/>
      <c r="AE295" s="400"/>
      <c r="AF295" s="400"/>
      <c r="AG295" s="400"/>
      <c r="AH295" s="400"/>
      <c r="AI295" s="400"/>
      <c r="AJ295" s="400"/>
      <c r="AK295" s="400"/>
      <c r="AL295" s="400"/>
      <c r="AM295" s="400"/>
      <c r="AN295" s="400"/>
      <c r="AO295" s="400"/>
      <c r="AP295" s="400"/>
      <c r="AQ295" s="400"/>
      <c r="AR295" s="401"/>
      <c r="AS295" s="401"/>
      <c r="AT295" s="401"/>
      <c r="AU295" s="401"/>
      <c r="AV295" s="401"/>
      <c r="AW295" s="401"/>
      <c r="AX295" s="401"/>
      <c r="AY295" s="401"/>
      <c r="AZ295" s="401"/>
      <c r="BA295" s="401"/>
      <c r="BB295" s="8"/>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c r="CH295" s="3"/>
      <c r="CI295" s="3"/>
      <c r="CJ295" s="3"/>
      <c r="CK295" s="3"/>
      <c r="CL295" s="3"/>
      <c r="CM295" s="3"/>
      <c r="CN295" s="3"/>
    </row>
    <row r="296" spans="1:94" s="9" customFormat="1" ht="12" customHeight="1" x14ac:dyDescent="0.25">
      <c r="A296" s="8"/>
      <c r="B296" s="400"/>
      <c r="C296" s="400"/>
      <c r="D296" s="400"/>
      <c r="E296" s="400"/>
      <c r="F296" s="400"/>
      <c r="G296" s="400"/>
      <c r="H296" s="400"/>
      <c r="I296" s="400"/>
      <c r="J296" s="400"/>
      <c r="K296" s="400"/>
      <c r="L296" s="400"/>
      <c r="M296" s="400"/>
      <c r="N296" s="400"/>
      <c r="O296" s="400"/>
      <c r="P296" s="400"/>
      <c r="Q296" s="400"/>
      <c r="R296" s="400"/>
      <c r="S296" s="400"/>
      <c r="T296" s="400"/>
      <c r="U296" s="400"/>
      <c r="V296" s="400"/>
      <c r="W296" s="400"/>
      <c r="X296" s="400"/>
      <c r="Y296" s="400"/>
      <c r="Z296" s="400"/>
      <c r="AA296" s="400"/>
      <c r="AB296" s="400"/>
      <c r="AC296" s="400"/>
      <c r="AD296" s="400"/>
      <c r="AE296" s="400"/>
      <c r="AF296" s="400"/>
      <c r="AG296" s="400"/>
      <c r="AH296" s="400"/>
      <c r="AI296" s="400"/>
      <c r="AJ296" s="400"/>
      <c r="AK296" s="400"/>
      <c r="AL296" s="400"/>
      <c r="AM296" s="400"/>
      <c r="AN296" s="400"/>
      <c r="AO296" s="400"/>
      <c r="AP296" s="400"/>
      <c r="AQ296" s="400"/>
      <c r="AR296" s="401"/>
      <c r="AS296" s="401"/>
      <c r="AT296" s="401"/>
      <c r="AU296" s="401"/>
      <c r="AV296" s="401"/>
      <c r="AW296" s="401"/>
      <c r="AX296" s="401"/>
      <c r="AY296" s="401"/>
      <c r="AZ296" s="401"/>
      <c r="BA296" s="401"/>
      <c r="BB296" s="8"/>
    </row>
    <row r="297" spans="1:94" s="9" customFormat="1" ht="12" customHeight="1" x14ac:dyDescent="0.25">
      <c r="A297" s="8"/>
      <c r="B297" s="321" t="str">
        <f>IF($B$18="spółdzielnia mieszkaniowa","","Najniższa roczna stawka amortyzacji stosowana przez Wnioskodawcę w odniesieniu do budynków finansowanych przez BGK (w %)")</f>
        <v>Najniższa roczna stawka amortyzacji stosowana przez Wnioskodawcę w odniesieniu do budynków finansowanych przez BGK (w %)</v>
      </c>
      <c r="C297" s="321"/>
      <c r="D297" s="321"/>
      <c r="E297" s="321"/>
      <c r="F297" s="321"/>
      <c r="G297" s="321"/>
      <c r="H297" s="321"/>
      <c r="I297" s="321"/>
      <c r="J297" s="321"/>
      <c r="K297" s="321"/>
      <c r="L297" s="321"/>
      <c r="M297" s="321"/>
      <c r="N297" s="321"/>
      <c r="O297" s="321"/>
      <c r="P297" s="321"/>
      <c r="Q297" s="321"/>
      <c r="R297" s="321"/>
      <c r="S297" s="321"/>
      <c r="T297" s="321"/>
      <c r="U297" s="321"/>
      <c r="V297" s="321"/>
      <c r="W297" s="321"/>
      <c r="X297" s="321"/>
      <c r="Y297" s="321"/>
      <c r="Z297" s="321"/>
      <c r="AA297" s="321"/>
      <c r="AB297" s="321"/>
      <c r="AC297" s="321"/>
      <c r="AD297" s="321"/>
      <c r="AE297" s="321"/>
      <c r="AF297" s="321"/>
      <c r="AG297" s="321"/>
      <c r="AH297" s="321"/>
      <c r="AI297" s="321"/>
      <c r="AJ297" s="321"/>
      <c r="AK297" s="321"/>
      <c r="AL297" s="321"/>
      <c r="AM297" s="321"/>
      <c r="AN297" s="321"/>
      <c r="AO297" s="321"/>
      <c r="AP297" s="322"/>
      <c r="AQ297" s="322"/>
      <c r="AR297" s="401"/>
      <c r="AS297" s="401"/>
      <c r="AT297" s="401"/>
      <c r="AU297" s="401"/>
      <c r="AV297" s="401"/>
      <c r="AW297" s="401"/>
      <c r="AX297" s="401"/>
      <c r="AY297" s="401"/>
      <c r="AZ297" s="401"/>
      <c r="BA297" s="401"/>
      <c r="BB297" s="8"/>
    </row>
    <row r="298" spans="1:94" s="9" customFormat="1" ht="11.7" customHeight="1" x14ac:dyDescent="0.25">
      <c r="A298" s="8"/>
      <c r="B298" s="322"/>
      <c r="C298" s="322"/>
      <c r="D298" s="322"/>
      <c r="E298" s="322"/>
      <c r="F298" s="322"/>
      <c r="G298" s="322"/>
      <c r="H298" s="322"/>
      <c r="I298" s="322"/>
      <c r="J298" s="322"/>
      <c r="K298" s="322"/>
      <c r="L298" s="322"/>
      <c r="M298" s="322"/>
      <c r="N298" s="322"/>
      <c r="O298" s="322"/>
      <c r="P298" s="322"/>
      <c r="Q298" s="322"/>
      <c r="R298" s="322"/>
      <c r="S298" s="322"/>
      <c r="T298" s="322"/>
      <c r="U298" s="322"/>
      <c r="V298" s="322"/>
      <c r="W298" s="322"/>
      <c r="X298" s="322"/>
      <c r="Y298" s="322"/>
      <c r="Z298" s="322"/>
      <c r="AA298" s="322"/>
      <c r="AB298" s="322"/>
      <c r="AC298" s="322"/>
      <c r="AD298" s="322"/>
      <c r="AE298" s="322"/>
      <c r="AF298" s="322"/>
      <c r="AG298" s="322"/>
      <c r="AH298" s="322"/>
      <c r="AI298" s="322"/>
      <c r="AJ298" s="322"/>
      <c r="AK298" s="322"/>
      <c r="AL298" s="322"/>
      <c r="AM298" s="322"/>
      <c r="AN298" s="322"/>
      <c r="AO298" s="322"/>
      <c r="AP298" s="322"/>
      <c r="AQ298" s="322"/>
      <c r="AR298" s="401"/>
      <c r="AS298" s="401"/>
      <c r="AT298" s="401"/>
      <c r="AU298" s="401"/>
      <c r="AV298" s="401"/>
      <c r="AW298" s="401"/>
      <c r="AX298" s="401"/>
      <c r="AY298" s="401"/>
      <c r="AZ298" s="401"/>
      <c r="BA298" s="401"/>
      <c r="BB298" s="8"/>
    </row>
    <row r="299" spans="1:94" s="9" customFormat="1" ht="17.25" customHeight="1" x14ac:dyDescent="0.25">
      <c r="A299" s="8"/>
      <c r="B299" s="279" t="str">
        <f>IF(B18=listy!$A$2,"Płatności z tytułu rat leasingowych","")</f>
        <v/>
      </c>
      <c r="C299" s="279"/>
      <c r="D299" s="279"/>
      <c r="E299" s="279"/>
      <c r="F299" s="279"/>
      <c r="G299" s="279"/>
      <c r="H299" s="279"/>
      <c r="I299" s="279"/>
      <c r="J299" s="279"/>
      <c r="K299" s="279"/>
      <c r="L299" s="279"/>
      <c r="M299" s="279"/>
      <c r="N299" s="279"/>
      <c r="O299" s="279"/>
      <c r="P299" s="279"/>
      <c r="Q299" s="279"/>
      <c r="R299" s="279"/>
      <c r="S299" s="279"/>
      <c r="T299" s="279"/>
      <c r="U299" s="279"/>
      <c r="V299" s="279"/>
      <c r="W299" s="279"/>
      <c r="X299" s="279"/>
      <c r="Y299" s="279"/>
      <c r="Z299" s="279"/>
      <c r="AA299" s="279"/>
      <c r="AB299" s="279"/>
      <c r="AC299" s="279"/>
      <c r="AD299" s="279"/>
      <c r="AE299" s="279"/>
      <c r="AF299" s="279"/>
      <c r="AG299" s="279"/>
      <c r="AH299" s="279"/>
      <c r="AI299" s="279"/>
      <c r="AJ299" s="279"/>
      <c r="AK299" s="279"/>
      <c r="AL299" s="279"/>
      <c r="AM299" s="279"/>
      <c r="AN299" s="279"/>
      <c r="AO299" s="279"/>
      <c r="AP299" s="280"/>
      <c r="AQ299" s="280"/>
      <c r="AR299" s="281"/>
      <c r="AS299" s="281"/>
      <c r="AT299" s="281"/>
      <c r="AU299" s="281"/>
      <c r="AV299" s="281"/>
      <c r="AW299" s="281"/>
      <c r="AX299" s="281"/>
      <c r="AY299" s="281"/>
      <c r="AZ299" s="281"/>
      <c r="BA299" s="281"/>
      <c r="BB299" s="8"/>
    </row>
    <row r="300" spans="1:94" s="9" customFormat="1" ht="17.25" customHeight="1" x14ac:dyDescent="0.25">
      <c r="A300" s="8"/>
      <c r="B300" s="279" t="str">
        <f>IF(B18=listy!$A$2,"Raty z tytułu obsługi papierów dłużnych (spłacone w ciągu ostatnich 12 miesięcy/spłacone w ciągu ostatnich 6 miesięcy)","")</f>
        <v/>
      </c>
      <c r="C300" s="279"/>
      <c r="D300" s="279"/>
      <c r="E300" s="279"/>
      <c r="F300" s="279"/>
      <c r="G300" s="279"/>
      <c r="H300" s="279"/>
      <c r="I300" s="279"/>
      <c r="J300" s="279"/>
      <c r="K300" s="279"/>
      <c r="L300" s="279"/>
      <c r="M300" s="279"/>
      <c r="N300" s="279"/>
      <c r="O300" s="279"/>
      <c r="P300" s="279"/>
      <c r="Q300" s="279"/>
      <c r="R300" s="279"/>
      <c r="S300" s="279"/>
      <c r="T300" s="279"/>
      <c r="U300" s="279"/>
      <c r="V300" s="279"/>
      <c r="W300" s="279"/>
      <c r="X300" s="279"/>
      <c r="Y300" s="279"/>
      <c r="Z300" s="279"/>
      <c r="AA300" s="279"/>
      <c r="AB300" s="279"/>
      <c r="AC300" s="279"/>
      <c r="AD300" s="279"/>
      <c r="AE300" s="279"/>
      <c r="AF300" s="279"/>
      <c r="AG300" s="279"/>
      <c r="AH300" s="279"/>
      <c r="AI300" s="279"/>
      <c r="AJ300" s="279"/>
      <c r="AK300" s="279"/>
      <c r="AL300" s="279"/>
      <c r="AM300" s="279"/>
      <c r="AN300" s="279"/>
      <c r="AO300" s="279"/>
      <c r="AP300" s="280"/>
      <c r="AQ300" s="280"/>
      <c r="AR300" s="281"/>
      <c r="AS300" s="281"/>
      <c r="AT300" s="281"/>
      <c r="AU300" s="281"/>
      <c r="AV300" s="281"/>
      <c r="AW300" s="281"/>
      <c r="AX300" s="281"/>
      <c r="AY300" s="281"/>
      <c r="AZ300" s="281"/>
      <c r="BA300" s="281"/>
      <c r="BB300" s="8"/>
    </row>
    <row r="301" spans="1:94" s="9" customFormat="1" ht="17.25" customHeight="1" x14ac:dyDescent="0.25">
      <c r="A301" s="8"/>
      <c r="B301" s="301" t="str">
        <f>IF(OR(AND($AW$295&lt;&gt;"",$AW$295&lt;0.75%),AND($AR$295&lt;&gt;"",$AR$295&lt;0.75%)),"Przy amortyzacji poniżej 0,75% prośba o przedłożenie do wniosku programu dojścia do wymaganej przez Bank stawki amortyzacji w formie pisemnej.","")</f>
        <v/>
      </c>
      <c r="C301" s="301"/>
      <c r="D301" s="301"/>
      <c r="E301" s="301"/>
      <c r="F301" s="301"/>
      <c r="G301" s="301"/>
      <c r="H301" s="301"/>
      <c r="I301" s="301"/>
      <c r="J301" s="301"/>
      <c r="K301" s="301"/>
      <c r="L301" s="301"/>
      <c r="M301" s="301"/>
      <c r="N301" s="301"/>
      <c r="O301" s="301"/>
      <c r="P301" s="301"/>
      <c r="Q301" s="301"/>
      <c r="R301" s="301"/>
      <c r="S301" s="301"/>
      <c r="T301" s="301"/>
      <c r="U301" s="301"/>
      <c r="V301" s="301"/>
      <c r="W301" s="301"/>
      <c r="X301" s="301"/>
      <c r="Y301" s="301"/>
      <c r="Z301" s="301"/>
      <c r="AA301" s="301"/>
      <c r="AB301" s="301"/>
      <c r="AC301" s="301"/>
      <c r="AD301" s="301"/>
      <c r="AE301" s="301"/>
      <c r="AF301" s="301"/>
      <c r="AG301" s="301"/>
      <c r="AH301" s="301"/>
      <c r="AI301" s="301"/>
      <c r="AJ301" s="301"/>
      <c r="AK301" s="301"/>
      <c r="AL301" s="301"/>
      <c r="AM301" s="301"/>
      <c r="AN301" s="301"/>
      <c r="AO301" s="301"/>
      <c r="AP301" s="301"/>
      <c r="AQ301" s="301"/>
      <c r="AR301" s="301"/>
      <c r="AS301" s="301"/>
      <c r="AT301" s="301"/>
      <c r="AU301" s="301"/>
      <c r="AV301" s="301"/>
      <c r="AW301" s="301"/>
      <c r="AX301" s="301"/>
      <c r="AY301" s="301"/>
      <c r="AZ301" s="301"/>
      <c r="BA301" s="301"/>
      <c r="BB301" s="8"/>
    </row>
    <row r="302" spans="1:94" s="6" customFormat="1" ht="6.75" customHeight="1" x14ac:dyDescent="0.15"/>
    <row r="303" spans="1:94" s="7" customFormat="1" ht="15" customHeight="1" x14ac:dyDescent="0.3">
      <c r="A303" s="261" t="s">
        <v>5576</v>
      </c>
      <c r="B303" s="261"/>
      <c r="C303" s="261"/>
      <c r="D303" s="261"/>
      <c r="E303" s="261"/>
      <c r="F303" s="261"/>
      <c r="G303" s="261"/>
      <c r="H303" s="261"/>
      <c r="I303" s="261"/>
      <c r="J303" s="261"/>
      <c r="K303" s="261"/>
      <c r="L303" s="261"/>
      <c r="M303" s="261"/>
      <c r="N303" s="261"/>
      <c r="O303" s="261"/>
      <c r="P303" s="261"/>
      <c r="Q303" s="261"/>
      <c r="R303" s="261"/>
      <c r="S303" s="261"/>
      <c r="T303" s="261"/>
      <c r="U303" s="261"/>
      <c r="V303" s="261"/>
      <c r="W303" s="261"/>
      <c r="X303" s="261"/>
      <c r="Y303" s="261"/>
      <c r="Z303" s="261"/>
      <c r="AA303" s="261"/>
      <c r="AB303" s="261"/>
      <c r="AC303" s="261"/>
      <c r="AD303" s="261"/>
      <c r="AE303" s="261"/>
      <c r="AF303" s="261"/>
      <c r="AG303" s="261"/>
      <c r="AH303" s="261"/>
      <c r="AI303" s="261"/>
      <c r="AJ303" s="261"/>
      <c r="AK303" s="261"/>
      <c r="AL303" s="261"/>
      <c r="AM303" s="261"/>
      <c r="AN303" s="261"/>
      <c r="AO303" s="261"/>
      <c r="AP303" s="261"/>
      <c r="AQ303" s="261"/>
      <c r="AR303" s="261"/>
      <c r="AS303" s="261"/>
      <c r="AT303" s="261"/>
      <c r="AU303" s="261"/>
      <c r="AV303" s="261"/>
      <c r="AW303" s="261"/>
      <c r="AX303" s="261"/>
      <c r="AY303" s="261"/>
      <c r="AZ303" s="261"/>
      <c r="BA303" s="261"/>
      <c r="BB303" s="261"/>
      <c r="BE303" s="11"/>
      <c r="BF303" s="11"/>
      <c r="BG303" s="11"/>
      <c r="BH303" s="11"/>
      <c r="BI303" s="11"/>
      <c r="BJ303" s="11"/>
      <c r="BK303" s="11"/>
      <c r="BL303" s="11"/>
      <c r="BM303" s="11"/>
      <c r="BN303" s="11"/>
      <c r="BO303" s="11"/>
      <c r="BP303" s="11"/>
      <c r="BQ303" s="11"/>
      <c r="BR303" s="11"/>
      <c r="BS303" s="11"/>
      <c r="BT303" s="11"/>
      <c r="BU303" s="90"/>
      <c r="BV303" s="91"/>
      <c r="BW303" s="91"/>
      <c r="BX303" s="91"/>
      <c r="BY303" s="91"/>
      <c r="BZ303" s="91"/>
      <c r="CA303" s="91"/>
      <c r="CB303" s="91"/>
      <c r="CC303" s="91"/>
      <c r="CD303" s="91"/>
      <c r="CE303" s="91"/>
      <c r="CF303" s="91"/>
      <c r="CG303" s="91"/>
      <c r="CH303" s="91"/>
      <c r="CI303" s="91"/>
      <c r="CJ303" s="91"/>
      <c r="CK303" s="91"/>
      <c r="CL303" s="91"/>
      <c r="CM303" s="91"/>
      <c r="CN303" s="91"/>
      <c r="CO303" s="91"/>
      <c r="CP303" s="91"/>
    </row>
    <row r="304" spans="1:94" s="7" customFormat="1" ht="5.25" customHeight="1" x14ac:dyDescent="0.2">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E304" s="11"/>
      <c r="BF304" s="11"/>
      <c r="BG304" s="11"/>
      <c r="BH304" s="11"/>
      <c r="BI304" s="11"/>
      <c r="BJ304" s="11"/>
      <c r="BK304" s="11"/>
      <c r="BL304" s="11"/>
      <c r="BM304" s="11"/>
      <c r="BN304" s="11"/>
      <c r="BO304" s="11"/>
      <c r="BP304" s="11"/>
      <c r="BQ304" s="11"/>
      <c r="BR304" s="11"/>
      <c r="BS304" s="11"/>
      <c r="BT304" s="11"/>
      <c r="BU304" s="91"/>
      <c r="BV304" s="91"/>
      <c r="BW304" s="91"/>
      <c r="BX304" s="91"/>
      <c r="BY304" s="91"/>
      <c r="BZ304" s="91"/>
      <c r="CA304" s="91"/>
      <c r="CB304" s="91"/>
      <c r="CC304" s="91"/>
      <c r="CD304" s="91"/>
      <c r="CE304" s="91"/>
      <c r="CF304" s="91"/>
      <c r="CG304" s="91"/>
      <c r="CH304" s="91"/>
      <c r="CI304" s="91"/>
      <c r="CJ304" s="91"/>
      <c r="CK304" s="91"/>
      <c r="CL304" s="91"/>
      <c r="CM304" s="91"/>
      <c r="CN304" s="91"/>
      <c r="CO304" s="91"/>
      <c r="CP304" s="91"/>
    </row>
    <row r="305" spans="1:96" s="7" customFormat="1" ht="27" customHeight="1" x14ac:dyDescent="0.15">
      <c r="A305" s="6"/>
      <c r="B305" s="502" t="s">
        <v>5578</v>
      </c>
      <c r="C305" s="502"/>
      <c r="D305" s="502"/>
      <c r="E305" s="502"/>
      <c r="F305" s="502"/>
      <c r="G305" s="502"/>
      <c r="H305" s="502"/>
      <c r="I305" s="502"/>
      <c r="J305" s="502"/>
      <c r="K305" s="502"/>
      <c r="L305" s="502"/>
      <c r="M305" s="502"/>
      <c r="N305" s="502"/>
      <c r="O305" s="502"/>
      <c r="P305" s="502"/>
      <c r="Q305" s="502"/>
      <c r="R305" s="502"/>
      <c r="S305" s="502"/>
      <c r="T305" s="502"/>
      <c r="U305" s="502"/>
      <c r="V305" s="502"/>
      <c r="W305" s="502"/>
      <c r="X305" s="502"/>
      <c r="Y305" s="502"/>
      <c r="Z305" s="502"/>
      <c r="AA305" s="502"/>
      <c r="AB305" s="502"/>
      <c r="AC305" s="502"/>
      <c r="AD305" s="502"/>
      <c r="AE305" s="502"/>
      <c r="AF305" s="502"/>
      <c r="AG305" s="502"/>
      <c r="AH305" s="502"/>
      <c r="AI305" s="502"/>
      <c r="AJ305" s="502"/>
      <c r="AK305" s="502"/>
      <c r="AL305" s="502"/>
      <c r="AM305" s="502"/>
      <c r="AN305" s="502"/>
      <c r="AO305" s="502"/>
      <c r="AP305" s="502"/>
      <c r="AQ305" s="502"/>
      <c r="AR305" s="502"/>
      <c r="AS305" s="502"/>
      <c r="AT305" s="502"/>
      <c r="AU305" s="271"/>
      <c r="AV305" s="272"/>
      <c r="AW305" s="272"/>
      <c r="AX305" s="272"/>
      <c r="AY305" s="272"/>
      <c r="AZ305" s="272"/>
      <c r="BA305" s="273"/>
      <c r="BB305" s="6"/>
      <c r="BD305" s="208" t="str">
        <f>IF(AU305="","Proszę wybrać odpowiedź TAK lub NIE.","")</f>
        <v>Proszę wybrać odpowiedź TAK lub NIE.</v>
      </c>
      <c r="BE305" s="208"/>
      <c r="BF305" s="208"/>
      <c r="BG305" s="208"/>
      <c r="BH305" s="208"/>
      <c r="BI305" s="208"/>
      <c r="BJ305" s="208"/>
      <c r="BK305" s="208"/>
      <c r="BL305" s="208"/>
      <c r="BM305" s="208"/>
      <c r="BN305" s="208"/>
      <c r="BO305" s="208"/>
      <c r="BP305" s="208"/>
      <c r="BQ305" s="208"/>
      <c r="BR305" s="208"/>
      <c r="BS305" s="208"/>
      <c r="BT305" s="208"/>
      <c r="BU305" s="710" t="s">
        <v>5279</v>
      </c>
      <c r="BV305" s="711"/>
      <c r="BW305" s="711"/>
      <c r="BX305" s="711"/>
      <c r="BY305" s="711"/>
      <c r="BZ305" s="711"/>
      <c r="CA305" s="711"/>
      <c r="CB305" s="711"/>
      <c r="CC305" s="711"/>
      <c r="CD305" s="711"/>
      <c r="CE305" s="711"/>
      <c r="CF305" s="711"/>
      <c r="CG305" s="711"/>
      <c r="CH305" s="711"/>
      <c r="CI305" s="711"/>
      <c r="CJ305" s="711"/>
      <c r="CK305" s="711"/>
      <c r="CL305" s="711"/>
      <c r="CM305" s="711"/>
      <c r="CN305" s="711"/>
      <c r="CO305" s="91"/>
      <c r="CP305" s="91"/>
      <c r="CQ305" s="80"/>
      <c r="CR305" s="80"/>
    </row>
    <row r="306" spans="1:96" ht="27" customHeight="1" x14ac:dyDescent="0.3">
      <c r="B306" s="278" t="str">
        <f>IF(AU305="NIE",pomocnicze!B14,"")</f>
        <v/>
      </c>
      <c r="C306" s="278"/>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c r="AA306" s="278"/>
      <c r="AB306" s="278"/>
      <c r="AC306" s="278"/>
      <c r="AD306" s="278"/>
      <c r="AE306" s="278"/>
      <c r="AF306" s="278"/>
      <c r="AG306" s="278"/>
      <c r="AH306" s="278"/>
      <c r="AI306" s="278"/>
      <c r="AJ306" s="278"/>
      <c r="AK306" s="278"/>
      <c r="AL306" s="278"/>
      <c r="AM306" s="278"/>
      <c r="AN306" s="278"/>
      <c r="AO306" s="278"/>
      <c r="AP306" s="278"/>
      <c r="AQ306" s="278"/>
      <c r="AR306" s="278"/>
      <c r="AS306" s="278"/>
      <c r="AT306" s="278"/>
      <c r="AU306" s="278"/>
      <c r="AV306" s="278"/>
      <c r="AW306" s="278"/>
      <c r="AX306" s="278"/>
      <c r="AY306" s="278"/>
      <c r="AZ306" s="278"/>
      <c r="BA306" s="278"/>
      <c r="BU306" s="711"/>
      <c r="BV306" s="711"/>
      <c r="BW306" s="711"/>
      <c r="BX306" s="711"/>
      <c r="BY306" s="711"/>
      <c r="BZ306" s="711"/>
      <c r="CA306" s="711"/>
      <c r="CB306" s="711"/>
      <c r="CC306" s="711"/>
      <c r="CD306" s="711"/>
      <c r="CE306" s="711"/>
      <c r="CF306" s="711"/>
      <c r="CG306" s="711"/>
      <c r="CH306" s="711"/>
      <c r="CI306" s="711"/>
      <c r="CJ306" s="711"/>
      <c r="CK306" s="711"/>
      <c r="CL306" s="711"/>
      <c r="CM306" s="711"/>
      <c r="CN306" s="711"/>
      <c r="CO306" s="91"/>
      <c r="CP306" s="91"/>
    </row>
    <row r="307" spans="1:96" s="7" customFormat="1" ht="14.25" customHeight="1" x14ac:dyDescent="0.15">
      <c r="A307" s="6"/>
      <c r="B307" s="488" t="s">
        <v>5580</v>
      </c>
      <c r="C307" s="488"/>
      <c r="D307" s="488"/>
      <c r="E307" s="488"/>
      <c r="F307" s="488"/>
      <c r="G307" s="488"/>
      <c r="H307" s="488"/>
      <c r="I307" s="488"/>
      <c r="J307" s="488"/>
      <c r="K307" s="488"/>
      <c r="L307" s="488"/>
      <c r="M307" s="488"/>
      <c r="N307" s="488"/>
      <c r="O307" s="488"/>
      <c r="P307" s="488"/>
      <c r="Q307" s="488"/>
      <c r="R307" s="488"/>
      <c r="S307" s="488"/>
      <c r="T307" s="488"/>
      <c r="U307" s="488"/>
      <c r="V307" s="488"/>
      <c r="W307" s="488"/>
      <c r="X307" s="488"/>
      <c r="Y307" s="488"/>
      <c r="Z307" s="488"/>
      <c r="AA307" s="488"/>
      <c r="AB307" s="488"/>
      <c r="AC307" s="488"/>
      <c r="AD307" s="488"/>
      <c r="AE307" s="488"/>
      <c r="AF307" s="488"/>
      <c r="AG307" s="488"/>
      <c r="AH307" s="488"/>
      <c r="AI307" s="488"/>
      <c r="AJ307" s="488"/>
      <c r="AK307" s="488"/>
      <c r="AL307" s="488"/>
      <c r="AM307" s="488"/>
      <c r="AN307" s="488"/>
      <c r="AO307" s="488"/>
      <c r="AP307" s="488"/>
      <c r="AQ307" s="488"/>
      <c r="AR307" s="488"/>
      <c r="AS307" s="488"/>
      <c r="AT307" s="488"/>
      <c r="AU307" s="271"/>
      <c r="AV307" s="272"/>
      <c r="AW307" s="272"/>
      <c r="AX307" s="272"/>
      <c r="AY307" s="272"/>
      <c r="AZ307" s="272"/>
      <c r="BA307" s="273"/>
      <c r="BB307" s="6"/>
      <c r="BD307" s="208" t="str">
        <f>IF(AU305="TAK",IF(AU307="","Proszę wybrać odpowiedź TAK lub NIE.",""),"")</f>
        <v/>
      </c>
      <c r="BE307" s="208"/>
      <c r="BF307" s="208"/>
      <c r="BG307" s="208"/>
      <c r="BH307" s="208"/>
      <c r="BI307" s="208"/>
      <c r="BJ307" s="208"/>
      <c r="BK307" s="208"/>
      <c r="BL307" s="208"/>
      <c r="BM307" s="208"/>
      <c r="BN307" s="208"/>
      <c r="BO307" s="208"/>
      <c r="BP307" s="208"/>
      <c r="BQ307" s="208"/>
      <c r="BR307" s="208"/>
      <c r="BS307" s="208"/>
      <c r="BT307" s="208"/>
      <c r="BU307" s="711"/>
      <c r="BV307" s="711"/>
      <c r="BW307" s="711"/>
      <c r="BX307" s="711"/>
      <c r="BY307" s="711"/>
      <c r="BZ307" s="711"/>
      <c r="CA307" s="711"/>
      <c r="CB307" s="711"/>
      <c r="CC307" s="711"/>
      <c r="CD307" s="711"/>
      <c r="CE307" s="711"/>
      <c r="CF307" s="711"/>
      <c r="CG307" s="711"/>
      <c r="CH307" s="711"/>
      <c r="CI307" s="711"/>
      <c r="CJ307" s="711"/>
      <c r="CK307" s="711"/>
      <c r="CL307" s="711"/>
      <c r="CM307" s="711"/>
      <c r="CN307" s="711"/>
      <c r="CO307" s="91"/>
      <c r="CP307" s="91"/>
      <c r="CQ307" s="80"/>
      <c r="CR307" s="80"/>
    </row>
    <row r="308" spans="1:96" s="7" customFormat="1" ht="42.75" customHeight="1" x14ac:dyDescent="0.15">
      <c r="A308" s="6"/>
      <c r="B308" s="278" t="str">
        <f>IF(AU307="","",IF(AU307="TAK",pomocnicze!B10,pomocnicze!B9))</f>
        <v/>
      </c>
      <c r="C308" s="278"/>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c r="AA308" s="278"/>
      <c r="AB308" s="278"/>
      <c r="AC308" s="278"/>
      <c r="AD308" s="278"/>
      <c r="AE308" s="278"/>
      <c r="AF308" s="278"/>
      <c r="AG308" s="278"/>
      <c r="AH308" s="278"/>
      <c r="AI308" s="278"/>
      <c r="AJ308" s="278"/>
      <c r="AK308" s="278"/>
      <c r="AL308" s="278"/>
      <c r="AM308" s="278"/>
      <c r="AN308" s="278"/>
      <c r="AO308" s="278"/>
      <c r="AP308" s="278"/>
      <c r="AQ308" s="278"/>
      <c r="AR308" s="278"/>
      <c r="AS308" s="278"/>
      <c r="AT308" s="278"/>
      <c r="AU308" s="278"/>
      <c r="AV308" s="278"/>
      <c r="AW308" s="278"/>
      <c r="AX308" s="278"/>
      <c r="AY308" s="278"/>
      <c r="AZ308" s="278"/>
      <c r="BA308" s="278"/>
      <c r="BB308" s="6"/>
      <c r="BD308" s="75"/>
      <c r="BE308" s="75"/>
      <c r="BF308" s="75"/>
      <c r="BG308" s="75"/>
      <c r="BH308" s="75"/>
      <c r="BI308" s="75"/>
      <c r="BJ308" s="75"/>
      <c r="BK308" s="75"/>
      <c r="BL308" s="75"/>
      <c r="BM308" s="75"/>
      <c r="BN308" s="75"/>
      <c r="BO308" s="75"/>
      <c r="BP308" s="75"/>
      <c r="BQ308" s="75"/>
      <c r="BR308" s="75"/>
      <c r="BS308" s="75"/>
      <c r="BT308" s="75"/>
      <c r="BU308" s="711"/>
      <c r="BV308" s="711"/>
      <c r="BW308" s="711"/>
      <c r="BX308" s="711"/>
      <c r="BY308" s="711"/>
      <c r="BZ308" s="711"/>
      <c r="CA308" s="711"/>
      <c r="CB308" s="711"/>
      <c r="CC308" s="711"/>
      <c r="CD308" s="711"/>
      <c r="CE308" s="711"/>
      <c r="CF308" s="711"/>
      <c r="CG308" s="711"/>
      <c r="CH308" s="711"/>
      <c r="CI308" s="711"/>
      <c r="CJ308" s="711"/>
      <c r="CK308" s="711"/>
      <c r="CL308" s="711"/>
      <c r="CM308" s="711"/>
      <c r="CN308" s="711"/>
      <c r="CO308" s="91"/>
      <c r="CP308" s="91"/>
      <c r="CQ308" s="75"/>
      <c r="CR308" s="75"/>
    </row>
    <row r="309" spans="1:96" s="7" customFormat="1" ht="18.75" customHeight="1" x14ac:dyDescent="0.15">
      <c r="A309" s="6"/>
      <c r="B309" s="488" t="s">
        <v>5585</v>
      </c>
      <c r="C309" s="488"/>
      <c r="D309" s="488"/>
      <c r="E309" s="488"/>
      <c r="F309" s="488"/>
      <c r="G309" s="488"/>
      <c r="H309" s="488"/>
      <c r="I309" s="488"/>
      <c r="J309" s="488"/>
      <c r="K309" s="488"/>
      <c r="L309" s="488"/>
      <c r="M309" s="488"/>
      <c r="N309" s="488"/>
      <c r="O309" s="488"/>
      <c r="P309" s="488"/>
      <c r="Q309" s="488"/>
      <c r="R309" s="488"/>
      <c r="S309" s="488"/>
      <c r="T309" s="488"/>
      <c r="U309" s="488"/>
      <c r="V309" s="488"/>
      <c r="W309" s="488"/>
      <c r="X309" s="488"/>
      <c r="Y309" s="488"/>
      <c r="Z309" s="488"/>
      <c r="AA309" s="488"/>
      <c r="AB309" s="488"/>
      <c r="AC309" s="488"/>
      <c r="AD309" s="488"/>
      <c r="AE309" s="488"/>
      <c r="AF309" s="488"/>
      <c r="AG309" s="488"/>
      <c r="AH309" s="488"/>
      <c r="AI309" s="488"/>
      <c r="AJ309" s="488"/>
      <c r="AK309" s="488"/>
      <c r="AL309" s="488"/>
      <c r="AM309" s="488"/>
      <c r="AN309" s="488"/>
      <c r="AO309" s="488"/>
      <c r="AP309" s="488"/>
      <c r="AQ309" s="488"/>
      <c r="AR309" s="488"/>
      <c r="AS309" s="488"/>
      <c r="AT309" s="488"/>
      <c r="AU309" s="271"/>
      <c r="AV309" s="272"/>
      <c r="AW309" s="272"/>
      <c r="AX309" s="272"/>
      <c r="AY309" s="272"/>
      <c r="AZ309" s="272"/>
      <c r="BA309" s="273"/>
      <c r="BB309" s="6"/>
      <c r="BD309" s="208" t="str">
        <f>IF(AU309="","Proszę wybrać odpowiedź TAK lub NIE.","")</f>
        <v>Proszę wybrać odpowiedź TAK lub NIE.</v>
      </c>
      <c r="BE309" s="208"/>
      <c r="BF309" s="208"/>
      <c r="BG309" s="208"/>
      <c r="BH309" s="208"/>
      <c r="BI309" s="208"/>
      <c r="BJ309" s="208"/>
      <c r="BK309" s="208"/>
      <c r="BL309" s="208"/>
      <c r="BM309" s="208"/>
      <c r="BN309" s="208"/>
      <c r="BO309" s="208"/>
      <c r="BP309" s="208"/>
      <c r="BQ309" s="208"/>
      <c r="BR309" s="208"/>
      <c r="BS309" s="208"/>
      <c r="BT309" s="208"/>
      <c r="BU309" s="208"/>
      <c r="BV309" s="208"/>
      <c r="BW309" s="208"/>
      <c r="BX309" s="80"/>
      <c r="BY309" s="80"/>
      <c r="BZ309" s="80"/>
      <c r="CA309" s="80"/>
      <c r="CB309" s="80"/>
      <c r="CC309" s="80"/>
      <c r="CD309" s="80"/>
      <c r="CE309" s="80"/>
      <c r="CF309" s="80"/>
      <c r="CG309" s="80"/>
      <c r="CH309" s="80"/>
      <c r="CI309" s="80"/>
      <c r="CJ309" s="80"/>
      <c r="CK309" s="80"/>
      <c r="CL309" s="80"/>
      <c r="CM309" s="80"/>
      <c r="CN309" s="80"/>
      <c r="CO309" s="80"/>
      <c r="CP309" s="80"/>
      <c r="CQ309" s="80"/>
      <c r="CR309" s="80"/>
    </row>
    <row r="310" spans="1:96" s="7" customFormat="1" ht="26.25" customHeight="1" x14ac:dyDescent="0.15">
      <c r="A310" s="6"/>
      <c r="B310" s="269" t="str">
        <f>IF(AU309="TAK","Czy inwestycja zgodnie z dyrektywą siedliskową oraz dyrektywą ptasią wywiera potencjalnie lub prawdopodobnie istotny wpływ na Obszar mający Znaczenie dla Wspólnoty (OZW – Natura 2000 lub inny)?","")</f>
        <v/>
      </c>
      <c r="C310" s="269"/>
      <c r="D310" s="269"/>
      <c r="E310" s="269"/>
      <c r="F310" s="269"/>
      <c r="G310" s="269"/>
      <c r="H310" s="269"/>
      <c r="I310" s="269"/>
      <c r="J310" s="269"/>
      <c r="K310" s="269"/>
      <c r="L310" s="269"/>
      <c r="M310" s="269"/>
      <c r="N310" s="269"/>
      <c r="O310" s="269"/>
      <c r="P310" s="269"/>
      <c r="Q310" s="269"/>
      <c r="R310" s="269"/>
      <c r="S310" s="269"/>
      <c r="T310" s="269"/>
      <c r="U310" s="269"/>
      <c r="V310" s="269"/>
      <c r="W310" s="269"/>
      <c r="X310" s="269"/>
      <c r="Y310" s="269"/>
      <c r="Z310" s="269"/>
      <c r="AA310" s="269"/>
      <c r="AB310" s="269"/>
      <c r="AC310" s="269"/>
      <c r="AD310" s="269"/>
      <c r="AE310" s="269"/>
      <c r="AF310" s="269"/>
      <c r="AG310" s="269"/>
      <c r="AH310" s="269"/>
      <c r="AI310" s="269"/>
      <c r="AJ310" s="269"/>
      <c r="AK310" s="269"/>
      <c r="AL310" s="269"/>
      <c r="AM310" s="269"/>
      <c r="AN310" s="269"/>
      <c r="AO310" s="269"/>
      <c r="AP310" s="269"/>
      <c r="AQ310" s="269"/>
      <c r="AR310" s="269"/>
      <c r="AS310" s="269"/>
      <c r="AT310" s="269"/>
      <c r="AU310" s="274"/>
      <c r="AV310" s="274"/>
      <c r="AW310" s="274"/>
      <c r="AX310" s="274"/>
      <c r="AY310" s="274"/>
      <c r="AZ310" s="274"/>
      <c r="BA310" s="274"/>
      <c r="BB310" s="6"/>
      <c r="BD310" s="208" t="str">
        <f>IF(AND(AU310="",AU309="TAK"),"Proszę wybrać odpowiedź TAK lub NIE.","")</f>
        <v/>
      </c>
      <c r="BE310" s="208"/>
      <c r="BF310" s="208"/>
      <c r="BG310" s="208"/>
      <c r="BH310" s="208"/>
      <c r="BI310" s="208"/>
      <c r="BJ310" s="208"/>
      <c r="BK310" s="208"/>
      <c r="BL310" s="208"/>
      <c r="BM310" s="208"/>
      <c r="BN310" s="208"/>
      <c r="BO310" s="208"/>
      <c r="BP310" s="208"/>
      <c r="BQ310" s="208"/>
      <c r="BR310" s="208"/>
      <c r="BS310" s="208"/>
      <c r="BT310" s="208"/>
      <c r="BU310" s="208"/>
      <c r="BV310" s="208"/>
      <c r="BW310" s="208"/>
      <c r="BX310" s="208"/>
      <c r="BY310" s="208"/>
      <c r="BZ310" s="208"/>
      <c r="CA310" s="208"/>
      <c r="CB310" s="208"/>
      <c r="CC310" s="208"/>
      <c r="CD310" s="208"/>
      <c r="CE310" s="208"/>
      <c r="CF310" s="208"/>
      <c r="CG310" s="208"/>
      <c r="CH310" s="208"/>
      <c r="CI310" s="208"/>
      <c r="CJ310" s="208"/>
      <c r="CK310" s="208"/>
      <c r="CL310" s="208"/>
      <c r="CM310" s="208"/>
      <c r="CN310" s="208"/>
      <c r="CO310" s="208"/>
      <c r="CP310" s="208"/>
      <c r="CQ310" s="208"/>
      <c r="CR310" s="208"/>
    </row>
    <row r="311" spans="1:96" s="7" customFormat="1" ht="44.25" customHeight="1" x14ac:dyDescent="0.15">
      <c r="A311" s="6"/>
      <c r="B311" s="269" t="str">
        <f>IF(AU310="","",IF(AU310="TAK",pomocnicze!B12,pomocnicze!B11))</f>
        <v/>
      </c>
      <c r="C311" s="269"/>
      <c r="D311" s="269"/>
      <c r="E311" s="269"/>
      <c r="F311" s="269"/>
      <c r="G311" s="269"/>
      <c r="H311" s="269"/>
      <c r="I311" s="269"/>
      <c r="J311" s="269"/>
      <c r="K311" s="269"/>
      <c r="L311" s="269"/>
      <c r="M311" s="269"/>
      <c r="N311" s="269"/>
      <c r="O311" s="269"/>
      <c r="P311" s="269"/>
      <c r="Q311" s="269"/>
      <c r="R311" s="269"/>
      <c r="S311" s="269"/>
      <c r="T311" s="269"/>
      <c r="U311" s="269"/>
      <c r="V311" s="269"/>
      <c r="W311" s="269"/>
      <c r="X311" s="269"/>
      <c r="Y311" s="269"/>
      <c r="Z311" s="269"/>
      <c r="AA311" s="269"/>
      <c r="AB311" s="269"/>
      <c r="AC311" s="269"/>
      <c r="AD311" s="269"/>
      <c r="AE311" s="269"/>
      <c r="AF311" s="269"/>
      <c r="AG311" s="269"/>
      <c r="AH311" s="269"/>
      <c r="AI311" s="269"/>
      <c r="AJ311" s="269"/>
      <c r="AK311" s="269"/>
      <c r="AL311" s="269"/>
      <c r="AM311" s="269"/>
      <c r="AN311" s="269"/>
      <c r="AO311" s="269"/>
      <c r="AP311" s="269"/>
      <c r="AQ311" s="269"/>
      <c r="AR311" s="269"/>
      <c r="AS311" s="269"/>
      <c r="AT311" s="269"/>
      <c r="AU311" s="269"/>
      <c r="AV311" s="269"/>
      <c r="AW311" s="269"/>
      <c r="AX311" s="269"/>
      <c r="AY311" s="269"/>
      <c r="AZ311" s="269"/>
      <c r="BA311" s="269"/>
      <c r="BB311" s="6"/>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row>
    <row r="312" spans="1:96" s="7" customFormat="1" ht="15" customHeight="1" x14ac:dyDescent="0.15">
      <c r="A312" s="6"/>
      <c r="B312" s="488" t="s">
        <v>5648</v>
      </c>
      <c r="C312" s="488"/>
      <c r="D312" s="488"/>
      <c r="E312" s="488"/>
      <c r="F312" s="488"/>
      <c r="G312" s="488"/>
      <c r="H312" s="488"/>
      <c r="I312" s="488"/>
      <c r="J312" s="488"/>
      <c r="K312" s="488"/>
      <c r="L312" s="488"/>
      <c r="M312" s="488"/>
      <c r="N312" s="488"/>
      <c r="O312" s="488"/>
      <c r="P312" s="488"/>
      <c r="Q312" s="488"/>
      <c r="R312" s="488"/>
      <c r="S312" s="488"/>
      <c r="T312" s="488"/>
      <c r="U312" s="488"/>
      <c r="V312" s="488"/>
      <c r="W312" s="488"/>
      <c r="X312" s="488"/>
      <c r="Y312" s="488"/>
      <c r="Z312" s="488"/>
      <c r="AA312" s="488"/>
      <c r="AB312" s="488"/>
      <c r="AC312" s="488"/>
      <c r="AD312" s="488"/>
      <c r="AE312" s="488"/>
      <c r="AF312" s="488"/>
      <c r="AG312" s="488"/>
      <c r="AH312" s="488"/>
      <c r="AI312" s="488"/>
      <c r="AJ312" s="488"/>
      <c r="AK312" s="488"/>
      <c r="AL312" s="488"/>
      <c r="AM312" s="488"/>
      <c r="AN312" s="488"/>
      <c r="AO312" s="488"/>
      <c r="AP312" s="488"/>
      <c r="AQ312" s="488"/>
      <c r="AR312" s="488"/>
      <c r="AS312" s="488"/>
      <c r="AT312" s="488"/>
      <c r="AU312" s="667"/>
      <c r="AV312" s="667"/>
      <c r="AW312" s="667"/>
      <c r="AX312" s="667"/>
      <c r="AY312" s="667"/>
      <c r="AZ312" s="667"/>
      <c r="BA312" s="667"/>
      <c r="BB312" s="6"/>
      <c r="BD312" s="208" t="str">
        <f>IF(AU312="","Proszę wybrać odpowiedź TAK lub NIE.","")</f>
        <v>Proszę wybrać odpowiedź TAK lub NIE.</v>
      </c>
      <c r="BE312" s="208"/>
      <c r="BF312" s="208"/>
      <c r="BG312" s="208"/>
      <c r="BH312" s="208"/>
      <c r="BI312" s="208"/>
      <c r="BJ312" s="208"/>
      <c r="BK312" s="208"/>
      <c r="BL312" s="208"/>
      <c r="BM312" s="208"/>
      <c r="BN312" s="208"/>
      <c r="BO312" s="208"/>
      <c r="BP312" s="208"/>
      <c r="BQ312" s="208"/>
      <c r="BR312" s="208"/>
      <c r="BS312" s="208"/>
      <c r="BT312" s="208"/>
      <c r="BU312" s="208"/>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row>
    <row r="313" spans="1:96" s="7" customFormat="1" ht="15" customHeight="1" x14ac:dyDescent="0.15">
      <c r="A313" s="6"/>
      <c r="B313" s="93"/>
      <c r="C313" s="93"/>
      <c r="D313" s="93"/>
      <c r="E313" s="93"/>
      <c r="F313" s="93"/>
      <c r="G313" s="93"/>
      <c r="H313" s="93"/>
      <c r="I313" s="93"/>
      <c r="J313" s="93"/>
      <c r="K313" s="93"/>
      <c r="L313" s="93"/>
      <c r="M313" s="93"/>
      <c r="N313" s="93"/>
      <c r="O313" s="93"/>
      <c r="P313" s="93"/>
      <c r="Q313" s="93"/>
      <c r="R313" s="93"/>
      <c r="S313" s="93"/>
      <c r="T313" s="93"/>
      <c r="U313" s="93"/>
      <c r="V313" s="93"/>
      <c r="W313" s="93"/>
      <c r="X313" s="93"/>
      <c r="Y313" s="93"/>
      <c r="Z313" s="93"/>
      <c r="AA313" s="93"/>
      <c r="AB313" s="93"/>
      <c r="AC313" s="93"/>
      <c r="AD313" s="93"/>
      <c r="AE313" s="93"/>
      <c r="AF313" s="93"/>
      <c r="AG313" s="93"/>
      <c r="AH313" s="93"/>
      <c r="AI313" s="93"/>
      <c r="AJ313" s="93"/>
      <c r="AK313" s="93"/>
      <c r="AL313" s="93"/>
      <c r="AM313" s="93"/>
      <c r="AN313" s="93"/>
      <c r="AO313" s="93"/>
      <c r="AP313" s="93"/>
      <c r="AQ313" s="93"/>
      <c r="AR313" s="93"/>
      <c r="AS313" s="93"/>
      <c r="AT313" s="93"/>
      <c r="AU313" s="94"/>
      <c r="AV313" s="94"/>
      <c r="AW313" s="94"/>
      <c r="AX313" s="94"/>
      <c r="AY313" s="94"/>
      <c r="AZ313" s="94"/>
      <c r="BA313" s="94"/>
      <c r="BB313" s="6"/>
      <c r="BD313" s="92"/>
      <c r="BE313" s="92"/>
      <c r="BF313" s="92"/>
      <c r="BG313" s="92"/>
      <c r="BH313" s="92"/>
      <c r="BI313" s="92"/>
      <c r="BJ313" s="92"/>
      <c r="BK313" s="92"/>
      <c r="BL313" s="92"/>
      <c r="BM313" s="92"/>
      <c r="BN313" s="92"/>
      <c r="BO313" s="92"/>
      <c r="BP313" s="92"/>
      <c r="BQ313" s="92"/>
      <c r="BR313" s="92"/>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row>
    <row r="314" spans="1:96" s="7" customFormat="1" ht="15" customHeight="1" x14ac:dyDescent="0.15">
      <c r="A314" s="6"/>
      <c r="B314" s="488" t="s">
        <v>5586</v>
      </c>
      <c r="C314" s="488"/>
      <c r="D314" s="488"/>
      <c r="E314" s="488"/>
      <c r="F314" s="488"/>
      <c r="G314" s="488"/>
      <c r="H314" s="488"/>
      <c r="I314" s="488"/>
      <c r="J314" s="488"/>
      <c r="K314" s="488"/>
      <c r="L314" s="488"/>
      <c r="M314" s="488"/>
      <c r="N314" s="488"/>
      <c r="O314" s="488"/>
      <c r="P314" s="488"/>
      <c r="Q314" s="488"/>
      <c r="R314" s="488"/>
      <c r="S314" s="488"/>
      <c r="T314" s="488"/>
      <c r="U314" s="488"/>
      <c r="V314" s="488"/>
      <c r="W314" s="488"/>
      <c r="X314" s="488"/>
      <c r="Y314" s="488"/>
      <c r="Z314" s="488"/>
      <c r="AA314" s="488"/>
      <c r="AB314" s="488"/>
      <c r="AC314" s="488"/>
      <c r="AD314" s="488"/>
      <c r="AE314" s="488"/>
      <c r="AF314" s="488"/>
      <c r="AG314" s="488"/>
      <c r="AH314" s="488"/>
      <c r="AI314" s="668"/>
      <c r="AJ314" s="668"/>
      <c r="AK314" s="668"/>
      <c r="AL314" s="668"/>
      <c r="AM314" s="668"/>
      <c r="AN314" s="668"/>
      <c r="AO314" s="668"/>
      <c r="AP314" s="668"/>
      <c r="AQ314" s="668"/>
      <c r="AR314" s="668"/>
      <c r="AS314" s="668"/>
      <c r="AT314" s="668"/>
      <c r="AU314" s="668"/>
      <c r="AV314" s="668"/>
      <c r="AW314" s="668"/>
      <c r="AX314" s="668"/>
      <c r="AY314" s="668"/>
      <c r="AZ314" s="668"/>
      <c r="BA314" s="668"/>
      <c r="BB314" s="6"/>
      <c r="BD314" s="208" t="str">
        <f>IF(AI314="","Proszę wpisać.","")</f>
        <v>Proszę wpisać.</v>
      </c>
      <c r="BE314" s="208"/>
      <c r="BF314" s="208"/>
      <c r="BG314" s="208"/>
      <c r="BH314" s="208"/>
      <c r="BI314" s="208"/>
      <c r="BJ314" s="208"/>
      <c r="BK314" s="208"/>
      <c r="BL314" s="208"/>
      <c r="BM314" s="208"/>
      <c r="BN314" s="208"/>
      <c r="BO314" s="208"/>
      <c r="BP314" s="208"/>
      <c r="BQ314" s="208"/>
      <c r="BR314" s="208"/>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row>
    <row r="315" spans="1:96" s="7" customFormat="1" ht="9.75" customHeight="1" x14ac:dyDescent="0.15">
      <c r="A315" s="6"/>
      <c r="B315" s="320" t="s">
        <v>5294</v>
      </c>
      <c r="C315" s="320"/>
      <c r="D315" s="320"/>
      <c r="E315" s="320"/>
      <c r="F315" s="320"/>
      <c r="G315" s="320"/>
      <c r="H315" s="320"/>
      <c r="I315" s="320"/>
      <c r="J315" s="320"/>
      <c r="K315" s="320"/>
      <c r="L315" s="320"/>
      <c r="M315" s="320"/>
      <c r="N315" s="320"/>
      <c r="O315" s="320"/>
      <c r="P315" s="320"/>
      <c r="Q315" s="320"/>
      <c r="R315" s="320"/>
      <c r="S315" s="320"/>
      <c r="T315" s="320"/>
      <c r="U315" s="320"/>
      <c r="V315" s="320"/>
      <c r="W315" s="320"/>
      <c r="X315" s="320"/>
      <c r="Y315" s="320"/>
      <c r="Z315" s="320"/>
      <c r="AA315" s="320"/>
      <c r="AB315" s="320"/>
      <c r="AC315" s="320"/>
      <c r="AD315" s="320"/>
      <c r="AE315" s="320"/>
      <c r="AF315" s="320"/>
      <c r="AG315" s="320"/>
      <c r="AH315" s="320"/>
      <c r="AI315" s="93"/>
      <c r="AJ315" s="93"/>
      <c r="AK315" s="93"/>
      <c r="AL315" s="93"/>
      <c r="AM315" s="93"/>
      <c r="AN315" s="93"/>
      <c r="AO315" s="93"/>
      <c r="AP315" s="93"/>
      <c r="AQ315" s="93"/>
      <c r="AR315" s="93"/>
      <c r="AS315" s="93"/>
      <c r="AT315" s="93"/>
      <c r="AU315" s="93"/>
      <c r="AV315" s="93"/>
      <c r="AW315" s="93"/>
      <c r="AX315" s="93"/>
      <c r="AY315" s="93"/>
      <c r="AZ315" s="93"/>
      <c r="BA315" s="6"/>
      <c r="BC315" s="93"/>
      <c r="BD315" s="92"/>
      <c r="BE315" s="92"/>
      <c r="BF315" s="92"/>
      <c r="BG315" s="92"/>
      <c r="BH315" s="92"/>
      <c r="BI315" s="92"/>
      <c r="BJ315" s="92"/>
      <c r="BK315" s="92"/>
      <c r="BL315" s="92"/>
      <c r="BM315" s="92"/>
      <c r="BN315" s="92"/>
      <c r="BO315" s="92"/>
      <c r="BP315" s="92"/>
      <c r="BQ315" s="92"/>
      <c r="BR315" s="92"/>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row>
    <row r="316" spans="1:96" s="7" customFormat="1" ht="9.75" customHeight="1" x14ac:dyDescent="0.15">
      <c r="A316" s="6"/>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103"/>
      <c r="Y316" s="103"/>
      <c r="Z316" s="103"/>
      <c r="AA316" s="103"/>
      <c r="AB316" s="103"/>
      <c r="AC316" s="103"/>
      <c r="AD316" s="103"/>
      <c r="AE316" s="103"/>
      <c r="AF316" s="103"/>
      <c r="AG316" s="103"/>
      <c r="AH316" s="103"/>
      <c r="AI316" s="93"/>
      <c r="AJ316" s="93"/>
      <c r="AK316" s="93"/>
      <c r="AL316" s="93"/>
      <c r="AM316" s="93"/>
      <c r="AN316" s="93"/>
      <c r="AO316" s="93"/>
      <c r="AP316" s="93"/>
      <c r="AQ316" s="93"/>
      <c r="AR316" s="93"/>
      <c r="AS316" s="93"/>
      <c r="AT316" s="93"/>
      <c r="AU316" s="93"/>
      <c r="AV316" s="93"/>
      <c r="AW316" s="93"/>
      <c r="AX316" s="93"/>
      <c r="AY316" s="93"/>
      <c r="AZ316" s="93"/>
      <c r="BA316" s="6"/>
      <c r="BC316" s="93"/>
      <c r="BD316" s="92"/>
      <c r="BE316" s="92"/>
      <c r="BF316" s="92"/>
      <c r="BG316" s="92"/>
      <c r="BH316" s="92"/>
      <c r="BI316" s="92"/>
      <c r="BJ316" s="92"/>
      <c r="BK316" s="92"/>
      <c r="BL316" s="92"/>
      <c r="BM316" s="92"/>
      <c r="BN316" s="92"/>
      <c r="BO316" s="92"/>
      <c r="BP316" s="92"/>
      <c r="BQ316" s="92"/>
      <c r="BR316" s="92"/>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row>
    <row r="317" spans="1:96" s="7" customFormat="1" ht="13.5" customHeight="1" x14ac:dyDescent="0.15">
      <c r="A317" s="6"/>
      <c r="B317" s="488" t="s">
        <v>5315</v>
      </c>
      <c r="C317" s="488"/>
      <c r="D317" s="488"/>
      <c r="E317" s="488"/>
      <c r="F317" s="488"/>
      <c r="G317" s="488"/>
      <c r="H317" s="488"/>
      <c r="I317" s="488"/>
      <c r="J317" s="488"/>
      <c r="K317" s="488"/>
      <c r="L317" s="488"/>
      <c r="M317" s="488"/>
      <c r="N317" s="488"/>
      <c r="O317" s="488"/>
      <c r="P317" s="488"/>
      <c r="Q317" s="488"/>
      <c r="R317" s="488"/>
      <c r="S317" s="488"/>
      <c r="T317" s="488"/>
      <c r="U317" s="488"/>
      <c r="V317" s="488"/>
      <c r="W317" s="488"/>
      <c r="X317" s="488"/>
      <c r="Y317" s="488"/>
      <c r="Z317" s="488"/>
      <c r="AA317" s="488"/>
      <c r="AB317" s="488"/>
      <c r="AC317" s="488"/>
      <c r="AD317" s="488"/>
      <c r="AE317" s="488"/>
      <c r="AF317" s="488"/>
      <c r="AG317" s="488"/>
      <c r="AH317" s="488"/>
      <c r="AI317" s="668"/>
      <c r="AJ317" s="668"/>
      <c r="AK317" s="668"/>
      <c r="AL317" s="668"/>
      <c r="AM317" s="668"/>
      <c r="AN317" s="668"/>
      <c r="AO317" s="668"/>
      <c r="AP317" s="668"/>
      <c r="AQ317" s="668"/>
      <c r="AR317" s="668"/>
      <c r="AS317" s="668"/>
      <c r="AT317" s="668"/>
      <c r="AU317" s="668"/>
      <c r="AV317" s="668"/>
      <c r="AW317" s="668"/>
      <c r="AX317" s="668"/>
      <c r="AY317" s="668"/>
      <c r="AZ317" s="668"/>
      <c r="BA317" s="668"/>
      <c r="BC317" s="93"/>
      <c r="BD317" s="92"/>
      <c r="BE317" s="92"/>
      <c r="BF317" s="92"/>
      <c r="BG317" s="92"/>
      <c r="BH317" s="92"/>
      <c r="BI317" s="92"/>
      <c r="BJ317" s="92"/>
      <c r="BK317" s="92"/>
      <c r="BL317" s="92"/>
      <c r="BM317" s="92"/>
      <c r="BN317" s="92"/>
      <c r="BO317" s="92"/>
      <c r="BP317" s="92"/>
      <c r="BQ317" s="92"/>
      <c r="BR317" s="92"/>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row>
    <row r="318" spans="1:96" s="7" customFormat="1" ht="26.25" customHeight="1" x14ac:dyDescent="0.15">
      <c r="A318" s="6"/>
      <c r="B318" s="320" t="s">
        <v>5316</v>
      </c>
      <c r="C318" s="320"/>
      <c r="D318" s="320"/>
      <c r="E318" s="320"/>
      <c r="F318" s="320"/>
      <c r="G318" s="320"/>
      <c r="H318" s="320"/>
      <c r="I318" s="320"/>
      <c r="J318" s="320"/>
      <c r="K318" s="320"/>
      <c r="L318" s="320"/>
      <c r="M318" s="320"/>
      <c r="N318" s="320"/>
      <c r="O318" s="320"/>
      <c r="P318" s="320"/>
      <c r="Q318" s="320"/>
      <c r="R318" s="320"/>
      <c r="S318" s="320"/>
      <c r="T318" s="320"/>
      <c r="U318" s="320"/>
      <c r="V318" s="320"/>
      <c r="W318" s="320"/>
      <c r="X318" s="320"/>
      <c r="Y318" s="320"/>
      <c r="Z318" s="320"/>
      <c r="AA318" s="320"/>
      <c r="AB318" s="320"/>
      <c r="AC318" s="320"/>
      <c r="AD318" s="320"/>
      <c r="AE318" s="320"/>
      <c r="AF318" s="320"/>
      <c r="AG318" s="320"/>
      <c r="AH318" s="320"/>
      <c r="AI318" s="320"/>
      <c r="AJ318" s="320"/>
      <c r="AK318" s="320"/>
      <c r="AL318" s="320"/>
      <c r="AM318" s="320"/>
      <c r="AN318" s="320"/>
      <c r="AO318" s="320"/>
      <c r="AP318" s="320"/>
      <c r="AQ318" s="320"/>
      <c r="AR318" s="320"/>
      <c r="AS318" s="320"/>
      <c r="AT318" s="320"/>
      <c r="AU318" s="320"/>
      <c r="AV318" s="320"/>
      <c r="AW318" s="320"/>
      <c r="AX318" s="320"/>
      <c r="AY318" s="320"/>
      <c r="AZ318" s="320"/>
      <c r="BA318" s="320"/>
      <c r="BB318" s="6"/>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row>
    <row r="319" spans="1:96" s="7" customFormat="1" ht="9" customHeight="1" x14ac:dyDescent="0.15">
      <c r="A319" s="6"/>
      <c r="B319" s="103"/>
      <c r="C319" s="103"/>
      <c r="D319" s="103"/>
      <c r="E319" s="103"/>
      <c r="F319" s="103"/>
      <c r="G319" s="103"/>
      <c r="H319" s="103"/>
      <c r="I319" s="103"/>
      <c r="J319" s="103"/>
      <c r="K319" s="103"/>
      <c r="L319" s="103"/>
      <c r="M319" s="103"/>
      <c r="N319" s="103"/>
      <c r="O319" s="103"/>
      <c r="P319" s="103"/>
      <c r="Q319" s="103"/>
      <c r="R319" s="103"/>
      <c r="S319" s="103"/>
      <c r="T319" s="103"/>
      <c r="U319" s="103"/>
      <c r="V319" s="103"/>
      <c r="W319" s="103"/>
      <c r="X319" s="103"/>
      <c r="Y319" s="103"/>
      <c r="Z319" s="103"/>
      <c r="AA319" s="103"/>
      <c r="AB319" s="103"/>
      <c r="AC319" s="103"/>
      <c r="AD319" s="103"/>
      <c r="AE319" s="103"/>
      <c r="AF319" s="103"/>
      <c r="AG319" s="103"/>
      <c r="AH319" s="103"/>
      <c r="AI319" s="103"/>
      <c r="AJ319" s="103"/>
      <c r="AK319" s="103"/>
      <c r="AL319" s="103"/>
      <c r="AM319" s="103"/>
      <c r="AN319" s="103"/>
      <c r="AO319" s="103"/>
      <c r="AP319" s="103"/>
      <c r="AQ319" s="103"/>
      <c r="AR319" s="103"/>
      <c r="AS319" s="103"/>
      <c r="AT319" s="103"/>
      <c r="AU319" s="103"/>
      <c r="AV319" s="103"/>
      <c r="AW319" s="103"/>
      <c r="AX319" s="103"/>
      <c r="AY319" s="103"/>
      <c r="AZ319" s="103"/>
      <c r="BA319" s="103"/>
      <c r="BB319" s="6"/>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row>
    <row r="320" spans="1:96" s="7" customFormat="1" ht="12" customHeight="1" x14ac:dyDescent="0.3">
      <c r="A320" s="261" t="s">
        <v>5577</v>
      </c>
      <c r="B320" s="261"/>
      <c r="C320" s="261"/>
      <c r="D320" s="261"/>
      <c r="E320" s="261"/>
      <c r="F320" s="261"/>
      <c r="G320" s="261"/>
      <c r="H320" s="261"/>
      <c r="I320" s="261"/>
      <c r="J320" s="261"/>
      <c r="K320" s="261"/>
      <c r="L320" s="261"/>
      <c r="M320" s="261"/>
      <c r="N320" s="261"/>
      <c r="O320" s="261"/>
      <c r="P320" s="261"/>
      <c r="Q320" s="261"/>
      <c r="R320" s="261"/>
      <c r="S320" s="261"/>
      <c r="T320" s="261"/>
      <c r="U320" s="261"/>
      <c r="V320" s="261"/>
      <c r="W320" s="261"/>
      <c r="X320" s="261"/>
      <c r="Y320" s="261"/>
      <c r="Z320" s="261"/>
      <c r="AA320" s="261"/>
      <c r="AB320" s="261"/>
      <c r="AC320" s="261"/>
      <c r="AD320" s="261"/>
      <c r="AE320" s="261"/>
      <c r="AF320" s="261"/>
      <c r="AG320" s="261"/>
      <c r="AH320" s="261"/>
      <c r="AI320" s="261"/>
      <c r="AJ320" s="261"/>
      <c r="AK320" s="261"/>
      <c r="AL320" s="261"/>
      <c r="AM320" s="261"/>
      <c r="AN320" s="261"/>
      <c r="AO320" s="261"/>
      <c r="AP320" s="261"/>
      <c r="AQ320" s="261"/>
      <c r="AR320" s="261"/>
      <c r="AS320" s="261"/>
      <c r="AT320" s="261"/>
      <c r="AU320" s="261"/>
      <c r="AV320" s="261"/>
      <c r="AW320" s="261"/>
      <c r="AX320" s="261"/>
      <c r="AY320" s="261"/>
      <c r="AZ320" s="261"/>
      <c r="BA320" s="261"/>
      <c r="BB320" s="261"/>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row>
    <row r="321" spans="1:97" s="7" customFormat="1" ht="9" customHeight="1" x14ac:dyDescent="0.3">
      <c r="A321" s="63"/>
      <c r="B321" s="63"/>
      <c r="C321" s="63"/>
      <c r="D321" s="63"/>
      <c r="E321" s="63"/>
      <c r="F321" s="63"/>
      <c r="G321" s="63"/>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c r="AE321" s="63"/>
      <c r="AF321" s="63"/>
      <c r="AG321" s="63"/>
      <c r="AH321" s="63"/>
      <c r="AI321" s="63"/>
      <c r="AJ321" s="63"/>
      <c r="AK321" s="63"/>
      <c r="AL321" s="63"/>
      <c r="AM321" s="63"/>
      <c r="AN321" s="63"/>
      <c r="AO321" s="63"/>
      <c r="AP321" s="63"/>
      <c r="AQ321" s="63"/>
      <c r="AR321" s="63"/>
      <c r="AS321" s="63"/>
      <c r="AT321" s="63"/>
      <c r="AU321" s="63"/>
      <c r="AV321" s="63"/>
      <c r="AW321" s="63"/>
      <c r="AX321" s="63"/>
      <c r="AY321" s="63"/>
      <c r="AZ321" s="63"/>
      <c r="BA321" s="63"/>
      <c r="BB321" s="63"/>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row>
    <row r="322" spans="1:97" s="7" customFormat="1" ht="51.75" customHeight="1" x14ac:dyDescent="0.15">
      <c r="A322" s="6"/>
      <c r="B322" s="315" t="s">
        <v>5647</v>
      </c>
      <c r="C322" s="315"/>
      <c r="D322" s="315"/>
      <c r="E322" s="315"/>
      <c r="F322" s="315"/>
      <c r="G322" s="315"/>
      <c r="H322" s="315"/>
      <c r="I322" s="315"/>
      <c r="J322" s="315"/>
      <c r="K322" s="315"/>
      <c r="L322" s="315"/>
      <c r="M322" s="315"/>
      <c r="N322" s="315"/>
      <c r="O322" s="315"/>
      <c r="P322" s="315"/>
      <c r="Q322" s="315"/>
      <c r="R322" s="315"/>
      <c r="S322" s="315"/>
      <c r="T322" s="315"/>
      <c r="U322" s="315"/>
      <c r="V322" s="315"/>
      <c r="W322" s="315"/>
      <c r="X322" s="315"/>
      <c r="Y322" s="315"/>
      <c r="Z322" s="315"/>
      <c r="AA322" s="315"/>
      <c r="AB322" s="315"/>
      <c r="AC322" s="315"/>
      <c r="AD322" s="315"/>
      <c r="AE322" s="315"/>
      <c r="AF322" s="315"/>
      <c r="AG322" s="315"/>
      <c r="AH322" s="315"/>
      <c r="AI322" s="315"/>
      <c r="AJ322" s="315"/>
      <c r="AK322" s="315"/>
      <c r="AL322" s="315"/>
      <c r="AM322" s="315"/>
      <c r="AN322" s="315"/>
      <c r="AO322" s="315"/>
      <c r="AP322" s="315"/>
      <c r="AQ322" s="315"/>
      <c r="AR322" s="315"/>
      <c r="AS322" s="315"/>
      <c r="AT322" s="315"/>
      <c r="AU322" s="271"/>
      <c r="AV322" s="272"/>
      <c r="AW322" s="272"/>
      <c r="AX322" s="272"/>
      <c r="AY322" s="272"/>
      <c r="AZ322" s="272"/>
      <c r="BA322" s="273"/>
      <c r="BB322" s="6"/>
      <c r="BD322" s="208" t="str">
        <f>IF(AU322="","Proszę wybrać odpowiedź TAK lub NIE.","")</f>
        <v>Proszę wybrać odpowiedź TAK lub NIE.</v>
      </c>
      <c r="BE322" s="208"/>
      <c r="BF322" s="208"/>
      <c r="BG322" s="208"/>
      <c r="BH322" s="208"/>
      <c r="BI322" s="208"/>
      <c r="BJ322" s="208"/>
      <c r="BK322" s="208"/>
      <c r="BL322" s="208"/>
      <c r="BM322" s="208"/>
      <c r="BN322" s="208"/>
      <c r="BO322" s="208"/>
      <c r="BP322" s="208"/>
      <c r="BQ322" s="208"/>
      <c r="BR322" s="208"/>
      <c r="BS322" s="208"/>
      <c r="BT322" s="208"/>
      <c r="BU322" s="208"/>
      <c r="BV322" s="208"/>
      <c r="BW322" s="208"/>
      <c r="BX322" s="208"/>
      <c r="BY322" s="208"/>
      <c r="BZ322" s="208"/>
      <c r="CA322" s="208"/>
      <c r="CB322" s="208"/>
      <c r="CC322" s="208"/>
      <c r="CD322" s="208"/>
      <c r="CE322" s="208"/>
      <c r="CF322" s="208"/>
      <c r="CG322" s="208"/>
      <c r="CH322" s="208"/>
      <c r="CI322" s="208"/>
      <c r="CJ322" s="208"/>
      <c r="CK322" s="208"/>
      <c r="CL322" s="208"/>
      <c r="CM322" s="208"/>
      <c r="CN322" s="208"/>
      <c r="CO322" s="208"/>
      <c r="CP322" s="208"/>
      <c r="CQ322" s="208"/>
      <c r="CR322" s="208"/>
      <c r="CS322" s="208"/>
    </row>
    <row r="323" spans="1:97" s="7" customFormat="1" ht="49.5" customHeight="1" x14ac:dyDescent="0.15">
      <c r="A323" s="6"/>
      <c r="B323" s="323" t="s">
        <v>5587</v>
      </c>
      <c r="C323" s="323"/>
      <c r="D323" s="323"/>
      <c r="E323" s="323"/>
      <c r="F323" s="323"/>
      <c r="G323" s="323"/>
      <c r="H323" s="323"/>
      <c r="I323" s="323"/>
      <c r="J323" s="323"/>
      <c r="K323" s="323"/>
      <c r="L323" s="323"/>
      <c r="M323" s="323"/>
      <c r="N323" s="323"/>
      <c r="O323" s="323"/>
      <c r="P323" s="323"/>
      <c r="Q323" s="323"/>
      <c r="R323" s="323"/>
      <c r="S323" s="323"/>
      <c r="T323" s="323"/>
      <c r="U323" s="323"/>
      <c r="V323" s="323"/>
      <c r="W323" s="323"/>
      <c r="X323" s="323"/>
      <c r="Y323" s="323"/>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317"/>
      <c r="AV323" s="318"/>
      <c r="AW323" s="318"/>
      <c r="AX323" s="318"/>
      <c r="AY323" s="318"/>
      <c r="AZ323" s="318"/>
      <c r="BA323" s="319"/>
      <c r="BB323" s="6"/>
      <c r="BD323" s="208" t="str">
        <f>IF(AU323="","",IF(AU323&gt;52,"Uwaga! Planowana wartość wskaźnika EP przekracza maksymalną dopuszczalną wartość 52 kWh/(m2.rok) wymaganą przy ubieganiu się o finansowe wsparcie z Funduszu Dopłat oraz o gwarancję InvestEU stanowiącą dodatkowe zabezpieczenie spłaty kredytu.",""))</f>
        <v/>
      </c>
      <c r="BE323" s="208"/>
      <c r="BF323" s="208"/>
      <c r="BG323" s="208"/>
      <c r="BH323" s="208"/>
      <c r="BI323" s="208"/>
      <c r="BJ323" s="208"/>
      <c r="BK323" s="208"/>
      <c r="BL323" s="208"/>
      <c r="BM323" s="208"/>
      <c r="BN323" s="208"/>
      <c r="BO323" s="208"/>
      <c r="BP323" s="208"/>
      <c r="BQ323" s="208"/>
      <c r="BR323" s="208"/>
      <c r="BS323" s="208"/>
      <c r="BT323" s="208"/>
      <c r="BU323" s="208"/>
      <c r="BV323" s="208"/>
      <c r="BW323" s="208"/>
      <c r="BX323" s="208"/>
      <c r="BY323" s="208"/>
      <c r="BZ323" s="208"/>
      <c r="CA323" s="208"/>
      <c r="CB323" s="208"/>
      <c r="CC323" s="208"/>
      <c r="CD323" s="208"/>
      <c r="CE323" s="208"/>
      <c r="CF323" s="208"/>
      <c r="CG323" s="208"/>
      <c r="CH323" s="208"/>
      <c r="CI323" s="208"/>
      <c r="CJ323" s="208"/>
      <c r="CK323" s="208"/>
      <c r="CL323" s="208"/>
      <c r="CM323" s="208"/>
      <c r="CN323" s="208"/>
      <c r="CO323" s="75"/>
      <c r="CP323" s="75"/>
      <c r="CQ323" s="75"/>
      <c r="CR323" s="75"/>
    </row>
    <row r="324" spans="1:97" s="7" customFormat="1" ht="87" customHeight="1" x14ac:dyDescent="0.15">
      <c r="A324" s="6"/>
      <c r="B324" s="370" t="str">
        <f>IF($AU$142="TAK",pomocnicze!A24,"")</f>
        <v/>
      </c>
      <c r="C324" s="370"/>
      <c r="D324" s="370"/>
      <c r="E324" s="370"/>
      <c r="F324" s="370"/>
      <c r="G324" s="370"/>
      <c r="H324" s="370"/>
      <c r="I324" s="370"/>
      <c r="J324" s="370"/>
      <c r="K324" s="370"/>
      <c r="L324" s="370"/>
      <c r="M324" s="370"/>
      <c r="N324" s="370"/>
      <c r="O324" s="370"/>
      <c r="P324" s="370"/>
      <c r="Q324" s="370"/>
      <c r="R324" s="370"/>
      <c r="S324" s="370"/>
      <c r="T324" s="370"/>
      <c r="U324" s="370"/>
      <c r="V324" s="370"/>
      <c r="W324" s="370"/>
      <c r="X324" s="370"/>
      <c r="Y324" s="370"/>
      <c r="Z324" s="370"/>
      <c r="AA324" s="370"/>
      <c r="AB324" s="370"/>
      <c r="AC324" s="370"/>
      <c r="AD324" s="370"/>
      <c r="AE324" s="370"/>
      <c r="AF324" s="370"/>
      <c r="AG324" s="370"/>
      <c r="AH324" s="370"/>
      <c r="AI324" s="370"/>
      <c r="AJ324" s="370"/>
      <c r="AK324" s="370"/>
      <c r="AL324" s="370"/>
      <c r="AM324" s="370"/>
      <c r="AN324" s="370"/>
      <c r="AO324" s="370"/>
      <c r="AP324" s="370"/>
      <c r="AQ324" s="370"/>
      <c r="AR324" s="370"/>
      <c r="AS324" s="370"/>
      <c r="AT324" s="370"/>
      <c r="AU324" s="274"/>
      <c r="AV324" s="274"/>
      <c r="AW324" s="274"/>
      <c r="AX324" s="274"/>
      <c r="AY324" s="274"/>
      <c r="AZ324" s="274"/>
      <c r="BA324" s="274"/>
      <c r="BB324" s="6"/>
      <c r="BD324" s="208" t="str">
        <f>IF(AND(AU142="TAK",AU324=""),"Proszę wybrać odpowiedź TAK lub NIE.","")</f>
        <v/>
      </c>
      <c r="BE324" s="208"/>
      <c r="BF324" s="208"/>
      <c r="BG324" s="208"/>
      <c r="BH324" s="208"/>
      <c r="BI324" s="208"/>
      <c r="BJ324" s="208"/>
      <c r="BK324" s="208"/>
      <c r="BL324" s="208"/>
      <c r="BM324" s="208"/>
      <c r="BN324" s="208"/>
      <c r="BO324" s="208"/>
      <c r="BP324" s="208"/>
      <c r="BQ324" s="208"/>
      <c r="BR324" s="208"/>
      <c r="BS324" s="208"/>
      <c r="BT324" s="208"/>
      <c r="BU324" s="208"/>
      <c r="BV324" s="208"/>
      <c r="BW324" s="208"/>
      <c r="BX324" s="208"/>
      <c r="BY324" s="208"/>
      <c r="BZ324" s="208"/>
      <c r="CA324" s="208"/>
      <c r="CB324" s="208"/>
      <c r="CC324" s="208"/>
      <c r="CD324" s="208"/>
      <c r="CE324" s="208"/>
      <c r="CF324" s="208"/>
      <c r="CG324" s="208"/>
      <c r="CH324" s="208"/>
      <c r="CI324" s="208"/>
      <c r="CJ324" s="208"/>
      <c r="CK324" s="208"/>
      <c r="CL324" s="208"/>
      <c r="CM324" s="208"/>
      <c r="CN324" s="208"/>
      <c r="CO324" s="208"/>
      <c r="CP324" s="208"/>
      <c r="CQ324" s="208"/>
      <c r="CR324" s="208"/>
      <c r="CS324" s="208"/>
    </row>
    <row r="325" spans="1:97" s="7" customFormat="1" ht="9" customHeight="1" x14ac:dyDescent="0.1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row>
    <row r="326" spans="1:97" s="7" customFormat="1" x14ac:dyDescent="0.3">
      <c r="A326" s="261" t="s">
        <v>5590</v>
      </c>
      <c r="B326" s="261"/>
      <c r="C326" s="261"/>
      <c r="D326" s="261"/>
      <c r="E326" s="261"/>
      <c r="F326" s="261"/>
      <c r="G326" s="261"/>
      <c r="H326" s="261"/>
      <c r="I326" s="261"/>
      <c r="J326" s="261"/>
      <c r="K326" s="261"/>
      <c r="L326" s="261"/>
      <c r="M326" s="261"/>
      <c r="N326" s="261"/>
      <c r="O326" s="261"/>
      <c r="P326" s="261"/>
      <c r="Q326" s="261"/>
      <c r="R326" s="261"/>
      <c r="S326" s="261"/>
      <c r="T326" s="261"/>
      <c r="U326" s="261"/>
      <c r="V326" s="261"/>
      <c r="W326" s="261"/>
      <c r="X326" s="261"/>
      <c r="Y326" s="261"/>
      <c r="Z326" s="261"/>
      <c r="AA326" s="261"/>
      <c r="AB326" s="261"/>
      <c r="AC326" s="261"/>
      <c r="AD326" s="261"/>
      <c r="AE326" s="261"/>
      <c r="AF326" s="261"/>
      <c r="AG326" s="261"/>
      <c r="AH326" s="261"/>
      <c r="AI326" s="261"/>
      <c r="AJ326" s="261"/>
      <c r="AK326" s="261"/>
      <c r="AL326" s="261"/>
      <c r="AM326" s="261"/>
      <c r="AN326" s="261"/>
      <c r="AO326" s="261"/>
      <c r="AP326" s="261"/>
      <c r="AQ326" s="261"/>
      <c r="AR326" s="261"/>
      <c r="AS326" s="261"/>
      <c r="AT326" s="261"/>
      <c r="AU326" s="261"/>
      <c r="AV326" s="261"/>
      <c r="AW326" s="261"/>
      <c r="AX326" s="261"/>
      <c r="AY326" s="261"/>
      <c r="AZ326" s="261"/>
      <c r="BA326" s="261"/>
      <c r="BB326" s="261"/>
      <c r="BC326" s="6"/>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row>
    <row r="327" spans="1:97" s="7" customFormat="1" ht="9" customHeight="1" x14ac:dyDescent="0.1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row>
    <row r="328" spans="1:97" s="7" customFormat="1" ht="16.5" customHeight="1" x14ac:dyDescent="0.25">
      <c r="A328" s="8"/>
      <c r="B328" s="262" t="s">
        <v>5589</v>
      </c>
      <c r="C328" s="263"/>
      <c r="D328" s="263"/>
      <c r="E328" s="263"/>
      <c r="F328" s="263"/>
      <c r="G328" s="263"/>
      <c r="H328" s="263"/>
      <c r="I328" s="263"/>
      <c r="J328" s="263"/>
      <c r="K328" s="263"/>
      <c r="L328" s="263"/>
      <c r="M328" s="263"/>
      <c r="N328" s="263"/>
      <c r="O328" s="263"/>
      <c r="P328" s="263"/>
      <c r="Q328" s="263"/>
      <c r="R328" s="263"/>
      <c r="S328" s="263"/>
      <c r="T328" s="263"/>
      <c r="U328" s="263"/>
      <c r="V328" s="263"/>
      <c r="W328" s="263"/>
      <c r="X328" s="263"/>
      <c r="Y328" s="263"/>
      <c r="Z328" s="263"/>
      <c r="AA328" s="263"/>
      <c r="AB328" s="263"/>
      <c r="AC328" s="263"/>
      <c r="AD328" s="263"/>
      <c r="AE328" s="263"/>
      <c r="AF328" s="263"/>
      <c r="AG328" s="263"/>
      <c r="AH328" s="263"/>
      <c r="AI328" s="263"/>
      <c r="AJ328" s="263"/>
      <c r="AK328" s="263"/>
      <c r="AL328" s="263"/>
      <c r="AM328" s="263"/>
      <c r="AN328" s="263"/>
      <c r="AO328" s="263"/>
      <c r="AP328" s="263"/>
      <c r="AQ328" s="263"/>
      <c r="AR328" s="263"/>
      <c r="AS328" s="263"/>
      <c r="AT328" s="264"/>
      <c r="AU328" s="265"/>
      <c r="AV328" s="219"/>
      <c r="AW328" s="219"/>
      <c r="AX328" s="219"/>
      <c r="AY328" s="219"/>
      <c r="AZ328" s="219"/>
      <c r="BA328" s="220"/>
      <c r="BB328" s="8"/>
      <c r="BC328" s="6"/>
      <c r="BD328" s="208" t="str">
        <f>IF(AND(AU328&lt;&gt;"NIE",AU328&lt;&gt;"TAK"),"Proszę wybrać odpowiedź TAK lub NIE.","")</f>
        <v>Proszę wybrać odpowiedź TAK lub NIE.</v>
      </c>
      <c r="BE328" s="208"/>
      <c r="BF328" s="208"/>
      <c r="BG328" s="208"/>
      <c r="BH328" s="208"/>
      <c r="BI328" s="208"/>
      <c r="BJ328" s="208"/>
      <c r="BK328" s="208"/>
      <c r="BL328" s="208"/>
      <c r="BM328" s="208"/>
      <c r="BN328" s="208"/>
      <c r="BO328" s="208"/>
      <c r="BP328" s="208"/>
      <c r="BQ328" s="208"/>
      <c r="BR328" s="208"/>
      <c r="BS328" s="208"/>
      <c r="BT328" s="208"/>
      <c r="BU328" s="208"/>
      <c r="BV328" s="208"/>
      <c r="BW328" s="208"/>
      <c r="BX328" s="208"/>
      <c r="BY328" s="208"/>
      <c r="BZ328" s="208"/>
      <c r="CA328" s="75"/>
      <c r="CB328" s="75"/>
      <c r="CC328" s="75"/>
      <c r="CD328" s="75"/>
      <c r="CE328" s="75"/>
      <c r="CF328" s="75"/>
      <c r="CG328" s="75"/>
      <c r="CH328" s="75"/>
      <c r="CI328" s="75"/>
      <c r="CJ328" s="75"/>
      <c r="CK328" s="75"/>
      <c r="CL328" s="75"/>
      <c r="CM328" s="75"/>
      <c r="CN328" s="75"/>
      <c r="CO328" s="75"/>
      <c r="CP328" s="75"/>
      <c r="CQ328" s="75"/>
      <c r="CR328" s="75"/>
      <c r="CS328" s="75"/>
    </row>
    <row r="329" spans="1:97" s="7" customFormat="1" ht="9" customHeight="1" x14ac:dyDescent="0.1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row>
    <row r="330" spans="1:97" s="7" customFormat="1" ht="15.75" customHeight="1" x14ac:dyDescent="0.3">
      <c r="A330" s="261" t="s">
        <v>5301</v>
      </c>
      <c r="B330" s="261"/>
      <c r="C330" s="261"/>
      <c r="D330" s="261"/>
      <c r="E330" s="261"/>
      <c r="F330" s="261"/>
      <c r="G330" s="261"/>
      <c r="H330" s="261"/>
      <c r="I330" s="261"/>
      <c r="J330" s="261"/>
      <c r="K330" s="261"/>
      <c r="L330" s="261"/>
      <c r="M330" s="261"/>
      <c r="N330" s="261"/>
      <c r="O330" s="261"/>
      <c r="P330" s="261"/>
      <c r="Q330" s="261"/>
      <c r="R330" s="261"/>
      <c r="S330" s="261"/>
      <c r="T330" s="261"/>
      <c r="U330" s="261"/>
      <c r="V330" s="261"/>
      <c r="W330" s="261"/>
      <c r="X330" s="261"/>
      <c r="Y330" s="261"/>
      <c r="Z330" s="261"/>
      <c r="AA330" s="261"/>
      <c r="AB330" s="261"/>
      <c r="AC330" s="261"/>
      <c r="AD330" s="261"/>
      <c r="AE330" s="261"/>
      <c r="AF330" s="261"/>
      <c r="AG330" s="261"/>
      <c r="AH330" s="261"/>
      <c r="AI330" s="261"/>
      <c r="AJ330" s="261"/>
      <c r="AK330" s="261"/>
      <c r="AL330" s="261"/>
      <c r="AM330" s="261"/>
      <c r="AN330" s="261"/>
      <c r="AO330" s="261"/>
      <c r="AP330" s="261"/>
      <c r="AQ330" s="261"/>
      <c r="AR330" s="261"/>
      <c r="AS330" s="261"/>
      <c r="AT330" s="261"/>
      <c r="AU330" s="261"/>
      <c r="AV330" s="261"/>
      <c r="AW330" s="261"/>
      <c r="AX330" s="261"/>
      <c r="AY330" s="261"/>
      <c r="AZ330" s="261"/>
      <c r="BA330" s="261"/>
      <c r="BB330" s="261"/>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row>
    <row r="331" spans="1:97" s="7" customFormat="1" ht="9" customHeight="1" x14ac:dyDescent="0.3">
      <c r="A331" s="63"/>
      <c r="B331" s="63"/>
      <c r="C331" s="63"/>
      <c r="D331" s="63"/>
      <c r="E331" s="63"/>
      <c r="F331" s="63"/>
      <c r="G331" s="63"/>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c r="AE331" s="63"/>
      <c r="AF331" s="63"/>
      <c r="AG331" s="63"/>
      <c r="AH331" s="63"/>
      <c r="AI331" s="63"/>
      <c r="AJ331" s="63"/>
      <c r="AK331" s="63"/>
      <c r="AL331" s="63"/>
      <c r="AM331" s="63"/>
      <c r="AN331" s="63"/>
      <c r="AO331" s="63"/>
      <c r="AP331" s="63"/>
      <c r="AQ331" s="63"/>
      <c r="AR331" s="63"/>
      <c r="AS331" s="63"/>
      <c r="AT331" s="63"/>
      <c r="AU331" s="63"/>
      <c r="AV331" s="63"/>
      <c r="AW331" s="63"/>
      <c r="AX331" s="63"/>
      <c r="AY331" s="63"/>
      <c r="AZ331" s="63"/>
      <c r="BA331" s="63"/>
      <c r="BB331" s="63"/>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row>
    <row r="332" spans="1:97" s="7" customFormat="1" ht="87.75" customHeight="1" x14ac:dyDescent="0.15">
      <c r="A332" s="6"/>
      <c r="B332" s="269" t="s">
        <v>5617</v>
      </c>
      <c r="C332" s="269"/>
      <c r="D332" s="269"/>
      <c r="E332" s="269"/>
      <c r="F332" s="269"/>
      <c r="G332" s="269"/>
      <c r="H332" s="269"/>
      <c r="I332" s="269"/>
      <c r="J332" s="269"/>
      <c r="K332" s="269"/>
      <c r="L332" s="269"/>
      <c r="M332" s="269"/>
      <c r="N332" s="269"/>
      <c r="O332" s="269"/>
      <c r="P332" s="269"/>
      <c r="Q332" s="269"/>
      <c r="R332" s="269"/>
      <c r="S332" s="269"/>
      <c r="T332" s="269"/>
      <c r="U332" s="269"/>
      <c r="V332" s="269"/>
      <c r="W332" s="269"/>
      <c r="X332" s="269"/>
      <c r="Y332" s="269"/>
      <c r="Z332" s="269"/>
      <c r="AA332" s="269"/>
      <c r="AB332" s="269"/>
      <c r="AC332" s="269"/>
      <c r="AD332" s="269"/>
      <c r="AE332" s="269"/>
      <c r="AF332" s="269"/>
      <c r="AG332" s="269"/>
      <c r="AH332" s="269"/>
      <c r="AI332" s="269"/>
      <c r="AJ332" s="269"/>
      <c r="AK332" s="269"/>
      <c r="AL332" s="269"/>
      <c r="AM332" s="269"/>
      <c r="AN332" s="269"/>
      <c r="AO332" s="269"/>
      <c r="AP332" s="269"/>
      <c r="AQ332" s="269"/>
      <c r="AR332" s="269"/>
      <c r="AS332" s="269"/>
      <c r="AT332" s="269"/>
      <c r="AU332" s="269"/>
      <c r="AV332" s="269"/>
      <c r="AW332" s="269"/>
      <c r="AX332" s="269"/>
      <c r="AY332" s="269"/>
      <c r="AZ332" s="269"/>
      <c r="BA332" s="269"/>
      <c r="BB332" s="6"/>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row>
    <row r="333" spans="1:97" s="7" customFormat="1" ht="44.25" customHeight="1" x14ac:dyDescent="0.15">
      <c r="A333" s="6"/>
      <c r="B333" s="269" t="s">
        <v>5618</v>
      </c>
      <c r="C333" s="269"/>
      <c r="D333" s="269"/>
      <c r="E333" s="269"/>
      <c r="F333" s="269"/>
      <c r="G333" s="269"/>
      <c r="H333" s="269"/>
      <c r="I333" s="269"/>
      <c r="J333" s="269"/>
      <c r="K333" s="269"/>
      <c r="L333" s="269"/>
      <c r="M333" s="269"/>
      <c r="N333" s="269"/>
      <c r="O333" s="269"/>
      <c r="P333" s="269"/>
      <c r="Q333" s="269"/>
      <c r="R333" s="269"/>
      <c r="S333" s="269"/>
      <c r="T333" s="269"/>
      <c r="U333" s="269"/>
      <c r="V333" s="269"/>
      <c r="W333" s="269"/>
      <c r="X333" s="269"/>
      <c r="Y333" s="269"/>
      <c r="Z333" s="269"/>
      <c r="AA333" s="269"/>
      <c r="AB333" s="269"/>
      <c r="AC333" s="269"/>
      <c r="AD333" s="269"/>
      <c r="AE333" s="269"/>
      <c r="AF333" s="269"/>
      <c r="AG333" s="269"/>
      <c r="AH333" s="269"/>
      <c r="AI333" s="269"/>
      <c r="AJ333" s="269"/>
      <c r="AK333" s="269"/>
      <c r="AL333" s="269"/>
      <c r="AM333" s="269"/>
      <c r="AN333" s="269"/>
      <c r="AO333" s="269"/>
      <c r="AP333" s="269"/>
      <c r="AQ333" s="269"/>
      <c r="AR333" s="269"/>
      <c r="AS333" s="269"/>
      <c r="AT333" s="269"/>
      <c r="AU333" s="269"/>
      <c r="AV333" s="269"/>
      <c r="AW333" s="269"/>
      <c r="AX333" s="269"/>
      <c r="AY333" s="269"/>
      <c r="AZ333" s="269"/>
      <c r="BA333" s="269"/>
      <c r="BB333" s="6"/>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row>
    <row r="334" spans="1:97" s="170" customFormat="1" ht="20.25" customHeight="1" x14ac:dyDescent="0.3">
      <c r="A334" s="171"/>
      <c r="B334" s="316" t="s">
        <v>5455</v>
      </c>
      <c r="C334" s="316"/>
      <c r="D334" s="316"/>
      <c r="E334" s="316"/>
      <c r="F334" s="316"/>
      <c r="G334" s="316"/>
      <c r="H334" s="316"/>
      <c r="I334" s="316"/>
      <c r="J334" s="316"/>
      <c r="K334" s="316"/>
      <c r="L334" s="316"/>
      <c r="M334" s="316"/>
      <c r="N334" s="316"/>
      <c r="O334" s="316"/>
      <c r="P334" s="316"/>
      <c r="Q334" s="316"/>
      <c r="R334" s="316"/>
      <c r="S334" s="316"/>
      <c r="T334" s="316"/>
      <c r="U334" s="316"/>
      <c r="V334" s="316"/>
      <c r="W334" s="316"/>
      <c r="X334" s="316"/>
      <c r="Y334" s="316"/>
      <c r="Z334" s="316"/>
      <c r="AA334" s="316"/>
      <c r="AB334" s="316"/>
      <c r="AC334" s="316"/>
      <c r="AD334" s="316"/>
      <c r="AE334" s="316"/>
      <c r="AF334" s="316"/>
      <c r="AG334" s="316"/>
      <c r="AH334" s="316"/>
      <c r="AI334" s="316"/>
      <c r="AJ334" s="316"/>
      <c r="AK334" s="316"/>
      <c r="AL334" s="316"/>
      <c r="AM334" s="316"/>
      <c r="AN334" s="316"/>
      <c r="AO334" s="316"/>
      <c r="AP334" s="316"/>
      <c r="AQ334" s="316"/>
      <c r="AR334" s="316"/>
      <c r="AS334" s="316"/>
      <c r="AT334" s="316"/>
      <c r="AU334" s="316"/>
      <c r="AV334" s="316"/>
      <c r="AW334" s="316"/>
      <c r="AX334" s="316"/>
      <c r="AY334" s="316"/>
      <c r="AZ334" s="316"/>
      <c r="BA334" s="316"/>
      <c r="BB334" s="171"/>
      <c r="BD334" s="208" t="str">
        <f>IF(LEFT(B334,1)="…","Proszę uzupełnić dane w wykropkowanych miejscach.","")</f>
        <v>Proszę uzupełnić dane w wykropkowanych miejscach.</v>
      </c>
      <c r="BE334" s="208"/>
      <c r="BF334" s="208"/>
      <c r="BG334" s="208"/>
      <c r="BH334" s="208"/>
      <c r="BI334" s="208"/>
      <c r="BJ334" s="208"/>
      <c r="BK334" s="208"/>
      <c r="BL334" s="208"/>
      <c r="BM334" s="208"/>
      <c r="BN334" s="208"/>
      <c r="BO334" s="208"/>
      <c r="BP334" s="208"/>
      <c r="BQ334" s="208"/>
      <c r="BR334" s="208"/>
      <c r="BS334" s="208"/>
      <c r="BT334" s="208"/>
      <c r="BU334" s="208"/>
      <c r="BV334" s="208"/>
      <c r="BW334" s="208"/>
      <c r="BX334" s="208"/>
      <c r="BY334" s="75"/>
      <c r="BZ334" s="75"/>
      <c r="CA334" s="75"/>
      <c r="CB334" s="75"/>
      <c r="CC334" s="75"/>
      <c r="CD334" s="75"/>
      <c r="CE334" s="75"/>
      <c r="CF334" s="75"/>
      <c r="CG334" s="75"/>
      <c r="CH334" s="75"/>
      <c r="CI334" s="75"/>
      <c r="CJ334" s="75"/>
      <c r="CK334" s="75"/>
      <c r="CL334" s="75"/>
      <c r="CM334" s="75"/>
      <c r="CN334" s="75"/>
      <c r="CO334" s="75"/>
      <c r="CP334" s="75"/>
      <c r="CQ334" s="75"/>
      <c r="CR334" s="75"/>
      <c r="CS334" s="75"/>
    </row>
    <row r="335" spans="1:97" s="170" customFormat="1" ht="12" x14ac:dyDescent="0.3">
      <c r="A335" s="171"/>
      <c r="B335" s="270" t="s">
        <v>5616</v>
      </c>
      <c r="C335" s="270"/>
      <c r="D335" s="270"/>
      <c r="E335" s="270"/>
      <c r="F335" s="270"/>
      <c r="G335" s="270"/>
      <c r="H335" s="270"/>
      <c r="I335" s="270"/>
      <c r="J335" s="270"/>
      <c r="K335" s="270"/>
      <c r="L335" s="270"/>
      <c r="M335" s="270"/>
      <c r="N335" s="270"/>
      <c r="O335" s="270"/>
      <c r="P335" s="270"/>
      <c r="Q335" s="270"/>
      <c r="R335" s="270"/>
      <c r="S335" s="270"/>
      <c r="T335" s="270"/>
      <c r="U335" s="270"/>
      <c r="V335" s="270"/>
      <c r="W335" s="270"/>
      <c r="X335" s="270"/>
      <c r="Y335" s="270"/>
      <c r="Z335" s="270"/>
      <c r="AA335" s="270"/>
      <c r="AB335" s="270"/>
      <c r="AC335" s="270"/>
      <c r="AD335" s="270"/>
      <c r="AE335" s="270"/>
      <c r="AF335" s="270"/>
      <c r="AG335" s="270"/>
      <c r="AH335" s="270"/>
      <c r="AI335" s="270"/>
      <c r="AJ335" s="270"/>
      <c r="AK335" s="270"/>
      <c r="AL335" s="270"/>
      <c r="AM335" s="270"/>
      <c r="AN335" s="270"/>
      <c r="AO335" s="270"/>
      <c r="AP335" s="270"/>
      <c r="AQ335" s="270"/>
      <c r="AR335" s="270"/>
      <c r="AS335" s="270"/>
      <c r="AT335" s="270"/>
      <c r="AU335" s="270"/>
      <c r="AV335" s="270"/>
      <c r="AW335" s="270"/>
      <c r="AX335" s="270"/>
      <c r="AY335" s="270"/>
      <c r="AZ335" s="270"/>
      <c r="BA335" s="270"/>
      <c r="BB335" s="171"/>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row>
    <row r="336" spans="1:97" s="7" customFormat="1" ht="15.75" customHeight="1" x14ac:dyDescent="0.15">
      <c r="A336" s="6"/>
      <c r="B336" s="302" t="s">
        <v>5456</v>
      </c>
      <c r="C336" s="302"/>
      <c r="D336" s="302"/>
      <c r="E336" s="302"/>
      <c r="F336" s="302"/>
      <c r="G336" s="302"/>
      <c r="H336" s="302"/>
      <c r="I336" s="302"/>
      <c r="J336" s="302"/>
      <c r="K336" s="302"/>
      <c r="L336" s="302"/>
      <c r="M336" s="302"/>
      <c r="N336" s="302"/>
      <c r="O336" s="302"/>
      <c r="P336" s="302"/>
      <c r="Q336" s="302"/>
      <c r="R336" s="302"/>
      <c r="S336" s="302"/>
      <c r="T336" s="302"/>
      <c r="U336" s="302"/>
      <c r="V336" s="302"/>
      <c r="W336" s="302"/>
      <c r="X336" s="302"/>
      <c r="Y336" s="302"/>
      <c r="Z336" s="302"/>
      <c r="AA336" s="302"/>
      <c r="AB336" s="302"/>
      <c r="AC336" s="302"/>
      <c r="AD336" s="302"/>
      <c r="AE336" s="302"/>
      <c r="AF336" s="302"/>
      <c r="AG336" s="302"/>
      <c r="AH336" s="302"/>
      <c r="AI336" s="302"/>
      <c r="AJ336" s="302"/>
      <c r="AK336" s="302"/>
      <c r="AL336" s="302"/>
      <c r="AM336" s="302"/>
      <c r="AN336" s="302"/>
      <c r="AO336" s="302"/>
      <c r="AP336" s="302"/>
      <c r="AQ336" s="302"/>
      <c r="AR336" s="302"/>
      <c r="AS336" s="302"/>
      <c r="AT336" s="302"/>
      <c r="AU336" s="302"/>
      <c r="AV336" s="302"/>
      <c r="AW336" s="302"/>
      <c r="AX336" s="302"/>
      <c r="AY336" s="302"/>
      <c r="AZ336" s="302"/>
      <c r="BA336" s="302"/>
      <c r="BB336" s="6"/>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row>
    <row r="337" spans="1:97" s="7" customFormat="1" ht="16.5" customHeight="1" x14ac:dyDescent="0.15">
      <c r="A337" s="6"/>
      <c r="B337" s="316" t="s">
        <v>5455</v>
      </c>
      <c r="C337" s="316"/>
      <c r="D337" s="316"/>
      <c r="E337" s="316"/>
      <c r="F337" s="316"/>
      <c r="G337" s="316"/>
      <c r="H337" s="316"/>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316"/>
      <c r="AO337" s="316"/>
      <c r="AP337" s="316"/>
      <c r="AQ337" s="316"/>
      <c r="AR337" s="316"/>
      <c r="AS337" s="316"/>
      <c r="AT337" s="316"/>
      <c r="AU337" s="316"/>
      <c r="AV337" s="316"/>
      <c r="AW337" s="316"/>
      <c r="AX337" s="316"/>
      <c r="AY337" s="316"/>
      <c r="AZ337" s="316"/>
      <c r="BA337" s="316"/>
      <c r="BB337" s="6"/>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row>
    <row r="338" spans="1:97" s="7" customFormat="1" ht="51.75" customHeight="1" x14ac:dyDescent="0.15">
      <c r="A338" s="6"/>
      <c r="B338" s="302" t="s">
        <v>5454</v>
      </c>
      <c r="C338" s="302"/>
      <c r="D338" s="302"/>
      <c r="E338" s="302"/>
      <c r="F338" s="302"/>
      <c r="G338" s="302"/>
      <c r="H338" s="302"/>
      <c r="I338" s="302"/>
      <c r="J338" s="302"/>
      <c r="K338" s="302"/>
      <c r="L338" s="302"/>
      <c r="M338" s="302"/>
      <c r="N338" s="302"/>
      <c r="O338" s="302"/>
      <c r="P338" s="302"/>
      <c r="Q338" s="302"/>
      <c r="R338" s="302"/>
      <c r="S338" s="302"/>
      <c r="T338" s="302"/>
      <c r="U338" s="302"/>
      <c r="V338" s="302"/>
      <c r="W338" s="302"/>
      <c r="X338" s="302"/>
      <c r="Y338" s="302"/>
      <c r="Z338" s="302"/>
      <c r="AA338" s="302"/>
      <c r="AB338" s="302"/>
      <c r="AC338" s="302"/>
      <c r="AD338" s="302"/>
      <c r="AE338" s="302"/>
      <c r="AF338" s="302"/>
      <c r="AG338" s="302"/>
      <c r="AH338" s="302"/>
      <c r="AI338" s="302"/>
      <c r="AJ338" s="302"/>
      <c r="AK338" s="302"/>
      <c r="AL338" s="302"/>
      <c r="AM338" s="302"/>
      <c r="AN338" s="302"/>
      <c r="AO338" s="302"/>
      <c r="AP338" s="302"/>
      <c r="AQ338" s="302"/>
      <c r="AR338" s="302"/>
      <c r="AS338" s="302"/>
      <c r="AT338" s="302"/>
      <c r="AU338" s="302"/>
      <c r="AV338" s="302"/>
      <c r="AW338" s="302"/>
      <c r="AX338" s="302"/>
      <c r="AY338" s="302"/>
      <c r="AZ338" s="302"/>
      <c r="BA338" s="302"/>
      <c r="BB338" s="6"/>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row>
    <row r="339" spans="1:97" s="7" customFormat="1" ht="111.75" customHeight="1" x14ac:dyDescent="0.15">
      <c r="A339" s="6"/>
      <c r="B339" s="269" t="s">
        <v>5619</v>
      </c>
      <c r="C339" s="269"/>
      <c r="D339" s="269"/>
      <c r="E339" s="269"/>
      <c r="F339" s="269"/>
      <c r="G339" s="269"/>
      <c r="H339" s="269"/>
      <c r="I339" s="269"/>
      <c r="J339" s="269"/>
      <c r="K339" s="269"/>
      <c r="L339" s="269"/>
      <c r="M339" s="269"/>
      <c r="N339" s="269"/>
      <c r="O339" s="269"/>
      <c r="P339" s="269"/>
      <c r="Q339" s="269"/>
      <c r="R339" s="269"/>
      <c r="S339" s="269"/>
      <c r="T339" s="269"/>
      <c r="U339" s="269"/>
      <c r="V339" s="269"/>
      <c r="W339" s="269"/>
      <c r="X339" s="269"/>
      <c r="Y339" s="269"/>
      <c r="Z339" s="269"/>
      <c r="AA339" s="269"/>
      <c r="AB339" s="269"/>
      <c r="AC339" s="269"/>
      <c r="AD339" s="269"/>
      <c r="AE339" s="269"/>
      <c r="AF339" s="269"/>
      <c r="AG339" s="269"/>
      <c r="AH339" s="269"/>
      <c r="AI339" s="269"/>
      <c r="AJ339" s="269"/>
      <c r="AK339" s="269"/>
      <c r="AL339" s="269"/>
      <c r="AM339" s="269"/>
      <c r="AN339" s="269"/>
      <c r="AO339" s="269"/>
      <c r="AP339" s="269"/>
      <c r="AQ339" s="269"/>
      <c r="AR339" s="269"/>
      <c r="AS339" s="269"/>
      <c r="AT339" s="269"/>
      <c r="AU339" s="269"/>
      <c r="AV339" s="269"/>
      <c r="AW339" s="269"/>
      <c r="AX339" s="269"/>
      <c r="AY339" s="269"/>
      <c r="AZ339" s="269"/>
      <c r="BA339" s="269"/>
      <c r="BB339" s="6"/>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row>
    <row r="340" spans="1:97" s="7" customFormat="1" ht="111.75" customHeight="1" x14ac:dyDescent="0.15">
      <c r="A340" s="6"/>
      <c r="B340" s="269" t="s">
        <v>5302</v>
      </c>
      <c r="C340" s="269"/>
      <c r="D340" s="269"/>
      <c r="E340" s="269"/>
      <c r="F340" s="269"/>
      <c r="G340" s="269"/>
      <c r="H340" s="269"/>
      <c r="I340" s="269"/>
      <c r="J340" s="269"/>
      <c r="K340" s="269"/>
      <c r="L340" s="269"/>
      <c r="M340" s="269"/>
      <c r="N340" s="269"/>
      <c r="O340" s="269"/>
      <c r="P340" s="269"/>
      <c r="Q340" s="269"/>
      <c r="R340" s="269"/>
      <c r="S340" s="269"/>
      <c r="T340" s="269"/>
      <c r="U340" s="269"/>
      <c r="V340" s="269"/>
      <c r="W340" s="269"/>
      <c r="X340" s="269"/>
      <c r="Y340" s="269"/>
      <c r="Z340" s="269"/>
      <c r="AA340" s="269"/>
      <c r="AB340" s="269"/>
      <c r="AC340" s="269"/>
      <c r="AD340" s="269"/>
      <c r="AE340" s="269"/>
      <c r="AF340" s="269"/>
      <c r="AG340" s="269"/>
      <c r="AH340" s="269"/>
      <c r="AI340" s="269"/>
      <c r="AJ340" s="269"/>
      <c r="AK340" s="269"/>
      <c r="AL340" s="269"/>
      <c r="AM340" s="269"/>
      <c r="AN340" s="269"/>
      <c r="AO340" s="269"/>
      <c r="AP340" s="269"/>
      <c r="AQ340" s="269"/>
      <c r="AR340" s="269"/>
      <c r="AS340" s="269"/>
      <c r="AT340" s="269"/>
      <c r="AU340" s="269"/>
      <c r="AV340" s="269"/>
      <c r="AW340" s="269"/>
      <c r="AX340" s="269"/>
      <c r="AY340" s="269"/>
      <c r="AZ340" s="269"/>
      <c r="BA340" s="269"/>
      <c r="BB340" s="6"/>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row>
    <row r="341" spans="1:97" s="7" customFormat="1" ht="9" customHeight="1" x14ac:dyDescent="0.15">
      <c r="A341" s="6"/>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93"/>
      <c r="AI341" s="93"/>
      <c r="AJ341" s="93"/>
      <c r="AK341" s="93"/>
      <c r="AL341" s="93"/>
      <c r="AM341" s="93"/>
      <c r="AN341" s="93"/>
      <c r="AO341" s="93"/>
      <c r="AP341" s="93"/>
      <c r="AQ341" s="93"/>
      <c r="AR341" s="93"/>
      <c r="AS341" s="93"/>
      <c r="AT341" s="93"/>
      <c r="AU341" s="93"/>
      <c r="AV341" s="93"/>
      <c r="AW341" s="93"/>
      <c r="AX341" s="93"/>
      <c r="AY341" s="93"/>
      <c r="AZ341" s="93"/>
      <c r="BA341" s="93"/>
      <c r="BB341" s="6"/>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row>
    <row r="342" spans="1:97" s="7" customFormat="1" x14ac:dyDescent="0.3">
      <c r="A342" s="268" t="s">
        <v>5626</v>
      </c>
      <c r="B342" s="268"/>
      <c r="C342" s="268"/>
      <c r="D342" s="268"/>
      <c r="E342" s="268"/>
      <c r="F342" s="268"/>
      <c r="G342" s="268"/>
      <c r="H342" s="268"/>
      <c r="I342" s="268"/>
      <c r="J342" s="268"/>
      <c r="K342" s="268"/>
      <c r="L342" s="268"/>
      <c r="M342" s="268"/>
      <c r="N342" s="268"/>
      <c r="O342" s="268"/>
      <c r="P342" s="268"/>
      <c r="Q342" s="268"/>
      <c r="R342" s="268"/>
      <c r="S342" s="268"/>
      <c r="T342" s="268"/>
      <c r="U342" s="268"/>
      <c r="V342" s="268"/>
      <c r="W342" s="268"/>
      <c r="X342" s="268"/>
      <c r="Y342" s="268"/>
      <c r="Z342" s="268"/>
      <c r="AA342" s="268"/>
      <c r="AB342" s="268"/>
      <c r="AC342" s="268"/>
      <c r="AD342" s="268"/>
      <c r="AE342" s="268"/>
      <c r="AF342" s="268"/>
      <c r="AG342" s="268"/>
      <c r="AH342" s="268"/>
      <c r="AI342" s="268"/>
      <c r="AJ342" s="268"/>
      <c r="AK342" s="268"/>
      <c r="AL342" s="268"/>
      <c r="AM342" s="268"/>
      <c r="AN342" s="268"/>
      <c r="AO342" s="268"/>
      <c r="AP342" s="268"/>
      <c r="AQ342" s="268"/>
      <c r="AR342" s="268"/>
      <c r="AS342" s="268"/>
      <c r="AT342" s="268"/>
      <c r="AU342" s="268"/>
      <c r="AV342" s="268"/>
      <c r="AW342" s="268"/>
      <c r="AX342" s="268"/>
      <c r="AY342" s="268"/>
      <c r="AZ342" s="268"/>
      <c r="BA342" s="268"/>
      <c r="BB342" s="268"/>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row>
    <row r="343" spans="1:97" s="7" customFormat="1" ht="9" customHeight="1" x14ac:dyDescent="0.15">
      <c r="A343" s="6"/>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93"/>
      <c r="AI343" s="93"/>
      <c r="AJ343" s="93"/>
      <c r="AK343" s="93"/>
      <c r="AL343" s="93"/>
      <c r="AM343" s="93"/>
      <c r="AN343" s="93"/>
      <c r="AO343" s="93"/>
      <c r="AP343" s="93"/>
      <c r="AQ343" s="93"/>
      <c r="AR343" s="93"/>
      <c r="AS343" s="93"/>
      <c r="AT343" s="93"/>
      <c r="AU343" s="93"/>
      <c r="AV343" s="93"/>
      <c r="AW343" s="93"/>
      <c r="AX343" s="93"/>
      <c r="AY343" s="93"/>
      <c r="AZ343" s="93"/>
      <c r="BA343" s="93"/>
      <c r="BB343" s="6"/>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row>
    <row r="344" spans="1:97" s="7" customFormat="1" ht="124.5" customHeight="1" x14ac:dyDescent="0.15">
      <c r="A344" s="6"/>
      <c r="B344" s="269" t="s">
        <v>5597</v>
      </c>
      <c r="C344" s="269"/>
      <c r="D344" s="269"/>
      <c r="E344" s="269"/>
      <c r="F344" s="269"/>
      <c r="G344" s="269"/>
      <c r="H344" s="269"/>
      <c r="I344" s="269"/>
      <c r="J344" s="269"/>
      <c r="K344" s="269"/>
      <c r="L344" s="269"/>
      <c r="M344" s="269"/>
      <c r="N344" s="269"/>
      <c r="O344" s="269"/>
      <c r="P344" s="269"/>
      <c r="Q344" s="269"/>
      <c r="R344" s="269"/>
      <c r="S344" s="269"/>
      <c r="T344" s="269"/>
      <c r="U344" s="269"/>
      <c r="V344" s="269"/>
      <c r="W344" s="269"/>
      <c r="X344" s="269"/>
      <c r="Y344" s="269"/>
      <c r="Z344" s="269"/>
      <c r="AA344" s="269"/>
      <c r="AB344" s="269"/>
      <c r="AC344" s="269"/>
      <c r="AD344" s="269"/>
      <c r="AE344" s="269"/>
      <c r="AF344" s="269"/>
      <c r="AG344" s="269"/>
      <c r="AH344" s="269"/>
      <c r="AI344" s="269"/>
      <c r="AJ344" s="269"/>
      <c r="AK344" s="269"/>
      <c r="AL344" s="269"/>
      <c r="AM344" s="269"/>
      <c r="AN344" s="269"/>
      <c r="AO344" s="269"/>
      <c r="AP344" s="269"/>
      <c r="AQ344" s="269"/>
      <c r="AR344" s="269"/>
      <c r="AS344" s="269"/>
      <c r="AT344" s="269"/>
      <c r="AU344" s="269"/>
      <c r="AV344" s="269"/>
      <c r="AW344" s="269"/>
      <c r="AX344" s="269"/>
      <c r="AY344" s="269"/>
      <c r="AZ344" s="269"/>
      <c r="BA344" s="269"/>
      <c r="BB344" s="6"/>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row>
    <row r="345" spans="1:97" s="7" customFormat="1" ht="9" customHeight="1" x14ac:dyDescent="0.1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row>
    <row r="346" spans="1:97" s="7" customFormat="1" x14ac:dyDescent="0.3">
      <c r="A346" s="268" t="s">
        <v>5627</v>
      </c>
      <c r="B346" s="268"/>
      <c r="C346" s="268"/>
      <c r="D346" s="268"/>
      <c r="E346" s="268"/>
      <c r="F346" s="268"/>
      <c r="G346" s="268"/>
      <c r="H346" s="268"/>
      <c r="I346" s="268"/>
      <c r="J346" s="268"/>
      <c r="K346" s="268"/>
      <c r="L346" s="268"/>
      <c r="M346" s="268"/>
      <c r="N346" s="268"/>
      <c r="O346" s="268"/>
      <c r="P346" s="268"/>
      <c r="Q346" s="268"/>
      <c r="R346" s="268"/>
      <c r="S346" s="268"/>
      <c r="T346" s="268"/>
      <c r="U346" s="268"/>
      <c r="V346" s="268"/>
      <c r="W346" s="268"/>
      <c r="X346" s="268"/>
      <c r="Y346" s="268"/>
      <c r="Z346" s="268"/>
      <c r="AA346" s="268"/>
      <c r="AB346" s="268"/>
      <c r="AC346" s="268"/>
      <c r="AD346" s="268"/>
      <c r="AE346" s="268"/>
      <c r="AF346" s="268"/>
      <c r="AG346" s="268"/>
      <c r="AH346" s="268"/>
      <c r="AI346" s="268"/>
      <c r="AJ346" s="268"/>
      <c r="AK346" s="268"/>
      <c r="AL346" s="268"/>
      <c r="AM346" s="268"/>
      <c r="AN346" s="268"/>
      <c r="AO346" s="268"/>
      <c r="AP346" s="268"/>
      <c r="AQ346" s="268"/>
      <c r="AR346" s="268"/>
      <c r="AS346" s="268"/>
      <c r="AT346" s="268"/>
      <c r="AU346" s="268"/>
      <c r="AV346" s="268"/>
      <c r="AW346" s="268"/>
      <c r="AX346" s="268"/>
      <c r="AY346" s="268"/>
      <c r="AZ346" s="268"/>
      <c r="BA346" s="268"/>
      <c r="BB346" s="268"/>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row>
    <row r="347" spans="1:97" s="7" customFormat="1" ht="9" customHeight="1" x14ac:dyDescent="0.3">
      <c r="A347" s="185"/>
      <c r="B347" s="185"/>
      <c r="C347" s="185"/>
      <c r="D347" s="185"/>
      <c r="E347" s="185"/>
      <c r="F347" s="185"/>
      <c r="G347" s="185"/>
      <c r="H347" s="185"/>
      <c r="I347" s="185"/>
      <c r="J347" s="185"/>
      <c r="K347" s="185"/>
      <c r="L347" s="185"/>
      <c r="M347" s="185"/>
      <c r="N347" s="185"/>
      <c r="O347" s="185"/>
      <c r="P347" s="185"/>
      <c r="Q347" s="185"/>
      <c r="R347" s="185"/>
      <c r="S347" s="185"/>
      <c r="T347" s="185"/>
      <c r="U347" s="185"/>
      <c r="V347" s="185"/>
      <c r="W347" s="185"/>
      <c r="X347" s="185"/>
      <c r="Y347" s="185"/>
      <c r="Z347" s="185"/>
      <c r="AA347" s="185"/>
      <c r="AB347" s="185"/>
      <c r="AC347" s="185"/>
      <c r="AD347" s="185"/>
      <c r="AE347" s="185"/>
      <c r="AF347" s="185"/>
      <c r="AG347" s="185"/>
      <c r="AH347" s="185"/>
      <c r="AI347" s="185"/>
      <c r="AJ347" s="185"/>
      <c r="AK347" s="185"/>
      <c r="AL347" s="185"/>
      <c r="AM347" s="185"/>
      <c r="AN347" s="185"/>
      <c r="AO347" s="185"/>
      <c r="AP347" s="185"/>
      <c r="AQ347" s="185"/>
      <c r="AR347" s="185"/>
      <c r="AS347" s="185"/>
      <c r="AT347" s="185"/>
      <c r="AU347" s="185"/>
      <c r="AV347" s="185"/>
      <c r="AW347" s="185"/>
      <c r="AX347" s="185"/>
      <c r="AY347" s="185"/>
      <c r="AZ347" s="185"/>
      <c r="BA347" s="185"/>
      <c r="BB347" s="18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row>
    <row r="348" spans="1:97" s="170" customFormat="1" ht="15" customHeight="1" x14ac:dyDescent="0.3">
      <c r="A348" s="167"/>
      <c r="B348" s="209" t="s">
        <v>5595</v>
      </c>
      <c r="C348" s="210"/>
      <c r="D348" s="210"/>
      <c r="E348" s="210"/>
      <c r="F348" s="210"/>
      <c r="G348" s="210"/>
      <c r="H348" s="210"/>
      <c r="I348" s="210"/>
      <c r="J348" s="210"/>
      <c r="K348" s="210"/>
      <c r="L348" s="210"/>
      <c r="M348" s="210"/>
      <c r="N348" s="210"/>
      <c r="O348" s="210"/>
      <c r="P348" s="210"/>
      <c r="Q348" s="210"/>
      <c r="R348" s="210"/>
      <c r="S348" s="210"/>
      <c r="T348" s="210"/>
      <c r="U348" s="210"/>
      <c r="V348" s="210"/>
      <c r="W348" s="210"/>
      <c r="X348" s="210"/>
      <c r="Y348" s="210"/>
      <c r="Z348" s="210"/>
      <c r="AA348" s="210"/>
      <c r="AB348" s="210"/>
      <c r="AC348" s="210"/>
      <c r="AD348" s="210"/>
      <c r="AE348" s="210"/>
      <c r="AF348" s="210"/>
      <c r="AG348" s="210"/>
      <c r="AH348" s="210"/>
      <c r="AI348" s="210"/>
      <c r="AJ348" s="210"/>
      <c r="AK348" s="210"/>
      <c r="AL348" s="210"/>
      <c r="AM348" s="210"/>
      <c r="AN348" s="210"/>
      <c r="AO348" s="210"/>
      <c r="AP348" s="210"/>
      <c r="AQ348" s="210"/>
      <c r="AR348" s="210"/>
      <c r="AS348" s="210"/>
      <c r="AT348" s="210"/>
      <c r="AU348" s="210"/>
      <c r="AV348" s="210"/>
      <c r="AW348" s="210"/>
      <c r="AX348" s="210"/>
      <c r="AY348" s="210"/>
      <c r="AZ348" s="210"/>
      <c r="BA348" s="210"/>
      <c r="BB348" s="167"/>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row>
    <row r="349" spans="1:97" s="170" customFormat="1" ht="75" customHeight="1" x14ac:dyDescent="0.3">
      <c r="A349" s="167"/>
      <c r="B349" s="209" t="s">
        <v>5596</v>
      </c>
      <c r="C349" s="210"/>
      <c r="D349" s="210"/>
      <c r="E349" s="210"/>
      <c r="F349" s="210"/>
      <c r="G349" s="210"/>
      <c r="H349" s="210"/>
      <c r="I349" s="210"/>
      <c r="J349" s="210"/>
      <c r="K349" s="210"/>
      <c r="L349" s="210"/>
      <c r="M349" s="210"/>
      <c r="N349" s="210"/>
      <c r="O349" s="210"/>
      <c r="P349" s="210"/>
      <c r="Q349" s="210"/>
      <c r="R349" s="210"/>
      <c r="S349" s="210"/>
      <c r="T349" s="210"/>
      <c r="U349" s="210"/>
      <c r="V349" s="210"/>
      <c r="W349" s="210"/>
      <c r="X349" s="210"/>
      <c r="Y349" s="210"/>
      <c r="Z349" s="210"/>
      <c r="AA349" s="210"/>
      <c r="AB349" s="210"/>
      <c r="AC349" s="210"/>
      <c r="AD349" s="210"/>
      <c r="AE349" s="210"/>
      <c r="AF349" s="210"/>
      <c r="AG349" s="210"/>
      <c r="AH349" s="210"/>
      <c r="AI349" s="210"/>
      <c r="AJ349" s="210"/>
      <c r="AK349" s="210"/>
      <c r="AL349" s="210"/>
      <c r="AM349" s="210"/>
      <c r="AN349" s="210"/>
      <c r="AO349" s="210"/>
      <c r="AP349" s="210"/>
      <c r="AQ349" s="210"/>
      <c r="AR349" s="210"/>
      <c r="AS349" s="210"/>
      <c r="AT349" s="210"/>
      <c r="AU349" s="210"/>
      <c r="AV349" s="210"/>
      <c r="AW349" s="210"/>
      <c r="AX349" s="210"/>
      <c r="AY349" s="210"/>
      <c r="AZ349" s="210"/>
      <c r="BA349" s="210"/>
      <c r="BB349" s="167"/>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row>
    <row r="350" spans="1:97" s="170" customFormat="1" ht="41.25" customHeight="1" x14ac:dyDescent="0.3">
      <c r="A350" s="167"/>
      <c r="B350" s="211" t="s">
        <v>5646</v>
      </c>
      <c r="C350" s="210"/>
      <c r="D350" s="210"/>
      <c r="E350" s="210"/>
      <c r="F350" s="210"/>
      <c r="G350" s="210"/>
      <c r="H350" s="210"/>
      <c r="I350" s="210"/>
      <c r="J350" s="210"/>
      <c r="K350" s="210"/>
      <c r="L350" s="210"/>
      <c r="M350" s="210"/>
      <c r="N350" s="210"/>
      <c r="O350" s="210"/>
      <c r="P350" s="210"/>
      <c r="Q350" s="210"/>
      <c r="R350" s="210"/>
      <c r="S350" s="210"/>
      <c r="T350" s="210"/>
      <c r="U350" s="210"/>
      <c r="V350" s="210"/>
      <c r="W350" s="210"/>
      <c r="X350" s="210"/>
      <c r="Y350" s="210"/>
      <c r="Z350" s="210"/>
      <c r="AA350" s="210"/>
      <c r="AB350" s="210"/>
      <c r="AC350" s="210"/>
      <c r="AD350" s="210"/>
      <c r="AE350" s="210"/>
      <c r="AF350" s="210"/>
      <c r="AG350" s="210"/>
      <c r="AH350" s="210"/>
      <c r="AI350" s="210"/>
      <c r="AJ350" s="210"/>
      <c r="AK350" s="210"/>
      <c r="AL350" s="210"/>
      <c r="AM350" s="210"/>
      <c r="AN350" s="210"/>
      <c r="AO350" s="210"/>
      <c r="AP350" s="210"/>
      <c r="AQ350" s="210"/>
      <c r="AR350" s="210"/>
      <c r="AS350" s="210"/>
      <c r="AT350" s="210"/>
      <c r="AU350" s="210"/>
      <c r="AV350" s="210"/>
      <c r="AW350" s="210"/>
      <c r="AX350" s="210"/>
      <c r="AY350" s="210"/>
      <c r="AZ350" s="210"/>
      <c r="BA350" s="210"/>
      <c r="BB350" s="167"/>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row>
    <row r="351" spans="1:97" s="161" customFormat="1" ht="37.5" customHeight="1" x14ac:dyDescent="0.3">
      <c r="A351" s="168"/>
      <c r="B351" s="211" t="s">
        <v>5645</v>
      </c>
      <c r="C351" s="210"/>
      <c r="D351" s="210"/>
      <c r="E351" s="210"/>
      <c r="F351" s="210"/>
      <c r="G351" s="210"/>
      <c r="H351" s="210"/>
      <c r="I351" s="210"/>
      <c r="J351" s="210"/>
      <c r="K351" s="210"/>
      <c r="L351" s="210"/>
      <c r="M351" s="210"/>
      <c r="N351" s="210"/>
      <c r="O351" s="210"/>
      <c r="P351" s="210"/>
      <c r="Q351" s="210"/>
      <c r="R351" s="210"/>
      <c r="S351" s="210"/>
      <c r="T351" s="210"/>
      <c r="U351" s="210"/>
      <c r="V351" s="210"/>
      <c r="W351" s="210"/>
      <c r="X351" s="210"/>
      <c r="Y351" s="210"/>
      <c r="Z351" s="210"/>
      <c r="AA351" s="210"/>
      <c r="AB351" s="210"/>
      <c r="AC351" s="210"/>
      <c r="AD351" s="210"/>
      <c r="AE351" s="210"/>
      <c r="AF351" s="210"/>
      <c r="AG351" s="210"/>
      <c r="AH351" s="210"/>
      <c r="AI351" s="210"/>
      <c r="AJ351" s="210"/>
      <c r="AK351" s="210"/>
      <c r="AL351" s="210"/>
      <c r="AM351" s="210"/>
      <c r="AN351" s="210"/>
      <c r="AO351" s="210"/>
      <c r="AP351" s="210"/>
      <c r="AQ351" s="210"/>
      <c r="AR351" s="210"/>
      <c r="AS351" s="210"/>
      <c r="AT351" s="210"/>
      <c r="AU351" s="210"/>
      <c r="AV351" s="210"/>
      <c r="AW351" s="210"/>
      <c r="AX351" s="210"/>
      <c r="AY351" s="210"/>
      <c r="AZ351" s="210"/>
      <c r="BA351" s="210"/>
      <c r="BB351" s="169"/>
    </row>
    <row r="352" spans="1:97" s="161" customFormat="1" ht="9" customHeight="1" x14ac:dyDescent="0.3">
      <c r="A352" s="168"/>
      <c r="B352" s="186"/>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69"/>
    </row>
    <row r="353" spans="1:80" s="161" customFormat="1" x14ac:dyDescent="0.3">
      <c r="A353" s="268" t="s">
        <v>5628</v>
      </c>
      <c r="B353" s="268"/>
      <c r="C353" s="268"/>
      <c r="D353" s="268"/>
      <c r="E353" s="268"/>
      <c r="F353" s="268"/>
      <c r="G353" s="268"/>
      <c r="H353" s="268"/>
      <c r="I353" s="268"/>
      <c r="J353" s="268"/>
      <c r="K353" s="268"/>
      <c r="L353" s="268"/>
      <c r="M353" s="268"/>
      <c r="N353" s="268"/>
      <c r="O353" s="268"/>
      <c r="P353" s="268"/>
      <c r="Q353" s="268"/>
      <c r="R353" s="268"/>
      <c r="S353" s="268"/>
      <c r="T353" s="268"/>
      <c r="U353" s="268"/>
      <c r="V353" s="268"/>
      <c r="W353" s="268"/>
      <c r="X353" s="268"/>
      <c r="Y353" s="268"/>
      <c r="Z353" s="268"/>
      <c r="AA353" s="268"/>
      <c r="AB353" s="268"/>
      <c r="AC353" s="268"/>
      <c r="AD353" s="268"/>
      <c r="AE353" s="268"/>
      <c r="AF353" s="268"/>
      <c r="AG353" s="268"/>
      <c r="AH353" s="268"/>
      <c r="AI353" s="268"/>
      <c r="AJ353" s="268"/>
      <c r="AK353" s="268"/>
      <c r="AL353" s="268"/>
      <c r="AM353" s="268"/>
      <c r="AN353" s="268"/>
      <c r="AO353" s="268"/>
      <c r="AP353" s="268"/>
      <c r="AQ353" s="268"/>
      <c r="AR353" s="268"/>
      <c r="AS353" s="268"/>
      <c r="AT353" s="268"/>
      <c r="AU353" s="268"/>
      <c r="AV353" s="268"/>
      <c r="AW353" s="268"/>
      <c r="AX353" s="268"/>
      <c r="AY353" s="268"/>
      <c r="AZ353" s="268"/>
      <c r="BA353" s="268"/>
      <c r="BB353" s="268"/>
    </row>
    <row r="354" spans="1:80" s="161" customFormat="1" ht="9" customHeight="1" x14ac:dyDescent="0.3">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7"/>
      <c r="AI354" s="167"/>
      <c r="AJ354" s="167"/>
      <c r="AK354" s="167"/>
      <c r="AL354" s="167"/>
      <c r="AM354" s="167"/>
      <c r="AN354" s="167"/>
      <c r="AO354" s="167"/>
      <c r="AP354" s="167"/>
      <c r="AQ354" s="167"/>
      <c r="AR354" s="167"/>
      <c r="AS354" s="167"/>
      <c r="AT354" s="167"/>
      <c r="AU354" s="167"/>
      <c r="AV354" s="167"/>
      <c r="AW354" s="167"/>
      <c r="AX354" s="167"/>
      <c r="AY354" s="167"/>
      <c r="AZ354" s="167"/>
      <c r="BA354" s="167"/>
      <c r="BB354" s="167"/>
    </row>
    <row r="355" spans="1:80" s="54" customFormat="1" ht="53.25" customHeight="1" x14ac:dyDescent="0.2">
      <c r="A355" s="93"/>
      <c r="B355" s="212" t="s">
        <v>5644</v>
      </c>
      <c r="C355" s="212"/>
      <c r="D355" s="212"/>
      <c r="E355" s="212"/>
      <c r="F355" s="212"/>
      <c r="G355" s="212"/>
      <c r="H355" s="212"/>
      <c r="I355" s="212"/>
      <c r="J355" s="212"/>
      <c r="K355" s="212"/>
      <c r="L355" s="212"/>
      <c r="M355" s="212"/>
      <c r="N355" s="212"/>
      <c r="O355" s="212"/>
      <c r="P355" s="212"/>
      <c r="Q355" s="212"/>
      <c r="R355" s="212"/>
      <c r="S355" s="212"/>
      <c r="T355" s="212"/>
      <c r="U355" s="212"/>
      <c r="V355" s="212"/>
      <c r="W355" s="212"/>
      <c r="X355" s="212"/>
      <c r="Y355" s="212"/>
      <c r="Z355" s="212"/>
      <c r="AA355" s="212"/>
      <c r="AB355" s="212"/>
      <c r="AC355" s="212"/>
      <c r="AD355" s="212"/>
      <c r="AE355" s="212"/>
      <c r="AF355" s="212"/>
      <c r="AG355" s="212"/>
      <c r="AH355" s="212"/>
      <c r="AI355" s="212"/>
      <c r="AJ355" s="212"/>
      <c r="AK355" s="212"/>
      <c r="AL355" s="212"/>
      <c r="AM355" s="212"/>
      <c r="AN355" s="212"/>
      <c r="AO355" s="212"/>
      <c r="AP355" s="212"/>
      <c r="AQ355" s="212"/>
      <c r="AR355" s="212"/>
      <c r="AS355" s="212"/>
      <c r="AT355" s="212"/>
      <c r="AU355" s="212"/>
      <c r="AV355" s="212"/>
      <c r="AW355" s="212"/>
      <c r="AX355" s="212"/>
      <c r="AY355" s="212"/>
      <c r="AZ355" s="212"/>
      <c r="BA355" s="212"/>
      <c r="BB355" s="53"/>
      <c r="BD355" s="208"/>
      <c r="BE355" s="208"/>
      <c r="BF355" s="208"/>
      <c r="BG355" s="208"/>
      <c r="BH355" s="208"/>
      <c r="BI355" s="208"/>
      <c r="BJ355" s="208"/>
      <c r="BK355" s="208"/>
      <c r="BL355" s="208"/>
      <c r="BM355" s="208"/>
      <c r="BN355" s="208"/>
      <c r="BO355" s="208"/>
      <c r="BP355" s="208"/>
      <c r="BQ355" s="208"/>
      <c r="BR355" s="208"/>
      <c r="BS355" s="208"/>
      <c r="BT355" s="208"/>
      <c r="BU355" s="208"/>
      <c r="BV355" s="208"/>
      <c r="BW355" s="208"/>
      <c r="BX355" s="208"/>
      <c r="BY355" s="208"/>
      <c r="BZ355" s="208"/>
      <c r="CA355" s="208"/>
      <c r="CB355" s="208"/>
    </row>
    <row r="356" spans="1:80" s="54" customFormat="1" ht="15" customHeight="1" x14ac:dyDescent="0.2">
      <c r="A356" s="93"/>
      <c r="B356" s="212" t="s">
        <v>5594</v>
      </c>
      <c r="C356" s="212"/>
      <c r="D356" s="212"/>
      <c r="E356" s="212"/>
      <c r="F356" s="212"/>
      <c r="G356" s="212"/>
      <c r="H356" s="212"/>
      <c r="I356" s="212"/>
      <c r="J356" s="212"/>
      <c r="K356" s="212"/>
      <c r="L356" s="212"/>
      <c r="M356" s="212"/>
      <c r="N356" s="212"/>
      <c r="O356" s="212"/>
      <c r="P356" s="212"/>
      <c r="Q356" s="212"/>
      <c r="R356" s="212"/>
      <c r="S356" s="212"/>
      <c r="T356" s="212"/>
      <c r="U356" s="212"/>
      <c r="V356" s="212"/>
      <c r="W356" s="212"/>
      <c r="X356" s="212"/>
      <c r="Y356" s="212"/>
      <c r="Z356" s="212"/>
      <c r="AA356" s="212"/>
      <c r="AB356" s="212"/>
      <c r="AC356" s="212"/>
      <c r="AD356" s="212"/>
      <c r="AE356" s="212"/>
      <c r="AF356" s="212"/>
      <c r="AG356" s="212"/>
      <c r="AH356" s="212"/>
      <c r="AI356" s="212"/>
      <c r="AJ356" s="212"/>
      <c r="AK356" s="212"/>
      <c r="AL356" s="212"/>
      <c r="AM356" s="212"/>
      <c r="AN356" s="212"/>
      <c r="AO356" s="212"/>
      <c r="AP356" s="212"/>
      <c r="AQ356" s="212"/>
      <c r="AR356" s="212"/>
      <c r="AS356" s="212"/>
      <c r="AT356" s="212"/>
      <c r="AU356" s="212"/>
      <c r="AV356" s="212"/>
      <c r="AW356" s="212"/>
      <c r="AX356" s="212"/>
      <c r="AY356" s="212"/>
      <c r="AZ356" s="212"/>
      <c r="BA356" s="212"/>
      <c r="BB356" s="53"/>
      <c r="BD356" s="80"/>
      <c r="BE356" s="80"/>
      <c r="BF356" s="80"/>
      <c r="BG356" s="80"/>
      <c r="BH356" s="80"/>
      <c r="BI356" s="80"/>
      <c r="BJ356" s="80"/>
      <c r="BK356" s="80"/>
      <c r="BL356" s="80"/>
      <c r="BM356" s="80"/>
      <c r="BN356" s="80"/>
      <c r="BO356" s="80"/>
      <c r="BP356" s="80"/>
      <c r="BQ356" s="80"/>
      <c r="BR356" s="80"/>
      <c r="BS356" s="80"/>
      <c r="BT356" s="80"/>
      <c r="BU356" s="80"/>
      <c r="BV356" s="80"/>
      <c r="BW356" s="80"/>
      <c r="BX356" s="80"/>
      <c r="BY356" s="80"/>
      <c r="BZ356" s="80"/>
      <c r="CA356" s="80"/>
      <c r="CB356" s="80"/>
    </row>
    <row r="357" spans="1:80" s="54" customFormat="1" ht="9" customHeight="1" x14ac:dyDescent="0.2">
      <c r="A357" s="93"/>
      <c r="B357" s="93"/>
      <c r="C357" s="93"/>
      <c r="D357" s="93"/>
      <c r="E357" s="93"/>
      <c r="F357" s="93"/>
      <c r="G357" s="93"/>
      <c r="H357" s="93"/>
      <c r="I357" s="93"/>
      <c r="J357" s="93"/>
      <c r="K357" s="93"/>
      <c r="L357" s="93"/>
      <c r="M357" s="93"/>
      <c r="N357" s="93"/>
      <c r="O357" s="93"/>
      <c r="P357" s="93"/>
      <c r="Q357" s="93"/>
      <c r="R357" s="93"/>
      <c r="S357" s="93"/>
      <c r="T357" s="93"/>
      <c r="U357" s="93"/>
      <c r="V357" s="93"/>
      <c r="W357" s="93"/>
      <c r="X357" s="93"/>
      <c r="Y357" s="93"/>
      <c r="Z357" s="93"/>
      <c r="AA357" s="93"/>
      <c r="AB357" s="93"/>
      <c r="AC357" s="93"/>
      <c r="AD357" s="93"/>
      <c r="AE357" s="93"/>
      <c r="AF357" s="93"/>
      <c r="AG357" s="93"/>
      <c r="AH357" s="93"/>
      <c r="AI357" s="93"/>
      <c r="AJ357" s="93"/>
      <c r="AK357" s="93"/>
      <c r="AL357" s="93"/>
      <c r="AM357" s="93"/>
      <c r="AN357" s="93"/>
      <c r="AO357" s="93"/>
      <c r="AP357" s="93"/>
      <c r="AQ357" s="93"/>
      <c r="AR357" s="93"/>
      <c r="AS357" s="93"/>
      <c r="AT357" s="93"/>
      <c r="AU357" s="93"/>
      <c r="AV357" s="93"/>
      <c r="AW357" s="93"/>
      <c r="AX357" s="93"/>
      <c r="AY357" s="93"/>
      <c r="AZ357" s="93"/>
      <c r="BA357" s="93"/>
      <c r="BB357" s="93"/>
      <c r="BC357" s="93"/>
      <c r="BD357" s="75"/>
      <c r="BE357" s="75"/>
      <c r="BF357" s="75"/>
      <c r="BG357" s="75"/>
      <c r="BH357" s="75"/>
      <c r="BI357" s="75"/>
      <c r="BJ357" s="75"/>
      <c r="BK357" s="75"/>
      <c r="BL357" s="75"/>
      <c r="BM357" s="75"/>
      <c r="BN357" s="75"/>
      <c r="BO357" s="75"/>
      <c r="BP357" s="75"/>
      <c r="BQ357" s="75"/>
      <c r="BR357" s="75"/>
    </row>
    <row r="358" spans="1:80" s="54" customFormat="1" x14ac:dyDescent="0.2">
      <c r="A358" s="206" t="s">
        <v>5629</v>
      </c>
      <c r="B358" s="206"/>
      <c r="C358" s="206"/>
      <c r="D358" s="206"/>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c r="AA358" s="206"/>
      <c r="AB358" s="206"/>
      <c r="AC358" s="206"/>
      <c r="AD358" s="206"/>
      <c r="AE358" s="206"/>
      <c r="AF358" s="206"/>
      <c r="AG358" s="206"/>
      <c r="AH358" s="206"/>
      <c r="AI358" s="206"/>
      <c r="AJ358" s="206"/>
      <c r="AK358" s="206"/>
      <c r="AL358" s="206"/>
      <c r="AM358" s="206"/>
      <c r="AN358" s="206"/>
      <c r="AO358" s="206"/>
      <c r="AP358" s="206"/>
      <c r="AQ358" s="206"/>
      <c r="AR358" s="206"/>
      <c r="AS358" s="206"/>
      <c r="AT358" s="206"/>
      <c r="AU358" s="206"/>
      <c r="AV358" s="206"/>
      <c r="AW358" s="206"/>
      <c r="AX358" s="206"/>
      <c r="AY358" s="206"/>
      <c r="AZ358" s="206"/>
      <c r="BA358" s="206"/>
      <c r="BB358" s="206"/>
      <c r="BD358" s="75"/>
      <c r="BE358" s="75"/>
      <c r="BF358" s="75"/>
      <c r="BG358" s="75"/>
      <c r="BH358" s="75"/>
      <c r="BI358" s="75"/>
      <c r="BJ358" s="75"/>
      <c r="BK358" s="75"/>
      <c r="BL358" s="75"/>
      <c r="BM358" s="75"/>
      <c r="BN358" s="75"/>
      <c r="BO358" s="75"/>
      <c r="BP358" s="75"/>
      <c r="BQ358" s="75"/>
      <c r="BR358" s="75"/>
    </row>
    <row r="359" spans="1:80" s="54" customFormat="1" ht="9" customHeight="1" x14ac:dyDescent="0.2">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7"/>
      <c r="AI359" s="167"/>
      <c r="AJ359" s="167"/>
      <c r="AK359" s="167"/>
      <c r="AL359" s="167"/>
      <c r="AM359" s="167"/>
      <c r="AN359" s="167"/>
      <c r="AO359" s="167"/>
      <c r="AP359" s="167"/>
      <c r="AQ359" s="167"/>
      <c r="AR359" s="167"/>
      <c r="AS359" s="167"/>
      <c r="AT359" s="167"/>
      <c r="AU359" s="167"/>
      <c r="AV359" s="167"/>
      <c r="AW359" s="167"/>
      <c r="AX359" s="167"/>
      <c r="AY359" s="167"/>
      <c r="AZ359" s="167"/>
      <c r="BA359" s="167"/>
      <c r="BB359" s="167"/>
      <c r="BD359" s="75"/>
      <c r="BE359" s="75"/>
      <c r="BF359" s="75"/>
      <c r="BG359" s="75"/>
      <c r="BH359" s="75"/>
      <c r="BI359" s="75"/>
      <c r="BJ359" s="75"/>
      <c r="BK359" s="75"/>
      <c r="BL359" s="75"/>
      <c r="BM359" s="75"/>
      <c r="BN359" s="75"/>
      <c r="BO359" s="75"/>
      <c r="BP359" s="75"/>
      <c r="BQ359" s="75"/>
      <c r="BR359" s="75"/>
    </row>
    <row r="360" spans="1:80" s="54" customFormat="1" ht="345" customHeight="1" x14ac:dyDescent="0.2">
      <c r="A360" s="167"/>
      <c r="B360" s="204" t="s">
        <v>5622</v>
      </c>
      <c r="C360" s="205"/>
      <c r="D360" s="205"/>
      <c r="E360" s="205"/>
      <c r="F360" s="205"/>
      <c r="G360" s="205"/>
      <c r="H360" s="205"/>
      <c r="I360" s="205"/>
      <c r="J360" s="205"/>
      <c r="K360" s="205"/>
      <c r="L360" s="205"/>
      <c r="M360" s="205"/>
      <c r="N360" s="205"/>
      <c r="O360" s="205"/>
      <c r="P360" s="205"/>
      <c r="Q360" s="205"/>
      <c r="R360" s="205"/>
      <c r="S360" s="205"/>
      <c r="T360" s="205"/>
      <c r="U360" s="205"/>
      <c r="V360" s="205"/>
      <c r="W360" s="205"/>
      <c r="X360" s="205"/>
      <c r="Y360" s="205"/>
      <c r="Z360" s="205"/>
      <c r="AA360" s="205"/>
      <c r="AB360" s="205"/>
      <c r="AC360" s="205"/>
      <c r="AD360" s="205"/>
      <c r="AE360" s="205"/>
      <c r="AF360" s="205"/>
      <c r="AG360" s="205"/>
      <c r="AH360" s="205"/>
      <c r="AI360" s="205"/>
      <c r="AJ360" s="205"/>
      <c r="AK360" s="205"/>
      <c r="AL360" s="205"/>
      <c r="AM360" s="205"/>
      <c r="AN360" s="205"/>
      <c r="AO360" s="205"/>
      <c r="AP360" s="205"/>
      <c r="AQ360" s="205"/>
      <c r="AR360" s="205"/>
      <c r="AS360" s="205"/>
      <c r="AT360" s="205"/>
      <c r="AU360" s="205"/>
      <c r="AV360" s="205"/>
      <c r="AW360" s="205"/>
      <c r="AX360" s="205"/>
      <c r="AY360" s="205"/>
      <c r="AZ360" s="205"/>
      <c r="BA360" s="205"/>
      <c r="BB360" s="167"/>
      <c r="BD360" s="75"/>
      <c r="BE360" s="75"/>
      <c r="BF360" s="75"/>
      <c r="BG360" s="75"/>
      <c r="BH360" s="75"/>
      <c r="BI360" s="75"/>
      <c r="BJ360" s="75"/>
      <c r="BK360" s="75"/>
      <c r="BL360" s="75"/>
      <c r="BM360" s="75"/>
      <c r="BN360" s="75"/>
      <c r="BO360" s="75"/>
      <c r="BP360" s="75"/>
      <c r="BQ360" s="75"/>
      <c r="BR360" s="75"/>
    </row>
    <row r="361" spans="1:80" s="54" customFormat="1" ht="289.5" customHeight="1" x14ac:dyDescent="0.2">
      <c r="A361" s="167"/>
      <c r="B361" s="204" t="s">
        <v>5623</v>
      </c>
      <c r="C361" s="205"/>
      <c r="D361" s="205"/>
      <c r="E361" s="205"/>
      <c r="F361" s="205"/>
      <c r="G361" s="205"/>
      <c r="H361" s="205"/>
      <c r="I361" s="205"/>
      <c r="J361" s="205"/>
      <c r="K361" s="205"/>
      <c r="L361" s="205"/>
      <c r="M361" s="205"/>
      <c r="N361" s="205"/>
      <c r="O361" s="205"/>
      <c r="P361" s="205"/>
      <c r="Q361" s="205"/>
      <c r="R361" s="205"/>
      <c r="S361" s="205"/>
      <c r="T361" s="205"/>
      <c r="U361" s="205"/>
      <c r="V361" s="205"/>
      <c r="W361" s="205"/>
      <c r="X361" s="205"/>
      <c r="Y361" s="205"/>
      <c r="Z361" s="205"/>
      <c r="AA361" s="205"/>
      <c r="AB361" s="205"/>
      <c r="AC361" s="205"/>
      <c r="AD361" s="205"/>
      <c r="AE361" s="205"/>
      <c r="AF361" s="205"/>
      <c r="AG361" s="205"/>
      <c r="AH361" s="205"/>
      <c r="AI361" s="205"/>
      <c r="AJ361" s="205"/>
      <c r="AK361" s="205"/>
      <c r="AL361" s="205"/>
      <c r="AM361" s="205"/>
      <c r="AN361" s="205"/>
      <c r="AO361" s="205"/>
      <c r="AP361" s="205"/>
      <c r="AQ361" s="205"/>
      <c r="AR361" s="205"/>
      <c r="AS361" s="205"/>
      <c r="AT361" s="205"/>
      <c r="AU361" s="205"/>
      <c r="AV361" s="205"/>
      <c r="AW361" s="205"/>
      <c r="AX361" s="205"/>
      <c r="AY361" s="205"/>
      <c r="AZ361" s="205"/>
      <c r="BA361" s="205"/>
      <c r="BB361" s="167"/>
      <c r="BD361" s="75"/>
      <c r="BE361" s="75"/>
      <c r="BF361" s="75"/>
      <c r="BG361" s="75"/>
      <c r="BH361" s="75"/>
      <c r="BI361" s="75"/>
      <c r="BJ361" s="75"/>
      <c r="BK361" s="75"/>
      <c r="BL361" s="75"/>
      <c r="BM361" s="75"/>
      <c r="BN361" s="75"/>
      <c r="BO361" s="75"/>
      <c r="BP361" s="75"/>
      <c r="BQ361" s="75"/>
      <c r="BR361" s="75"/>
    </row>
    <row r="362" spans="1:80" s="54" customFormat="1" ht="387.75" customHeight="1" x14ac:dyDescent="0.2">
      <c r="A362" s="167"/>
      <c r="B362" s="204" t="s">
        <v>5624</v>
      </c>
      <c r="C362" s="205"/>
      <c r="D362" s="205"/>
      <c r="E362" s="205"/>
      <c r="F362" s="205"/>
      <c r="G362" s="205"/>
      <c r="H362" s="205"/>
      <c r="I362" s="205"/>
      <c r="J362" s="205"/>
      <c r="K362" s="205"/>
      <c r="L362" s="205"/>
      <c r="M362" s="205"/>
      <c r="N362" s="205"/>
      <c r="O362" s="205"/>
      <c r="P362" s="205"/>
      <c r="Q362" s="205"/>
      <c r="R362" s="205"/>
      <c r="S362" s="205"/>
      <c r="T362" s="205"/>
      <c r="U362" s="205"/>
      <c r="V362" s="205"/>
      <c r="W362" s="205"/>
      <c r="X362" s="205"/>
      <c r="Y362" s="205"/>
      <c r="Z362" s="205"/>
      <c r="AA362" s="205"/>
      <c r="AB362" s="205"/>
      <c r="AC362" s="205"/>
      <c r="AD362" s="205"/>
      <c r="AE362" s="205"/>
      <c r="AF362" s="205"/>
      <c r="AG362" s="205"/>
      <c r="AH362" s="205"/>
      <c r="AI362" s="205"/>
      <c r="AJ362" s="205"/>
      <c r="AK362" s="205"/>
      <c r="AL362" s="205"/>
      <c r="AM362" s="205"/>
      <c r="AN362" s="205"/>
      <c r="AO362" s="205"/>
      <c r="AP362" s="205"/>
      <c r="AQ362" s="205"/>
      <c r="AR362" s="205"/>
      <c r="AS362" s="205"/>
      <c r="AT362" s="205"/>
      <c r="AU362" s="205"/>
      <c r="AV362" s="205"/>
      <c r="AW362" s="205"/>
      <c r="AX362" s="205"/>
      <c r="AY362" s="205"/>
      <c r="AZ362" s="205"/>
      <c r="BA362" s="205"/>
      <c r="BB362" s="167"/>
      <c r="BD362" s="75"/>
      <c r="BE362" s="75"/>
      <c r="BF362" s="75"/>
      <c r="BG362" s="75"/>
      <c r="BH362" s="75"/>
      <c r="BI362" s="75"/>
      <c r="BJ362" s="75"/>
      <c r="BK362" s="75"/>
      <c r="BL362" s="75"/>
      <c r="BM362" s="75"/>
      <c r="BN362" s="75"/>
      <c r="BO362" s="75"/>
      <c r="BP362" s="75"/>
      <c r="BQ362" s="75"/>
      <c r="BR362" s="75"/>
    </row>
    <row r="363" spans="1:80" s="54" customFormat="1" ht="9" customHeight="1" x14ac:dyDescent="0.2">
      <c r="A363" s="188"/>
      <c r="B363" s="75"/>
      <c r="C363" s="75"/>
      <c r="D363" s="75"/>
      <c r="E363" s="75"/>
      <c r="F363" s="75"/>
      <c r="G363" s="75"/>
      <c r="H363" s="75"/>
      <c r="I363" s="75"/>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D363" s="75"/>
      <c r="BE363" s="75"/>
      <c r="BF363" s="75"/>
      <c r="BG363" s="75"/>
      <c r="BH363" s="75"/>
      <c r="BI363" s="75"/>
      <c r="BJ363" s="75"/>
      <c r="BK363" s="75"/>
      <c r="BL363" s="75"/>
      <c r="BM363" s="75"/>
      <c r="BN363" s="75"/>
      <c r="BO363" s="75"/>
      <c r="BP363" s="75"/>
      <c r="BQ363" s="75"/>
      <c r="BR363" s="75"/>
    </row>
    <row r="364" spans="1:80" s="54" customFormat="1" x14ac:dyDescent="0.2">
      <c r="A364" s="206" t="s">
        <v>5630</v>
      </c>
      <c r="B364" s="206"/>
      <c r="C364" s="206"/>
      <c r="D364" s="206"/>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c r="AA364" s="206"/>
      <c r="AB364" s="206"/>
      <c r="AC364" s="206"/>
      <c r="AD364" s="206"/>
      <c r="AE364" s="206"/>
      <c r="AF364" s="206"/>
      <c r="AG364" s="206"/>
      <c r="AH364" s="206"/>
      <c r="AI364" s="206"/>
      <c r="AJ364" s="206"/>
      <c r="AK364" s="206"/>
      <c r="AL364" s="206"/>
      <c r="AM364" s="206"/>
      <c r="AN364" s="206"/>
      <c r="AO364" s="206"/>
      <c r="AP364" s="206"/>
      <c r="AQ364" s="206"/>
      <c r="AR364" s="206"/>
      <c r="AS364" s="206"/>
      <c r="AT364" s="206"/>
      <c r="AU364" s="206"/>
      <c r="AV364" s="206"/>
      <c r="AW364" s="206"/>
      <c r="AX364" s="206"/>
      <c r="AY364" s="206"/>
      <c r="AZ364" s="206"/>
      <c r="BA364" s="206"/>
      <c r="BB364" s="206"/>
      <c r="BD364" s="75"/>
      <c r="BE364" s="75"/>
      <c r="BF364" s="75"/>
      <c r="BG364" s="75"/>
      <c r="BH364" s="75"/>
      <c r="BI364" s="75"/>
      <c r="BJ364" s="75"/>
      <c r="BK364" s="75"/>
      <c r="BL364" s="75"/>
      <c r="BM364" s="75"/>
      <c r="BN364" s="75"/>
      <c r="BO364" s="75"/>
      <c r="BP364" s="75"/>
      <c r="BQ364" s="75"/>
      <c r="BR364" s="75"/>
    </row>
    <row r="365" spans="1:80" s="54" customFormat="1" ht="9" customHeight="1" x14ac:dyDescent="0.3">
      <c r="A365" s="63"/>
      <c r="B365" s="63"/>
      <c r="C365" s="63"/>
      <c r="D365" s="63"/>
      <c r="E365" s="63"/>
      <c r="F365" s="63"/>
      <c r="G365" s="63"/>
      <c r="H365" s="63"/>
      <c r="I365" s="63"/>
      <c r="J365" s="63"/>
      <c r="K365" s="63"/>
      <c r="L365" s="63"/>
      <c r="M365" s="63"/>
      <c r="N365" s="63"/>
      <c r="O365" s="63"/>
      <c r="P365" s="63"/>
      <c r="Q365" s="63"/>
      <c r="R365" s="63"/>
      <c r="S365" s="63"/>
      <c r="T365" s="63"/>
      <c r="U365" s="63"/>
      <c r="V365" s="63"/>
      <c r="W365" s="63"/>
      <c r="X365" s="63"/>
      <c r="Y365" s="63"/>
      <c r="Z365" s="63"/>
      <c r="AA365" s="63"/>
      <c r="AB365" s="63"/>
      <c r="AC365" s="63"/>
      <c r="AD365" s="63"/>
      <c r="AE365" s="63"/>
      <c r="AF365" s="63"/>
      <c r="AG365" s="63"/>
      <c r="AH365" s="63"/>
      <c r="AI365" s="63"/>
      <c r="AJ365" s="63"/>
      <c r="AK365" s="63"/>
      <c r="AL365" s="63"/>
      <c r="AM365" s="63"/>
      <c r="AN365" s="63"/>
      <c r="AO365" s="63"/>
      <c r="AP365" s="63"/>
      <c r="AQ365" s="63"/>
      <c r="AR365" s="63"/>
      <c r="AS365" s="63"/>
      <c r="AT365" s="63"/>
      <c r="AU365" s="63"/>
      <c r="AV365" s="63"/>
      <c r="AW365" s="63"/>
      <c r="AX365" s="63"/>
      <c r="AY365" s="63"/>
      <c r="AZ365" s="63"/>
      <c r="BA365" s="63"/>
      <c r="BB365" s="63"/>
      <c r="BC365"/>
      <c r="BD365" s="75"/>
      <c r="BE365" s="75"/>
      <c r="BF365" s="75"/>
      <c r="BG365" s="75"/>
      <c r="BH365" s="75"/>
      <c r="BI365" s="75"/>
      <c r="BJ365" s="75"/>
      <c r="BK365" s="75"/>
      <c r="BL365" s="75"/>
      <c r="BM365" s="75"/>
      <c r="BN365" s="75"/>
      <c r="BO365" s="75"/>
      <c r="BP365" s="75"/>
      <c r="BQ365" s="75"/>
      <c r="BR365" s="75"/>
    </row>
    <row r="366" spans="1:80" s="54" customFormat="1" x14ac:dyDescent="0.3">
      <c r="A366" s="63"/>
      <c r="B366" s="81" t="s">
        <v>5575</v>
      </c>
      <c r="C366" s="63"/>
      <c r="D366" s="63"/>
      <c r="E366" s="63"/>
      <c r="F366" s="63"/>
      <c r="G366" s="63"/>
      <c r="H366" s="63"/>
      <c r="I366" s="63"/>
      <c r="J366" s="63"/>
      <c r="K366" s="63"/>
      <c r="L366" s="63"/>
      <c r="M366" s="63"/>
      <c r="N366" s="63"/>
      <c r="O366" s="63"/>
      <c r="P366" s="63"/>
      <c r="Q366" s="63"/>
      <c r="R366" s="63"/>
      <c r="S366" s="63"/>
      <c r="T366" s="63"/>
      <c r="U366" s="63"/>
      <c r="V366" s="63"/>
      <c r="W366" s="63"/>
      <c r="X366" s="63"/>
      <c r="Y366" s="63"/>
      <c r="Z366" s="63"/>
      <c r="AA366" s="63"/>
      <c r="AB366" s="63"/>
      <c r="AC366" s="63"/>
      <c r="AD366" s="63"/>
      <c r="AE366" s="63"/>
      <c r="AF366" s="63"/>
      <c r="AG366" s="63"/>
      <c r="AH366" s="63"/>
      <c r="AI366" s="63"/>
      <c r="AJ366" s="63"/>
      <c r="AK366" s="63"/>
      <c r="AL366" s="63"/>
      <c r="AM366" s="63"/>
      <c r="AN366" s="63"/>
      <c r="AO366" s="63"/>
      <c r="AP366" s="63"/>
      <c r="AQ366" s="63"/>
      <c r="AR366" s="63"/>
      <c r="AS366" s="63"/>
      <c r="AT366" s="63"/>
      <c r="AU366" s="63"/>
      <c r="AV366" s="63"/>
      <c r="AW366" s="63"/>
      <c r="AX366" s="63"/>
      <c r="AY366" s="63"/>
      <c r="AZ366" s="63"/>
      <c r="BA366" s="63"/>
      <c r="BB366" s="63"/>
      <c r="BC366"/>
      <c r="BD366" s="75"/>
      <c r="BE366" s="75"/>
      <c r="BF366" s="75"/>
      <c r="BG366" s="75"/>
      <c r="BH366" s="75"/>
      <c r="BI366" s="75"/>
      <c r="BJ366" s="75"/>
      <c r="BK366" s="75"/>
      <c r="BL366" s="75"/>
      <c r="BM366" s="75"/>
      <c r="BN366" s="75"/>
      <c r="BO366" s="75"/>
      <c r="BP366" s="75"/>
      <c r="BQ366" s="75"/>
      <c r="BR366" s="75"/>
    </row>
    <row r="367" spans="1:80" s="54" customFormat="1" ht="9" customHeight="1" x14ac:dyDescent="0.2">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75"/>
      <c r="BE367" s="75"/>
      <c r="BF367" s="75"/>
      <c r="BG367" s="75"/>
      <c r="BH367" s="75"/>
      <c r="BI367" s="75"/>
      <c r="BJ367" s="75"/>
      <c r="BK367" s="75"/>
      <c r="BL367" s="75"/>
      <c r="BM367" s="75"/>
      <c r="BN367" s="75"/>
      <c r="BO367" s="75"/>
      <c r="BP367" s="75"/>
      <c r="BQ367" s="75"/>
      <c r="BR367" s="75"/>
    </row>
    <row r="368" spans="1:80" s="54" customFormat="1" ht="24.75" customHeight="1" x14ac:dyDescent="0.25">
      <c r="A368" s="8"/>
      <c r="B368" s="266" t="s">
        <v>5195</v>
      </c>
      <c r="C368" s="267"/>
      <c r="D368" s="247"/>
      <c r="E368" s="248"/>
      <c r="F368" s="248"/>
      <c r="G368" s="248"/>
      <c r="H368" s="248"/>
      <c r="I368" s="248"/>
      <c r="J368" s="248"/>
      <c r="K368" s="248"/>
      <c r="L368" s="248"/>
      <c r="M368" s="248"/>
      <c r="N368" s="248"/>
      <c r="O368" s="248"/>
      <c r="P368" s="248"/>
      <c r="Q368" s="248"/>
      <c r="R368" s="248"/>
      <c r="S368" s="248"/>
      <c r="T368" s="248"/>
      <c r="U368" s="248"/>
      <c r="V368" s="248"/>
      <c r="W368" s="248"/>
      <c r="X368" s="248"/>
      <c r="Y368" s="248"/>
      <c r="Z368" s="248"/>
      <c r="AA368" s="248"/>
      <c r="AB368" s="248"/>
      <c r="AC368" s="248"/>
      <c r="AD368" s="248"/>
      <c r="AE368" s="248"/>
      <c r="AF368" s="248"/>
      <c r="AG368" s="248"/>
      <c r="AH368" s="248"/>
      <c r="AI368" s="248"/>
      <c r="AJ368" s="248"/>
      <c r="AK368" s="248"/>
      <c r="AL368" s="248"/>
      <c r="AM368" s="248"/>
      <c r="AN368" s="248"/>
      <c r="AO368" s="248"/>
      <c r="AP368" s="248"/>
      <c r="AQ368" s="248"/>
      <c r="AR368" s="248"/>
      <c r="AS368" s="248"/>
      <c r="AT368" s="248"/>
      <c r="AU368" s="248"/>
      <c r="AV368" s="248"/>
      <c r="AW368" s="248"/>
      <c r="AX368" s="248"/>
      <c r="AY368" s="248"/>
      <c r="AZ368" s="248"/>
      <c r="BA368" s="249"/>
      <c r="BB368" s="8"/>
      <c r="BC368" s="9"/>
      <c r="BD368" s="213" t="str">
        <f>IF($D$368="","Proszę wybrać z listy","")</f>
        <v>Proszę wybrać z listy</v>
      </c>
      <c r="BE368" s="214"/>
      <c r="BF368" s="214"/>
      <c r="BG368" s="214"/>
      <c r="BH368" s="214"/>
      <c r="BI368" s="214"/>
      <c r="BJ368" s="214"/>
      <c r="BK368" s="214"/>
      <c r="BL368" s="214"/>
      <c r="BM368" s="214"/>
      <c r="BN368" s="214"/>
      <c r="BO368" s="214"/>
      <c r="BP368" s="214"/>
      <c r="BQ368" s="214"/>
      <c r="BR368" s="214"/>
      <c r="BS368" s="214"/>
      <c r="BT368" s="214"/>
    </row>
    <row r="369" spans="1:74" s="54" customFormat="1" ht="28.5" customHeight="1" x14ac:dyDescent="0.25">
      <c r="A369" s="8"/>
      <c r="B369" s="242" t="s">
        <v>5196</v>
      </c>
      <c r="C369" s="243"/>
      <c r="D369" s="244" t="s">
        <v>5642</v>
      </c>
      <c r="E369" s="245"/>
      <c r="F369" s="245"/>
      <c r="G369" s="245"/>
      <c r="H369" s="245"/>
      <c r="I369" s="245"/>
      <c r="J369" s="245"/>
      <c r="K369" s="245"/>
      <c r="L369" s="245"/>
      <c r="M369" s="245"/>
      <c r="N369" s="245"/>
      <c r="O369" s="245"/>
      <c r="P369" s="245"/>
      <c r="Q369" s="245"/>
      <c r="R369" s="245"/>
      <c r="S369" s="245"/>
      <c r="T369" s="245"/>
      <c r="U369" s="245"/>
      <c r="V369" s="245"/>
      <c r="W369" s="245"/>
      <c r="X369" s="245"/>
      <c r="Y369" s="245"/>
      <c r="Z369" s="245"/>
      <c r="AA369" s="245"/>
      <c r="AB369" s="245"/>
      <c r="AC369" s="245"/>
      <c r="AD369" s="245"/>
      <c r="AE369" s="245"/>
      <c r="AF369" s="245"/>
      <c r="AG369" s="245"/>
      <c r="AH369" s="245"/>
      <c r="AI369" s="245"/>
      <c r="AJ369" s="245"/>
      <c r="AK369" s="245"/>
      <c r="AL369" s="245"/>
      <c r="AM369" s="245"/>
      <c r="AN369" s="245"/>
      <c r="AO369" s="245"/>
      <c r="AP369" s="245"/>
      <c r="AQ369" s="245"/>
      <c r="AR369" s="245"/>
      <c r="AS369" s="245"/>
      <c r="AT369" s="245"/>
      <c r="AU369" s="245"/>
      <c r="AV369" s="245"/>
      <c r="AW369" s="245"/>
      <c r="AX369" s="245"/>
      <c r="AY369" s="245"/>
      <c r="AZ369" s="245"/>
      <c r="BA369" s="246"/>
      <c r="BB369" s="8"/>
      <c r="BC369" s="9"/>
      <c r="BD369" s="75"/>
      <c r="BE369" s="75"/>
      <c r="BF369" s="75"/>
      <c r="BG369" s="75"/>
      <c r="BH369" s="75"/>
      <c r="BI369" s="75"/>
      <c r="BJ369" s="75"/>
      <c r="BK369" s="75"/>
      <c r="BL369" s="75"/>
      <c r="BM369" s="75"/>
      <c r="BN369" s="75"/>
      <c r="BO369" s="75"/>
      <c r="BP369" s="75"/>
      <c r="BQ369" s="75"/>
      <c r="BR369" s="75"/>
    </row>
    <row r="370" spans="1:74" s="54" customFormat="1" ht="24.75" customHeight="1" x14ac:dyDescent="0.25">
      <c r="A370" s="8"/>
      <c r="B370" s="242" t="s">
        <v>5201</v>
      </c>
      <c r="C370" s="243"/>
      <c r="D370" s="247"/>
      <c r="E370" s="248"/>
      <c r="F370" s="248"/>
      <c r="G370" s="248"/>
      <c r="H370" s="248"/>
      <c r="I370" s="248"/>
      <c r="J370" s="248"/>
      <c r="K370" s="248"/>
      <c r="L370" s="248"/>
      <c r="M370" s="248"/>
      <c r="N370" s="248"/>
      <c r="O370" s="248"/>
      <c r="P370" s="248"/>
      <c r="Q370" s="248"/>
      <c r="R370" s="248"/>
      <c r="S370" s="248"/>
      <c r="T370" s="248"/>
      <c r="U370" s="248"/>
      <c r="V370" s="248"/>
      <c r="W370" s="248"/>
      <c r="X370" s="248"/>
      <c r="Y370" s="248"/>
      <c r="Z370" s="248"/>
      <c r="AA370" s="248"/>
      <c r="AB370" s="248"/>
      <c r="AC370" s="248"/>
      <c r="AD370" s="248"/>
      <c r="AE370" s="248"/>
      <c r="AF370" s="248"/>
      <c r="AG370" s="248"/>
      <c r="AH370" s="248"/>
      <c r="AI370" s="248"/>
      <c r="AJ370" s="248"/>
      <c r="AK370" s="248"/>
      <c r="AL370" s="248"/>
      <c r="AM370" s="248"/>
      <c r="AN370" s="248"/>
      <c r="AO370" s="248"/>
      <c r="AP370" s="248"/>
      <c r="AQ370" s="248"/>
      <c r="AR370" s="248"/>
      <c r="AS370" s="248"/>
      <c r="AT370" s="248"/>
      <c r="AU370" s="248"/>
      <c r="AV370" s="248"/>
      <c r="AW370" s="248"/>
      <c r="AX370" s="248"/>
      <c r="AY370" s="248"/>
      <c r="AZ370" s="248"/>
      <c r="BA370" s="249"/>
      <c r="BB370" s="8"/>
      <c r="BC370" s="9"/>
      <c r="BD370" s="213" t="str">
        <f>IF($D$370="","Proszę wybrać z listy","")</f>
        <v>Proszę wybrać z listy</v>
      </c>
      <c r="BE370" s="214"/>
      <c r="BF370" s="214"/>
      <c r="BG370" s="214"/>
      <c r="BH370" s="214"/>
      <c r="BI370" s="214"/>
      <c r="BJ370" s="214"/>
      <c r="BK370" s="214"/>
      <c r="BL370" s="214"/>
      <c r="BM370" s="214"/>
      <c r="BN370" s="214"/>
      <c r="BO370" s="214"/>
      <c r="BP370" s="214"/>
      <c r="BQ370" s="214"/>
      <c r="BR370" s="214"/>
      <c r="BS370" s="214"/>
      <c r="BT370" s="214"/>
    </row>
    <row r="371" spans="1:74" s="54" customFormat="1" ht="24.75" customHeight="1" x14ac:dyDescent="0.25">
      <c r="A371" s="8"/>
      <c r="B371" s="250" t="s">
        <v>5202</v>
      </c>
      <c r="C371" s="251"/>
      <c r="D371" s="252"/>
      <c r="E371" s="253"/>
      <c r="F371" s="253"/>
      <c r="G371" s="253"/>
      <c r="H371" s="253"/>
      <c r="I371" s="253"/>
      <c r="J371" s="253"/>
      <c r="K371" s="253"/>
      <c r="L371" s="253"/>
      <c r="M371" s="253"/>
      <c r="N371" s="253"/>
      <c r="O371" s="253"/>
      <c r="P371" s="253"/>
      <c r="Q371" s="253"/>
      <c r="R371" s="253"/>
      <c r="S371" s="253"/>
      <c r="T371" s="253"/>
      <c r="U371" s="253"/>
      <c r="V371" s="253"/>
      <c r="W371" s="253"/>
      <c r="X371" s="253"/>
      <c r="Y371" s="253"/>
      <c r="Z371" s="253"/>
      <c r="AA371" s="253"/>
      <c r="AB371" s="253"/>
      <c r="AC371" s="253"/>
      <c r="AD371" s="253"/>
      <c r="AE371" s="253"/>
      <c r="AF371" s="253"/>
      <c r="AG371" s="253"/>
      <c r="AH371" s="253"/>
      <c r="AI371" s="253"/>
      <c r="AJ371" s="253"/>
      <c r="AK371" s="253"/>
      <c r="AL371" s="253"/>
      <c r="AM371" s="253"/>
      <c r="AN371" s="253"/>
      <c r="AO371" s="253"/>
      <c r="AP371" s="253"/>
      <c r="AQ371" s="253"/>
      <c r="AR371" s="253"/>
      <c r="AS371" s="253"/>
      <c r="AT371" s="253"/>
      <c r="AU371" s="253"/>
      <c r="AV371" s="253"/>
      <c r="AW371" s="253"/>
      <c r="AX371" s="253"/>
      <c r="AY371" s="253"/>
      <c r="AZ371" s="253"/>
      <c r="BA371" s="254"/>
      <c r="BB371" s="8"/>
      <c r="BC371" s="9"/>
      <c r="BD371" s="213" t="str">
        <f>IF($D$371="","Proszę wybrać z listy","")</f>
        <v>Proszę wybrać z listy</v>
      </c>
      <c r="BE371" s="214"/>
      <c r="BF371" s="214"/>
      <c r="BG371" s="214"/>
      <c r="BH371" s="214"/>
      <c r="BI371" s="214"/>
      <c r="BJ371" s="214"/>
      <c r="BK371" s="214"/>
      <c r="BL371" s="214"/>
      <c r="BM371" s="214"/>
      <c r="BN371" s="214"/>
      <c r="BO371" s="214"/>
      <c r="BP371" s="214"/>
      <c r="BQ371" s="214"/>
      <c r="BR371" s="214"/>
      <c r="BS371" s="214"/>
      <c r="BT371" s="214"/>
    </row>
    <row r="372" spans="1:74" s="54" customFormat="1" ht="24.75" customHeight="1" x14ac:dyDescent="0.25">
      <c r="A372" s="8"/>
      <c r="B372" s="242" t="s">
        <v>5203</v>
      </c>
      <c r="C372" s="243"/>
      <c r="D372" s="255" t="s">
        <v>5602</v>
      </c>
      <c r="E372" s="256"/>
      <c r="F372" s="256"/>
      <c r="G372" s="256"/>
      <c r="H372" s="256"/>
      <c r="I372" s="256"/>
      <c r="J372" s="256"/>
      <c r="K372" s="256"/>
      <c r="L372" s="256"/>
      <c r="M372" s="256"/>
      <c r="N372" s="256"/>
      <c r="O372" s="256"/>
      <c r="P372" s="256"/>
      <c r="Q372" s="256"/>
      <c r="R372" s="256"/>
      <c r="S372" s="256"/>
      <c r="T372" s="256"/>
      <c r="U372" s="256"/>
      <c r="V372" s="256"/>
      <c r="W372" s="256"/>
      <c r="X372" s="256"/>
      <c r="Y372" s="256"/>
      <c r="Z372" s="256"/>
      <c r="AA372" s="256"/>
      <c r="AB372" s="256"/>
      <c r="AC372" s="256"/>
      <c r="AD372" s="256"/>
      <c r="AE372" s="256"/>
      <c r="AF372" s="256"/>
      <c r="AG372" s="256"/>
      <c r="AH372" s="256"/>
      <c r="AI372" s="256"/>
      <c r="AJ372" s="256"/>
      <c r="AK372" s="256"/>
      <c r="AL372" s="256"/>
      <c r="AM372" s="256"/>
      <c r="AN372" s="256"/>
      <c r="AO372" s="256"/>
      <c r="AP372" s="256"/>
      <c r="AQ372" s="256"/>
      <c r="AR372" s="256"/>
      <c r="AS372" s="256"/>
      <c r="AT372" s="256"/>
      <c r="AU372" s="256"/>
      <c r="AV372" s="256"/>
      <c r="AW372" s="256"/>
      <c r="AX372" s="256"/>
      <c r="AY372" s="256"/>
      <c r="AZ372" s="256"/>
      <c r="BA372" s="257"/>
      <c r="BB372" s="8"/>
      <c r="BC372" s="9"/>
      <c r="BD372" s="75"/>
      <c r="BE372" s="75"/>
      <c r="BF372" s="75"/>
      <c r="BG372" s="75"/>
      <c r="BH372" s="75"/>
      <c r="BI372" s="75"/>
      <c r="BJ372" s="75"/>
      <c r="BK372" s="75"/>
      <c r="BL372" s="75"/>
      <c r="BM372" s="75"/>
      <c r="BN372" s="75"/>
      <c r="BO372" s="75"/>
      <c r="BP372" s="75"/>
      <c r="BQ372" s="75"/>
      <c r="BR372" s="75"/>
    </row>
    <row r="373" spans="1:74" s="54" customFormat="1" ht="58.5" customHeight="1" x14ac:dyDescent="0.25">
      <c r="A373" s="8"/>
      <c r="B373" s="242" t="s">
        <v>5204</v>
      </c>
      <c r="C373" s="243"/>
      <c r="D373" s="244" t="s">
        <v>5655</v>
      </c>
      <c r="E373" s="245"/>
      <c r="F373" s="245"/>
      <c r="G373" s="245"/>
      <c r="H373" s="245"/>
      <c r="I373" s="245"/>
      <c r="J373" s="245"/>
      <c r="K373" s="245"/>
      <c r="L373" s="245"/>
      <c r="M373" s="245"/>
      <c r="N373" s="245"/>
      <c r="O373" s="245"/>
      <c r="P373" s="245"/>
      <c r="Q373" s="245"/>
      <c r="R373" s="245"/>
      <c r="S373" s="245"/>
      <c r="T373" s="245"/>
      <c r="U373" s="245"/>
      <c r="V373" s="245"/>
      <c r="W373" s="245"/>
      <c r="X373" s="245"/>
      <c r="Y373" s="245"/>
      <c r="Z373" s="245"/>
      <c r="AA373" s="245"/>
      <c r="AB373" s="245"/>
      <c r="AC373" s="245"/>
      <c r="AD373" s="245"/>
      <c r="AE373" s="245"/>
      <c r="AF373" s="245"/>
      <c r="AG373" s="245"/>
      <c r="AH373" s="245"/>
      <c r="AI373" s="245"/>
      <c r="AJ373" s="245"/>
      <c r="AK373" s="245"/>
      <c r="AL373" s="245"/>
      <c r="AM373" s="245"/>
      <c r="AN373" s="245"/>
      <c r="AO373" s="245"/>
      <c r="AP373" s="245"/>
      <c r="AQ373" s="245"/>
      <c r="AR373" s="245"/>
      <c r="AS373" s="245"/>
      <c r="AT373" s="245"/>
      <c r="AU373" s="245"/>
      <c r="AV373" s="245"/>
      <c r="AW373" s="245"/>
      <c r="AX373" s="245"/>
      <c r="AY373" s="245"/>
      <c r="AZ373" s="245"/>
      <c r="BA373" s="246"/>
      <c r="BB373" s="8"/>
      <c r="BC373" s="9"/>
      <c r="BD373" s="75"/>
      <c r="BE373" s="75"/>
      <c r="BF373" s="75"/>
      <c r="BG373" s="75"/>
      <c r="BH373" s="75"/>
      <c r="BI373" s="75"/>
      <c r="BJ373" s="75"/>
      <c r="BK373" s="75"/>
      <c r="BL373" s="75"/>
      <c r="BM373" s="75"/>
      <c r="BN373" s="75"/>
      <c r="BO373" s="75"/>
      <c r="BP373" s="75"/>
      <c r="BQ373" s="75"/>
      <c r="BR373" s="75"/>
    </row>
    <row r="374" spans="1:74" s="54" customFormat="1" ht="30.75" customHeight="1" x14ac:dyDescent="0.25">
      <c r="A374" s="8"/>
      <c r="B374" s="242" t="s">
        <v>5206</v>
      </c>
      <c r="C374" s="243"/>
      <c r="D374" s="244" t="str">
        <f>IF($B$18="spółdzielnia mieszkaniowa",_xlfn._LONGTEXT("ostatnie sprawozdanie z badania biegłego rewidenta sprawozdania finansowego Wnioskodawcy oraz ostatni protokół z lustracyjnego badania legalności, gospodarności i całości działania Wnioskodawcy wraz z wnioskami polustracyjnymi oraz informacją o ich realiz","acji przez Wnioskodawcę (jeżeli są dostępne)"),"ostatnie sprawozdanie z badania biegłego rewidenta sprawozdania finansowego Wnioskodawcy (jeżeli jest dostępne)")</f>
        <v>ostatnie sprawozdanie z badania biegłego rewidenta sprawozdania finansowego Wnioskodawcy (jeżeli jest dostępne)</v>
      </c>
      <c r="E374" s="245"/>
      <c r="F374" s="245"/>
      <c r="G374" s="245"/>
      <c r="H374" s="245"/>
      <c r="I374" s="245"/>
      <c r="J374" s="245"/>
      <c r="K374" s="245"/>
      <c r="L374" s="245"/>
      <c r="M374" s="245"/>
      <c r="N374" s="245"/>
      <c r="O374" s="245"/>
      <c r="P374" s="245"/>
      <c r="Q374" s="245"/>
      <c r="R374" s="245"/>
      <c r="S374" s="245"/>
      <c r="T374" s="245"/>
      <c r="U374" s="245"/>
      <c r="V374" s="245"/>
      <c r="W374" s="245"/>
      <c r="X374" s="245"/>
      <c r="Y374" s="245"/>
      <c r="Z374" s="245"/>
      <c r="AA374" s="245"/>
      <c r="AB374" s="245"/>
      <c r="AC374" s="245"/>
      <c r="AD374" s="245"/>
      <c r="AE374" s="245"/>
      <c r="AF374" s="245"/>
      <c r="AG374" s="245"/>
      <c r="AH374" s="245"/>
      <c r="AI374" s="245"/>
      <c r="AJ374" s="245"/>
      <c r="AK374" s="245"/>
      <c r="AL374" s="245"/>
      <c r="AM374" s="245"/>
      <c r="AN374" s="245"/>
      <c r="AO374" s="245"/>
      <c r="AP374" s="245"/>
      <c r="AQ374" s="245"/>
      <c r="AR374" s="245"/>
      <c r="AS374" s="245"/>
      <c r="AT374" s="245"/>
      <c r="AU374" s="245"/>
      <c r="AV374" s="245"/>
      <c r="AW374" s="245"/>
      <c r="AX374" s="245"/>
      <c r="AY374" s="245"/>
      <c r="AZ374" s="245"/>
      <c r="BA374" s="246"/>
      <c r="BB374" s="8"/>
      <c r="BC374" s="9"/>
      <c r="BD374" s="75"/>
      <c r="BE374" s="75"/>
      <c r="BF374" s="75"/>
      <c r="BG374" s="75"/>
      <c r="BH374" s="75"/>
      <c r="BI374" s="75"/>
      <c r="BJ374" s="75"/>
      <c r="BK374" s="75"/>
      <c r="BL374" s="75"/>
      <c r="BM374" s="75"/>
      <c r="BN374" s="75"/>
      <c r="BO374" s="75"/>
      <c r="BP374" s="75"/>
      <c r="BQ374" s="75"/>
      <c r="BR374" s="75"/>
    </row>
    <row r="375" spans="1:74" s="54" customFormat="1" ht="39.75" customHeight="1" x14ac:dyDescent="0.25">
      <c r="A375" s="8"/>
      <c r="B375" s="242" t="s">
        <v>5207</v>
      </c>
      <c r="C375" s="243"/>
      <c r="D375" s="258" t="s">
        <v>5643</v>
      </c>
      <c r="E375" s="258"/>
      <c r="F375" s="258"/>
      <c r="G375" s="258"/>
      <c r="H375" s="258"/>
      <c r="I375" s="258"/>
      <c r="J375" s="258"/>
      <c r="K375" s="258"/>
      <c r="L375" s="258"/>
      <c r="M375" s="258"/>
      <c r="N375" s="258"/>
      <c r="O375" s="258"/>
      <c r="P375" s="258"/>
      <c r="Q375" s="258"/>
      <c r="R375" s="258"/>
      <c r="S375" s="258"/>
      <c r="T375" s="258"/>
      <c r="U375" s="258"/>
      <c r="V375" s="258"/>
      <c r="W375" s="258"/>
      <c r="X375" s="258"/>
      <c r="Y375" s="258"/>
      <c r="Z375" s="258"/>
      <c r="AA375" s="258"/>
      <c r="AB375" s="258"/>
      <c r="AC375" s="258"/>
      <c r="AD375" s="258"/>
      <c r="AE375" s="258"/>
      <c r="AF375" s="258"/>
      <c r="AG375" s="258"/>
      <c r="AH375" s="258"/>
      <c r="AI375" s="258"/>
      <c r="AJ375" s="258"/>
      <c r="AK375" s="258"/>
      <c r="AL375" s="258"/>
      <c r="AM375" s="258"/>
      <c r="AN375" s="258"/>
      <c r="AO375" s="258"/>
      <c r="AP375" s="258"/>
      <c r="AQ375" s="258"/>
      <c r="AR375" s="258"/>
      <c r="AS375" s="258"/>
      <c r="AT375" s="258"/>
      <c r="AU375" s="258"/>
      <c r="AV375" s="258"/>
      <c r="AW375" s="258"/>
      <c r="AX375" s="258"/>
      <c r="AY375" s="258"/>
      <c r="AZ375" s="258"/>
      <c r="BA375" s="258"/>
      <c r="BB375" s="8"/>
      <c r="BC375" s="9"/>
      <c r="BD375" s="80"/>
      <c r="BE375" s="80"/>
      <c r="BF375" s="80"/>
      <c r="BG375" s="80"/>
      <c r="BH375" s="80"/>
      <c r="BI375" s="80"/>
      <c r="BJ375" s="80"/>
      <c r="BK375" s="80"/>
      <c r="BL375" s="80"/>
      <c r="BM375" s="80"/>
      <c r="BN375" s="80"/>
      <c r="BO375" s="80"/>
      <c r="BP375" s="80"/>
      <c r="BQ375" s="80"/>
      <c r="BR375" s="80"/>
      <c r="BS375" s="80"/>
      <c r="BT375" s="80"/>
      <c r="BU375" s="80"/>
      <c r="BV375" s="80"/>
    </row>
    <row r="376" spans="1:74" s="54" customFormat="1" ht="39.75" customHeight="1" x14ac:dyDescent="0.25">
      <c r="A376" s="8"/>
      <c r="B376" s="215" t="str">
        <f>IF(D376="","","9.")</f>
        <v/>
      </c>
      <c r="C376" s="216"/>
      <c r="D376" s="707" t="str">
        <f>IF(OR($B$18="",$B$18="spółdzielnia mieszkaniowa",$B$18="spółka gminna"),IF($AU$187="TAK","wypis i wyrys z miejscowego planu zagospodarowania przestrzennego",IF($AU$189="TAK","decyzja WZ lub uchwała gminy w sprawie lokalizacji inwestycji",IF(OR($AU$177="TAK",$AU$179="TAK"),"wyciąg z programu rewitalizacji",""))),pomocnicze!$A$20)</f>
        <v/>
      </c>
      <c r="E376" s="707"/>
      <c r="F376" s="707"/>
      <c r="G376" s="707"/>
      <c r="H376" s="707"/>
      <c r="I376" s="707"/>
      <c r="J376" s="707"/>
      <c r="K376" s="707"/>
      <c r="L376" s="707"/>
      <c r="M376" s="707"/>
      <c r="N376" s="707"/>
      <c r="O376" s="707"/>
      <c r="P376" s="707"/>
      <c r="Q376" s="707"/>
      <c r="R376" s="707"/>
      <c r="S376" s="707"/>
      <c r="T376" s="707"/>
      <c r="U376" s="707"/>
      <c r="V376" s="707"/>
      <c r="W376" s="707"/>
      <c r="X376" s="707"/>
      <c r="Y376" s="707"/>
      <c r="Z376" s="707"/>
      <c r="AA376" s="707"/>
      <c r="AB376" s="707"/>
      <c r="AC376" s="707"/>
      <c r="AD376" s="707"/>
      <c r="AE376" s="707"/>
      <c r="AF376" s="707"/>
      <c r="AG376" s="707"/>
      <c r="AH376" s="707"/>
      <c r="AI376" s="707"/>
      <c r="AJ376" s="707"/>
      <c r="AK376" s="707"/>
      <c r="AL376" s="707"/>
      <c r="AM376" s="707"/>
      <c r="AN376" s="707"/>
      <c r="AO376" s="707"/>
      <c r="AP376" s="707"/>
      <c r="AQ376" s="707"/>
      <c r="AR376" s="707"/>
      <c r="AS376" s="707"/>
      <c r="AT376" s="707"/>
      <c r="AU376" s="707"/>
      <c r="AV376" s="707"/>
      <c r="AW376" s="707"/>
      <c r="AX376" s="707"/>
      <c r="AY376" s="707"/>
      <c r="AZ376" s="707"/>
      <c r="BA376" s="707"/>
      <c r="BB376" s="8"/>
      <c r="BC376" s="9"/>
      <c r="BD376" s="80"/>
      <c r="BE376" s="80"/>
      <c r="BF376" s="80"/>
      <c r="BG376" s="80"/>
      <c r="BH376" s="80"/>
      <c r="BI376" s="80"/>
      <c r="BJ376" s="80"/>
      <c r="BK376" s="80"/>
      <c r="BL376" s="80"/>
      <c r="BM376" s="80"/>
      <c r="BN376" s="80"/>
      <c r="BO376" s="80"/>
      <c r="BP376" s="80"/>
      <c r="BQ376" s="80"/>
      <c r="BR376" s="80"/>
      <c r="BS376" s="80"/>
      <c r="BT376" s="80"/>
      <c r="BU376" s="80"/>
      <c r="BV376" s="80"/>
    </row>
    <row r="377" spans="1:74" s="54" customFormat="1" ht="25.5" customHeight="1" x14ac:dyDescent="0.25">
      <c r="A377" s="8"/>
      <c r="B377" s="215" t="str">
        <f>IF(D377="","","10.")</f>
        <v/>
      </c>
      <c r="C377" s="216"/>
      <c r="D377" s="259" t="str">
        <f>IF(AND($D$376=pomocnicze!$A$20,$AU$187="TAK"), " wypis i wyrys z miejscowego planu zagospodarowania przestrzennego",IF(OR(AND($D$376=pomocnicze!$A$20,$AU$189="TAK"),AND($AU$187="TAK",$AU$189="TAK")),"decyzja WZ lub uchwała gminy w sprawie lokalizacji inwestycji",(IF(OR(AND($D$376=pomocnicze!$A$20,OR($AU$177="TAK",$AU$179="TAK")),AND(OR($AU$187="TAK",$AU$189="TAK"),OR($AU$177="TAK",$AU$179="TAK"))),"wyciąg z programu rewitalizacji",""))))</f>
        <v/>
      </c>
      <c r="E377" s="259"/>
      <c r="F377" s="259"/>
      <c r="G377" s="259"/>
      <c r="H377" s="259"/>
      <c r="I377" s="259"/>
      <c r="J377" s="259"/>
      <c r="K377" s="259"/>
      <c r="L377" s="259"/>
      <c r="M377" s="259"/>
      <c r="N377" s="259"/>
      <c r="O377" s="259"/>
      <c r="P377" s="259"/>
      <c r="Q377" s="259"/>
      <c r="R377" s="259"/>
      <c r="S377" s="259"/>
      <c r="T377" s="259"/>
      <c r="U377" s="259"/>
      <c r="V377" s="259"/>
      <c r="W377" s="259"/>
      <c r="X377" s="259"/>
      <c r="Y377" s="259"/>
      <c r="Z377" s="259"/>
      <c r="AA377" s="259"/>
      <c r="AB377" s="259"/>
      <c r="AC377" s="259"/>
      <c r="AD377" s="259"/>
      <c r="AE377" s="259"/>
      <c r="AF377" s="259"/>
      <c r="AG377" s="259"/>
      <c r="AH377" s="259"/>
      <c r="AI377" s="259"/>
      <c r="AJ377" s="259"/>
      <c r="AK377" s="259"/>
      <c r="AL377" s="259"/>
      <c r="AM377" s="259"/>
      <c r="AN377" s="259"/>
      <c r="AO377" s="259"/>
      <c r="AP377" s="259"/>
      <c r="AQ377" s="259"/>
      <c r="AR377" s="259"/>
      <c r="AS377" s="259"/>
      <c r="AT377" s="259"/>
      <c r="AU377" s="259"/>
      <c r="AV377" s="259"/>
      <c r="AW377" s="259"/>
      <c r="AX377" s="259"/>
      <c r="AY377" s="259"/>
      <c r="AZ377" s="259"/>
      <c r="BA377" s="259"/>
      <c r="BB377" s="8"/>
      <c r="BC377" s="9"/>
      <c r="BD377" s="75"/>
      <c r="BE377" s="75"/>
      <c r="BF377" s="75"/>
      <c r="BG377" s="75"/>
      <c r="BH377" s="75"/>
      <c r="BI377" s="75"/>
      <c r="BJ377" s="75"/>
      <c r="BK377" s="75"/>
      <c r="BL377" s="75"/>
      <c r="BM377" s="75"/>
      <c r="BN377" s="75"/>
      <c r="BO377" s="75"/>
      <c r="BP377" s="75"/>
      <c r="BQ377" s="75"/>
      <c r="BR377" s="75"/>
    </row>
    <row r="378" spans="1:74" s="54" customFormat="1" ht="25.5" customHeight="1" x14ac:dyDescent="0.2">
      <c r="A378" s="6"/>
      <c r="B378" s="215" t="str">
        <f>IF(D378="","","11.")</f>
        <v/>
      </c>
      <c r="C378" s="216"/>
      <c r="D378" s="259" t="str">
        <f>IF(AND($D$376=pomocnicze!$A$20, $AU$187="TAK",$AU$189="TAK"), "decyzja WZ lub uchwała gminy w sprawie lokalizacji inwestycji",IF(OR(AND($D$376=pomocnicze!$A$20, OR($AU$187="TAK",$AU$189="TAK"),OR($AU$177="TAK",$AU$179="TAK")), AND(AND($AU$187="TAK",$AU$189="TAK"),OR($AU$177="TAK",$AU$179="TAK"))),"wyciąg z programu rewitalizacji",""))</f>
        <v/>
      </c>
      <c r="E378" s="259"/>
      <c r="F378" s="259"/>
      <c r="G378" s="259"/>
      <c r="H378" s="259"/>
      <c r="I378" s="259"/>
      <c r="J378" s="259"/>
      <c r="K378" s="259"/>
      <c r="L378" s="259"/>
      <c r="M378" s="259"/>
      <c r="N378" s="259"/>
      <c r="O378" s="259"/>
      <c r="P378" s="259"/>
      <c r="Q378" s="259"/>
      <c r="R378" s="259"/>
      <c r="S378" s="259"/>
      <c r="T378" s="259"/>
      <c r="U378" s="259"/>
      <c r="V378" s="259"/>
      <c r="W378" s="259"/>
      <c r="X378" s="259"/>
      <c r="Y378" s="259"/>
      <c r="Z378" s="259"/>
      <c r="AA378" s="259"/>
      <c r="AB378" s="259"/>
      <c r="AC378" s="259"/>
      <c r="AD378" s="259"/>
      <c r="AE378" s="259"/>
      <c r="AF378" s="259"/>
      <c r="AG378" s="259"/>
      <c r="AH378" s="259"/>
      <c r="AI378" s="259"/>
      <c r="AJ378" s="259"/>
      <c r="AK378" s="259"/>
      <c r="AL378" s="259"/>
      <c r="AM378" s="259"/>
      <c r="AN378" s="259"/>
      <c r="AO378" s="259"/>
      <c r="AP378" s="259"/>
      <c r="AQ378" s="259"/>
      <c r="AR378" s="259"/>
      <c r="AS378" s="259"/>
      <c r="AT378" s="259"/>
      <c r="AU378" s="259"/>
      <c r="AV378" s="259"/>
      <c r="AW378" s="259"/>
      <c r="AX378" s="259"/>
      <c r="AY378" s="259"/>
      <c r="AZ378" s="259"/>
      <c r="BA378" s="259"/>
      <c r="BB378" s="6"/>
      <c r="BC378" s="7"/>
      <c r="BD378" s="75"/>
      <c r="BE378" s="75"/>
      <c r="BF378" s="75"/>
      <c r="BG378" s="75"/>
      <c r="BH378" s="75"/>
      <c r="BI378" s="75"/>
      <c r="BJ378" s="75"/>
      <c r="BK378" s="75"/>
      <c r="BL378" s="75"/>
      <c r="BM378" s="75"/>
      <c r="BN378" s="75"/>
      <c r="BO378" s="75"/>
      <c r="BP378" s="75"/>
      <c r="BQ378" s="75"/>
      <c r="BR378" s="75"/>
    </row>
    <row r="379" spans="1:74" s="54" customFormat="1" ht="25.5" customHeight="1" x14ac:dyDescent="0.2">
      <c r="A379" s="6"/>
      <c r="B379" s="215" t="str">
        <f>IF(D379="","","12.")</f>
        <v/>
      </c>
      <c r="C379" s="216"/>
      <c r="D379" s="217" t="str">
        <f>IF(AND($D$376=pomocnicze!$A$20,$AU$187="TAK",$AU$189="TAK",OR($AU$177="TAK",$AU$179="TAK")),"wyciąg z programu rewitalizacji","")</f>
        <v/>
      </c>
      <c r="E379" s="217"/>
      <c r="F379" s="217"/>
      <c r="G379" s="217"/>
      <c r="H379" s="217"/>
      <c r="I379" s="217"/>
      <c r="J379" s="217"/>
      <c r="K379" s="217"/>
      <c r="L379" s="217"/>
      <c r="M379" s="217"/>
      <c r="N379" s="217"/>
      <c r="O379" s="217"/>
      <c r="P379" s="217"/>
      <c r="Q379" s="217"/>
      <c r="R379" s="217"/>
      <c r="S379" s="217"/>
      <c r="T379" s="217"/>
      <c r="U379" s="217"/>
      <c r="V379" s="217"/>
      <c r="W379" s="217"/>
      <c r="X379" s="217"/>
      <c r="Y379" s="217"/>
      <c r="Z379" s="217"/>
      <c r="AA379" s="217"/>
      <c r="AB379" s="217"/>
      <c r="AC379" s="217"/>
      <c r="AD379" s="217"/>
      <c r="AE379" s="217"/>
      <c r="AF379" s="217"/>
      <c r="AG379" s="217"/>
      <c r="AH379" s="217"/>
      <c r="AI379" s="217"/>
      <c r="AJ379" s="217"/>
      <c r="AK379" s="217"/>
      <c r="AL379" s="217"/>
      <c r="AM379" s="217"/>
      <c r="AN379" s="217"/>
      <c r="AO379" s="217"/>
      <c r="AP379" s="217"/>
      <c r="AQ379" s="217"/>
      <c r="AR379" s="217"/>
      <c r="AS379" s="217"/>
      <c r="AT379" s="217"/>
      <c r="AU379" s="217"/>
      <c r="AV379" s="217"/>
      <c r="AW379" s="217"/>
      <c r="AX379" s="217"/>
      <c r="AY379" s="217"/>
      <c r="AZ379" s="217"/>
      <c r="BA379" s="217"/>
      <c r="BB379" s="6"/>
      <c r="BC379" s="7"/>
      <c r="BD379" s="75"/>
      <c r="BE379" s="75"/>
      <c r="BF379" s="75"/>
      <c r="BG379" s="75"/>
      <c r="BH379" s="75"/>
      <c r="BI379" s="75"/>
      <c r="BJ379" s="75"/>
      <c r="BK379" s="75"/>
      <c r="BL379" s="75"/>
      <c r="BM379" s="75"/>
      <c r="BN379" s="75"/>
      <c r="BO379" s="75"/>
      <c r="BP379" s="75"/>
      <c r="BQ379" s="75"/>
      <c r="BR379" s="75"/>
    </row>
    <row r="380" spans="1:74" s="54" customFormat="1" ht="12" x14ac:dyDescent="0.2">
      <c r="A380" s="6"/>
      <c r="B380" s="184"/>
      <c r="C380" s="184"/>
      <c r="D380" s="184"/>
      <c r="E380" s="184"/>
      <c r="F380" s="184"/>
      <c r="G380" s="184"/>
      <c r="H380" s="184"/>
      <c r="I380" s="184"/>
      <c r="J380" s="184"/>
      <c r="K380" s="184"/>
      <c r="L380" s="184"/>
      <c r="M380" s="184"/>
      <c r="N380" s="184"/>
      <c r="O380" s="184"/>
      <c r="P380" s="184"/>
      <c r="Q380" s="184"/>
      <c r="R380" s="184"/>
      <c r="S380" s="184"/>
      <c r="T380" s="184"/>
      <c r="U380" s="184"/>
      <c r="V380" s="184"/>
      <c r="W380" s="184"/>
      <c r="X380" s="184"/>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6"/>
      <c r="BC380" s="7"/>
      <c r="BD380" s="75"/>
      <c r="BE380" s="75"/>
      <c r="BF380" s="75"/>
      <c r="BG380" s="75"/>
      <c r="BH380" s="75"/>
      <c r="BI380" s="75"/>
      <c r="BJ380" s="75"/>
      <c r="BK380" s="75"/>
      <c r="BL380" s="75"/>
      <c r="BM380" s="75"/>
      <c r="BN380" s="75"/>
      <c r="BO380" s="75"/>
      <c r="BP380" s="75"/>
      <c r="BQ380" s="75"/>
      <c r="BR380" s="75"/>
    </row>
    <row r="381" spans="1:74" s="54" customFormat="1" ht="12" x14ac:dyDescent="0.25">
      <c r="A381" s="8"/>
      <c r="B381" s="218"/>
      <c r="C381" s="219"/>
      <c r="D381" s="219"/>
      <c r="E381" s="219"/>
      <c r="F381" s="219"/>
      <c r="G381" s="220"/>
      <c r="H381" s="8"/>
      <c r="I381" s="8"/>
      <c r="J381" s="221"/>
      <c r="K381" s="222"/>
      <c r="L381" s="222"/>
      <c r="M381" s="222"/>
      <c r="N381" s="222"/>
      <c r="O381" s="222"/>
      <c r="P381" s="222"/>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c r="AP381" s="222"/>
      <c r="AQ381" s="222"/>
      <c r="AR381" s="222"/>
      <c r="AS381" s="222"/>
      <c r="AT381" s="222"/>
      <c r="AU381" s="222"/>
      <c r="AV381" s="222"/>
      <c r="AW381" s="222"/>
      <c r="AX381" s="222"/>
      <c r="AY381" s="222"/>
      <c r="AZ381" s="222"/>
      <c r="BA381" s="223"/>
      <c r="BB381" s="6"/>
      <c r="BC381" s="7"/>
      <c r="BD381" s="75"/>
      <c r="BE381" s="75"/>
      <c r="BF381" s="75"/>
      <c r="BG381" s="75"/>
      <c r="BH381" s="75"/>
      <c r="BI381" s="75"/>
      <c r="BJ381" s="75"/>
      <c r="BK381" s="75"/>
      <c r="BL381" s="75"/>
      <c r="BM381" s="75"/>
      <c r="BN381" s="75"/>
      <c r="BO381" s="75"/>
      <c r="BP381" s="75"/>
      <c r="BQ381" s="75"/>
      <c r="BR381" s="75"/>
    </row>
    <row r="382" spans="1:74" s="54" customFormat="1" ht="27" customHeight="1" x14ac:dyDescent="0.25">
      <c r="A382" s="8"/>
      <c r="B382" s="230" t="s">
        <v>5160</v>
      </c>
      <c r="C382" s="231"/>
      <c r="D382" s="231"/>
      <c r="E382" s="231"/>
      <c r="F382" s="231"/>
      <c r="G382" s="231"/>
      <c r="H382" s="8"/>
      <c r="I382" s="8"/>
      <c r="J382" s="224"/>
      <c r="K382" s="225"/>
      <c r="L382" s="225"/>
      <c r="M382" s="225"/>
      <c r="N382" s="225"/>
      <c r="O382" s="225"/>
      <c r="P382" s="225"/>
      <c r="Q382" s="225"/>
      <c r="R382" s="225"/>
      <c r="S382" s="225"/>
      <c r="T382" s="225"/>
      <c r="U382" s="225"/>
      <c r="V382" s="225"/>
      <c r="W382" s="225"/>
      <c r="X382" s="225"/>
      <c r="Y382" s="225"/>
      <c r="Z382" s="225"/>
      <c r="AA382" s="225"/>
      <c r="AB382" s="225"/>
      <c r="AC382" s="225"/>
      <c r="AD382" s="225"/>
      <c r="AE382" s="225"/>
      <c r="AF382" s="225"/>
      <c r="AG382" s="225"/>
      <c r="AH382" s="225"/>
      <c r="AI382" s="225"/>
      <c r="AJ382" s="225"/>
      <c r="AK382" s="225"/>
      <c r="AL382" s="225"/>
      <c r="AM382" s="225"/>
      <c r="AN382" s="225"/>
      <c r="AO382" s="225"/>
      <c r="AP382" s="225"/>
      <c r="AQ382" s="225"/>
      <c r="AR382" s="225"/>
      <c r="AS382" s="225"/>
      <c r="AT382" s="225"/>
      <c r="AU382" s="225"/>
      <c r="AV382" s="225"/>
      <c r="AW382" s="225"/>
      <c r="AX382" s="225"/>
      <c r="AY382" s="225"/>
      <c r="AZ382" s="225"/>
      <c r="BA382" s="226"/>
      <c r="BB382" s="6"/>
      <c r="BC382" s="7"/>
      <c r="BD382" s="75"/>
      <c r="BE382" s="75"/>
      <c r="BF382" s="75"/>
      <c r="BG382" s="75"/>
      <c r="BH382" s="75"/>
      <c r="BI382" s="75"/>
      <c r="BJ382" s="75"/>
      <c r="BK382" s="75"/>
      <c r="BL382" s="75"/>
      <c r="BM382" s="75"/>
      <c r="BN382" s="75"/>
      <c r="BO382" s="75"/>
      <c r="BP382" s="75"/>
      <c r="BQ382" s="75"/>
      <c r="BR382" s="75"/>
    </row>
    <row r="383" spans="1:74" s="54" customFormat="1" ht="27" customHeight="1" x14ac:dyDescent="0.3">
      <c r="A383" s="5"/>
      <c r="B383" s="5"/>
      <c r="C383" s="5"/>
      <c r="D383" s="5"/>
      <c r="E383" s="5"/>
      <c r="F383" s="5"/>
      <c r="G383" s="5"/>
      <c r="H383" s="5"/>
      <c r="I383" s="5"/>
      <c r="J383" s="224"/>
      <c r="K383" s="225"/>
      <c r="L383" s="225"/>
      <c r="M383" s="225"/>
      <c r="N383" s="225"/>
      <c r="O383" s="225"/>
      <c r="P383" s="225"/>
      <c r="Q383" s="225"/>
      <c r="R383" s="225"/>
      <c r="S383" s="225"/>
      <c r="T383" s="225"/>
      <c r="U383" s="225"/>
      <c r="V383" s="225"/>
      <c r="W383" s="225"/>
      <c r="X383" s="225"/>
      <c r="Y383" s="225"/>
      <c r="Z383" s="225"/>
      <c r="AA383" s="225"/>
      <c r="AB383" s="225"/>
      <c r="AC383" s="225"/>
      <c r="AD383" s="225"/>
      <c r="AE383" s="225"/>
      <c r="AF383" s="225"/>
      <c r="AG383" s="225"/>
      <c r="AH383" s="225"/>
      <c r="AI383" s="225"/>
      <c r="AJ383" s="225"/>
      <c r="AK383" s="225"/>
      <c r="AL383" s="225"/>
      <c r="AM383" s="225"/>
      <c r="AN383" s="225"/>
      <c r="AO383" s="225"/>
      <c r="AP383" s="225"/>
      <c r="AQ383" s="225"/>
      <c r="AR383" s="225"/>
      <c r="AS383" s="225"/>
      <c r="AT383" s="225"/>
      <c r="AU383" s="225"/>
      <c r="AV383" s="225"/>
      <c r="AW383" s="225"/>
      <c r="AX383" s="225"/>
      <c r="AY383" s="225"/>
      <c r="AZ383" s="225"/>
      <c r="BA383" s="226"/>
      <c r="BB383" s="6"/>
      <c r="BC383" s="7"/>
      <c r="BD383" s="75"/>
      <c r="BE383" s="75"/>
      <c r="BF383" s="75"/>
      <c r="BG383" s="75"/>
      <c r="BH383" s="75"/>
      <c r="BI383" s="75"/>
      <c r="BJ383" s="75"/>
      <c r="BK383" s="75"/>
      <c r="BL383" s="75"/>
      <c r="BM383" s="75"/>
      <c r="BN383" s="75"/>
      <c r="BO383" s="75"/>
      <c r="BP383" s="75"/>
      <c r="BQ383" s="75"/>
      <c r="BR383" s="75"/>
    </row>
    <row r="384" spans="1:74" s="54" customFormat="1" ht="27" customHeight="1" x14ac:dyDescent="0.3">
      <c r="A384" s="5"/>
      <c r="B384" s="5"/>
      <c r="C384" s="5"/>
      <c r="D384" s="5"/>
      <c r="E384" s="5"/>
      <c r="F384" s="5"/>
      <c r="G384" s="5"/>
      <c r="H384" s="5"/>
      <c r="I384" s="5"/>
      <c r="J384" s="227"/>
      <c r="K384" s="228"/>
      <c r="L384" s="228"/>
      <c r="M384" s="228"/>
      <c r="N384" s="228"/>
      <c r="O384" s="228"/>
      <c r="P384" s="228"/>
      <c r="Q384" s="228"/>
      <c r="R384" s="228"/>
      <c r="S384" s="228"/>
      <c r="T384" s="228"/>
      <c r="U384" s="228"/>
      <c r="V384" s="228"/>
      <c r="W384" s="228"/>
      <c r="X384" s="228"/>
      <c r="Y384" s="228"/>
      <c r="Z384" s="228"/>
      <c r="AA384" s="228"/>
      <c r="AB384" s="228"/>
      <c r="AC384" s="228"/>
      <c r="AD384" s="228"/>
      <c r="AE384" s="228"/>
      <c r="AF384" s="228"/>
      <c r="AG384" s="228"/>
      <c r="AH384" s="228"/>
      <c r="AI384" s="228"/>
      <c r="AJ384" s="228"/>
      <c r="AK384" s="228"/>
      <c r="AL384" s="228"/>
      <c r="AM384" s="228"/>
      <c r="AN384" s="228"/>
      <c r="AO384" s="228"/>
      <c r="AP384" s="228"/>
      <c r="AQ384" s="228"/>
      <c r="AR384" s="228"/>
      <c r="AS384" s="228"/>
      <c r="AT384" s="228"/>
      <c r="AU384" s="228"/>
      <c r="AV384" s="228"/>
      <c r="AW384" s="228"/>
      <c r="AX384" s="228"/>
      <c r="AY384" s="228"/>
      <c r="AZ384" s="228"/>
      <c r="BA384" s="229"/>
      <c r="BB384" s="6"/>
      <c r="BC384" s="7"/>
      <c r="BD384" s="75"/>
      <c r="BE384" s="75"/>
      <c r="BF384" s="75"/>
      <c r="BG384" s="75"/>
      <c r="BH384" s="75"/>
      <c r="BI384" s="75"/>
      <c r="BJ384" s="75"/>
      <c r="BK384" s="75"/>
      <c r="BL384" s="75"/>
      <c r="BM384" s="75"/>
      <c r="BN384" s="75"/>
      <c r="BO384" s="75"/>
      <c r="BP384" s="75"/>
      <c r="BQ384" s="75"/>
      <c r="BR384" s="75"/>
    </row>
    <row r="385" spans="1:70" s="54" customFormat="1" ht="12" x14ac:dyDescent="0.2">
      <c r="A385" s="10"/>
      <c r="B385" s="10"/>
      <c r="C385" s="10"/>
      <c r="D385" s="10"/>
      <c r="E385" s="10"/>
      <c r="F385" s="10"/>
      <c r="G385" s="10"/>
      <c r="H385" s="10"/>
      <c r="I385" s="10"/>
      <c r="J385" s="232" t="s">
        <v>5591</v>
      </c>
      <c r="K385" s="232"/>
      <c r="L385" s="232"/>
      <c r="M385" s="232"/>
      <c r="N385" s="232"/>
      <c r="O385" s="232"/>
      <c r="P385" s="232"/>
      <c r="Q385" s="232"/>
      <c r="R385" s="232"/>
      <c r="S385" s="232"/>
      <c r="T385" s="232"/>
      <c r="U385" s="232"/>
      <c r="V385" s="232"/>
      <c r="W385" s="232"/>
      <c r="X385" s="232"/>
      <c r="Y385" s="232"/>
      <c r="Z385" s="232"/>
      <c r="AA385" s="232"/>
      <c r="AB385" s="232"/>
      <c r="AC385" s="232"/>
      <c r="AD385" s="232"/>
      <c r="AE385" s="232"/>
      <c r="AF385" s="232"/>
      <c r="AG385" s="232"/>
      <c r="AH385" s="232"/>
      <c r="AI385" s="232"/>
      <c r="AJ385" s="232"/>
      <c r="AK385" s="232"/>
      <c r="AL385" s="232"/>
      <c r="AM385" s="232"/>
      <c r="AN385" s="232"/>
      <c r="AO385" s="232"/>
      <c r="AP385" s="232"/>
      <c r="AQ385" s="232"/>
      <c r="AR385" s="232"/>
      <c r="AS385" s="232"/>
      <c r="AT385" s="232"/>
      <c r="AU385" s="232"/>
      <c r="AV385" s="232"/>
      <c r="AW385" s="232"/>
      <c r="AX385" s="232"/>
      <c r="AY385" s="232"/>
      <c r="AZ385" s="232"/>
      <c r="BA385" s="232"/>
      <c r="BB385" s="6"/>
      <c r="BC385" s="7"/>
      <c r="BD385" s="75"/>
      <c r="BE385" s="75"/>
      <c r="BF385" s="75"/>
      <c r="BG385" s="75"/>
      <c r="BH385" s="75"/>
      <c r="BI385" s="75"/>
      <c r="BJ385" s="75"/>
      <c r="BK385" s="75"/>
      <c r="BL385" s="75"/>
      <c r="BM385" s="75"/>
      <c r="BN385" s="75"/>
      <c r="BO385" s="75"/>
      <c r="BP385" s="75"/>
      <c r="BQ385" s="75"/>
      <c r="BR385" s="75"/>
    </row>
    <row r="386" spans="1:70" s="54" customFormat="1" ht="9" customHeight="1" x14ac:dyDescent="0.2">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7"/>
      <c r="BD386" s="75"/>
      <c r="BE386" s="75"/>
      <c r="BF386" s="75"/>
      <c r="BG386" s="75"/>
      <c r="BH386" s="75"/>
      <c r="BI386" s="75"/>
      <c r="BJ386" s="75"/>
      <c r="BK386" s="75"/>
      <c r="BL386" s="75"/>
      <c r="BM386" s="75"/>
      <c r="BN386" s="75"/>
      <c r="BO386" s="75"/>
      <c r="BP386" s="75"/>
      <c r="BQ386" s="75"/>
      <c r="BR386" s="75"/>
    </row>
    <row r="387" spans="1:70" s="54" customFormat="1" x14ac:dyDescent="0.2">
      <c r="A387" s="206" t="s">
        <v>5631</v>
      </c>
      <c r="B387" s="206"/>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c r="AC387" s="206"/>
      <c r="AD387" s="206"/>
      <c r="AE387" s="206"/>
      <c r="AF387" s="206"/>
      <c r="AG387" s="206"/>
      <c r="AH387" s="206"/>
      <c r="AI387" s="206"/>
      <c r="AJ387" s="206"/>
      <c r="AK387" s="206"/>
      <c r="AL387" s="206"/>
      <c r="AM387" s="206"/>
      <c r="AN387" s="206"/>
      <c r="AO387" s="206"/>
      <c r="AP387" s="206"/>
      <c r="AQ387" s="206"/>
      <c r="AR387" s="206"/>
      <c r="AS387" s="206"/>
      <c r="AT387" s="206"/>
      <c r="AU387" s="206"/>
      <c r="AV387" s="206"/>
      <c r="AW387" s="206"/>
      <c r="AX387" s="206"/>
      <c r="AY387" s="206"/>
      <c r="AZ387" s="206"/>
      <c r="BA387" s="206"/>
      <c r="BB387" s="206"/>
      <c r="BD387" s="75"/>
      <c r="BE387" s="75"/>
      <c r="BF387" s="75"/>
      <c r="BG387" s="75"/>
      <c r="BH387" s="75"/>
      <c r="BI387" s="75"/>
      <c r="BJ387" s="75"/>
      <c r="BK387" s="75"/>
      <c r="BL387" s="75"/>
      <c r="BM387" s="75"/>
      <c r="BN387" s="75"/>
      <c r="BO387" s="75"/>
      <c r="BP387" s="75"/>
      <c r="BQ387" s="75"/>
      <c r="BR387" s="75"/>
    </row>
    <row r="388" spans="1:70" s="7" customFormat="1" ht="9" customHeight="1" x14ac:dyDescent="0.1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t="s">
        <v>5283</v>
      </c>
      <c r="BB388" s="6"/>
      <c r="BC388" s="6"/>
    </row>
    <row r="389" spans="1:70" s="9" customFormat="1" ht="12" x14ac:dyDescent="0.25">
      <c r="A389" s="6"/>
      <c r="B389" s="207" t="s">
        <v>5592</v>
      </c>
      <c r="C389" s="207"/>
      <c r="D389" s="207"/>
      <c r="E389" s="207"/>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207"/>
      <c r="AD389" s="207"/>
      <c r="AE389" s="207"/>
      <c r="AF389" s="207"/>
      <c r="AG389" s="207"/>
      <c r="AH389" s="207"/>
      <c r="AI389" s="207"/>
      <c r="AJ389" s="207"/>
      <c r="AK389" s="207"/>
      <c r="AL389" s="207"/>
      <c r="AM389" s="207"/>
      <c r="AN389" s="207"/>
      <c r="AO389" s="207"/>
      <c r="AP389" s="207"/>
      <c r="AQ389" s="207"/>
      <c r="AR389" s="207"/>
      <c r="AS389" s="207"/>
      <c r="AT389" s="207"/>
      <c r="AU389" s="207"/>
      <c r="AV389" s="207"/>
      <c r="AW389" s="207"/>
      <c r="AX389" s="207"/>
      <c r="AY389" s="207"/>
      <c r="AZ389" s="207"/>
      <c r="BA389" s="207"/>
      <c r="BB389" s="6"/>
      <c r="BC389" s="6"/>
    </row>
    <row r="390" spans="1:70" s="8" customFormat="1" ht="12.75" customHeight="1" x14ac:dyDescent="0.25">
      <c r="A390" s="6"/>
      <c r="B390" s="233"/>
      <c r="C390" s="234"/>
      <c r="D390" s="234"/>
      <c r="E390" s="234"/>
      <c r="F390" s="234"/>
      <c r="G390" s="234"/>
      <c r="H390" s="234"/>
      <c r="I390" s="234"/>
      <c r="J390" s="234"/>
      <c r="K390" s="234"/>
      <c r="L390" s="234"/>
      <c r="M390" s="234"/>
      <c r="N390" s="234"/>
      <c r="O390" s="234"/>
      <c r="P390" s="234"/>
      <c r="Q390" s="234"/>
      <c r="R390" s="234"/>
      <c r="S390" s="234"/>
      <c r="T390" s="234"/>
      <c r="U390" s="234"/>
      <c r="V390" s="234"/>
      <c r="W390" s="234"/>
      <c r="X390" s="234"/>
      <c r="Y390" s="234"/>
      <c r="Z390" s="234"/>
      <c r="AA390" s="234"/>
      <c r="AB390" s="234"/>
      <c r="AC390" s="234"/>
      <c r="AD390" s="234"/>
      <c r="AE390" s="234"/>
      <c r="AF390" s="234"/>
      <c r="AG390" s="234"/>
      <c r="AH390" s="234"/>
      <c r="AI390" s="234"/>
      <c r="AJ390" s="234"/>
      <c r="AK390" s="234"/>
      <c r="AL390" s="234"/>
      <c r="AM390" s="234"/>
      <c r="AN390" s="234"/>
      <c r="AO390" s="234"/>
      <c r="AP390" s="234"/>
      <c r="AQ390" s="234"/>
      <c r="AR390" s="234"/>
      <c r="AS390" s="234"/>
      <c r="AT390" s="234"/>
      <c r="AU390" s="234"/>
      <c r="AV390" s="234"/>
      <c r="AW390" s="234"/>
      <c r="AX390" s="234"/>
      <c r="AY390" s="234"/>
      <c r="AZ390" s="234"/>
      <c r="BA390" s="235"/>
      <c r="BB390" s="6"/>
      <c r="BC390" s="6"/>
    </row>
    <row r="391" spans="1:70" ht="12.75" customHeight="1" x14ac:dyDescent="0.3">
      <c r="A391" s="6"/>
      <c r="B391" s="236"/>
      <c r="C391" s="237"/>
      <c r="D391" s="237"/>
      <c r="E391" s="237"/>
      <c r="F391" s="237"/>
      <c r="G391" s="237"/>
      <c r="H391" s="237"/>
      <c r="I391" s="237"/>
      <c r="J391" s="237"/>
      <c r="K391" s="237"/>
      <c r="L391" s="237"/>
      <c r="M391" s="237"/>
      <c r="N391" s="237"/>
      <c r="O391" s="237"/>
      <c r="P391" s="237"/>
      <c r="Q391" s="237"/>
      <c r="R391" s="237"/>
      <c r="S391" s="237"/>
      <c r="T391" s="237"/>
      <c r="U391" s="237"/>
      <c r="V391" s="237"/>
      <c r="W391" s="237"/>
      <c r="X391" s="237"/>
      <c r="Y391" s="237"/>
      <c r="Z391" s="237"/>
      <c r="AA391" s="237"/>
      <c r="AB391" s="237"/>
      <c r="AC391" s="237"/>
      <c r="AD391" s="237"/>
      <c r="AE391" s="237"/>
      <c r="AF391" s="237"/>
      <c r="AG391" s="237"/>
      <c r="AH391" s="237"/>
      <c r="AI391" s="237"/>
      <c r="AJ391" s="237"/>
      <c r="AK391" s="237"/>
      <c r="AL391" s="237"/>
      <c r="AM391" s="237"/>
      <c r="AN391" s="237"/>
      <c r="AO391" s="237"/>
      <c r="AP391" s="237"/>
      <c r="AQ391" s="237"/>
      <c r="AR391" s="237"/>
      <c r="AS391" s="237"/>
      <c r="AT391" s="237"/>
      <c r="AU391" s="237"/>
      <c r="AV391" s="237"/>
      <c r="AW391" s="237"/>
      <c r="AX391" s="237"/>
      <c r="AY391" s="237"/>
      <c r="AZ391" s="237"/>
      <c r="BA391" s="238"/>
      <c r="BB391" s="6"/>
      <c r="BC391" s="6"/>
    </row>
    <row r="392" spans="1:70" ht="12.75" customHeight="1" x14ac:dyDescent="0.3">
      <c r="A392" s="6"/>
      <c r="B392" s="236"/>
      <c r="C392" s="237"/>
      <c r="D392" s="237"/>
      <c r="E392" s="237"/>
      <c r="F392" s="237"/>
      <c r="G392" s="237"/>
      <c r="H392" s="237"/>
      <c r="I392" s="237"/>
      <c r="J392" s="237"/>
      <c r="K392" s="237"/>
      <c r="L392" s="237"/>
      <c r="M392" s="237"/>
      <c r="N392" s="237"/>
      <c r="O392" s="237"/>
      <c r="P392" s="237"/>
      <c r="Q392" s="237"/>
      <c r="R392" s="237"/>
      <c r="S392" s="237"/>
      <c r="T392" s="237"/>
      <c r="U392" s="237"/>
      <c r="V392" s="237"/>
      <c r="W392" s="237"/>
      <c r="X392" s="237"/>
      <c r="Y392" s="237"/>
      <c r="Z392" s="237"/>
      <c r="AA392" s="237"/>
      <c r="AB392" s="237"/>
      <c r="AC392" s="237"/>
      <c r="AD392" s="237"/>
      <c r="AE392" s="237"/>
      <c r="AF392" s="237"/>
      <c r="AG392" s="237"/>
      <c r="AH392" s="237"/>
      <c r="AI392" s="237"/>
      <c r="AJ392" s="237"/>
      <c r="AK392" s="237"/>
      <c r="AL392" s="237"/>
      <c r="AM392" s="237"/>
      <c r="AN392" s="237"/>
      <c r="AO392" s="237"/>
      <c r="AP392" s="237"/>
      <c r="AQ392" s="237"/>
      <c r="AR392" s="237"/>
      <c r="AS392" s="237"/>
      <c r="AT392" s="237"/>
      <c r="AU392" s="237"/>
      <c r="AV392" s="237"/>
      <c r="AW392" s="237"/>
      <c r="AX392" s="237"/>
      <c r="AY392" s="237"/>
      <c r="AZ392" s="237"/>
      <c r="BA392" s="238"/>
      <c r="BB392" s="6"/>
      <c r="BC392" s="6"/>
    </row>
    <row r="393" spans="1:70" s="11" customFormat="1" ht="12.75" customHeight="1" x14ac:dyDescent="0.2">
      <c r="A393" s="6"/>
      <c r="B393" s="236"/>
      <c r="C393" s="237"/>
      <c r="D393" s="237"/>
      <c r="E393" s="237"/>
      <c r="F393" s="237"/>
      <c r="G393" s="237"/>
      <c r="H393" s="237"/>
      <c r="I393" s="237"/>
      <c r="J393" s="237"/>
      <c r="K393" s="237"/>
      <c r="L393" s="237"/>
      <c r="M393" s="237"/>
      <c r="N393" s="237"/>
      <c r="O393" s="237"/>
      <c r="P393" s="237"/>
      <c r="Q393" s="237"/>
      <c r="R393" s="237"/>
      <c r="S393" s="237"/>
      <c r="T393" s="237"/>
      <c r="U393" s="237"/>
      <c r="V393" s="237"/>
      <c r="W393" s="237"/>
      <c r="X393" s="237"/>
      <c r="Y393" s="237"/>
      <c r="Z393" s="237"/>
      <c r="AA393" s="237"/>
      <c r="AB393" s="237"/>
      <c r="AC393" s="237"/>
      <c r="AD393" s="237"/>
      <c r="AE393" s="237"/>
      <c r="AF393" s="237"/>
      <c r="AG393" s="237"/>
      <c r="AH393" s="237"/>
      <c r="AI393" s="237"/>
      <c r="AJ393" s="237"/>
      <c r="AK393" s="237"/>
      <c r="AL393" s="237"/>
      <c r="AM393" s="237"/>
      <c r="AN393" s="237"/>
      <c r="AO393" s="237"/>
      <c r="AP393" s="237"/>
      <c r="AQ393" s="237"/>
      <c r="AR393" s="237"/>
      <c r="AS393" s="237"/>
      <c r="AT393" s="237"/>
      <c r="AU393" s="237"/>
      <c r="AV393" s="237"/>
      <c r="AW393" s="237"/>
      <c r="AX393" s="237"/>
      <c r="AY393" s="237"/>
      <c r="AZ393" s="237"/>
      <c r="BA393" s="238"/>
      <c r="BB393" s="6"/>
      <c r="BC393" s="6"/>
    </row>
    <row r="394" spans="1:70" s="7" customFormat="1" ht="12.75" customHeight="1" x14ac:dyDescent="0.15">
      <c r="A394" s="6"/>
      <c r="B394" s="236"/>
      <c r="C394" s="237"/>
      <c r="D394" s="237"/>
      <c r="E394" s="237"/>
      <c r="F394" s="237"/>
      <c r="G394" s="237"/>
      <c r="H394" s="237"/>
      <c r="I394" s="237"/>
      <c r="J394" s="237"/>
      <c r="K394" s="237"/>
      <c r="L394" s="237"/>
      <c r="M394" s="237"/>
      <c r="N394" s="237"/>
      <c r="O394" s="237"/>
      <c r="P394" s="237"/>
      <c r="Q394" s="237"/>
      <c r="R394" s="237"/>
      <c r="S394" s="237"/>
      <c r="T394" s="237"/>
      <c r="U394" s="237"/>
      <c r="V394" s="237"/>
      <c r="W394" s="237"/>
      <c r="X394" s="237"/>
      <c r="Y394" s="237"/>
      <c r="Z394" s="237"/>
      <c r="AA394" s="237"/>
      <c r="AB394" s="237"/>
      <c r="AC394" s="237"/>
      <c r="AD394" s="237"/>
      <c r="AE394" s="237"/>
      <c r="AF394" s="237"/>
      <c r="AG394" s="237"/>
      <c r="AH394" s="237"/>
      <c r="AI394" s="237"/>
      <c r="AJ394" s="237"/>
      <c r="AK394" s="237"/>
      <c r="AL394" s="237"/>
      <c r="AM394" s="237"/>
      <c r="AN394" s="237"/>
      <c r="AO394" s="237"/>
      <c r="AP394" s="237"/>
      <c r="AQ394" s="237"/>
      <c r="AR394" s="237"/>
      <c r="AS394" s="237"/>
      <c r="AT394" s="237"/>
      <c r="AU394" s="237"/>
      <c r="AV394" s="237"/>
      <c r="AW394" s="237"/>
      <c r="AX394" s="237"/>
      <c r="AY394" s="237"/>
      <c r="AZ394" s="237"/>
      <c r="BA394" s="238"/>
      <c r="BB394" s="6"/>
      <c r="BC394" s="6"/>
    </row>
    <row r="395" spans="1:70" s="9" customFormat="1" ht="12.75" customHeight="1" x14ac:dyDescent="0.25">
      <c r="A395" s="6"/>
      <c r="B395" s="236"/>
      <c r="C395" s="237"/>
      <c r="D395" s="237"/>
      <c r="E395" s="237"/>
      <c r="F395" s="237"/>
      <c r="G395" s="237"/>
      <c r="H395" s="237"/>
      <c r="I395" s="237"/>
      <c r="J395" s="237"/>
      <c r="K395" s="237"/>
      <c r="L395" s="237"/>
      <c r="M395" s="237"/>
      <c r="N395" s="237"/>
      <c r="O395" s="237"/>
      <c r="P395" s="237"/>
      <c r="Q395" s="237"/>
      <c r="R395" s="237"/>
      <c r="S395" s="237"/>
      <c r="T395" s="237"/>
      <c r="U395" s="237"/>
      <c r="V395" s="237"/>
      <c r="W395" s="237"/>
      <c r="X395" s="237"/>
      <c r="Y395" s="237"/>
      <c r="Z395" s="237"/>
      <c r="AA395" s="237"/>
      <c r="AB395" s="237"/>
      <c r="AC395" s="237"/>
      <c r="AD395" s="237"/>
      <c r="AE395" s="237"/>
      <c r="AF395" s="237"/>
      <c r="AG395" s="237"/>
      <c r="AH395" s="237"/>
      <c r="AI395" s="237"/>
      <c r="AJ395" s="237"/>
      <c r="AK395" s="237"/>
      <c r="AL395" s="237"/>
      <c r="AM395" s="237"/>
      <c r="AN395" s="237"/>
      <c r="AO395" s="237"/>
      <c r="AP395" s="237"/>
      <c r="AQ395" s="237"/>
      <c r="AR395" s="237"/>
      <c r="AS395" s="237"/>
      <c r="AT395" s="237"/>
      <c r="AU395" s="237"/>
      <c r="AV395" s="237"/>
      <c r="AW395" s="237"/>
      <c r="AX395" s="237"/>
      <c r="AY395" s="237"/>
      <c r="AZ395" s="237"/>
      <c r="BA395" s="238"/>
      <c r="BB395" s="6"/>
      <c r="BC395" s="6"/>
    </row>
    <row r="396" spans="1:70" s="56" customFormat="1" ht="12.75" customHeight="1" x14ac:dyDescent="0.15">
      <c r="A396" s="6"/>
      <c r="B396" s="239"/>
      <c r="C396" s="240"/>
      <c r="D396" s="240"/>
      <c r="E396" s="240"/>
      <c r="F396" s="240"/>
      <c r="G396" s="240"/>
      <c r="H396" s="240"/>
      <c r="I396" s="240"/>
      <c r="J396" s="240"/>
      <c r="K396" s="240"/>
      <c r="L396" s="240"/>
      <c r="M396" s="240"/>
      <c r="N396" s="240"/>
      <c r="O396" s="240"/>
      <c r="P396" s="240"/>
      <c r="Q396" s="240"/>
      <c r="R396" s="240"/>
      <c r="S396" s="240"/>
      <c r="T396" s="240"/>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241"/>
      <c r="BB396" s="6"/>
      <c r="BC396" s="6"/>
    </row>
    <row r="397" spans="1:70" s="9" customFormat="1" ht="12" customHeight="1" x14ac:dyDescent="0.25">
      <c r="A397" s="6"/>
      <c r="B397" s="207" t="s">
        <v>5593</v>
      </c>
      <c r="C397" s="207"/>
      <c r="D397" s="207"/>
      <c r="E397" s="207"/>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207"/>
      <c r="AD397" s="207"/>
      <c r="AE397" s="207"/>
      <c r="AF397" s="207"/>
      <c r="AG397" s="207"/>
      <c r="AH397" s="207"/>
      <c r="AI397" s="207"/>
      <c r="AJ397" s="207"/>
      <c r="AK397" s="207"/>
      <c r="AL397" s="207"/>
      <c r="AM397" s="207"/>
      <c r="AN397" s="207"/>
      <c r="AO397" s="207"/>
      <c r="AP397" s="207"/>
      <c r="AQ397" s="207"/>
      <c r="AR397" s="207"/>
      <c r="AS397" s="207"/>
      <c r="AT397" s="207"/>
      <c r="AU397" s="207"/>
      <c r="AV397" s="207"/>
      <c r="AW397" s="207"/>
      <c r="AX397" s="207"/>
      <c r="AY397" s="207"/>
      <c r="AZ397" s="207"/>
      <c r="BA397" s="207"/>
      <c r="BB397" s="6"/>
      <c r="BC397" s="6"/>
    </row>
    <row r="398" spans="1:70" s="9" customFormat="1" ht="12" customHeight="1" x14ac:dyDescent="0.2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row>
    <row r="399" spans="1:70" s="56" customFormat="1" ht="6" x14ac:dyDescent="0.1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row>
    <row r="401"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sheetData>
  <sheetProtection algorithmName="SHA-512" hashValue="gzh9eo2jYfmQSCUFl7beZ0JVLqxt5+cuBL5QGlzsO51exaE+tScYQqWuj+hc28OIM4BhwXoKF1sXw+bSC4hNYg==" saltValue="V/YM4edFskUP3umpa0q9wQ==" spinCount="100000" sheet="1" objects="1" scenarios="1" formatRows="0"/>
  <dataConsolidate/>
  <mergeCells count="1242">
    <mergeCell ref="B376:C376"/>
    <mergeCell ref="D376:BA376"/>
    <mergeCell ref="P133:U133"/>
    <mergeCell ref="BD132:CM133"/>
    <mergeCell ref="AF133:AI133"/>
    <mergeCell ref="P134:U134"/>
    <mergeCell ref="P137:U137"/>
    <mergeCell ref="BD200:CR201"/>
    <mergeCell ref="B195:AT195"/>
    <mergeCell ref="B179:AT179"/>
    <mergeCell ref="Q232:T232"/>
    <mergeCell ref="AW257:BA257"/>
    <mergeCell ref="B260:AQ260"/>
    <mergeCell ref="B181:AT181"/>
    <mergeCell ref="BD197:BX197"/>
    <mergeCell ref="BD310:CR310"/>
    <mergeCell ref="BU305:CN308"/>
    <mergeCell ref="B318:BA318"/>
    <mergeCell ref="B285:AQ285"/>
    <mergeCell ref="AR285:AV285"/>
    <mergeCell ref="AI317:BA317"/>
    <mergeCell ref="B317:AH317"/>
    <mergeCell ref="B152:J152"/>
    <mergeCell ref="P152:AB152"/>
    <mergeCell ref="AU151:BA152"/>
    <mergeCell ref="AC152:AT152"/>
    <mergeCell ref="A303:BB303"/>
    <mergeCell ref="B308:BA308"/>
    <mergeCell ref="E233:P233"/>
    <mergeCell ref="B245:BA245"/>
    <mergeCell ref="AG246:BA246"/>
    <mergeCell ref="AR274:AV274"/>
    <mergeCell ref="K152:O152"/>
    <mergeCell ref="B160:AT160"/>
    <mergeCell ref="B356:BA356"/>
    <mergeCell ref="BD307:BT307"/>
    <mergeCell ref="C241:Y241"/>
    <mergeCell ref="B211:AT211"/>
    <mergeCell ref="AU211:BA211"/>
    <mergeCell ref="BD211:BT211"/>
    <mergeCell ref="B212:AQ212"/>
    <mergeCell ref="AR212:BA212"/>
    <mergeCell ref="B332:BA332"/>
    <mergeCell ref="B334:BA334"/>
    <mergeCell ref="BD334:BX334"/>
    <mergeCell ref="AU171:BA171"/>
    <mergeCell ref="AR283:AV283"/>
    <mergeCell ref="AR273:AV273"/>
    <mergeCell ref="U230:X230"/>
    <mergeCell ref="Q234:T234"/>
    <mergeCell ref="AW274:BA274"/>
    <mergeCell ref="C234:D234"/>
    <mergeCell ref="C226:D226"/>
    <mergeCell ref="E227:P227"/>
    <mergeCell ref="AU165:BA165"/>
    <mergeCell ref="U231:X231"/>
    <mergeCell ref="U238:X238"/>
    <mergeCell ref="AW273:BA273"/>
    <mergeCell ref="AW285:BA285"/>
    <mergeCell ref="B286:AQ286"/>
    <mergeCell ref="AR286:AV286"/>
    <mergeCell ref="AJ133:AO133"/>
    <mergeCell ref="B143:AT143"/>
    <mergeCell ref="AU143:BA143"/>
    <mergeCell ref="BD177:BZ177"/>
    <mergeCell ref="BD134:CM137"/>
    <mergeCell ref="BD189:BZ189"/>
    <mergeCell ref="BD179:BZ179"/>
    <mergeCell ref="BD183:BZ183"/>
    <mergeCell ref="BD185:BZ185"/>
    <mergeCell ref="BD210:BT210"/>
    <mergeCell ref="L217:O217"/>
    <mergeCell ref="C217:K217"/>
    <mergeCell ref="AP133:AS133"/>
    <mergeCell ref="V134:Y134"/>
    <mergeCell ref="B156:V156"/>
    <mergeCell ref="Z134:AE134"/>
    <mergeCell ref="B151:AT151"/>
    <mergeCell ref="BD151:BZ151"/>
    <mergeCell ref="P139:U139"/>
    <mergeCell ref="B139:O139"/>
    <mergeCell ref="BD146:BZ146"/>
    <mergeCell ref="BD150:BZ150"/>
    <mergeCell ref="AP136:AS136"/>
    <mergeCell ref="B135:O135"/>
    <mergeCell ref="BD144:BY144"/>
    <mergeCell ref="BD138:CN139"/>
    <mergeCell ref="B144:AT144"/>
    <mergeCell ref="B157:V157"/>
    <mergeCell ref="B155:V155"/>
    <mergeCell ref="P136:U136"/>
    <mergeCell ref="V136:Y136"/>
    <mergeCell ref="AF136:AI136"/>
    <mergeCell ref="P216:S216"/>
    <mergeCell ref="BD198:BY198"/>
    <mergeCell ref="B198:BA198"/>
    <mergeCell ref="AR278:AV278"/>
    <mergeCell ref="BD165:DG165"/>
    <mergeCell ref="B244:H244"/>
    <mergeCell ref="Q230:T230"/>
    <mergeCell ref="E237:P237"/>
    <mergeCell ref="AR250:AV250"/>
    <mergeCell ref="AR262:AV262"/>
    <mergeCell ref="AW262:BA262"/>
    <mergeCell ref="B243:BA243"/>
    <mergeCell ref="BD208:BT208"/>
    <mergeCell ref="B200:AT201"/>
    <mergeCell ref="B193:AT193"/>
    <mergeCell ref="B177:AT177"/>
    <mergeCell ref="AU177:BA177"/>
    <mergeCell ref="B175:AT175"/>
    <mergeCell ref="AU175:BA175"/>
    <mergeCell ref="B171:AT171"/>
    <mergeCell ref="U225:X225"/>
    <mergeCell ref="C240:AZ240"/>
    <mergeCell ref="A191:BB191"/>
    <mergeCell ref="B213:AQ213"/>
    <mergeCell ref="L219:O219"/>
    <mergeCell ref="C215:AC215"/>
    <mergeCell ref="C225:D225"/>
    <mergeCell ref="AR261:AV261"/>
    <mergeCell ref="Q229:T229"/>
    <mergeCell ref="P220:S220"/>
    <mergeCell ref="C218:K218"/>
    <mergeCell ref="AU183:BA183"/>
    <mergeCell ref="BD195:CB195"/>
    <mergeCell ref="BD240:CK240"/>
    <mergeCell ref="BD187:BZ187"/>
    <mergeCell ref="BD250:CK289"/>
    <mergeCell ref="B307:AT307"/>
    <mergeCell ref="AR293:AV294"/>
    <mergeCell ref="AR291:AV291"/>
    <mergeCell ref="BD209:BT209"/>
    <mergeCell ref="AU208:BA208"/>
    <mergeCell ref="AU187:BA187"/>
    <mergeCell ref="BD215:CK215"/>
    <mergeCell ref="Q224:T224"/>
    <mergeCell ref="Q225:T225"/>
    <mergeCell ref="AU200:BA201"/>
    <mergeCell ref="L216:O216"/>
    <mergeCell ref="C222:BA222"/>
    <mergeCell ref="E224:P224"/>
    <mergeCell ref="C223:D223"/>
    <mergeCell ref="B249:AQ249"/>
    <mergeCell ref="Q226:T226"/>
    <mergeCell ref="U232:X232"/>
    <mergeCell ref="U226:X226"/>
    <mergeCell ref="C219:K219"/>
    <mergeCell ref="AU195:BA195"/>
    <mergeCell ref="BD193:CN194"/>
    <mergeCell ref="E236:P236"/>
    <mergeCell ref="B255:AQ255"/>
    <mergeCell ref="E235:P235"/>
    <mergeCell ref="U227:X227"/>
    <mergeCell ref="U228:X228"/>
    <mergeCell ref="C237:D237"/>
    <mergeCell ref="U234:X234"/>
    <mergeCell ref="AU193:BA193"/>
    <mergeCell ref="Z129:AE129"/>
    <mergeCell ref="W156:AC156"/>
    <mergeCell ref="B167:AT167"/>
    <mergeCell ref="B340:BA340"/>
    <mergeCell ref="Q235:T235"/>
    <mergeCell ref="AR282:AV282"/>
    <mergeCell ref="U235:X235"/>
    <mergeCell ref="Q233:T233"/>
    <mergeCell ref="E226:P226"/>
    <mergeCell ref="L220:O220"/>
    <mergeCell ref="B269:AQ269"/>
    <mergeCell ref="Q238:T238"/>
    <mergeCell ref="X244:AF244"/>
    <mergeCell ref="AG244:BA244"/>
    <mergeCell ref="C227:D227"/>
    <mergeCell ref="H239:X239"/>
    <mergeCell ref="B312:AT312"/>
    <mergeCell ref="AU312:BA312"/>
    <mergeCell ref="AI314:BA314"/>
    <mergeCell ref="B314:AH314"/>
    <mergeCell ref="C231:D231"/>
    <mergeCell ref="C232:D232"/>
    <mergeCell ref="Q236:T236"/>
    <mergeCell ref="Q231:T231"/>
    <mergeCell ref="C235:D235"/>
    <mergeCell ref="B290:AQ290"/>
    <mergeCell ref="AR290:AV290"/>
    <mergeCell ref="B288:AQ288"/>
    <mergeCell ref="A330:BB330"/>
    <mergeCell ref="U224:X224"/>
    <mergeCell ref="AW279:BA279"/>
    <mergeCell ref="BD181:BZ181"/>
    <mergeCell ref="KWM10:KYN10"/>
    <mergeCell ref="FRM10:FTN10"/>
    <mergeCell ref="AQQ10:ASR10"/>
    <mergeCell ref="ASS10:AUT10"/>
    <mergeCell ref="AUU10:AWV10"/>
    <mergeCell ref="GIC10:GKD10"/>
    <mergeCell ref="CUS10:CWT10"/>
    <mergeCell ref="EYU10:FAV10"/>
    <mergeCell ref="FAW10:FCX10"/>
    <mergeCell ref="FCY10:FEZ10"/>
    <mergeCell ref="FFA10:FHB10"/>
    <mergeCell ref="FHC10:FJD10"/>
    <mergeCell ref="FJE10:FLF10"/>
    <mergeCell ref="EQM10:ESN10"/>
    <mergeCell ref="GYS10:HAT10"/>
    <mergeCell ref="HAU10:HCV10"/>
    <mergeCell ref="BD126:CM128"/>
    <mergeCell ref="HEY10:HGZ10"/>
    <mergeCell ref="HHA10:HJB10"/>
    <mergeCell ref="KBS10:KDT10"/>
    <mergeCell ref="KDU10:KFV10"/>
    <mergeCell ref="IWO10:IYP10"/>
    <mergeCell ref="HVO10:HXP10"/>
    <mergeCell ref="HZS10:IBT10"/>
    <mergeCell ref="BD121:CM123"/>
    <mergeCell ref="BD118:CM120"/>
    <mergeCell ref="ISK10:IUL10"/>
    <mergeCell ref="GDY10:GFZ10"/>
    <mergeCell ref="GGA10:GIB10"/>
    <mergeCell ref="BD130:CM131"/>
    <mergeCell ref="PRC10:PTD10"/>
    <mergeCell ref="LZO10:MBP10"/>
    <mergeCell ref="LRG10:LTH10"/>
    <mergeCell ref="LTI10:LVJ10"/>
    <mergeCell ref="LVK10:LXL10"/>
    <mergeCell ref="MBQ10:MDR10"/>
    <mergeCell ref="MDS10:MFT10"/>
    <mergeCell ref="HRK10:HTL10"/>
    <mergeCell ref="HTM10:HVN10"/>
    <mergeCell ref="BD42:CH43"/>
    <mergeCell ref="IOG10:IQH10"/>
    <mergeCell ref="IQI10:ISJ10"/>
    <mergeCell ref="LPE10:LRF10"/>
    <mergeCell ref="JCU10:JEV10"/>
    <mergeCell ref="JEW10:JGX10"/>
    <mergeCell ref="LAQ10:LCR10"/>
    <mergeCell ref="LCS10:LET10"/>
    <mergeCell ref="JLC10:JND10"/>
    <mergeCell ref="JPG10:JRH10"/>
    <mergeCell ref="KHY10:KJZ10"/>
    <mergeCell ref="KKA10:KMB10"/>
    <mergeCell ref="KUK10:KWL10"/>
    <mergeCell ref="KFW10:KHX10"/>
    <mergeCell ref="IYQ10:JAR10"/>
    <mergeCell ref="JAS10:JCT10"/>
    <mergeCell ref="FLG10:FNH10"/>
    <mergeCell ref="FNI10:FPJ10"/>
    <mergeCell ref="FPK10:FRL10"/>
    <mergeCell ref="FXS10:FZT10"/>
    <mergeCell ref="NPC10:NRD10"/>
    <mergeCell ref="PGS10:PIT10"/>
    <mergeCell ref="PIU10:PKV10"/>
    <mergeCell ref="SNW10:SPX10"/>
    <mergeCell ref="SPY10:SRZ10"/>
    <mergeCell ref="AF124:AI124"/>
    <mergeCell ref="AF123:AI123"/>
    <mergeCell ref="AJ130:AO130"/>
    <mergeCell ref="HCW10:HEX10"/>
    <mergeCell ref="FZU10:GBV10"/>
    <mergeCell ref="GBW10:GDX10"/>
    <mergeCell ref="IKC10:IMD10"/>
    <mergeCell ref="IME10:IOF10"/>
    <mergeCell ref="HJC10:HLD10"/>
    <mergeCell ref="HLE10:HNF10"/>
    <mergeCell ref="HNG10:HPH10"/>
    <mergeCell ref="HPI10:HRJ10"/>
    <mergeCell ref="JJA10:JLB10"/>
    <mergeCell ref="KQG10:KSH10"/>
    <mergeCell ref="JNE10:JPF10"/>
    <mergeCell ref="LXM10:LZN10"/>
    <mergeCell ref="JRI10:JTJ10"/>
    <mergeCell ref="JTK10:JVL10"/>
    <mergeCell ref="JVM10:JXN10"/>
    <mergeCell ref="HXQ10:HZR10"/>
    <mergeCell ref="FTO10:FVP10"/>
    <mergeCell ref="FVQ10:FXR10"/>
    <mergeCell ref="MOC10:MQD10"/>
    <mergeCell ref="MQE10:MSF10"/>
    <mergeCell ref="NRE10:NTF10"/>
    <mergeCell ref="PVG10:PXH10"/>
    <mergeCell ref="PXI10:PZJ10"/>
    <mergeCell ref="PZK10:QBL10"/>
    <mergeCell ref="NNA10:NPB10"/>
    <mergeCell ref="PKW10:PMX10"/>
    <mergeCell ref="IIA10:IKB10"/>
    <mergeCell ref="IUM10:IWN10"/>
    <mergeCell ref="GQK10:GSL10"/>
    <mergeCell ref="GSM10:GUN10"/>
    <mergeCell ref="MFU10:MHV10"/>
    <mergeCell ref="MHW10:MJX10"/>
    <mergeCell ref="GUO10:GWP10"/>
    <mergeCell ref="GWQ10:GYR10"/>
    <mergeCell ref="JXO10:JZP10"/>
    <mergeCell ref="LIY10:LKZ10"/>
    <mergeCell ref="LLA10:LNB10"/>
    <mergeCell ref="LNC10:LPD10"/>
    <mergeCell ref="KSI10:KUJ10"/>
    <mergeCell ref="JZQ10:KBR10"/>
    <mergeCell ref="KYO10:LAP10"/>
    <mergeCell ref="OBO10:ODP10"/>
    <mergeCell ref="OJW10:OLX10"/>
    <mergeCell ref="ODQ10:OFR10"/>
    <mergeCell ref="OFS10:OHT10"/>
    <mergeCell ref="KMC10:KOD10"/>
    <mergeCell ref="UWC10:UYD10"/>
    <mergeCell ref="UFM10:UHN10"/>
    <mergeCell ref="UBI10:UDJ10"/>
    <mergeCell ref="NXK10:NZL10"/>
    <mergeCell ref="UPW10:URX10"/>
    <mergeCell ref="URY10:UTZ10"/>
    <mergeCell ref="UDK10:UFL10"/>
    <mergeCell ref="TCK10:TEL10"/>
    <mergeCell ref="TEM10:TGN10"/>
    <mergeCell ref="TGO10:TIP10"/>
    <mergeCell ref="ULS10:UNT10"/>
    <mergeCell ref="ROY10:RQZ10"/>
    <mergeCell ref="TQY10:TSZ10"/>
    <mergeCell ref="TTA10:TVB10"/>
    <mergeCell ref="SJS10:SLT10"/>
    <mergeCell ref="SLU10:SNV10"/>
    <mergeCell ref="OHU10:OJV10"/>
    <mergeCell ref="RGQ10:RIR10"/>
    <mergeCell ref="PAM10:PCN10"/>
    <mergeCell ref="OUG10:OWH10"/>
    <mergeCell ref="OWI10:OYJ10"/>
    <mergeCell ref="RZI10:SBJ10"/>
    <mergeCell ref="SBK10:SDL10"/>
    <mergeCell ref="RXG10:RZH10"/>
    <mergeCell ref="OQC10:OSD10"/>
    <mergeCell ref="NZM10:OBN10"/>
    <mergeCell ref="QJU10:QLV10"/>
    <mergeCell ref="QLW10:QNX10"/>
    <mergeCell ref="QNY10:QPZ10"/>
    <mergeCell ref="PCO10:PEP10"/>
    <mergeCell ref="PEQ10:PGR10"/>
    <mergeCell ref="QHS10:QJT10"/>
    <mergeCell ref="XCG10:XEH10"/>
    <mergeCell ref="VCI10:VEJ10"/>
    <mergeCell ref="UUA10:UWB10"/>
    <mergeCell ref="XAE10:XCF10"/>
    <mergeCell ref="RIS10:RKT10"/>
    <mergeCell ref="RKU10:RMV10"/>
    <mergeCell ref="RMW10:ROX10"/>
    <mergeCell ref="LEU10:LGV10"/>
    <mergeCell ref="LGW10:LIX10"/>
    <mergeCell ref="XEI10:XFD10"/>
    <mergeCell ref="VZE10:WBF10"/>
    <mergeCell ref="WBG10:WDH10"/>
    <mergeCell ref="WDI10:WFJ10"/>
    <mergeCell ref="WFK10:WHL10"/>
    <mergeCell ref="WHM10:WJN10"/>
    <mergeCell ref="WJO10:WLP10"/>
    <mergeCell ref="WLQ10:WNR10"/>
    <mergeCell ref="WNS10:WPT10"/>
    <mergeCell ref="WPU10:WRV10"/>
    <mergeCell ref="WWA10:WYB10"/>
    <mergeCell ref="VXC10:VZD10"/>
    <mergeCell ref="WRW10:WTX10"/>
    <mergeCell ref="WTY10:WVZ10"/>
    <mergeCell ref="VVA10:VXB10"/>
    <mergeCell ref="NTG10:NVH10"/>
    <mergeCell ref="NIW10:NKX10"/>
    <mergeCell ref="NKY10:NMZ10"/>
    <mergeCell ref="WYC10:XAD10"/>
    <mergeCell ref="VSY10:VUZ10"/>
    <mergeCell ref="VMS10:VOT10"/>
    <mergeCell ref="QBM10:QDN10"/>
    <mergeCell ref="PTE10:PVF10"/>
    <mergeCell ref="VKQ10:VMR10"/>
    <mergeCell ref="SSA10:SUB10"/>
    <mergeCell ref="VQW10:VSX10"/>
    <mergeCell ref="SUC10:SWD10"/>
    <mergeCell ref="VOU10:VQV10"/>
    <mergeCell ref="VGM10:VIN10"/>
    <mergeCell ref="VEK10:VGL10"/>
    <mergeCell ref="VIO10:VKP10"/>
    <mergeCell ref="RRA10:RTB10"/>
    <mergeCell ref="RTC10:RVD10"/>
    <mergeCell ref="TIQ10:TKR10"/>
    <mergeCell ref="TKS10:TMT10"/>
    <mergeCell ref="TMU10:TOV10"/>
    <mergeCell ref="TOW10:TQX10"/>
    <mergeCell ref="QWG10:QYH10"/>
    <mergeCell ref="QYI10:RAJ10"/>
    <mergeCell ref="RAK10:RCL10"/>
    <mergeCell ref="RCM10:REN10"/>
    <mergeCell ref="TXE10:TZF10"/>
    <mergeCell ref="SYG10:TAH10"/>
    <mergeCell ref="VAG10:VCH10"/>
    <mergeCell ref="TVC10:TXD10"/>
    <mergeCell ref="UYE10:VAF10"/>
    <mergeCell ref="RVE10:RXF10"/>
    <mergeCell ref="SHQ10:SJR10"/>
    <mergeCell ref="SWE10:SYF10"/>
    <mergeCell ref="SFO10:SHP10"/>
    <mergeCell ref="TZG10:UBH10"/>
    <mergeCell ref="UJQ10:ULR10"/>
    <mergeCell ref="TAI10:TCJ10"/>
    <mergeCell ref="UHO10:UJP10"/>
    <mergeCell ref="UNU10:UPV10"/>
    <mergeCell ref="QQA10:QSB10"/>
    <mergeCell ref="QSC10:QUD10"/>
    <mergeCell ref="QUE10:QWF10"/>
    <mergeCell ref="MJY10:MLZ10"/>
    <mergeCell ref="PMY10:POZ10"/>
    <mergeCell ref="OLY10:ONZ10"/>
    <mergeCell ref="OOA10:OQB10"/>
    <mergeCell ref="IBU10:IDV10"/>
    <mergeCell ref="IDW10:IFX10"/>
    <mergeCell ref="IFY10:IHZ10"/>
    <mergeCell ref="SDM10:SFN10"/>
    <mergeCell ref="REO10:RGP10"/>
    <mergeCell ref="MSG10:MUH10"/>
    <mergeCell ref="PPA10:PRB10"/>
    <mergeCell ref="OSE10:OUF10"/>
    <mergeCell ref="GKE10:GMF10"/>
    <mergeCell ref="GMG10:GOH10"/>
    <mergeCell ref="GOI10:GQJ10"/>
    <mergeCell ref="MMA10:MOB10"/>
    <mergeCell ref="OYK10:PAL10"/>
    <mergeCell ref="NVI10:NXJ10"/>
    <mergeCell ref="JGY10:JIZ10"/>
    <mergeCell ref="QDO10:QFP10"/>
    <mergeCell ref="NCQ10:NER10"/>
    <mergeCell ref="NES10:NGT10"/>
    <mergeCell ref="NGU10:NIV10"/>
    <mergeCell ref="MUI10:MWJ10"/>
    <mergeCell ref="MWK10:MYL10"/>
    <mergeCell ref="MYM10:NAN10"/>
    <mergeCell ref="NAO10:NCP10"/>
    <mergeCell ref="QFQ10:QHR10"/>
    <mergeCell ref="KOE10:KQF10"/>
    <mergeCell ref="DDA10:DFB10"/>
    <mergeCell ref="DFC10:DHD10"/>
    <mergeCell ref="DPM10:DRN10"/>
    <mergeCell ref="DRO10:DTP10"/>
    <mergeCell ref="DTQ10:DVR10"/>
    <mergeCell ref="DVS10:DXT10"/>
    <mergeCell ref="DXU10:DZV10"/>
    <mergeCell ref="DZW10:EBX10"/>
    <mergeCell ref="EBY10:EDZ10"/>
    <mergeCell ref="EEA10:EGB10"/>
    <mergeCell ref="EGC10:EID10"/>
    <mergeCell ref="EIE10:EKF10"/>
    <mergeCell ref="EKG10:EMH10"/>
    <mergeCell ref="DHE10:DJF10"/>
    <mergeCell ref="DJG10:DLH10"/>
    <mergeCell ref="DLI10:DNJ10"/>
    <mergeCell ref="DNK10:DPL10"/>
    <mergeCell ref="EMI10:EOJ10"/>
    <mergeCell ref="EOK10:EQL10"/>
    <mergeCell ref="ESO10:EUP10"/>
    <mergeCell ref="EUQ10:EWR10"/>
    <mergeCell ref="EWS10:EYT10"/>
    <mergeCell ref="AWW10:AYX10"/>
    <mergeCell ref="AYY10:BAZ10"/>
    <mergeCell ref="BBA10:BDB10"/>
    <mergeCell ref="BDC10:BFD10"/>
    <mergeCell ref="BFE10:BHF10"/>
    <mergeCell ref="BHG10:BJH10"/>
    <mergeCell ref="BJI10:BLJ10"/>
    <mergeCell ref="BLK10:BNL10"/>
    <mergeCell ref="BNM10:BPN10"/>
    <mergeCell ref="BPO10:BRP10"/>
    <mergeCell ref="BRQ10:BTR10"/>
    <mergeCell ref="BTS10:BVT10"/>
    <mergeCell ref="BVU10:BXV10"/>
    <mergeCell ref="BXW10:BZX10"/>
    <mergeCell ref="BZY10:CBZ10"/>
    <mergeCell ref="CCA10:CEB10"/>
    <mergeCell ref="CEC10:CGD10"/>
    <mergeCell ref="CGE10:CIF10"/>
    <mergeCell ref="CIG10:CKH10"/>
    <mergeCell ref="CKI10:CMJ10"/>
    <mergeCell ref="CMK10:COL10"/>
    <mergeCell ref="COM10:CQN10"/>
    <mergeCell ref="CQO10:CSP10"/>
    <mergeCell ref="CSQ10:CUR10"/>
    <mergeCell ref="CWU10:CYV10"/>
    <mergeCell ref="CYW10:DAX10"/>
    <mergeCell ref="DAY10:DCZ10"/>
    <mergeCell ref="JK10:LL10"/>
    <mergeCell ref="LM10:NN10"/>
    <mergeCell ref="NO10:PP10"/>
    <mergeCell ref="AB25:AS25"/>
    <mergeCell ref="DE10:FF10"/>
    <mergeCell ref="O24:Z24"/>
    <mergeCell ref="AOO10:AQP10"/>
    <mergeCell ref="ACC10:AED10"/>
    <mergeCell ref="AEE10:AGF10"/>
    <mergeCell ref="AB21:AD21"/>
    <mergeCell ref="AB22:AD22"/>
    <mergeCell ref="B15:BA15"/>
    <mergeCell ref="B16:BA16"/>
    <mergeCell ref="AE18:AK18"/>
    <mergeCell ref="AU18:BA18"/>
    <mergeCell ref="AU19:BA19"/>
    <mergeCell ref="AE19:AK19"/>
    <mergeCell ref="AB24:AS24"/>
    <mergeCell ref="AGG10:AIH10"/>
    <mergeCell ref="B24:M24"/>
    <mergeCell ref="AMM10:AON10"/>
    <mergeCell ref="PQ10:RR10"/>
    <mergeCell ref="RS10:TT10"/>
    <mergeCell ref="TU10:VV10"/>
    <mergeCell ref="VW10:XX10"/>
    <mergeCell ref="XY10:ZZ10"/>
    <mergeCell ref="B11:BA11"/>
    <mergeCell ref="AII10:AKJ10"/>
    <mergeCell ref="AKK10:AML10"/>
    <mergeCell ref="FG10:HH10"/>
    <mergeCell ref="HI10:JJ10"/>
    <mergeCell ref="AAA10:ACB10"/>
    <mergeCell ref="A1:BB1"/>
    <mergeCell ref="A2:BB2"/>
    <mergeCell ref="AM18:AS18"/>
    <mergeCell ref="AM19:AS19"/>
    <mergeCell ref="A8:BB8"/>
    <mergeCell ref="A9:BB9"/>
    <mergeCell ref="A13:BB13"/>
    <mergeCell ref="AF21:AI21"/>
    <mergeCell ref="AF22:AI22"/>
    <mergeCell ref="AK21:BA21"/>
    <mergeCell ref="AK22:BA22"/>
    <mergeCell ref="B21:V21"/>
    <mergeCell ref="B22:V22"/>
    <mergeCell ref="X21:Z21"/>
    <mergeCell ref="A10:BB10"/>
    <mergeCell ref="X22:Z22"/>
    <mergeCell ref="J28:U28"/>
    <mergeCell ref="A4:F4"/>
    <mergeCell ref="A5:F6"/>
    <mergeCell ref="O25:Z25"/>
    <mergeCell ref="B26:BA27"/>
    <mergeCell ref="B18:AC18"/>
    <mergeCell ref="B19:AC19"/>
    <mergeCell ref="W28:AH28"/>
    <mergeCell ref="AJ28:BA28"/>
    <mergeCell ref="B25:M25"/>
    <mergeCell ref="B28:H28"/>
    <mergeCell ref="AU24:BA24"/>
    <mergeCell ref="AU25:BA25"/>
    <mergeCell ref="J29:U29"/>
    <mergeCell ref="W29:AH29"/>
    <mergeCell ref="B31:P31"/>
    <mergeCell ref="B41:N41"/>
    <mergeCell ref="AJ60:BA60"/>
    <mergeCell ref="AU56:BA56"/>
    <mergeCell ref="AU57:BA57"/>
    <mergeCell ref="B37:AT37"/>
    <mergeCell ref="AU37:BA37"/>
    <mergeCell ref="B32:P32"/>
    <mergeCell ref="O41:U41"/>
    <mergeCell ref="B47:AY47"/>
    <mergeCell ref="AA32:BA32"/>
    <mergeCell ref="R31:Z31"/>
    <mergeCell ref="AB31:BA31"/>
    <mergeCell ref="AB34:BA34"/>
    <mergeCell ref="R32:Z32"/>
    <mergeCell ref="R34:Z34"/>
    <mergeCell ref="AT52:AW52"/>
    <mergeCell ref="AJ29:BA29"/>
    <mergeCell ref="B29:H29"/>
    <mergeCell ref="AA35:BA35"/>
    <mergeCell ref="R35:Z35"/>
    <mergeCell ref="A54:BB54"/>
    <mergeCell ref="A39:BB39"/>
    <mergeCell ref="B44:N45"/>
    <mergeCell ref="B34:P34"/>
    <mergeCell ref="B35:P35"/>
    <mergeCell ref="O44:U45"/>
    <mergeCell ref="O56:Z56"/>
    <mergeCell ref="AB56:AS56"/>
    <mergeCell ref="B52:AS52"/>
    <mergeCell ref="B42:N43"/>
    <mergeCell ref="T63:AD63"/>
    <mergeCell ref="AT50:AW50"/>
    <mergeCell ref="B60:H60"/>
    <mergeCell ref="O42:U43"/>
    <mergeCell ref="J60:U60"/>
    <mergeCell ref="W60:AH60"/>
    <mergeCell ref="B50:AS50"/>
    <mergeCell ref="B48:BB48"/>
    <mergeCell ref="AT42:AW43"/>
    <mergeCell ref="AT44:AW45"/>
    <mergeCell ref="AX44:AY45"/>
    <mergeCell ref="B46:BB46"/>
    <mergeCell ref="W44:AS45"/>
    <mergeCell ref="W42:AS43"/>
    <mergeCell ref="AD75:AK76"/>
    <mergeCell ref="B71:I72"/>
    <mergeCell ref="J72:BA72"/>
    <mergeCell ref="J73:X73"/>
    <mergeCell ref="AF64:AW64"/>
    <mergeCell ref="B63:R63"/>
    <mergeCell ref="J71:BA71"/>
    <mergeCell ref="AB73:BA73"/>
    <mergeCell ref="B56:M56"/>
    <mergeCell ref="M66:BA66"/>
    <mergeCell ref="M67:BA67"/>
    <mergeCell ref="B67:L67"/>
    <mergeCell ref="M68:P68"/>
    <mergeCell ref="AX77:BA77"/>
    <mergeCell ref="Z77:AC77"/>
    <mergeCell ref="AL77:AO77"/>
    <mergeCell ref="AP77:AS77"/>
    <mergeCell ref="T64:AD64"/>
    <mergeCell ref="B61:H61"/>
    <mergeCell ref="J61:U61"/>
    <mergeCell ref="W61:AH61"/>
    <mergeCell ref="B57:M57"/>
    <mergeCell ref="O57:Z57"/>
    <mergeCell ref="AB57:AS57"/>
    <mergeCell ref="AJ61:BA61"/>
    <mergeCell ref="AO68:AQ68"/>
    <mergeCell ref="AR68:BA68"/>
    <mergeCell ref="B66:L66"/>
    <mergeCell ref="Y73:AA73"/>
    <mergeCell ref="Q68:AA68"/>
    <mergeCell ref="B64:R64"/>
    <mergeCell ref="AB68:AN68"/>
    <mergeCell ref="AY63:BA63"/>
    <mergeCell ref="AY64:BA64"/>
    <mergeCell ref="B58:BA59"/>
    <mergeCell ref="O91:AC91"/>
    <mergeCell ref="AE91:AT91"/>
    <mergeCell ref="AE92:AT92"/>
    <mergeCell ref="AE93:AT93"/>
    <mergeCell ref="AE94:AT94"/>
    <mergeCell ref="AU91:BA91"/>
    <mergeCell ref="AD81:AG81"/>
    <mergeCell ref="AD80:AG80"/>
    <mergeCell ref="AU92:BA92"/>
    <mergeCell ref="AU93:BA93"/>
    <mergeCell ref="AH86:AK86"/>
    <mergeCell ref="AL86:AO86"/>
    <mergeCell ref="AL83:AO83"/>
    <mergeCell ref="AL84:AO84"/>
    <mergeCell ref="B85:U85"/>
    <mergeCell ref="B86:U86"/>
    <mergeCell ref="B88:BA88"/>
    <mergeCell ref="Z80:AC80"/>
    <mergeCell ref="B87:BA87"/>
    <mergeCell ref="AP85:AS85"/>
    <mergeCell ref="AX81:BA81"/>
    <mergeCell ref="AT81:AW81"/>
    <mergeCell ref="AD83:AG83"/>
    <mergeCell ref="AP86:AS86"/>
    <mergeCell ref="B89:BA89"/>
    <mergeCell ref="AT85:AW85"/>
    <mergeCell ref="B97:N97"/>
    <mergeCell ref="O97:S97"/>
    <mergeCell ref="B91:N91"/>
    <mergeCell ref="B68:L68"/>
    <mergeCell ref="B69:BB69"/>
    <mergeCell ref="O93:AC93"/>
    <mergeCell ref="AF63:AW63"/>
    <mergeCell ref="B73:I73"/>
    <mergeCell ref="AL81:AO81"/>
    <mergeCell ref="AX79:BA79"/>
    <mergeCell ref="B84:U84"/>
    <mergeCell ref="AP81:AS81"/>
    <mergeCell ref="B82:U82"/>
    <mergeCell ref="V83:Y83"/>
    <mergeCell ref="AL80:AO80"/>
    <mergeCell ref="AX85:BA85"/>
    <mergeCell ref="AX84:BA84"/>
    <mergeCell ref="AL82:AO82"/>
    <mergeCell ref="O94:AC94"/>
    <mergeCell ref="AP82:AS82"/>
    <mergeCell ref="B95:BA95"/>
    <mergeCell ref="V79:Y79"/>
    <mergeCell ref="AH81:AK81"/>
    <mergeCell ref="AD79:AG79"/>
    <mergeCell ref="AT79:AW79"/>
    <mergeCell ref="Z86:AC86"/>
    <mergeCell ref="V86:Y86"/>
    <mergeCell ref="O92:AC92"/>
    <mergeCell ref="AT80:AW80"/>
    <mergeCell ref="AX80:BA80"/>
    <mergeCell ref="AH85:AK85"/>
    <mergeCell ref="AL85:AO85"/>
    <mergeCell ref="Z84:AC84"/>
    <mergeCell ref="B81:U81"/>
    <mergeCell ref="Z81:AC81"/>
    <mergeCell ref="B80:U80"/>
    <mergeCell ref="V80:Y80"/>
    <mergeCell ref="AD77:AG77"/>
    <mergeCell ref="AH77:AK77"/>
    <mergeCell ref="AD84:AG84"/>
    <mergeCell ref="AH84:AK84"/>
    <mergeCell ref="V82:Y82"/>
    <mergeCell ref="AH78:AK78"/>
    <mergeCell ref="AL78:AO78"/>
    <mergeCell ref="B83:U83"/>
    <mergeCell ref="Z78:AC78"/>
    <mergeCell ref="AP78:AS78"/>
    <mergeCell ref="AT82:AW82"/>
    <mergeCell ref="AT83:AW83"/>
    <mergeCell ref="AP80:AS80"/>
    <mergeCell ref="AT77:AW77"/>
    <mergeCell ref="AH79:AK79"/>
    <mergeCell ref="V77:Y77"/>
    <mergeCell ref="BD75:CN95"/>
    <mergeCell ref="B78:U78"/>
    <mergeCell ref="AD86:AG86"/>
    <mergeCell ref="Z83:AC83"/>
    <mergeCell ref="V85:Y85"/>
    <mergeCell ref="Z85:AC85"/>
    <mergeCell ref="AR203:BA203"/>
    <mergeCell ref="AR204:BA204"/>
    <mergeCell ref="AR207:BA207"/>
    <mergeCell ref="B208:AT208"/>
    <mergeCell ref="V75:AC76"/>
    <mergeCell ref="AL75:AS76"/>
    <mergeCell ref="AP83:AS83"/>
    <mergeCell ref="V81:Y81"/>
    <mergeCell ref="AP79:AS79"/>
    <mergeCell ref="AX83:BA83"/>
    <mergeCell ref="AX82:BA82"/>
    <mergeCell ref="Z82:AC82"/>
    <mergeCell ref="AD82:AG82"/>
    <mergeCell ref="AH82:AK82"/>
    <mergeCell ref="AP84:AS84"/>
    <mergeCell ref="AH80:AK80"/>
    <mergeCell ref="Z79:AC79"/>
    <mergeCell ref="AD110:AK110"/>
    <mergeCell ref="AL110:AS110"/>
    <mergeCell ref="AT84:AW84"/>
    <mergeCell ref="AX86:BA86"/>
    <mergeCell ref="AU94:BA94"/>
    <mergeCell ref="AT78:AW78"/>
    <mergeCell ref="V84:Y84"/>
    <mergeCell ref="B309:AT309"/>
    <mergeCell ref="B310:AT310"/>
    <mergeCell ref="AT132:BA132"/>
    <mergeCell ref="B209:AT209"/>
    <mergeCell ref="Z133:AE133"/>
    <mergeCell ref="AT75:BA76"/>
    <mergeCell ref="B273:AQ273"/>
    <mergeCell ref="B311:BA311"/>
    <mergeCell ref="AR279:AV279"/>
    <mergeCell ref="B94:N94"/>
    <mergeCell ref="B93:N93"/>
    <mergeCell ref="B92:N92"/>
    <mergeCell ref="AT86:AW86"/>
    <mergeCell ref="AW295:BA296"/>
    <mergeCell ref="AW297:BA298"/>
    <mergeCell ref="B305:AT305"/>
    <mergeCell ref="AU305:BA305"/>
    <mergeCell ref="AR297:AV298"/>
    <mergeCell ref="B98:N98"/>
    <mergeCell ref="AD85:AG85"/>
    <mergeCell ref="T97:BA97"/>
    <mergeCell ref="O98:S98"/>
    <mergeCell ref="AD78:AG78"/>
    <mergeCell ref="AL79:AO79"/>
    <mergeCell ref="T99:BA99"/>
    <mergeCell ref="B123:O123"/>
    <mergeCell ref="AF131:AI131"/>
    <mergeCell ref="V78:Y78"/>
    <mergeCell ref="B75:U77"/>
    <mergeCell ref="B79:U79"/>
    <mergeCell ref="AX78:BA78"/>
    <mergeCell ref="AH83:AK83"/>
    <mergeCell ref="B185:AT185"/>
    <mergeCell ref="W154:AC154"/>
    <mergeCell ref="B132:O132"/>
    <mergeCell ref="AJ138:AS138"/>
    <mergeCell ref="AU147:BA147"/>
    <mergeCell ref="AU189:BA189"/>
    <mergeCell ref="Z138:AE138"/>
    <mergeCell ref="Z132:AE132"/>
    <mergeCell ref="AT122:BA122"/>
    <mergeCell ref="E228:P228"/>
    <mergeCell ref="AT136:BA136"/>
    <mergeCell ref="V104:AC105"/>
    <mergeCell ref="AD104:AK105"/>
    <mergeCell ref="V114:AC114"/>
    <mergeCell ref="AT114:BA114"/>
    <mergeCell ref="AR206:BA206"/>
    <mergeCell ref="B205:AQ205"/>
    <mergeCell ref="V137:Y137"/>
    <mergeCell ref="B204:AQ204"/>
    <mergeCell ref="AP137:AS137"/>
    <mergeCell ref="V139:Y139"/>
    <mergeCell ref="AP135:AS135"/>
    <mergeCell ref="V135:Y135"/>
    <mergeCell ref="Z139:AE139"/>
    <mergeCell ref="P217:S217"/>
    <mergeCell ref="P218:S218"/>
    <mergeCell ref="B206:AQ206"/>
    <mergeCell ref="AP120:AS120"/>
    <mergeCell ref="B124:O124"/>
    <mergeCell ref="P124:U124"/>
    <mergeCell ref="Z136:AE136"/>
    <mergeCell ref="AU169:BA169"/>
    <mergeCell ref="B118:O118"/>
    <mergeCell ref="AL114:AS114"/>
    <mergeCell ref="AD112:AK112"/>
    <mergeCell ref="AT107:BA107"/>
    <mergeCell ref="AT108:BA108"/>
    <mergeCell ref="AT104:BA105"/>
    <mergeCell ref="Z131:AE131"/>
    <mergeCell ref="V108:AC108"/>
    <mergeCell ref="AL107:AS107"/>
    <mergeCell ref="AT131:BA131"/>
    <mergeCell ref="V131:Y131"/>
    <mergeCell ref="V107:AC107"/>
    <mergeCell ref="AF120:AI120"/>
    <mergeCell ref="AJ120:AO120"/>
    <mergeCell ref="AD107:AK107"/>
    <mergeCell ref="V126:Y126"/>
    <mergeCell ref="V124:Y124"/>
    <mergeCell ref="Z126:AE126"/>
    <mergeCell ref="P122:U122"/>
    <mergeCell ref="AL106:AS106"/>
    <mergeCell ref="AT110:BA110"/>
    <mergeCell ref="V109:AC109"/>
    <mergeCell ref="Z123:AE123"/>
    <mergeCell ref="Z124:AE124"/>
    <mergeCell ref="V123:Y123"/>
    <mergeCell ref="AJ123:AO123"/>
    <mergeCell ref="AJ124:AO124"/>
    <mergeCell ref="AT121:BA121"/>
    <mergeCell ref="AP124:AS124"/>
    <mergeCell ref="AP123:AS123"/>
    <mergeCell ref="AJ122:AO122"/>
    <mergeCell ref="Z120:AE120"/>
    <mergeCell ref="O99:S99"/>
    <mergeCell ref="V106:AC106"/>
    <mergeCell ref="V115:AC115"/>
    <mergeCell ref="AD106:AK106"/>
    <mergeCell ref="B113:U113"/>
    <mergeCell ref="B114:U114"/>
    <mergeCell ref="B110:U110"/>
    <mergeCell ref="V110:AC110"/>
    <mergeCell ref="B109:U109"/>
    <mergeCell ref="AT112:BA112"/>
    <mergeCell ref="B106:U106"/>
    <mergeCell ref="AL115:AS115"/>
    <mergeCell ref="AD115:AK115"/>
    <mergeCell ref="B104:U104"/>
    <mergeCell ref="AD113:AK113"/>
    <mergeCell ref="AD114:AK114"/>
    <mergeCell ref="AL104:AS105"/>
    <mergeCell ref="AT106:BA106"/>
    <mergeCell ref="AT109:BA109"/>
    <mergeCell ref="AT111:BA111"/>
    <mergeCell ref="AL108:AS108"/>
    <mergeCell ref="B105:U105"/>
    <mergeCell ref="T100:BA100"/>
    <mergeCell ref="B108:U108"/>
    <mergeCell ref="B107:U107"/>
    <mergeCell ref="AL109:AS109"/>
    <mergeCell ref="AL113:AS113"/>
    <mergeCell ref="B111:U111"/>
    <mergeCell ref="AL111:AS111"/>
    <mergeCell ref="V111:AC111"/>
    <mergeCell ref="AJ125:AO125"/>
    <mergeCell ref="AP125:AS125"/>
    <mergeCell ref="AT125:BA125"/>
    <mergeCell ref="P130:U130"/>
    <mergeCell ref="AT128:BA128"/>
    <mergeCell ref="AJ129:AO129"/>
    <mergeCell ref="AD154:AM154"/>
    <mergeCell ref="AU185:BA185"/>
    <mergeCell ref="AF132:AI132"/>
    <mergeCell ref="AU144:BA144"/>
    <mergeCell ref="AJ137:AO137"/>
    <mergeCell ref="B149:AT149"/>
    <mergeCell ref="AU149:BA149"/>
    <mergeCell ref="AU146:BA146"/>
    <mergeCell ref="M133:O133"/>
    <mergeCell ref="AT133:BA133"/>
    <mergeCell ref="AF135:AI135"/>
    <mergeCell ref="AJ135:AO135"/>
    <mergeCell ref="B126:O126"/>
    <mergeCell ref="V132:Y132"/>
    <mergeCell ref="Z130:AE130"/>
    <mergeCell ref="AJ128:AS128"/>
    <mergeCell ref="AP134:AS134"/>
    <mergeCell ref="V138:Y138"/>
    <mergeCell ref="AT139:BA139"/>
    <mergeCell ref="Z135:AE135"/>
    <mergeCell ref="AP126:AS126"/>
    <mergeCell ref="AF134:AI134"/>
    <mergeCell ref="AF137:AI137"/>
    <mergeCell ref="AF126:AI126"/>
    <mergeCell ref="AP131:AS131"/>
    <mergeCell ref="AF130:AI130"/>
    <mergeCell ref="AJ118:AS119"/>
    <mergeCell ref="B125:O125"/>
    <mergeCell ref="AJ131:AO131"/>
    <mergeCell ref="V130:Y130"/>
    <mergeCell ref="B128:O129"/>
    <mergeCell ref="V120:Y120"/>
    <mergeCell ref="P123:U123"/>
    <mergeCell ref="AU210:BA210"/>
    <mergeCell ref="B147:AT147"/>
    <mergeCell ref="B197:AT197"/>
    <mergeCell ref="B154:V154"/>
    <mergeCell ref="AF129:AI129"/>
    <mergeCell ref="AP129:AS129"/>
    <mergeCell ref="E231:P231"/>
    <mergeCell ref="AL112:AS112"/>
    <mergeCell ref="AT118:BA119"/>
    <mergeCell ref="AT120:BA120"/>
    <mergeCell ref="AP121:AS121"/>
    <mergeCell ref="B161:AT161"/>
    <mergeCell ref="AU160:BA160"/>
    <mergeCell ref="P219:S219"/>
    <mergeCell ref="AF121:AI121"/>
    <mergeCell ref="B116:BA116"/>
    <mergeCell ref="AT115:BA115"/>
    <mergeCell ref="Z137:AE137"/>
    <mergeCell ref="AT135:BA135"/>
    <mergeCell ref="AU197:BA197"/>
    <mergeCell ref="V121:Y121"/>
    <mergeCell ref="P126:U126"/>
    <mergeCell ref="P128:Y128"/>
    <mergeCell ref="P132:U132"/>
    <mergeCell ref="V129:Y129"/>
    <mergeCell ref="AT130:BA130"/>
    <mergeCell ref="AT129:BA129"/>
    <mergeCell ref="AT126:BA126"/>
    <mergeCell ref="P129:U129"/>
    <mergeCell ref="B130:O130"/>
    <mergeCell ref="P135:U135"/>
    <mergeCell ref="V133:Y133"/>
    <mergeCell ref="AJ134:AO134"/>
    <mergeCell ref="B134:O134"/>
    <mergeCell ref="AU209:BA209"/>
    <mergeCell ref="AJ139:AO139"/>
    <mergeCell ref="B189:AT189"/>
    <mergeCell ref="B140:O140"/>
    <mergeCell ref="AU161:BA161"/>
    <mergeCell ref="AU179:BA179"/>
    <mergeCell ref="AJ132:AO132"/>
    <mergeCell ref="B146:AT146"/>
    <mergeCell ref="W157:AC157"/>
    <mergeCell ref="W158:AC158"/>
    <mergeCell ref="A163:BB163"/>
    <mergeCell ref="AD158:AM158"/>
    <mergeCell ref="AF138:AI138"/>
    <mergeCell ref="AF139:AI139"/>
    <mergeCell ref="B183:AT183"/>
    <mergeCell ref="AU181:BA181"/>
    <mergeCell ref="AD156:AM156"/>
    <mergeCell ref="B165:AT165"/>
    <mergeCell ref="AR205:BA205"/>
    <mergeCell ref="AD155:AM155"/>
    <mergeCell ref="AJ136:AO136"/>
    <mergeCell ref="AP132:AS132"/>
    <mergeCell ref="B187:AT187"/>
    <mergeCell ref="BD324:CS324"/>
    <mergeCell ref="B210:AT210"/>
    <mergeCell ref="B203:AQ203"/>
    <mergeCell ref="B207:AQ207"/>
    <mergeCell ref="B266:AQ266"/>
    <mergeCell ref="AR266:AV266"/>
    <mergeCell ref="AW266:BA266"/>
    <mergeCell ref="B278:AQ278"/>
    <mergeCell ref="B268:AQ268"/>
    <mergeCell ref="B295:AQ296"/>
    <mergeCell ref="AR295:AV296"/>
    <mergeCell ref="B293:AQ294"/>
    <mergeCell ref="AW287:BA287"/>
    <mergeCell ref="B264:AQ264"/>
    <mergeCell ref="AR264:AV264"/>
    <mergeCell ref="AR280:AV280"/>
    <mergeCell ref="AR288:AV288"/>
    <mergeCell ref="B291:AQ291"/>
    <mergeCell ref="B292:AQ292"/>
    <mergeCell ref="AW251:BA251"/>
    <mergeCell ref="B257:AQ257"/>
    <mergeCell ref="AW276:BA276"/>
    <mergeCell ref="AR251:AV251"/>
    <mergeCell ref="AR260:AV260"/>
    <mergeCell ref="AR268:BA268"/>
    <mergeCell ref="AW265:BA265"/>
    <mergeCell ref="AW284:BA284"/>
    <mergeCell ref="L218:O218"/>
    <mergeCell ref="AR213:BA213"/>
    <mergeCell ref="AW281:BA281"/>
    <mergeCell ref="AR249:AV249"/>
    <mergeCell ref="E232:P232"/>
    <mergeCell ref="BD52:BZ52"/>
    <mergeCell ref="B142:AT142"/>
    <mergeCell ref="AU142:BA142"/>
    <mergeCell ref="BD169:BS169"/>
    <mergeCell ref="P118:Y119"/>
    <mergeCell ref="P120:U120"/>
    <mergeCell ref="Z118:AI119"/>
    <mergeCell ref="AT113:BA113"/>
    <mergeCell ref="B138:O138"/>
    <mergeCell ref="P138:U138"/>
    <mergeCell ref="B131:O131"/>
    <mergeCell ref="P131:U131"/>
    <mergeCell ref="B169:AT169"/>
    <mergeCell ref="AD157:AM157"/>
    <mergeCell ref="AP139:AS139"/>
    <mergeCell ref="B133:L133"/>
    <mergeCell ref="U223:X223"/>
    <mergeCell ref="BD149:BZ149"/>
    <mergeCell ref="BD142:BZ142"/>
    <mergeCell ref="AJ126:AO126"/>
    <mergeCell ref="BD147:BW147"/>
    <mergeCell ref="B173:AT173"/>
    <mergeCell ref="AU173:BA173"/>
    <mergeCell ref="E223:P223"/>
    <mergeCell ref="B158:V158"/>
    <mergeCell ref="W155:AC155"/>
    <mergeCell ref="C220:K220"/>
    <mergeCell ref="O100:S100"/>
    <mergeCell ref="B100:N100"/>
    <mergeCell ref="T98:BA98"/>
    <mergeCell ref="B99:N99"/>
    <mergeCell ref="V112:AC112"/>
    <mergeCell ref="A346:BB346"/>
    <mergeCell ref="B351:BA351"/>
    <mergeCell ref="B283:AQ283"/>
    <mergeCell ref="AW293:BA294"/>
    <mergeCell ref="B336:BA336"/>
    <mergeCell ref="AW261:BA261"/>
    <mergeCell ref="B262:AQ262"/>
    <mergeCell ref="AW292:BA292"/>
    <mergeCell ref="AW290:BA290"/>
    <mergeCell ref="B256:AQ256"/>
    <mergeCell ref="AR256:AV256"/>
    <mergeCell ref="B246:H246"/>
    <mergeCell ref="I246:W246"/>
    <mergeCell ref="B270:AQ270"/>
    <mergeCell ref="AR270:BA270"/>
    <mergeCell ref="AW282:BA282"/>
    <mergeCell ref="AW280:BA280"/>
    <mergeCell ref="B284:AQ284"/>
    <mergeCell ref="B265:AQ265"/>
    <mergeCell ref="B271:AQ271"/>
    <mergeCell ref="AR271:BA271"/>
    <mergeCell ref="AR255:AV255"/>
    <mergeCell ref="B281:AQ281"/>
    <mergeCell ref="B324:AT324"/>
    <mergeCell ref="AU324:BA324"/>
    <mergeCell ref="AW255:BA255"/>
    <mergeCell ref="AR263:AV263"/>
    <mergeCell ref="B258:AQ258"/>
    <mergeCell ref="AR284:AV284"/>
    <mergeCell ref="A320:BB320"/>
    <mergeCell ref="B339:BA339"/>
    <mergeCell ref="AW299:BA299"/>
    <mergeCell ref="BD106:CK115"/>
    <mergeCell ref="B121:O121"/>
    <mergeCell ref="AP130:AS130"/>
    <mergeCell ref="Z128:AI128"/>
    <mergeCell ref="V122:Y122"/>
    <mergeCell ref="AP122:AS122"/>
    <mergeCell ref="AT124:BA124"/>
    <mergeCell ref="AT123:BA123"/>
    <mergeCell ref="B115:U115"/>
    <mergeCell ref="B136:O136"/>
    <mergeCell ref="AU167:BA167"/>
    <mergeCell ref="AT138:BA138"/>
    <mergeCell ref="AT137:BA137"/>
    <mergeCell ref="AT134:BA134"/>
    <mergeCell ref="Z121:AE121"/>
    <mergeCell ref="Z122:AE122"/>
    <mergeCell ref="P125:U125"/>
    <mergeCell ref="V125:Y125"/>
    <mergeCell ref="Z125:AE125"/>
    <mergeCell ref="AF125:AI125"/>
    <mergeCell ref="B122:O122"/>
    <mergeCell ref="AF122:AI122"/>
    <mergeCell ref="AJ121:AO121"/>
    <mergeCell ref="B137:G137"/>
    <mergeCell ref="H137:O137"/>
    <mergeCell ref="P121:U121"/>
    <mergeCell ref="V113:AC113"/>
    <mergeCell ref="B112:U112"/>
    <mergeCell ref="AD108:AK108"/>
    <mergeCell ref="AD109:AK109"/>
    <mergeCell ref="AD111:AK111"/>
    <mergeCell ref="B119:O120"/>
    <mergeCell ref="BD309:BW309"/>
    <mergeCell ref="BD312:BU312"/>
    <mergeCell ref="BD305:BT305"/>
    <mergeCell ref="AR276:AV276"/>
    <mergeCell ref="AW260:BA260"/>
    <mergeCell ref="B287:AQ287"/>
    <mergeCell ref="B348:BA348"/>
    <mergeCell ref="B322:AT322"/>
    <mergeCell ref="B337:BA337"/>
    <mergeCell ref="AU323:BA323"/>
    <mergeCell ref="BD322:CS322"/>
    <mergeCell ref="AW288:BA288"/>
    <mergeCell ref="B315:AH315"/>
    <mergeCell ref="BD314:BR314"/>
    <mergeCell ref="AU307:BA307"/>
    <mergeCell ref="AW291:BA291"/>
    <mergeCell ref="AR292:AV292"/>
    <mergeCell ref="B297:AQ298"/>
    <mergeCell ref="AW286:BA286"/>
    <mergeCell ref="B323:AT323"/>
    <mergeCell ref="B279:AQ279"/>
    <mergeCell ref="AW283:BA283"/>
    <mergeCell ref="B282:AQ282"/>
    <mergeCell ref="B267:AQ267"/>
    <mergeCell ref="AR267:AV267"/>
    <mergeCell ref="AW267:BA267"/>
    <mergeCell ref="AR265:AV265"/>
    <mergeCell ref="B280:AQ280"/>
    <mergeCell ref="AW263:BA263"/>
    <mergeCell ref="B263:AQ263"/>
    <mergeCell ref="AW278:BA278"/>
    <mergeCell ref="AR281:AV281"/>
    <mergeCell ref="B300:AQ300"/>
    <mergeCell ref="AR300:AV300"/>
    <mergeCell ref="AW300:BA300"/>
    <mergeCell ref="B301:BA301"/>
    <mergeCell ref="U237:X237"/>
    <mergeCell ref="B338:BA338"/>
    <mergeCell ref="A353:BB353"/>
    <mergeCell ref="C216:K216"/>
    <mergeCell ref="C224:D224"/>
    <mergeCell ref="B251:AQ251"/>
    <mergeCell ref="C221:BA221"/>
    <mergeCell ref="C233:D233"/>
    <mergeCell ref="E238:P238"/>
    <mergeCell ref="Q223:T223"/>
    <mergeCell ref="AW256:BA256"/>
    <mergeCell ref="B259:AQ259"/>
    <mergeCell ref="AR259:AV259"/>
    <mergeCell ref="AW259:BA259"/>
    <mergeCell ref="E230:P230"/>
    <mergeCell ref="AW252:BA252"/>
    <mergeCell ref="AW253:BA253"/>
    <mergeCell ref="B252:AQ252"/>
    <mergeCell ref="B253:AQ253"/>
    <mergeCell ref="B277:AQ277"/>
    <mergeCell ref="AR277:AV277"/>
    <mergeCell ref="AW277:BA277"/>
    <mergeCell ref="B261:AQ261"/>
    <mergeCell ref="AR252:AV252"/>
    <mergeCell ref="AR254:AV254"/>
    <mergeCell ref="B272:AQ272"/>
    <mergeCell ref="AR272:AV272"/>
    <mergeCell ref="B289:AQ289"/>
    <mergeCell ref="B254:AQ254"/>
    <mergeCell ref="AR253:AV253"/>
    <mergeCell ref="AR269:BA269"/>
    <mergeCell ref="AW264:BA264"/>
    <mergeCell ref="AR275:AV275"/>
    <mergeCell ref="AW275:BA275"/>
    <mergeCell ref="B274:AQ274"/>
    <mergeCell ref="AW250:BA250"/>
    <mergeCell ref="C236:D236"/>
    <mergeCell ref="U229:X229"/>
    <mergeCell ref="E234:P234"/>
    <mergeCell ref="E225:P225"/>
    <mergeCell ref="C230:D230"/>
    <mergeCell ref="Q227:T227"/>
    <mergeCell ref="AR257:AV257"/>
    <mergeCell ref="AW249:BA249"/>
    <mergeCell ref="I244:W244"/>
    <mergeCell ref="X246:AF246"/>
    <mergeCell ref="C239:G239"/>
    <mergeCell ref="Q237:T237"/>
    <mergeCell ref="AW258:BA258"/>
    <mergeCell ref="AW254:BA254"/>
    <mergeCell ref="E229:P229"/>
    <mergeCell ref="AR258:AV258"/>
    <mergeCell ref="AW272:BA272"/>
    <mergeCell ref="U233:X233"/>
    <mergeCell ref="C229:D229"/>
    <mergeCell ref="C228:D228"/>
    <mergeCell ref="U236:X236"/>
    <mergeCell ref="B250:AQ250"/>
    <mergeCell ref="C238:D238"/>
    <mergeCell ref="B375:C375"/>
    <mergeCell ref="D375:BA375"/>
    <mergeCell ref="B377:C377"/>
    <mergeCell ref="D377:BA377"/>
    <mergeCell ref="B378:C378"/>
    <mergeCell ref="D378:BA378"/>
    <mergeCell ref="Q228:T228"/>
    <mergeCell ref="A326:BB326"/>
    <mergeCell ref="B328:AT328"/>
    <mergeCell ref="AU328:BA328"/>
    <mergeCell ref="BD328:BZ328"/>
    <mergeCell ref="A358:BB358"/>
    <mergeCell ref="A364:BB364"/>
    <mergeCell ref="B368:C368"/>
    <mergeCell ref="D368:BA368"/>
    <mergeCell ref="BD323:CN323"/>
    <mergeCell ref="A342:BB342"/>
    <mergeCell ref="B344:BA344"/>
    <mergeCell ref="B335:BA335"/>
    <mergeCell ref="AU309:BA309"/>
    <mergeCell ref="AU310:BA310"/>
    <mergeCell ref="AR289:AV289"/>
    <mergeCell ref="AW289:BA289"/>
    <mergeCell ref="B306:BA306"/>
    <mergeCell ref="B333:BA333"/>
    <mergeCell ref="AU322:BA322"/>
    <mergeCell ref="B360:BA360"/>
    <mergeCell ref="B299:AQ299"/>
    <mergeCell ref="AR299:AV299"/>
    <mergeCell ref="AR287:AV287"/>
    <mergeCell ref="B275:AQ275"/>
    <mergeCell ref="B276:AQ276"/>
    <mergeCell ref="BD143:BS143"/>
    <mergeCell ref="B361:BA361"/>
    <mergeCell ref="B362:BA362"/>
    <mergeCell ref="A387:BB387"/>
    <mergeCell ref="B397:BA397"/>
    <mergeCell ref="BD355:CB355"/>
    <mergeCell ref="B349:BA349"/>
    <mergeCell ref="B350:BA350"/>
    <mergeCell ref="B355:BA355"/>
    <mergeCell ref="BD368:BT368"/>
    <mergeCell ref="BD370:BT370"/>
    <mergeCell ref="BD371:BT371"/>
    <mergeCell ref="B379:C379"/>
    <mergeCell ref="D379:BA379"/>
    <mergeCell ref="B381:G381"/>
    <mergeCell ref="J381:BA384"/>
    <mergeCell ref="B382:G382"/>
    <mergeCell ref="J385:BA385"/>
    <mergeCell ref="B389:BA389"/>
    <mergeCell ref="B390:BA396"/>
    <mergeCell ref="B369:C369"/>
    <mergeCell ref="D369:BA369"/>
    <mergeCell ref="B370:C370"/>
    <mergeCell ref="D370:BA370"/>
    <mergeCell ref="B371:C371"/>
    <mergeCell ref="D371:BA371"/>
    <mergeCell ref="B372:C372"/>
    <mergeCell ref="D372:BA372"/>
    <mergeCell ref="B373:C373"/>
    <mergeCell ref="D373:BA373"/>
    <mergeCell ref="B374:C374"/>
    <mergeCell ref="D374:BA374"/>
  </mergeCells>
  <conditionalFormatting sqref="AT42">
    <cfRule type="expression" dxfId="168" priority="476">
      <formula>IF(AND(AT42&gt;0.8,AT42&lt;&gt;""),1,0)</formula>
    </cfRule>
  </conditionalFormatting>
  <conditionalFormatting sqref="AT44">
    <cfRule type="expression" dxfId="167" priority="467">
      <formula>IF(AND(AT44&gt;0.2,AT44&lt;&gt;""),1,0)</formula>
    </cfRule>
  </conditionalFormatting>
  <conditionalFormatting sqref="B48:BB48 B69:BB69">
    <cfRule type="expression" dxfId="166" priority="460">
      <formula>IF(AND($AT$44&lt;&gt;"",$AT$44&gt;0.2),1,0)</formula>
    </cfRule>
  </conditionalFormatting>
  <conditionalFormatting sqref="P130 P126 O41">
    <cfRule type="expression" dxfId="165" priority="306">
      <formula>IF(AND($P$130&lt;&gt;"",ROUND($P$130+$O$41,2)&lt;&gt;ROUND($P$126,2)),1,0)</formula>
    </cfRule>
  </conditionalFormatting>
  <conditionalFormatting sqref="Y73:AA73">
    <cfRule type="expression" dxfId="164" priority="369">
      <formula>IF($J$73="inna",1,0)</formula>
    </cfRule>
  </conditionalFormatting>
  <conditionalFormatting sqref="AB73:BA73">
    <cfRule type="expression" dxfId="163" priority="182">
      <formula>IF(AND($J$73="inna",$AB$73=""),1,0)</formula>
    </cfRule>
    <cfRule type="expression" dxfId="162" priority="368">
      <formula>IF($J$73="inna",1,0)</formula>
    </cfRule>
  </conditionalFormatting>
  <conditionalFormatting sqref="B58:BA58 B60:BA61">
    <cfRule type="expression" dxfId="161" priority="363">
      <formula>$AU$56&lt;&gt;""</formula>
    </cfRule>
  </conditionalFormatting>
  <conditionalFormatting sqref="B26:BA26 B28:BA29">
    <cfRule type="expression" dxfId="160" priority="362">
      <formula>$AU$24&lt;&gt;""</formula>
    </cfRule>
  </conditionalFormatting>
  <conditionalFormatting sqref="AO68:AQ68">
    <cfRule type="expression" dxfId="159" priority="298">
      <formula>IF($AB$68&lt;&gt;"inne",1,0)</formula>
    </cfRule>
  </conditionalFormatting>
  <conditionalFormatting sqref="AR68:BA68">
    <cfRule type="expression" dxfId="158" priority="208">
      <formula>IF(AND($AB$68="inne",$AR$68=""),1,0)</formula>
    </cfRule>
    <cfRule type="expression" dxfId="157" priority="297">
      <formula>IF($AB$68&lt;&gt;"inne",1,0)</formula>
    </cfRule>
  </conditionalFormatting>
  <conditionalFormatting sqref="AT126:BA126 AT115:BA115">
    <cfRule type="expression" dxfId="156" priority="227">
      <formula>IF(ROUND($AT$115,2)&lt;&gt;ROUND($AT$126,2),1,0)</formula>
    </cfRule>
  </conditionalFormatting>
  <conditionalFormatting sqref="P126:U126 O42:U43">
    <cfRule type="expression" dxfId="155" priority="224">
      <formula>IF(AND(ROUND($P$126,2)&lt;&gt;ROUND($O$42,2),ROUND($P$121,2)&lt;&gt;""),1,0)</formula>
    </cfRule>
  </conditionalFormatting>
  <conditionalFormatting sqref="P132:U132 P126:U126">
    <cfRule type="expression" dxfId="154" priority="223">
      <formula>IF(AND(ROUND($P$132,2)&gt;0.3*ROUND($P$121,2),$B$18&lt;&gt;"spółdzielnia mieszkaniowa"),1,0)</formula>
    </cfRule>
  </conditionalFormatting>
  <conditionalFormatting sqref="AJ130 AT126:BA126 P126:U126 Z126:AE126">
    <cfRule type="expression" dxfId="153" priority="222">
      <formula>IF(ROUND($AJ$130,2)&lt;&gt;ROUND($AT$126-$P$126-$Z$126,2),1,0)</formula>
    </cfRule>
  </conditionalFormatting>
  <conditionalFormatting sqref="AU310:BA310">
    <cfRule type="expression" dxfId="152" priority="217">
      <formula>IF(AND(AU310="",AU309="TAK"),1,0)</formula>
    </cfRule>
  </conditionalFormatting>
  <conditionalFormatting sqref="B310:BA310">
    <cfRule type="expression" dxfId="151" priority="216">
      <formula>IF($AU$310="",0,1)</formula>
    </cfRule>
  </conditionalFormatting>
  <conditionalFormatting sqref="B310:AT310">
    <cfRule type="expression" dxfId="150" priority="215">
      <formula>IF($AU$309="TAK",1,0)</formula>
    </cfRule>
  </conditionalFormatting>
  <conditionalFormatting sqref="Z126:AE126 AD115:AK115">
    <cfRule type="expression" dxfId="149" priority="214">
      <formula>IF($AD$115=$Z$126,0,1)</formula>
    </cfRule>
  </conditionalFormatting>
  <conditionalFormatting sqref="Z139:AE139 Z126:AE126">
    <cfRule type="expression" dxfId="148" priority="213">
      <formula>IF($Z$126=$Z$139,0,1)</formula>
    </cfRule>
  </conditionalFormatting>
  <conditionalFormatting sqref="H239:X239 O41:U41">
    <cfRule type="expression" dxfId="147" priority="210">
      <formula>IF($H$239=$O$41,0,1)</formula>
    </cfRule>
  </conditionalFormatting>
  <conditionalFormatting sqref="B15:BA15 B18:AC18 AE18:AK18 AM18:AS18 AU18:BA18 AK21:BA21 AF21:AI21 AB21:AD21 X21:Z21 B21:V21 B24:M24 B28:H28 B31:P31 R31 AB31 O41:U45 AT50:AW50 B56:M56 O56:Z56 AB56:AS56 B60:H60 B63:R63 T63:AD63 AF63:AW63 AY63:BA63 M66:BA67 M68:P68 AB68:AN68 J71:BA72 J73:X73 V78:AS79 Z82:AC82 AH82:AK82 AP82:AS82 V83:AS83 AD84:AS85 O98:BA100 P121:U123 Z121:AE124 AJ121:AO124 W155:AC158 AU165:BA165 AU177:BA177 AU179:BA179 AU181:BA181 AU183:BA183 AU185:BA185 AU187:BA187 AU193:BA193 AU195:BA195 AU200:BA201 AR203:BA207 AU208:BA210 L217:O220 I244:W244 I246:W246 AG246:BA246 AU307:BA307 AU309:BA309 A4:F4 AU160:AU161 V81:AS81 Z80:AC80 AH80:AK80 AP80:AS80 AU167:BA167 AR250:BA255 O91:O93 AR279:BA280 AR288:BA294 P132:U137 Z131:AE138 AJ131:AO137 AR273:BA273 AR268:BA270 AR276:BA276 AR263:BA263 AR258:BA258 AR260:BA260 AR282:BA284 AR265:BA265 E224:X238 V106:AS109 V111:AS111 V113:AS113 V114:AK114 AG244:BA244 C215 AB24:AS24 O24:Z24 AU211 AR213:BA213">
    <cfRule type="expression" dxfId="146" priority="209">
      <formula>IF(A4="",1,0)</formula>
    </cfRule>
  </conditionalFormatting>
  <conditionalFormatting sqref="B161:BA161">
    <cfRule type="expression" dxfId="145" priority="205">
      <formula>IF($B$18="spółdzielnia mieszkaniowa",0,1)</formula>
    </cfRule>
  </conditionalFormatting>
  <conditionalFormatting sqref="B160:BA160">
    <cfRule type="expression" dxfId="144" priority="204">
      <formula>IF($B$18="spółdzielnia mieszkaniowa",0,1)</formula>
    </cfRule>
  </conditionalFormatting>
  <conditionalFormatting sqref="AU305:BA305">
    <cfRule type="expression" dxfId="143" priority="203">
      <formula>IF(AU305="",1,0)</formula>
    </cfRule>
  </conditionalFormatting>
  <conditionalFormatting sqref="B307:BA307">
    <cfRule type="expression" dxfId="142" priority="202">
      <formula>IF($AU$305="TAK",0,1)</formula>
    </cfRule>
  </conditionalFormatting>
  <conditionalFormatting sqref="P131:U131">
    <cfRule type="expression" dxfId="141" priority="199">
      <formula>IF(P131="",1,0)</formula>
    </cfRule>
  </conditionalFormatting>
  <conditionalFormatting sqref="AU169:BA169">
    <cfRule type="expression" dxfId="140" priority="198">
      <formula>IF(AU169="",1,0)</formula>
    </cfRule>
  </conditionalFormatting>
  <conditionalFormatting sqref="B159:BA159">
    <cfRule type="expression" dxfId="139" priority="197">
      <formula>IF($B$18="spółdzielnia mieszkaniowa",0,1)</formula>
    </cfRule>
  </conditionalFormatting>
  <conditionalFormatting sqref="H137">
    <cfRule type="expression" dxfId="138" priority="195">
      <formula>IF(AND($B$137&lt;&gt;"",$H$137=""),1,0)</formula>
    </cfRule>
  </conditionalFormatting>
  <conditionalFormatting sqref="B28:H28">
    <cfRule type="expression" dxfId="137" priority="191">
      <formula>IF($AU$24&lt;&gt;"",1,0)</formula>
    </cfRule>
  </conditionalFormatting>
  <conditionalFormatting sqref="B60:H60">
    <cfRule type="expression" dxfId="136" priority="190">
      <formula>IF($AU$56&lt;&gt;"",1,0)</formula>
    </cfRule>
  </conditionalFormatting>
  <conditionalFormatting sqref="B133 P133:BA133 B134:BA136">
    <cfRule type="expression" dxfId="135" priority="189">
      <formula>IF($B$18="spółdzielnia mieszkaniowa",1,0)</formula>
    </cfRule>
  </conditionalFormatting>
  <conditionalFormatting sqref="O94">
    <cfRule type="expression" dxfId="134" priority="181">
      <formula>IF(O94="",1,0)</formula>
    </cfRule>
  </conditionalFormatting>
  <conditionalFormatting sqref="AU322:BA322">
    <cfRule type="expression" dxfId="133" priority="178">
      <formula>IF(AU322="",1,0)</formula>
    </cfRule>
  </conditionalFormatting>
  <conditionalFormatting sqref="AU323:BA323">
    <cfRule type="expression" dxfId="132" priority="177">
      <formula>IF(AU323="",1,0)</formula>
    </cfRule>
  </conditionalFormatting>
  <conditionalFormatting sqref="AU142:BA142">
    <cfRule type="expression" dxfId="131" priority="173">
      <formula>IF(AU142="",1,0)</formula>
    </cfRule>
  </conditionalFormatting>
  <conditionalFormatting sqref="C220 L220 P220">
    <cfRule type="expression" dxfId="130" priority="167">
      <formula>IF(RIGHT($C$215,1)="u",1,0)</formula>
    </cfRule>
  </conditionalFormatting>
  <conditionalFormatting sqref="AI314:BA314">
    <cfRule type="expression" dxfId="129" priority="156">
      <formula>IF(AI314="",1,0)</formula>
    </cfRule>
  </conditionalFormatting>
  <conditionalFormatting sqref="AU312:BA312">
    <cfRule type="expression" dxfId="128" priority="155">
      <formula>IF($AU$312="",1,0)</formula>
    </cfRule>
  </conditionalFormatting>
  <conditionalFormatting sqref="AR257:BA257">
    <cfRule type="expression" dxfId="127" priority="152">
      <formula>IF(AR257="",1,0)</formula>
    </cfRule>
  </conditionalFormatting>
  <conditionalFormatting sqref="AU324:BA324">
    <cfRule type="expression" dxfId="126" priority="148">
      <formula>IF($AU$142="TAK",1,0)</formula>
    </cfRule>
    <cfRule type="expression" dxfId="125" priority="151">
      <formula>IF(AND($AU$142="TAK",AU324=""),1,0)</formula>
    </cfRule>
  </conditionalFormatting>
  <conditionalFormatting sqref="B324:AT324">
    <cfRule type="expression" dxfId="124" priority="147">
      <formula>IF($AU$142="TAK",1,0)</formula>
    </cfRule>
  </conditionalFormatting>
  <conditionalFormatting sqref="AU197:BA197">
    <cfRule type="expression" dxfId="123" priority="145">
      <formula>IF(AU197="",1,0)</formula>
    </cfRule>
  </conditionalFormatting>
  <conditionalFormatting sqref="B198:BA198">
    <cfRule type="expression" dxfId="122" priority="144">
      <formula>IF($AU$197="TAK",1,0)</formula>
    </cfRule>
  </conditionalFormatting>
  <conditionalFormatting sqref="AR278:BA278">
    <cfRule type="expression" dxfId="121" priority="143">
      <formula>IF(AR278="",1,0)</formula>
    </cfRule>
  </conditionalFormatting>
  <conditionalFormatting sqref="AU92:AU94">
    <cfRule type="expression" dxfId="120" priority="140">
      <formula>IF(AU92="",1,0)</formula>
    </cfRule>
  </conditionalFormatting>
  <conditionalFormatting sqref="AU91">
    <cfRule type="expression" dxfId="119" priority="141">
      <formula>IF(AU91="",1,0)</formula>
    </cfRule>
  </conditionalFormatting>
  <conditionalFormatting sqref="V80:Y80">
    <cfRule type="expression" dxfId="118" priority="139">
      <formula>IF(V80="",1,0)</formula>
    </cfRule>
  </conditionalFormatting>
  <conditionalFormatting sqref="AD80:AG80">
    <cfRule type="expression" dxfId="117" priority="138">
      <formula>IF(AD80="",1,0)</formula>
    </cfRule>
  </conditionalFormatting>
  <conditionalFormatting sqref="AL80:AO80">
    <cfRule type="expression" dxfId="116" priority="137">
      <formula>IF(AL80="",1,0)</formula>
    </cfRule>
  </conditionalFormatting>
  <conditionalFormatting sqref="AU146:BA146">
    <cfRule type="expression" dxfId="115" priority="136">
      <formula>IF(AU146="",1,0)</formula>
    </cfRule>
  </conditionalFormatting>
  <conditionalFormatting sqref="AR285:BA285">
    <cfRule type="expression" dxfId="114" priority="135">
      <formula>IF(AR285="",1,0)</formula>
    </cfRule>
  </conditionalFormatting>
  <conditionalFormatting sqref="AR286:BA286">
    <cfRule type="expression" dxfId="113" priority="134">
      <formula>IF(AR286="",1,0)</formula>
    </cfRule>
  </conditionalFormatting>
  <conditionalFormatting sqref="AT52:AW52">
    <cfRule type="expression" dxfId="112" priority="129">
      <formula>IF(AT52="",1,0)</formula>
    </cfRule>
  </conditionalFormatting>
  <conditionalFormatting sqref="B143:AT143">
    <cfRule type="expression" dxfId="111" priority="127">
      <formula>IF($AU$142="TAK",1,0)</formula>
    </cfRule>
  </conditionalFormatting>
  <conditionalFormatting sqref="AU143:BA143">
    <cfRule type="expression" dxfId="110" priority="125">
      <formula>IF(AND($AU$142="TAK",$AU$143=""),1,0)</formula>
    </cfRule>
    <cfRule type="expression" dxfId="109" priority="126">
      <formula>IF($AU$142="TAK",1,0)</formula>
    </cfRule>
  </conditionalFormatting>
  <conditionalFormatting sqref="P131:U131">
    <cfRule type="expression" dxfId="108" priority="491">
      <formula>IF(AND(ROUND($P$132,2)&gt;0.3*ROUND($P$126,2),$B$18&lt;&gt;"spółdzielnia mieszkaniowa"),1,0)</formula>
    </cfRule>
  </conditionalFormatting>
  <conditionalFormatting sqref="M133">
    <cfRule type="expression" dxfId="107" priority="122">
      <formula>IF(AND($B$133&lt;&gt;"",$M$133=""),1,0)</formula>
    </cfRule>
  </conditionalFormatting>
  <conditionalFormatting sqref="B144:AT144">
    <cfRule type="expression" dxfId="106" priority="121">
      <formula>IF($AU$143="NIE",1,0)</formula>
    </cfRule>
  </conditionalFormatting>
  <conditionalFormatting sqref="AU144:BA144">
    <cfRule type="expression" dxfId="105" priority="119">
      <formula>IF(AND($AU$143="NIE",$AU$144=""),1,0)</formula>
    </cfRule>
    <cfRule type="expression" dxfId="104" priority="120">
      <formula>IF($AU$143="NIE",1,0)</formula>
    </cfRule>
  </conditionalFormatting>
  <conditionalFormatting sqref="B147:AT147">
    <cfRule type="expression" dxfId="103" priority="118">
      <formula>IF($AU$146="TAK",1,0)</formula>
    </cfRule>
  </conditionalFormatting>
  <conditionalFormatting sqref="AU147:BA147">
    <cfRule type="expression" dxfId="102" priority="116">
      <formula>IF(AND($AU$146="TAK",$AU$147=""),1,0)</formula>
    </cfRule>
    <cfRule type="expression" dxfId="101" priority="117">
      <formula>IF($AU$146="TAK",1,0)</formula>
    </cfRule>
  </conditionalFormatting>
  <conditionalFormatting sqref="AU173:BA173">
    <cfRule type="expression" dxfId="100" priority="115">
      <formula>IF(AU173="",1,0)</formula>
    </cfRule>
  </conditionalFormatting>
  <conditionalFormatting sqref="AR271:BA271">
    <cfRule type="expression" dxfId="99" priority="114">
      <formula>IF(AR271="",1,0)</formula>
    </cfRule>
  </conditionalFormatting>
  <conditionalFormatting sqref="AU171:BA171">
    <cfRule type="expression" dxfId="98" priority="112">
      <formula>IF(AU171="",1,0)</formula>
    </cfRule>
  </conditionalFormatting>
  <conditionalFormatting sqref="AU175:BA175">
    <cfRule type="expression" dxfId="97" priority="107">
      <formula>IF(AU175="",1,0)</formula>
    </cfRule>
  </conditionalFormatting>
  <conditionalFormatting sqref="AR272:BA272">
    <cfRule type="expression" dxfId="96" priority="106">
      <formula>IF(AR272="",1,0)</formula>
    </cfRule>
  </conditionalFormatting>
  <conditionalFormatting sqref="AR266:BA266">
    <cfRule type="expression" dxfId="95" priority="105">
      <formula>IF(AR266="",1,0)</formula>
    </cfRule>
  </conditionalFormatting>
  <conditionalFormatting sqref="AR275:BA275">
    <cfRule type="expression" dxfId="94" priority="104">
      <formula>IF(AR275="",1,0)</formula>
    </cfRule>
  </conditionalFormatting>
  <conditionalFormatting sqref="AR274:BA274">
    <cfRule type="expression" dxfId="93" priority="103">
      <formula>IF(AR274="",1,0)</formula>
    </cfRule>
  </conditionalFormatting>
  <conditionalFormatting sqref="AR277:BA277">
    <cfRule type="expression" dxfId="92" priority="102">
      <formula>IF(AR277="",1,0)</formula>
    </cfRule>
  </conditionalFormatting>
  <conditionalFormatting sqref="AR261:BA262">
    <cfRule type="expression" dxfId="91" priority="101">
      <formula>IF(AR261="",1,0)</formula>
    </cfRule>
  </conditionalFormatting>
  <conditionalFormatting sqref="AR267:BA267">
    <cfRule type="expression" dxfId="90" priority="94">
      <formula>IF(AR267="",1,0)</formula>
    </cfRule>
  </conditionalFormatting>
  <conditionalFormatting sqref="AR259:BA259">
    <cfRule type="expression" dxfId="89" priority="93">
      <formula>IF(AR259="",1,0)</formula>
    </cfRule>
  </conditionalFormatting>
  <conditionalFormatting sqref="AR256:BA256">
    <cfRule type="expression" dxfId="88" priority="92">
      <formula>IF(AR256="",1,0)</formula>
    </cfRule>
  </conditionalFormatting>
  <conditionalFormatting sqref="AR281:BA281">
    <cfRule type="expression" dxfId="87" priority="91">
      <formula>IF(AR281="",1,0)</formula>
    </cfRule>
  </conditionalFormatting>
  <conditionalFormatting sqref="AR287:BA287">
    <cfRule type="expression" dxfId="86" priority="90">
      <formula>IF(AR287="",1,0)</formula>
    </cfRule>
  </conditionalFormatting>
  <conditionalFormatting sqref="AR264:AV264">
    <cfRule type="expression" dxfId="85" priority="87">
      <formula>IF(OR($B$18="spółka gminna",$B$18="towarzystwo budownictwa społecznego/społeczna inicjatywa mieszkaniowa (z przewagą kapitału JST)",$B$18="towarzystwo budownictwa społecznego/społeczna inicjatywa mieszkaniowa (z przewagą kapitału prywatnego)",$B$18="towarzystwo budownictwa społecznego/społeczna inicjatywa mieszkaniowa (z przewagą kapitału państwowego)"),1,0)</formula>
    </cfRule>
    <cfRule type="expression" dxfId="84" priority="89">
      <formula>IF(AND(AR264="",$B$18="spółdzielnia mieszkaniowa"),1,0)</formula>
    </cfRule>
  </conditionalFormatting>
  <conditionalFormatting sqref="AW264">
    <cfRule type="expression" dxfId="83" priority="85">
      <formula>IF(OR($B$18="spółka gminna",$B$18="towarzystwo budownictwa społecznego/społeczna inicjatywa mieszkaniowa (z przewagą kapitału JST)",$B$18="towarzystwo budownictwa społecznego/społeczna inicjatywa mieszkaniowa (z przewagą kapitału prywatnego)",$B$18="towarzystwo budownictwa społecznego/społeczna inicjatywa mieszkaniowa (z przewagą kapitału państwowego)"),1,0)</formula>
    </cfRule>
    <cfRule type="expression" dxfId="82" priority="86">
      <formula>IF(AND($AW$264="",$B$18="spółdzielnia mieszkaniowa"),1,0)</formula>
    </cfRule>
  </conditionalFormatting>
  <conditionalFormatting sqref="AR264:AW264">
    <cfRule type="expression" dxfId="81" priority="83">
      <formula>IF($B$18="",1,0)</formula>
    </cfRule>
  </conditionalFormatting>
  <conditionalFormatting sqref="V138:Y138">
    <cfRule type="expression" dxfId="80" priority="81">
      <formula>IF($V$138="",1,0)</formula>
    </cfRule>
    <cfRule type="expression" dxfId="79" priority="82">
      <formula>IF($V$138&gt;80%,1,0)</formula>
    </cfRule>
  </conditionalFormatting>
  <conditionalFormatting sqref="AD110:AS110">
    <cfRule type="expression" dxfId="78" priority="80">
      <formula>IF(AD110="",1,0)</formula>
    </cfRule>
  </conditionalFormatting>
  <conditionalFormatting sqref="Z125:AE125 AJ125:AO125">
    <cfRule type="expression" dxfId="77" priority="79">
      <formula>IF(Z125="",1,0)</formula>
    </cfRule>
  </conditionalFormatting>
  <conditionalFormatting sqref="AU149:BA149">
    <cfRule type="expression" dxfId="76" priority="78">
      <formula>IF(AU149="",1,0)</formula>
    </cfRule>
  </conditionalFormatting>
  <conditionalFormatting sqref="AI317:BA317">
    <cfRule type="expression" dxfId="75" priority="75">
      <formula>IF(AI317="",1,0)</formula>
    </cfRule>
  </conditionalFormatting>
  <conditionalFormatting sqref="V82:Y82">
    <cfRule type="expression" dxfId="74" priority="64">
      <formula>IF(V82="",1,0)</formula>
    </cfRule>
  </conditionalFormatting>
  <conditionalFormatting sqref="AD82:AG82">
    <cfRule type="expression" dxfId="73" priority="63">
      <formula>IF(AD82="",1,0)</formula>
    </cfRule>
  </conditionalFormatting>
  <conditionalFormatting sqref="AL82:AO82">
    <cfRule type="expression" dxfId="72" priority="62">
      <formula>IF(AL82="",1,0)</formula>
    </cfRule>
  </conditionalFormatting>
  <conditionalFormatting sqref="B34:P34 R34 AB34">
    <cfRule type="expression" dxfId="71" priority="59">
      <formula>IF(B34="",1,0)</formula>
    </cfRule>
  </conditionalFormatting>
  <conditionalFormatting sqref="V110:AC110">
    <cfRule type="expression" dxfId="70" priority="58">
      <formula>IF(V110="",1,0)</formula>
    </cfRule>
  </conditionalFormatting>
  <conditionalFormatting sqref="AU189:BA189">
    <cfRule type="expression" dxfId="69" priority="55">
      <formula>IF(AU189="",1,0)</formula>
    </cfRule>
  </conditionalFormatting>
  <conditionalFormatting sqref="AU151">
    <cfRule type="expression" dxfId="68" priority="36">
      <formula>IF(AU151="",1,0)</formula>
    </cfRule>
  </conditionalFormatting>
  <conditionalFormatting sqref="AU328">
    <cfRule type="expression" dxfId="67" priority="35">
      <formula>IF(AU328="",1,0)</formula>
    </cfRule>
  </conditionalFormatting>
  <conditionalFormatting sqref="D368:BA368 D371:BA371">
    <cfRule type="expression" dxfId="66" priority="33">
      <formula>IF(D368="",1,0)</formula>
    </cfRule>
  </conditionalFormatting>
  <conditionalFormatting sqref="D370:BA370">
    <cfRule type="expression" dxfId="65" priority="24">
      <formula>IF(D370="",1,0)</formula>
    </cfRule>
  </conditionalFormatting>
  <conditionalFormatting sqref="B377:BA379">
    <cfRule type="expression" dxfId="64" priority="23">
      <formula>IF($B377="",0,1)</formula>
    </cfRule>
  </conditionalFormatting>
  <conditionalFormatting sqref="B212:AQ212">
    <cfRule type="expression" dxfId="63" priority="20">
      <formula>IF($B$212="",1,0)</formula>
    </cfRule>
  </conditionalFormatting>
  <conditionalFormatting sqref="AR212:BA212">
    <cfRule type="expression" dxfId="62" priority="16" stopIfTrue="1">
      <formula>IF(AR212="",0,1)</formula>
    </cfRule>
    <cfRule type="expression" dxfId="61" priority="17">
      <formula>IF($B$212="",0,1)</formula>
    </cfRule>
  </conditionalFormatting>
  <conditionalFormatting sqref="B381:G381">
    <cfRule type="expression" dxfId="60" priority="15">
      <formula>IF($B$381="",1,0)</formula>
    </cfRule>
  </conditionalFormatting>
  <conditionalFormatting sqref="B295:AQ296">
    <cfRule type="expression" dxfId="59" priority="14">
      <formula>IF($B$295="",0,1)</formula>
    </cfRule>
  </conditionalFormatting>
  <conditionalFormatting sqref="B297:AQ298">
    <cfRule type="expression" dxfId="58" priority="13">
      <formula>IF($B$297="",0,1)</formula>
    </cfRule>
  </conditionalFormatting>
  <conditionalFormatting sqref="AR295:BA298">
    <cfRule type="expression" dxfId="57" priority="3">
      <formula>IF(AND($B$18&lt;&gt;"spółdzielnia mieszkaniowa",AR295=""),1,0)</formula>
    </cfRule>
    <cfRule type="expression" dxfId="56" priority="4">
      <formula>IF($B$18="spółdzielnia mieszkaniowa",0,1)</formula>
    </cfRule>
  </conditionalFormatting>
  <conditionalFormatting sqref="B376:C376">
    <cfRule type="expression" dxfId="55" priority="2">
      <formula>IF($B376="",0,1)</formula>
    </cfRule>
  </conditionalFormatting>
  <conditionalFormatting sqref="D376:BA376">
    <cfRule type="expression" dxfId="54" priority="1">
      <formula>IF($D$376="",0,1)</formula>
    </cfRule>
  </conditionalFormatting>
  <dataValidations count="35">
    <dataValidation type="textLength" operator="equal" allowBlank="1" showInputMessage="1" showErrorMessage="1" sqref="AE18:AK18" xr:uid="{00000000-0002-0000-0000-000000000000}">
      <formula1>10</formula1>
    </dataValidation>
    <dataValidation type="textLength" operator="equal" allowBlank="1" showInputMessage="1" showErrorMessage="1" sqref="AU18:BA18" xr:uid="{00000000-0002-0000-0000-000001000000}">
      <formula1>9</formula1>
    </dataValidation>
    <dataValidation type="whole" allowBlank="1" showErrorMessage="1" prompt="_x000a_" sqref="AX50:AX53 AT53:AW53" xr:uid="{00000000-0002-0000-0000-000002000000}">
      <formula1>60</formula1>
      <formula2>360</formula2>
    </dataValidation>
    <dataValidation allowBlank="1" showInputMessage="1" showErrorMessage="1" prompt="Proszę wpisać dodatkowy opis." sqref="J72:BA72" xr:uid="{00000000-0002-0000-0000-000003000000}"/>
    <dataValidation type="list" allowBlank="1" showInputMessage="1" showErrorMessage="1" sqref="AU179:BA179 AU177:BA177 AU185:BA185 AU183:BA183 AU193:BA193 AU195:BA197 AU200:BA200 AU387:BA387 AU187:BA189 AU307:BA307 AU309:BA310 AU305:BA305 AU322:BA322 AU312:BA313 AU329:BA329 AU37:BA37 AU324:BA325 AU328 AV208:BA210 AU208:AU211" xr:uid="{00000000-0002-0000-0000-000004000000}">
      <formula1>"TAK,NIE"</formula1>
    </dataValidation>
    <dataValidation type="date" operator="greaterThan" allowBlank="1" showInputMessage="1" showErrorMessage="1" error="Niepoprawna wartość. Proszę wprowadzić datę w formacie RRRR-MM-DD" prompt="Data w formacie RRRR-MM-DD" sqref="B381" xr:uid="{00000000-0002-0000-0000-000005000000}">
      <formula1>1</formula1>
    </dataValidation>
    <dataValidation type="whole" operator="greaterThanOrEqual" allowBlank="1" showInputMessage="1" showErrorMessage="1" sqref="AU181:BA181 AR252:BA253 AU160:AU161 AU165:BA170 AU172:BA174" xr:uid="{00000000-0002-0000-0000-000006000000}">
      <formula1>0</formula1>
    </dataValidation>
    <dataValidation type="date" operator="greaterThan" allowBlank="1" showInputMessage="1" showErrorMessage="1" prompt="Proszę wpisać datę w formacie RRRR-MM-DD." sqref="O99:S99" xr:uid="{00000000-0002-0000-0000-000007000000}">
      <formula1>O98</formula1>
    </dataValidation>
    <dataValidation type="date" operator="greaterThan" allowBlank="1" showInputMessage="1" showErrorMessage="1" prompt="Proszę wpisać datę w formacie RRRR-MM-DD." sqref="O100:S100" xr:uid="{00000000-0002-0000-0000-000008000000}">
      <formula1>O98</formula1>
    </dataValidation>
    <dataValidation type="date" operator="greaterThanOrEqual" allowBlank="1" showInputMessage="1" showErrorMessage="1" prompt="Proszę wpisać datę w formacie RRRR-MM-DD." sqref="O98:S98" xr:uid="{00000000-0002-0000-0000-000009000000}">
      <formula1>42186</formula1>
    </dataValidation>
    <dataValidation type="date" operator="greaterThanOrEqual" allowBlank="1" showInputMessage="1" showErrorMessage="1" sqref="H4:M4" xr:uid="{00000000-0002-0000-0000-00000A000000}">
      <formula1>TODAY()</formula1>
    </dataValidation>
    <dataValidation type="whole" allowBlank="1" showErrorMessage="1" errorTitle="Niepoprawna wartość" error="Proszę o wprowadzenie poprawnej liczby miesięcy (maksymalnie 360)." prompt="_x000a_" sqref="AT50:AW51" xr:uid="{00000000-0002-0000-0000-00000B000000}">
      <formula1>60</formula1>
      <formula2>360</formula2>
    </dataValidation>
    <dataValidation type="textLength" operator="equal" allowBlank="1" showInputMessage="1" showErrorMessage="1" prompt="Proszę wpisać numer NIP w układzie 000-000-00-00" sqref="AM18:AS18" xr:uid="{00000000-0002-0000-0000-00000C000000}">
      <formula1>13</formula1>
    </dataValidation>
    <dataValidation type="list" allowBlank="1" showInputMessage="1" showErrorMessage="1" sqref="Q224:T238" xr:uid="{00000000-0002-0000-0000-00000D000000}">
      <formula1>Miesiace</formula1>
    </dataValidation>
    <dataValidation type="list" allowBlank="1" showInputMessage="1" showErrorMessage="1" sqref="C215" xr:uid="{00000000-0002-0000-0000-00000E000000}">
      <mc:AlternateContent xmlns:x12ac="http://schemas.microsoft.com/office/spreadsheetml/2011/1/ac" xmlns:mc="http://schemas.openxmlformats.org/markup-compatibility/2006">
        <mc:Choice Requires="x12ac">
          <x12ac:list>Planowana kalkulacja stawki czynszu za lokal mieszkalny na wynajem,"Planowana kalkulacja opłaty eksploatacyjnej za lokal mieszkalny, dla którego ustanowione zostanie spółdzielcze lokatorskie prawo do lokalu"</x12ac:list>
        </mc:Choice>
        <mc:Fallback>
          <formula1>"Planowana kalkulacja stawki czynszu za lokal mieszkalny na wynajem,Planowana kalkulacja opłaty eksploatacyjnej za lokal mieszkalny, dla którego ustanowione zostanie spółdzielcze lokatorskie prawo do lokalu"</formula1>
        </mc:Fallback>
      </mc:AlternateContent>
    </dataValidation>
    <dataValidation type="textLength" operator="lessThanOrEqual" allowBlank="1" showInputMessage="1" showErrorMessage="1" sqref="AF21:AI21" xr:uid="{00000000-0002-0000-0000-00000F000000}">
      <formula1>6</formula1>
    </dataValidation>
    <dataValidation type="decimal" allowBlank="1" showInputMessage="1" showErrorMessage="1" prompt="Proszę wpisać planowany koszt przedsięwzięcia inwestycyjno-budowlanego." sqref="O42:U43" xr:uid="{00000000-0002-0000-0000-000010000000}">
      <formula1>0</formula1>
      <formula2>1000000000</formula2>
    </dataValidation>
    <dataValidation type="decimal" allowBlank="1" showInputMessage="1" showErrorMessage="1" sqref="M68:P68 V78:AS81 Z82:AC82 V83:AS83 AP82:AS82 AH82:AK82 AD84:AS85 O91 AD91 AR205:BA205 V106:AS111 V113:AS114 P121:U123 Z121:AE125 AJ121:AO125 W155:AC158 E224:P228 L217:O220 AJ131:AO137 Z131:AE138 P132:U137" xr:uid="{00000000-0002-0000-0000-000011000000}">
      <formula1>0</formula1>
      <formula2>1000000000</formula2>
    </dataValidation>
    <dataValidation type="date" operator="greaterThanOrEqual" allowBlank="1" showInputMessage="1" showErrorMessage="1" prompt="Proszę wpisać datę w formacie RRRR-MM-DD." sqref="AR206:BA207 AR212:BA213" xr:uid="{00000000-0002-0000-0000-000012000000}">
      <formula1>36526</formula1>
    </dataValidation>
    <dataValidation type="textLength" operator="equal" allowBlank="1" showInputMessage="1" showErrorMessage="1" prompt="Proszę podać 26-cyfrowy numer rachunku." sqref="AG246:BA246 AG244:BA244" xr:uid="{00000000-0002-0000-0000-000013000000}">
      <formula1>26</formula1>
    </dataValidation>
    <dataValidation type="decimal" operator="greaterThanOrEqual" allowBlank="1" showInputMessage="1" showErrorMessage="1" sqref="AR250:BA251 AR273:BA294 AU171:BA171 AR295 AR254:BA266 AU175:BA175 AR297" xr:uid="{00000000-0002-0000-0000-000014000000}">
      <formula1>0</formula1>
    </dataValidation>
    <dataValidation type="whole" allowBlank="1" showInputMessage="1" showErrorMessage="1" sqref="AR203:BA204" xr:uid="{00000000-0002-0000-0000-000015000000}">
      <formula1>0</formula1>
      <formula2>1000000000</formula2>
    </dataValidation>
    <dataValidation type="decimal" operator="greaterThan" allowBlank="1" showInputMessage="1" showErrorMessage="1" sqref="AR272:BA272" xr:uid="{00000000-0002-0000-0000-000016000000}">
      <formula1>-100000000</formula1>
    </dataValidation>
    <dataValidation type="date" operator="greaterThan" allowBlank="1" showInputMessage="1" showErrorMessage="1" prompt="Proszę wpisać datę w formacie RRRR-MM-DD." sqref="A4:F4" xr:uid="{00000000-0002-0000-0000-000017000000}">
      <formula1>45323</formula1>
    </dataValidation>
    <dataValidation type="list" operator="greaterThanOrEqual" allowBlank="1" showInputMessage="1" showErrorMessage="1" sqref="AU146:BA146 AU142:BA143 AU149:BA149 AU150:AU151" xr:uid="{00000000-0002-0000-0000-000019000000}">
      <formula1>"TAK,NIE"</formula1>
    </dataValidation>
    <dataValidation type="whole" operator="greaterThan" allowBlank="1" showInputMessage="1" showErrorMessage="1" error="Proszę podać kwotę w tysiącach" sqref="O41:U41" xr:uid="{00000000-0002-0000-0000-00001A000000}">
      <formula1>0</formula1>
    </dataValidation>
    <dataValidation type="decimal" allowBlank="1" showErrorMessage="1" prompt="Proszę wpisać planowany koszt przedsięwzięcia inwestycyjno-budowlanego." sqref="O44:U45" xr:uid="{00000000-0002-0000-0000-00001B000000}">
      <formula1>0</formula1>
      <formula2>1000000000</formula2>
    </dataValidation>
    <dataValidation type="list" allowBlank="1" showErrorMessage="1" errorTitle="Niepoprawna wartość" error="Proszę o wprowadzenie poprawnej liczby miesięcy (maksymalnie 360)." prompt="_x000a_" sqref="AT52:AW52" xr:uid="{00000000-0002-0000-0000-00001C000000}">
      <formula1>"TAK,NIE"</formula1>
    </dataValidation>
    <dataValidation type="date" operator="greaterThanOrEqual" allowBlank="1" showInputMessage="1" showErrorMessage="1" error="Proszę wpisać datę w formacie DD.MM.RRRR" sqref="AU144:BA144" xr:uid="{00000000-0002-0000-0000-00001D000000}">
      <formula1>43831</formula1>
    </dataValidation>
    <dataValidation type="date" operator="greaterThanOrEqual" allowBlank="1" showInputMessage="1" showErrorMessage="1" error="Proszę wpisać datę w formacie DD.MM.RRRR" sqref="AU147:BA148" xr:uid="{00000000-0002-0000-0000-00001E000000}">
      <formula1>43466</formula1>
    </dataValidation>
    <dataValidation type="decimal" operator="greaterThan" allowBlank="1" showInputMessage="1" showErrorMessage="1" sqref="AR268:BA271" xr:uid="{00000000-0002-0000-0000-00001F000000}">
      <formula1>-10000000000</formula1>
    </dataValidation>
    <dataValidation type="decimal" operator="greaterThanOrEqual" allowBlank="1" showInputMessage="1" showErrorMessage="1" sqref="AR267:BA267" xr:uid="{00000000-0002-0000-0000-000020000000}">
      <formula1>-1000000000000000</formula1>
    </dataValidation>
    <dataValidation operator="greaterThanOrEqual" allowBlank="1" showInputMessage="1" showErrorMessage="1" sqref="AU145:BA145" xr:uid="{00000000-0002-0000-0000-000022000000}"/>
    <dataValidation operator="greaterThan" allowBlank="1" error="Niepoprawna wartość. Proszę wprowadzić datę w formacie RRRR-MM-DD" prompt="Data w formacie RRRR-MM-DD" sqref="B389" xr:uid="{A834C04F-96C2-45E4-ABDE-717478CF3ABC}"/>
    <dataValidation allowBlank="1" sqref="AU357:BA357" xr:uid="{56208323-C3A1-4832-90DA-A14256A7931A}"/>
  </dataValidations>
  <hyperlinks>
    <hyperlink ref="K152" r:id="rId1" location="c92730" xr:uid="{2C19FB16-BC85-46D8-BC6E-6E0BBEA12A9D}"/>
  </hyperlinks>
  <pageMargins left="0.23622047244094491" right="0.23622047244094491" top="0.19685039370078741" bottom="0.15748031496062992" header="0.31496062992125984" footer="0.31496062992125984"/>
  <pageSetup paperSize="9" scale="74" fitToHeight="0" orientation="portrait" r:id="rId2"/>
  <headerFooter>
    <oddFooter>&amp;R&amp;9&amp;P/&amp;N</oddFooter>
  </headerFooter>
  <rowBreaks count="8" manualBreakCount="8">
    <brk id="73" max="54" man="1"/>
    <brk id="126" max="54" man="1"/>
    <brk id="189" max="54" man="1"/>
    <brk id="247" max="54" man="1"/>
    <brk id="301" max="54" man="1"/>
    <brk id="329" max="54" man="1"/>
    <brk id="356" max="54" man="1"/>
    <brk id="362"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1039" r:id="rId5" name="Button 15">
              <controlPr defaultSize="0" print="0" autoFill="0" autoPict="0" macro="[0]!Arkusz11.Generuj_PDF_wniosek">
                <anchor moveWithCells="1" sizeWithCells="1">
                  <from>
                    <xdr:col>56</xdr:col>
                    <xdr:colOff>106680</xdr:colOff>
                    <xdr:row>2</xdr:row>
                    <xdr:rowOff>7620</xdr:rowOff>
                  </from>
                  <to>
                    <xdr:col>67</xdr:col>
                    <xdr:colOff>22860</xdr:colOff>
                    <xdr:row>4</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3" id="{FE846118-FEC5-4163-8EE4-15BF591FDFD2}">
            <xm:f>IF(OR(B18=listy!A3,B18=listy!A4,B18=listy!A5),1,0)</xm:f>
            <x14:dxf>
              <border>
                <left style="thin">
                  <color auto="1"/>
                </left>
                <right style="thin">
                  <color auto="1"/>
                </right>
                <top style="thin">
                  <color auto="1"/>
                </top>
                <bottom style="thin">
                  <color auto="1"/>
                </bottom>
                <vertical/>
                <horizontal/>
              </border>
            </x14:dxf>
          </x14:cfRule>
          <xm:sqref>B37:AT37</xm:sqref>
        </x14:conditionalFormatting>
        <x14:conditionalFormatting xmlns:xm="http://schemas.microsoft.com/office/excel/2006/main">
          <x14:cfRule type="expression" priority="71" id="{FC0B06AB-6A92-46EE-8B30-6FC87F731195}">
            <xm:f>IF(AND(OR(B18=listy!A3,B18=listy!A4,B18=listy!A5),$AU$37=""),1,0)</xm:f>
            <x14:dxf>
              <fill>
                <patternFill>
                  <bgColor theme="3" tint="0.39994506668294322"/>
                </patternFill>
              </fill>
            </x14:dxf>
          </x14:cfRule>
          <x14:cfRule type="expression" priority="72" id="{C9BEDBA9-9EE2-4701-A214-E1B5BE8D3821}">
            <xm:f>IF(OR(B18=listy!A3,B18=listy!A4,B18=listy!A5),1,0)</xm:f>
            <x14:dxf>
              <border>
                <left style="thin">
                  <color auto="1"/>
                </left>
                <right style="thin">
                  <color auto="1"/>
                </right>
                <top style="thin">
                  <color auto="1"/>
                </top>
                <bottom style="thin">
                  <color auto="1"/>
                </bottom>
                <vertical/>
                <horizontal/>
              </border>
            </x14:dxf>
          </x14:cfRule>
          <xm:sqref>AU37:BA37</xm:sqref>
        </x14:conditionalFormatting>
        <x14:conditionalFormatting xmlns:xm="http://schemas.microsoft.com/office/excel/2006/main">
          <x14:cfRule type="expression" priority="66" id="{9936B520-BE1C-4BD7-8398-787E636ABBA7}">
            <xm:f>IF($B$18=listy!$A$2,1,0)</xm:f>
            <x14:dxf>
              <border>
                <left style="thin">
                  <color auto="1"/>
                </left>
                <right style="thin">
                  <color auto="1"/>
                </right>
                <top style="thin">
                  <color auto="1"/>
                </top>
                <bottom style="thin">
                  <color auto="1"/>
                </bottom>
                <vertical/>
                <horizontal/>
              </border>
            </x14:dxf>
          </x14:cfRule>
          <xm:sqref>B299:BA300</xm:sqref>
        </x14:conditionalFormatting>
        <x14:conditionalFormatting xmlns:xm="http://schemas.microsoft.com/office/excel/2006/main">
          <x14:cfRule type="expression" priority="65" id="{69A37690-15B2-4E56-AD0C-98B22C02307B}">
            <xm:f>IF(AND($B$18=listy!$A$2,AR299=""),1,0)</xm:f>
            <x14:dxf>
              <fill>
                <patternFill>
                  <bgColor theme="3" tint="0.39994506668294322"/>
                </patternFill>
              </fill>
            </x14:dxf>
          </x14:cfRule>
          <xm:sqref>AR299:BA300</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00000000-0002-0000-0000-000023000000}">
          <x14:formula1>
            <xm:f>województwa!$A$1:$A$16</xm:f>
          </x14:formula1>
          <xm:sqref>B56</xm:sqref>
        </x14:dataValidation>
        <x14:dataValidation type="list" allowBlank="1" showInputMessage="1" showErrorMessage="1" xr:uid="{00000000-0002-0000-0000-000024000000}">
          <x14:formula1>
            <xm:f>OFFSET('powiaty w województwach'!$B$1,MATCH($B$56,'powiaty w województwach'!$A$2:$A$381,0),0,COUNTIF('powiaty w województwach'!$A$2:$A$381,$B$56),1)</xm:f>
          </x14:formula1>
          <xm:sqref>O56:Z56</xm:sqref>
        </x14:dataValidation>
        <x14:dataValidation type="list" allowBlank="1" showInputMessage="1" showErrorMessage="1" prompt="Proszę wybrać pozycję z listy." xr:uid="{00000000-0002-0000-0000-000025000000}">
          <x14:formula1>
            <xm:f>województwa!$A$1:$A$16</xm:f>
          </x14:formula1>
          <xm:sqref>B24:M24</xm:sqref>
        </x14:dataValidation>
        <x14:dataValidation type="list" allowBlank="1" showInputMessage="1" showErrorMessage="1" xr:uid="{00000000-0002-0000-0000-000026000000}">
          <x14:formula1>
            <xm:f>listy!$B$1:$B$2</xm:f>
          </x14:formula1>
          <xm:sqref>AB69 AB68:AN68</xm:sqref>
        </x14:dataValidation>
        <x14:dataValidation type="list" allowBlank="1" showInputMessage="1" showErrorMessage="1" xr:uid="{00000000-0002-0000-0000-000027000000}">
          <x14:formula1>
            <xm:f>OFFSET('gminy w powiatach'!$D$1,MATCH(pomocnicze!$B$1,'gminy w powiatach'!$C$2:$C$2480,0),0,COUNTIF('gminy w powiatach'!$C$2:$C$2480,pomocnicze!$B$1),1)</xm:f>
          </x14:formula1>
          <xm:sqref>AB24:AS24</xm:sqref>
        </x14:dataValidation>
        <x14:dataValidation type="list" allowBlank="1" showInputMessage="1" showErrorMessage="1" xr:uid="{00000000-0002-0000-0000-000028000000}">
          <x14:formula1>
            <xm:f>OFFSET('gminy w powiatach'!$D$1,MATCH(pomocnicze!$B$3,'gminy w powiatach'!$C$2:$C$2480,0),0,COUNTIF('gminy w powiatach'!$C$2:$C$2480,pomocnicze!$B$3),1)</xm:f>
          </x14:formula1>
          <xm:sqref>AB56:AS56</xm:sqref>
        </x14:dataValidation>
        <x14:dataValidation type="list" allowBlank="1" showInputMessage="1" showErrorMessage="1" prompt="Proszę wybrać pozycję z listy rozwijalnej." xr:uid="{00000000-0002-0000-0000-000029000000}">
          <x14:formula1>
            <xm:f>listy!$A$8:$A$9</xm:f>
          </x14:formula1>
          <xm:sqref>D368:BA368</xm:sqref>
        </x14:dataValidation>
        <x14:dataValidation type="list" allowBlank="1" showInputMessage="1" showErrorMessage="1" prompt="Proszę wybrać pozycję z listy rozwijalnej." xr:uid="{00000000-0002-0000-0000-00002A000000}">
          <x14:formula1>
            <xm:f>listy!$A$17:$A$18</xm:f>
          </x14:formula1>
          <xm:sqref>D370:BA370</xm:sqref>
        </x14:dataValidation>
        <x14:dataValidation type="list" allowBlank="1" showInputMessage="1" showErrorMessage="1" prompt="Proszę wybrać pozycję z listy rozwijalnej." xr:uid="{00000000-0002-0000-0000-00002B000000}">
          <x14:formula1>
            <xm:f>listy!$C$1:$C$6</xm:f>
          </x14:formula1>
          <xm:sqref>J71:BA71</xm:sqref>
        </x14:dataValidation>
        <x14:dataValidation type="list" allowBlank="1" showInputMessage="1" showErrorMessage="1" xr:uid="{00000000-0002-0000-0000-00002C000000}">
          <x14:formula1>
            <xm:f>listy!$D$1:$D$6</xm:f>
          </x14:formula1>
          <xm:sqref>J73</xm:sqref>
        </x14:dataValidation>
        <x14:dataValidation type="list" allowBlank="1" showInputMessage="1" showErrorMessage="1" prompt="Proszę wybrać pozycję z listy rozwijalnej." xr:uid="{00000000-0002-0000-0000-00002D000000}">
          <x14:formula1>
            <xm:f>listy!$A$21:$A$22</xm:f>
          </x14:formula1>
          <xm:sqref>D371:BA371</xm:sqref>
        </x14:dataValidation>
        <x14:dataValidation type="list" allowBlank="1" showInputMessage="1" showErrorMessage="1" xr:uid="{00000000-0002-0000-0000-00002F000000}">
          <x14:formula1>
            <xm:f>listy!$A$1:$A$5</xm:f>
          </x14:formula1>
          <xm:sqref>B18:AC18</xm:sqref>
        </x14:dataValidation>
        <x14:dataValidation type="list" allowBlank="1" showInputMessage="1" showErrorMessage="1" xr:uid="{15BAB288-07DD-4D4C-BEB4-DB1F90B15EEF}">
          <x14:formula1>
            <xm:f>OFFSET('powiaty w województwach'!$B$1,MATCH($B$24,'powiaty w województwach'!$A$2:$A$381,0),0,COUNTIF('powiaty w województwach'!$A$2:$A$381,$B$24),1)</xm:f>
          </x14:formula1>
          <xm:sqref>O24:Z24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2"/>
  <dimension ref="A1:A16"/>
  <sheetViews>
    <sheetView workbookViewId="0"/>
  </sheetViews>
  <sheetFormatPr defaultRowHeight="14.4" x14ac:dyDescent="0.3"/>
  <cols>
    <col min="1" max="1" width="24.33203125" bestFit="1" customWidth="1"/>
  </cols>
  <sheetData>
    <row r="1" spans="1:1" x14ac:dyDescent="0.3">
      <c r="A1" t="s">
        <v>4789</v>
      </c>
    </row>
    <row r="2" spans="1:1" x14ac:dyDescent="0.3">
      <c r="A2" t="s">
        <v>4790</v>
      </c>
    </row>
    <row r="3" spans="1:1" x14ac:dyDescent="0.3">
      <c r="A3" t="s">
        <v>4791</v>
      </c>
    </row>
    <row r="4" spans="1:1" x14ac:dyDescent="0.3">
      <c r="A4" t="s">
        <v>4792</v>
      </c>
    </row>
    <row r="5" spans="1:1" x14ac:dyDescent="0.3">
      <c r="A5" t="s">
        <v>4793</v>
      </c>
    </row>
    <row r="6" spans="1:1" x14ac:dyDescent="0.3">
      <c r="A6" t="s">
        <v>4794</v>
      </c>
    </row>
    <row r="7" spans="1:1" x14ac:dyDescent="0.3">
      <c r="A7" t="s">
        <v>4795</v>
      </c>
    </row>
    <row r="8" spans="1:1" x14ac:dyDescent="0.3">
      <c r="A8" t="s">
        <v>4796</v>
      </c>
    </row>
    <row r="9" spans="1:1" x14ac:dyDescent="0.3">
      <c r="A9" t="s">
        <v>4797</v>
      </c>
    </row>
    <row r="10" spans="1:1" x14ac:dyDescent="0.3">
      <c r="A10" t="s">
        <v>4798</v>
      </c>
    </row>
    <row r="11" spans="1:1" x14ac:dyDescent="0.3">
      <c r="A11" t="s">
        <v>4799</v>
      </c>
    </row>
    <row r="12" spans="1:1" x14ac:dyDescent="0.3">
      <c r="A12" t="s">
        <v>4800</v>
      </c>
    </row>
    <row r="13" spans="1:1" x14ac:dyDescent="0.3">
      <c r="A13" t="s">
        <v>4801</v>
      </c>
    </row>
    <row r="14" spans="1:1" x14ac:dyDescent="0.3">
      <c r="A14" t="s">
        <v>4802</v>
      </c>
    </row>
    <row r="15" spans="1:1" x14ac:dyDescent="0.3">
      <c r="A15" t="s">
        <v>4803</v>
      </c>
    </row>
    <row r="16" spans="1:1" x14ac:dyDescent="0.3">
      <c r="A16" t="s">
        <v>4804</v>
      </c>
    </row>
  </sheetData>
  <sheetProtection algorithmName="SHA-512" hashValue="EKuhBftbfzubbkVXxcqakgZpnWZrsYb8Vgcu91atsuV/a5X+waQQ5cpfeJVcI1PNcLQOrHbPhVP4zyThqBw1TQ==" saltValue="6RLJgo1P1+JFia1d7ck0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3"/>
  <dimension ref="A1:B381"/>
  <sheetViews>
    <sheetView topLeftCell="A100" workbookViewId="0">
      <selection activeCell="B116" sqref="B116"/>
    </sheetView>
  </sheetViews>
  <sheetFormatPr defaultRowHeight="14.4" x14ac:dyDescent="0.3"/>
  <cols>
    <col min="1" max="1" width="24.33203125" bestFit="1" customWidth="1"/>
    <col min="2" max="2" width="23.5546875" bestFit="1" customWidth="1"/>
  </cols>
  <sheetData>
    <row r="1" spans="1:2" x14ac:dyDescent="0.3">
      <c r="A1" s="182" t="s">
        <v>4504</v>
      </c>
      <c r="B1" s="182" t="s">
        <v>4505</v>
      </c>
    </row>
    <row r="2" spans="1:2" x14ac:dyDescent="0.3">
      <c r="A2" t="s">
        <v>4789</v>
      </c>
      <c r="B2" t="s">
        <v>4805</v>
      </c>
    </row>
    <row r="3" spans="1:2" x14ac:dyDescent="0.3">
      <c r="A3" t="s">
        <v>4789</v>
      </c>
      <c r="B3" t="s">
        <v>4806</v>
      </c>
    </row>
    <row r="4" spans="1:2" x14ac:dyDescent="0.3">
      <c r="A4" t="s">
        <v>4789</v>
      </c>
      <c r="B4" t="s">
        <v>4807</v>
      </c>
    </row>
    <row r="5" spans="1:2" x14ac:dyDescent="0.3">
      <c r="A5" t="s">
        <v>4789</v>
      </c>
      <c r="B5" t="s">
        <v>4808</v>
      </c>
    </row>
    <row r="6" spans="1:2" x14ac:dyDescent="0.3">
      <c r="A6" t="s">
        <v>4789</v>
      </c>
      <c r="B6" t="s">
        <v>4809</v>
      </c>
    </row>
    <row r="7" spans="1:2" x14ac:dyDescent="0.3">
      <c r="A7" t="s">
        <v>4789</v>
      </c>
      <c r="B7" t="s">
        <v>2553</v>
      </c>
    </row>
    <row r="8" spans="1:2" x14ac:dyDescent="0.3">
      <c r="A8" t="s">
        <v>4789</v>
      </c>
      <c r="B8" t="s">
        <v>4810</v>
      </c>
    </row>
    <row r="9" spans="1:2" x14ac:dyDescent="0.3">
      <c r="A9" t="s">
        <v>4789</v>
      </c>
      <c r="B9" t="s">
        <v>5403</v>
      </c>
    </row>
    <row r="10" spans="1:2" x14ac:dyDescent="0.3">
      <c r="A10" t="s">
        <v>4789</v>
      </c>
      <c r="B10" t="s">
        <v>4811</v>
      </c>
    </row>
    <row r="11" spans="1:2" x14ac:dyDescent="0.3">
      <c r="A11" t="s">
        <v>4789</v>
      </c>
      <c r="B11" t="s">
        <v>2554</v>
      </c>
    </row>
    <row r="12" spans="1:2" x14ac:dyDescent="0.3">
      <c r="A12" t="s">
        <v>4789</v>
      </c>
      <c r="B12" t="s">
        <v>4812</v>
      </c>
    </row>
    <row r="13" spans="1:2" x14ac:dyDescent="0.3">
      <c r="A13" t="s">
        <v>4789</v>
      </c>
      <c r="B13" t="s">
        <v>4813</v>
      </c>
    </row>
    <row r="14" spans="1:2" x14ac:dyDescent="0.3">
      <c r="A14" t="s">
        <v>4789</v>
      </c>
      <c r="B14" t="s">
        <v>4814</v>
      </c>
    </row>
    <row r="15" spans="1:2" x14ac:dyDescent="0.3">
      <c r="A15" t="s">
        <v>4789</v>
      </c>
      <c r="B15" t="s">
        <v>4815</v>
      </c>
    </row>
    <row r="16" spans="1:2" x14ac:dyDescent="0.3">
      <c r="A16" t="s">
        <v>4789</v>
      </c>
      <c r="B16" t="s">
        <v>4816</v>
      </c>
    </row>
    <row r="17" spans="1:2" x14ac:dyDescent="0.3">
      <c r="A17" t="s">
        <v>4789</v>
      </c>
      <c r="B17" t="s">
        <v>4817</v>
      </c>
    </row>
    <row r="18" spans="1:2" x14ac:dyDescent="0.3">
      <c r="A18" t="s">
        <v>4789</v>
      </c>
      <c r="B18" t="s">
        <v>4818</v>
      </c>
    </row>
    <row r="19" spans="1:2" x14ac:dyDescent="0.3">
      <c r="A19" t="s">
        <v>4789</v>
      </c>
      <c r="B19" t="s">
        <v>4819</v>
      </c>
    </row>
    <row r="20" spans="1:2" x14ac:dyDescent="0.3">
      <c r="A20" t="s">
        <v>4789</v>
      </c>
      <c r="B20" t="s">
        <v>4820</v>
      </c>
    </row>
    <row r="21" spans="1:2" x14ac:dyDescent="0.3">
      <c r="A21" t="s">
        <v>4789</v>
      </c>
      <c r="B21" t="s">
        <v>4821</v>
      </c>
    </row>
    <row r="22" spans="1:2" x14ac:dyDescent="0.3">
      <c r="A22" t="s">
        <v>4789</v>
      </c>
      <c r="B22" t="s">
        <v>4822</v>
      </c>
    </row>
    <row r="23" spans="1:2" x14ac:dyDescent="0.3">
      <c r="A23" t="s">
        <v>4789</v>
      </c>
      <c r="B23" t="s">
        <v>4823</v>
      </c>
    </row>
    <row r="24" spans="1:2" x14ac:dyDescent="0.3">
      <c r="A24" t="s">
        <v>4789</v>
      </c>
      <c r="B24" t="s">
        <v>2524</v>
      </c>
    </row>
    <row r="25" spans="1:2" x14ac:dyDescent="0.3">
      <c r="A25" t="s">
        <v>4789</v>
      </c>
      <c r="B25" t="s">
        <v>4824</v>
      </c>
    </row>
    <row r="26" spans="1:2" x14ac:dyDescent="0.3">
      <c r="A26" t="s">
        <v>4789</v>
      </c>
      <c r="B26" t="s">
        <v>4825</v>
      </c>
    </row>
    <row r="27" spans="1:2" x14ac:dyDescent="0.3">
      <c r="A27" t="s">
        <v>4789</v>
      </c>
      <c r="B27" t="s">
        <v>2555</v>
      </c>
    </row>
    <row r="28" spans="1:2" x14ac:dyDescent="0.3">
      <c r="A28" t="s">
        <v>4789</v>
      </c>
      <c r="B28" t="s">
        <v>4826</v>
      </c>
    </row>
    <row r="29" spans="1:2" x14ac:dyDescent="0.3">
      <c r="A29" t="s">
        <v>4789</v>
      </c>
      <c r="B29" t="s">
        <v>4788</v>
      </c>
    </row>
    <row r="30" spans="1:2" x14ac:dyDescent="0.3">
      <c r="A30" t="s">
        <v>4789</v>
      </c>
      <c r="B30" t="s">
        <v>4827</v>
      </c>
    </row>
    <row r="31" spans="1:2" x14ac:dyDescent="0.3">
      <c r="A31" t="s">
        <v>4789</v>
      </c>
      <c r="B31" t="s">
        <v>4828</v>
      </c>
    </row>
    <row r="32" spans="1:2" x14ac:dyDescent="0.3">
      <c r="A32" t="s">
        <v>4790</v>
      </c>
      <c r="B32" t="s">
        <v>4829</v>
      </c>
    </row>
    <row r="33" spans="1:2" x14ac:dyDescent="0.3">
      <c r="A33" t="s">
        <v>4790</v>
      </c>
      <c r="B33" t="s">
        <v>4830</v>
      </c>
    </row>
    <row r="34" spans="1:2" x14ac:dyDescent="0.3">
      <c r="A34" t="s">
        <v>4790</v>
      </c>
      <c r="B34" t="s">
        <v>4831</v>
      </c>
    </row>
    <row r="35" spans="1:2" x14ac:dyDescent="0.3">
      <c r="A35" t="s">
        <v>4790</v>
      </c>
      <c r="B35" t="s">
        <v>2675</v>
      </c>
    </row>
    <row r="36" spans="1:2" x14ac:dyDescent="0.3">
      <c r="A36" t="s">
        <v>4790</v>
      </c>
      <c r="B36" t="s">
        <v>4832</v>
      </c>
    </row>
    <row r="37" spans="1:2" x14ac:dyDescent="0.3">
      <c r="A37" t="s">
        <v>4790</v>
      </c>
      <c r="B37" t="s">
        <v>4833</v>
      </c>
    </row>
    <row r="38" spans="1:2" x14ac:dyDescent="0.3">
      <c r="A38" t="s">
        <v>4790</v>
      </c>
      <c r="B38" t="s">
        <v>2589</v>
      </c>
    </row>
    <row r="39" spans="1:2" x14ac:dyDescent="0.3">
      <c r="A39" t="s">
        <v>4790</v>
      </c>
      <c r="B39" t="s">
        <v>4834</v>
      </c>
    </row>
    <row r="40" spans="1:2" x14ac:dyDescent="0.3">
      <c r="A40" t="s">
        <v>4790</v>
      </c>
      <c r="B40" t="s">
        <v>4835</v>
      </c>
    </row>
    <row r="41" spans="1:2" x14ac:dyDescent="0.3">
      <c r="A41" t="s">
        <v>4790</v>
      </c>
      <c r="B41" t="s">
        <v>4836</v>
      </c>
    </row>
    <row r="42" spans="1:2" x14ac:dyDescent="0.3">
      <c r="A42" t="s">
        <v>4790</v>
      </c>
      <c r="B42" t="s">
        <v>4837</v>
      </c>
    </row>
    <row r="43" spans="1:2" x14ac:dyDescent="0.3">
      <c r="A43" t="s">
        <v>4790</v>
      </c>
      <c r="B43" t="s">
        <v>4838</v>
      </c>
    </row>
    <row r="44" spans="1:2" x14ac:dyDescent="0.3">
      <c r="A44" t="s">
        <v>4790</v>
      </c>
      <c r="B44" t="s">
        <v>4839</v>
      </c>
    </row>
    <row r="45" spans="1:2" x14ac:dyDescent="0.3">
      <c r="A45" t="s">
        <v>4790</v>
      </c>
      <c r="B45" t="s">
        <v>4840</v>
      </c>
    </row>
    <row r="46" spans="1:2" x14ac:dyDescent="0.3">
      <c r="A46" t="s">
        <v>4790</v>
      </c>
      <c r="B46" t="s">
        <v>4841</v>
      </c>
    </row>
    <row r="47" spans="1:2" x14ac:dyDescent="0.3">
      <c r="A47" t="s">
        <v>4790</v>
      </c>
      <c r="B47" t="s">
        <v>4842</v>
      </c>
    </row>
    <row r="48" spans="1:2" x14ac:dyDescent="0.3">
      <c r="A48" t="s">
        <v>4790</v>
      </c>
      <c r="B48" t="s">
        <v>2676</v>
      </c>
    </row>
    <row r="49" spans="1:2" x14ac:dyDescent="0.3">
      <c r="A49" t="s">
        <v>4790</v>
      </c>
      <c r="B49" t="s">
        <v>4843</v>
      </c>
    </row>
    <row r="50" spans="1:2" x14ac:dyDescent="0.3">
      <c r="A50" t="s">
        <v>4790</v>
      </c>
      <c r="B50" t="s">
        <v>4844</v>
      </c>
    </row>
    <row r="51" spans="1:2" x14ac:dyDescent="0.3">
      <c r="A51" t="s">
        <v>4790</v>
      </c>
      <c r="B51" t="s">
        <v>4845</v>
      </c>
    </row>
    <row r="52" spans="1:2" x14ac:dyDescent="0.3">
      <c r="A52" t="s">
        <v>4790</v>
      </c>
      <c r="B52" t="s">
        <v>2669</v>
      </c>
    </row>
    <row r="53" spans="1:2" x14ac:dyDescent="0.3">
      <c r="A53" t="s">
        <v>4790</v>
      </c>
      <c r="B53" t="s">
        <v>4846</v>
      </c>
    </row>
    <row r="54" spans="1:2" x14ac:dyDescent="0.3">
      <c r="A54" t="s">
        <v>4790</v>
      </c>
      <c r="B54" t="s">
        <v>4847</v>
      </c>
    </row>
    <row r="55" spans="1:2" x14ac:dyDescent="0.3">
      <c r="A55" t="s">
        <v>4791</v>
      </c>
      <c r="B55" t="s">
        <v>4848</v>
      </c>
    </row>
    <row r="56" spans="1:2" x14ac:dyDescent="0.3">
      <c r="A56" t="s">
        <v>4791</v>
      </c>
      <c r="B56" t="s">
        <v>2677</v>
      </c>
    </row>
    <row r="57" spans="1:2" x14ac:dyDescent="0.3">
      <c r="A57" t="s">
        <v>4791</v>
      </c>
      <c r="B57" t="s">
        <v>4849</v>
      </c>
    </row>
    <row r="58" spans="1:2" x14ac:dyDescent="0.3">
      <c r="A58" t="s">
        <v>4791</v>
      </c>
      <c r="B58" t="s">
        <v>2705</v>
      </c>
    </row>
    <row r="59" spans="1:2" x14ac:dyDescent="0.3">
      <c r="A59" t="s">
        <v>4791</v>
      </c>
      <c r="B59" t="s">
        <v>4850</v>
      </c>
    </row>
    <row r="60" spans="1:2" x14ac:dyDescent="0.3">
      <c r="A60" t="s">
        <v>4791</v>
      </c>
      <c r="B60" t="s">
        <v>4851</v>
      </c>
    </row>
    <row r="61" spans="1:2" x14ac:dyDescent="0.3">
      <c r="A61" t="s">
        <v>4791</v>
      </c>
      <c r="B61" t="s">
        <v>4852</v>
      </c>
    </row>
    <row r="62" spans="1:2" x14ac:dyDescent="0.3">
      <c r="A62" t="s">
        <v>4791</v>
      </c>
      <c r="B62" t="s">
        <v>4853</v>
      </c>
    </row>
    <row r="63" spans="1:2" x14ac:dyDescent="0.3">
      <c r="A63" t="s">
        <v>4791</v>
      </c>
      <c r="B63" t="s">
        <v>4854</v>
      </c>
    </row>
    <row r="64" spans="1:2" x14ac:dyDescent="0.3">
      <c r="A64" t="s">
        <v>4791</v>
      </c>
      <c r="B64" t="s">
        <v>4855</v>
      </c>
    </row>
    <row r="65" spans="1:2" x14ac:dyDescent="0.3">
      <c r="A65" t="s">
        <v>4791</v>
      </c>
      <c r="B65" t="s">
        <v>4856</v>
      </c>
    </row>
    <row r="66" spans="1:2" x14ac:dyDescent="0.3">
      <c r="A66" t="s">
        <v>4791</v>
      </c>
      <c r="B66" t="s">
        <v>2857</v>
      </c>
    </row>
    <row r="67" spans="1:2" x14ac:dyDescent="0.3">
      <c r="A67" t="s">
        <v>4791</v>
      </c>
      <c r="B67" t="s">
        <v>4857</v>
      </c>
    </row>
    <row r="68" spans="1:2" x14ac:dyDescent="0.3">
      <c r="A68" t="s">
        <v>4791</v>
      </c>
      <c r="B68" t="s">
        <v>4858</v>
      </c>
    </row>
    <row r="69" spans="1:2" x14ac:dyDescent="0.3">
      <c r="A69" t="s">
        <v>4791</v>
      </c>
      <c r="B69" t="s">
        <v>4859</v>
      </c>
    </row>
    <row r="70" spans="1:2" x14ac:dyDescent="0.3">
      <c r="A70" t="s">
        <v>4791</v>
      </c>
      <c r="B70" t="s">
        <v>4860</v>
      </c>
    </row>
    <row r="71" spans="1:2" x14ac:dyDescent="0.3">
      <c r="A71" t="s">
        <v>4791</v>
      </c>
      <c r="B71" t="s">
        <v>4861</v>
      </c>
    </row>
    <row r="72" spans="1:2" x14ac:dyDescent="0.3">
      <c r="A72" t="s">
        <v>4791</v>
      </c>
      <c r="B72" t="s">
        <v>4862</v>
      </c>
    </row>
    <row r="73" spans="1:2" x14ac:dyDescent="0.3">
      <c r="A73" t="s">
        <v>4791</v>
      </c>
      <c r="B73" t="s">
        <v>4863</v>
      </c>
    </row>
    <row r="74" spans="1:2" x14ac:dyDescent="0.3">
      <c r="A74" t="s">
        <v>4791</v>
      </c>
      <c r="B74" t="s">
        <v>4822</v>
      </c>
    </row>
    <row r="75" spans="1:2" x14ac:dyDescent="0.3">
      <c r="A75" t="s">
        <v>4791</v>
      </c>
      <c r="B75" t="s">
        <v>4864</v>
      </c>
    </row>
    <row r="76" spans="1:2" x14ac:dyDescent="0.3">
      <c r="A76" t="s">
        <v>4791</v>
      </c>
      <c r="B76" t="s">
        <v>4865</v>
      </c>
    </row>
    <row r="77" spans="1:2" x14ac:dyDescent="0.3">
      <c r="A77" t="s">
        <v>4791</v>
      </c>
      <c r="B77" t="s">
        <v>4866</v>
      </c>
    </row>
    <row r="78" spans="1:2" x14ac:dyDescent="0.3">
      <c r="A78" t="s">
        <v>4791</v>
      </c>
      <c r="B78" t="s">
        <v>2855</v>
      </c>
    </row>
    <row r="79" spans="1:2" x14ac:dyDescent="0.3">
      <c r="A79" t="s">
        <v>4792</v>
      </c>
      <c r="B79" t="s">
        <v>4867</v>
      </c>
    </row>
    <row r="80" spans="1:2" x14ac:dyDescent="0.3">
      <c r="A80" t="s">
        <v>4792</v>
      </c>
      <c r="B80" t="s">
        <v>2930</v>
      </c>
    </row>
    <row r="81" spans="1:2" x14ac:dyDescent="0.3">
      <c r="A81" t="s">
        <v>4792</v>
      </c>
      <c r="B81" t="s">
        <v>4868</v>
      </c>
    </row>
    <row r="82" spans="1:2" x14ac:dyDescent="0.3">
      <c r="A82" t="s">
        <v>4792</v>
      </c>
      <c r="B82" t="s">
        <v>4869</v>
      </c>
    </row>
    <row r="83" spans="1:2" x14ac:dyDescent="0.3">
      <c r="A83" t="s">
        <v>4792</v>
      </c>
      <c r="B83" t="s">
        <v>4870</v>
      </c>
    </row>
    <row r="84" spans="1:2" x14ac:dyDescent="0.3">
      <c r="A84" t="s">
        <v>4792</v>
      </c>
      <c r="B84" t="s">
        <v>4871</v>
      </c>
    </row>
    <row r="85" spans="1:2" x14ac:dyDescent="0.3">
      <c r="A85" t="s">
        <v>4792</v>
      </c>
      <c r="B85" t="s">
        <v>4872</v>
      </c>
    </row>
    <row r="86" spans="1:2" x14ac:dyDescent="0.3">
      <c r="A86" t="s">
        <v>4792</v>
      </c>
      <c r="B86" t="s">
        <v>4873</v>
      </c>
    </row>
    <row r="87" spans="1:2" x14ac:dyDescent="0.3">
      <c r="A87" t="s">
        <v>4792</v>
      </c>
      <c r="B87" t="s">
        <v>4874</v>
      </c>
    </row>
    <row r="88" spans="1:2" x14ac:dyDescent="0.3">
      <c r="A88" t="s">
        <v>4792</v>
      </c>
      <c r="B88" t="s">
        <v>4878</v>
      </c>
    </row>
    <row r="89" spans="1:2" x14ac:dyDescent="0.3">
      <c r="A89" t="s">
        <v>4792</v>
      </c>
      <c r="B89" t="s">
        <v>2911</v>
      </c>
    </row>
    <row r="90" spans="1:2" x14ac:dyDescent="0.3">
      <c r="A90" t="s">
        <v>4792</v>
      </c>
      <c r="B90" t="s">
        <v>4875</v>
      </c>
    </row>
    <row r="91" spans="1:2" x14ac:dyDescent="0.3">
      <c r="A91" t="s">
        <v>4792</v>
      </c>
      <c r="B91" t="s">
        <v>4876</v>
      </c>
    </row>
    <row r="92" spans="1:2" x14ac:dyDescent="0.3">
      <c r="A92" t="s">
        <v>4792</v>
      </c>
      <c r="B92" t="s">
        <v>4877</v>
      </c>
    </row>
    <row r="93" spans="1:2" x14ac:dyDescent="0.3">
      <c r="A93" t="s">
        <v>4793</v>
      </c>
      <c r="B93" t="s">
        <v>4879</v>
      </c>
    </row>
    <row r="94" spans="1:2" x14ac:dyDescent="0.3">
      <c r="A94" t="s">
        <v>4793</v>
      </c>
      <c r="B94" t="s">
        <v>4898</v>
      </c>
    </row>
    <row r="95" spans="1:2" x14ac:dyDescent="0.3">
      <c r="A95" t="s">
        <v>4793</v>
      </c>
      <c r="B95" t="s">
        <v>4880</v>
      </c>
    </row>
    <row r="96" spans="1:2" x14ac:dyDescent="0.3">
      <c r="A96" t="s">
        <v>4793</v>
      </c>
      <c r="B96" t="s">
        <v>4881</v>
      </c>
    </row>
    <row r="97" spans="1:2" x14ac:dyDescent="0.3">
      <c r="A97" t="s">
        <v>4793</v>
      </c>
      <c r="B97" t="s">
        <v>4882</v>
      </c>
    </row>
    <row r="98" spans="1:2" x14ac:dyDescent="0.3">
      <c r="A98" t="s">
        <v>4793</v>
      </c>
      <c r="B98" t="s">
        <v>4883</v>
      </c>
    </row>
    <row r="99" spans="1:2" x14ac:dyDescent="0.3">
      <c r="A99" t="s">
        <v>4793</v>
      </c>
      <c r="B99" t="s">
        <v>4884</v>
      </c>
    </row>
    <row r="100" spans="1:2" x14ac:dyDescent="0.3">
      <c r="A100" t="s">
        <v>4793</v>
      </c>
      <c r="B100" t="s">
        <v>3074</v>
      </c>
    </row>
    <row r="101" spans="1:2" x14ac:dyDescent="0.3">
      <c r="A101" t="s">
        <v>4793</v>
      </c>
      <c r="B101" t="s">
        <v>4885</v>
      </c>
    </row>
    <row r="102" spans="1:2" x14ac:dyDescent="0.3">
      <c r="A102" t="s">
        <v>4793</v>
      </c>
      <c r="B102" t="s">
        <v>4886</v>
      </c>
    </row>
    <row r="103" spans="1:2" x14ac:dyDescent="0.3">
      <c r="A103" t="s">
        <v>4793</v>
      </c>
      <c r="B103" t="s">
        <v>4887</v>
      </c>
    </row>
    <row r="104" spans="1:2" x14ac:dyDescent="0.3">
      <c r="A104" t="s">
        <v>4793</v>
      </c>
      <c r="B104" t="s">
        <v>4888</v>
      </c>
    </row>
    <row r="105" spans="1:2" x14ac:dyDescent="0.3">
      <c r="A105" t="s">
        <v>4793</v>
      </c>
      <c r="B105" t="s">
        <v>3075</v>
      </c>
    </row>
    <row r="106" spans="1:2" x14ac:dyDescent="0.3">
      <c r="A106" t="s">
        <v>4793</v>
      </c>
      <c r="B106" t="s">
        <v>4889</v>
      </c>
    </row>
    <row r="107" spans="1:2" x14ac:dyDescent="0.3">
      <c r="A107" t="s">
        <v>4793</v>
      </c>
      <c r="B107" t="s">
        <v>4890</v>
      </c>
    </row>
    <row r="108" spans="1:2" x14ac:dyDescent="0.3">
      <c r="A108" t="s">
        <v>4793</v>
      </c>
      <c r="B108" t="s">
        <v>4891</v>
      </c>
    </row>
    <row r="109" spans="1:2" x14ac:dyDescent="0.3">
      <c r="A109" t="s">
        <v>4793</v>
      </c>
      <c r="B109" t="s">
        <v>4892</v>
      </c>
    </row>
    <row r="110" spans="1:2" x14ac:dyDescent="0.3">
      <c r="A110" t="s">
        <v>4793</v>
      </c>
      <c r="B110" t="s">
        <v>3040</v>
      </c>
    </row>
    <row r="111" spans="1:2" x14ac:dyDescent="0.3">
      <c r="A111" t="s">
        <v>4793</v>
      </c>
      <c r="B111" t="s">
        <v>4893</v>
      </c>
    </row>
    <row r="112" spans="1:2" x14ac:dyDescent="0.3">
      <c r="A112" t="s">
        <v>4793</v>
      </c>
      <c r="B112" t="s">
        <v>4864</v>
      </c>
    </row>
    <row r="113" spans="1:2" x14ac:dyDescent="0.3">
      <c r="A113" t="s">
        <v>4793</v>
      </c>
      <c r="B113" t="s">
        <v>4894</v>
      </c>
    </row>
    <row r="114" spans="1:2" x14ac:dyDescent="0.3">
      <c r="A114" t="s">
        <v>4793</v>
      </c>
      <c r="B114" t="s">
        <v>4895</v>
      </c>
    </row>
    <row r="115" spans="1:2" x14ac:dyDescent="0.3">
      <c r="A115" t="s">
        <v>4793</v>
      </c>
      <c r="B115" t="s">
        <v>4896</v>
      </c>
    </row>
    <row r="116" spans="1:2" x14ac:dyDescent="0.3">
      <c r="A116" t="s">
        <v>4793</v>
      </c>
      <c r="B116" t="s">
        <v>4897</v>
      </c>
    </row>
    <row r="117" spans="1:2" x14ac:dyDescent="0.3">
      <c r="A117" t="s">
        <v>4794</v>
      </c>
      <c r="B117" t="s">
        <v>4899</v>
      </c>
    </row>
    <row r="118" spans="1:2" x14ac:dyDescent="0.3">
      <c r="A118" t="s">
        <v>4794</v>
      </c>
      <c r="B118" t="s">
        <v>4900</v>
      </c>
    </row>
    <row r="119" spans="1:2" x14ac:dyDescent="0.3">
      <c r="A119" t="s">
        <v>4794</v>
      </c>
      <c r="B119" t="s">
        <v>4901</v>
      </c>
    </row>
    <row r="120" spans="1:2" x14ac:dyDescent="0.3">
      <c r="A120" t="s">
        <v>4794</v>
      </c>
      <c r="B120" t="s">
        <v>4902</v>
      </c>
    </row>
    <row r="121" spans="1:2" x14ac:dyDescent="0.3">
      <c r="A121" t="s">
        <v>4794</v>
      </c>
      <c r="B121" t="s">
        <v>4903</v>
      </c>
    </row>
    <row r="122" spans="1:2" x14ac:dyDescent="0.3">
      <c r="A122" t="s">
        <v>4794</v>
      </c>
      <c r="B122" t="s">
        <v>4904</v>
      </c>
    </row>
    <row r="123" spans="1:2" x14ac:dyDescent="0.3">
      <c r="A123" t="s">
        <v>4794</v>
      </c>
      <c r="B123" t="s">
        <v>3233</v>
      </c>
    </row>
    <row r="124" spans="1:2" x14ac:dyDescent="0.3">
      <c r="A124" t="s">
        <v>4794</v>
      </c>
      <c r="B124" t="s">
        <v>4905</v>
      </c>
    </row>
    <row r="125" spans="1:2" x14ac:dyDescent="0.3">
      <c r="A125" t="s">
        <v>4794</v>
      </c>
      <c r="B125" t="s">
        <v>4906</v>
      </c>
    </row>
    <row r="126" spans="1:2" x14ac:dyDescent="0.3">
      <c r="A126" t="s">
        <v>4794</v>
      </c>
      <c r="B126" t="s">
        <v>4907</v>
      </c>
    </row>
    <row r="127" spans="1:2" x14ac:dyDescent="0.3">
      <c r="A127" t="s">
        <v>4794</v>
      </c>
      <c r="B127" t="s">
        <v>4908</v>
      </c>
    </row>
    <row r="128" spans="1:2" x14ac:dyDescent="0.3">
      <c r="A128" t="s">
        <v>4794</v>
      </c>
      <c r="B128" t="s">
        <v>4909</v>
      </c>
    </row>
    <row r="129" spans="1:2" x14ac:dyDescent="0.3">
      <c r="A129" t="s">
        <v>4794</v>
      </c>
      <c r="B129" t="s">
        <v>3234</v>
      </c>
    </row>
    <row r="130" spans="1:2" x14ac:dyDescent="0.3">
      <c r="A130" t="s">
        <v>4794</v>
      </c>
      <c r="B130" t="s">
        <v>4910</v>
      </c>
    </row>
    <row r="131" spans="1:2" x14ac:dyDescent="0.3">
      <c r="A131" t="s">
        <v>4794</v>
      </c>
      <c r="B131" t="s">
        <v>4911</v>
      </c>
    </row>
    <row r="132" spans="1:2" x14ac:dyDescent="0.3">
      <c r="A132" t="s">
        <v>4794</v>
      </c>
      <c r="B132" t="s">
        <v>4912</v>
      </c>
    </row>
    <row r="133" spans="1:2" x14ac:dyDescent="0.3">
      <c r="A133" t="s">
        <v>4794</v>
      </c>
      <c r="B133" t="s">
        <v>4913</v>
      </c>
    </row>
    <row r="134" spans="1:2" x14ac:dyDescent="0.3">
      <c r="A134" t="s">
        <v>4794</v>
      </c>
      <c r="B134" t="s">
        <v>4914</v>
      </c>
    </row>
    <row r="135" spans="1:2" x14ac:dyDescent="0.3">
      <c r="A135" t="s">
        <v>4794</v>
      </c>
      <c r="B135" t="s">
        <v>3207</v>
      </c>
    </row>
    <row r="136" spans="1:2" x14ac:dyDescent="0.3">
      <c r="A136" t="s">
        <v>4794</v>
      </c>
      <c r="B136" t="s">
        <v>4915</v>
      </c>
    </row>
    <row r="137" spans="1:2" x14ac:dyDescent="0.3">
      <c r="A137" t="s">
        <v>4794</v>
      </c>
      <c r="B137" t="s">
        <v>4916</v>
      </c>
    </row>
    <row r="138" spans="1:2" x14ac:dyDescent="0.3">
      <c r="A138" t="s">
        <v>4794</v>
      </c>
      <c r="B138" t="s">
        <v>4917</v>
      </c>
    </row>
    <row r="139" spans="1:2" x14ac:dyDescent="0.3">
      <c r="A139" t="s">
        <v>4795</v>
      </c>
      <c r="B139" t="s">
        <v>4918</v>
      </c>
    </row>
    <row r="140" spans="1:2" x14ac:dyDescent="0.3">
      <c r="A140" t="s">
        <v>4795</v>
      </c>
      <c r="B140" t="s">
        <v>4919</v>
      </c>
    </row>
    <row r="141" spans="1:2" x14ac:dyDescent="0.3">
      <c r="A141" t="s">
        <v>4795</v>
      </c>
      <c r="B141" t="s">
        <v>4920</v>
      </c>
    </row>
    <row r="142" spans="1:2" x14ac:dyDescent="0.3">
      <c r="A142" t="s">
        <v>4795</v>
      </c>
      <c r="B142" t="s">
        <v>4921</v>
      </c>
    </row>
    <row r="143" spans="1:2" x14ac:dyDescent="0.3">
      <c r="A143" t="s">
        <v>4795</v>
      </c>
      <c r="B143" t="s">
        <v>4922</v>
      </c>
    </row>
    <row r="144" spans="1:2" x14ac:dyDescent="0.3">
      <c r="A144" t="s">
        <v>4795</v>
      </c>
      <c r="B144" t="s">
        <v>4923</v>
      </c>
    </row>
    <row r="145" spans="1:2" x14ac:dyDescent="0.3">
      <c r="A145" t="s">
        <v>4795</v>
      </c>
      <c r="B145" t="s">
        <v>4924</v>
      </c>
    </row>
    <row r="146" spans="1:2" x14ac:dyDescent="0.3">
      <c r="A146" t="s">
        <v>4795</v>
      </c>
      <c r="B146" t="s">
        <v>4925</v>
      </c>
    </row>
    <row r="147" spans="1:2" x14ac:dyDescent="0.3">
      <c r="A147" t="s">
        <v>4795</v>
      </c>
      <c r="B147" t="s">
        <v>4926</v>
      </c>
    </row>
    <row r="148" spans="1:2" x14ac:dyDescent="0.3">
      <c r="A148" t="s">
        <v>4795</v>
      </c>
      <c r="B148" t="s">
        <v>4927</v>
      </c>
    </row>
    <row r="149" spans="1:2" x14ac:dyDescent="0.3">
      <c r="A149" t="s">
        <v>4795</v>
      </c>
      <c r="B149" t="s">
        <v>4928</v>
      </c>
    </row>
    <row r="150" spans="1:2" x14ac:dyDescent="0.3">
      <c r="A150" t="s">
        <v>4795</v>
      </c>
      <c r="B150" t="s">
        <v>4929</v>
      </c>
    </row>
    <row r="151" spans="1:2" x14ac:dyDescent="0.3">
      <c r="A151" t="s">
        <v>4795</v>
      </c>
      <c r="B151" t="s">
        <v>4930</v>
      </c>
    </row>
    <row r="152" spans="1:2" x14ac:dyDescent="0.3">
      <c r="A152" t="s">
        <v>4795</v>
      </c>
      <c r="B152" t="s">
        <v>4931</v>
      </c>
    </row>
    <row r="153" spans="1:2" x14ac:dyDescent="0.3">
      <c r="A153" t="s">
        <v>4795</v>
      </c>
      <c r="B153" t="s">
        <v>4932</v>
      </c>
    </row>
    <row r="154" spans="1:2" x14ac:dyDescent="0.3">
      <c r="A154" t="s">
        <v>4795</v>
      </c>
      <c r="B154" t="s">
        <v>3507</v>
      </c>
    </row>
    <row r="155" spans="1:2" x14ac:dyDescent="0.3">
      <c r="A155" t="s">
        <v>4795</v>
      </c>
      <c r="B155" t="s">
        <v>4787</v>
      </c>
    </row>
    <row r="156" spans="1:2" x14ac:dyDescent="0.3">
      <c r="A156" t="s">
        <v>4795</v>
      </c>
      <c r="B156" t="s">
        <v>4933</v>
      </c>
    </row>
    <row r="157" spans="1:2" x14ac:dyDescent="0.3">
      <c r="A157" t="s">
        <v>4795</v>
      </c>
      <c r="B157" t="s">
        <v>4934</v>
      </c>
    </row>
    <row r="158" spans="1:2" x14ac:dyDescent="0.3">
      <c r="A158" t="s">
        <v>4795</v>
      </c>
      <c r="B158" t="s">
        <v>3508</v>
      </c>
    </row>
    <row r="159" spans="1:2" x14ac:dyDescent="0.3">
      <c r="A159" t="s">
        <v>4795</v>
      </c>
      <c r="B159" t="s">
        <v>4935</v>
      </c>
    </row>
    <row r="160" spans="1:2" x14ac:dyDescent="0.3">
      <c r="A160" t="s">
        <v>4795</v>
      </c>
      <c r="B160" t="s">
        <v>4936</v>
      </c>
    </row>
    <row r="161" spans="1:2" x14ac:dyDescent="0.3">
      <c r="A161" t="s">
        <v>4795</v>
      </c>
      <c r="B161" t="s">
        <v>4937</v>
      </c>
    </row>
    <row r="162" spans="1:2" x14ac:dyDescent="0.3">
      <c r="A162" t="s">
        <v>4795</v>
      </c>
      <c r="B162" t="s">
        <v>4938</v>
      </c>
    </row>
    <row r="163" spans="1:2" x14ac:dyDescent="0.3">
      <c r="A163" t="s">
        <v>4795</v>
      </c>
      <c r="B163" t="s">
        <v>4939</v>
      </c>
    </row>
    <row r="164" spans="1:2" x14ac:dyDescent="0.3">
      <c r="A164" t="s">
        <v>4795</v>
      </c>
      <c r="B164" t="s">
        <v>4940</v>
      </c>
    </row>
    <row r="165" spans="1:2" x14ac:dyDescent="0.3">
      <c r="A165" t="s">
        <v>4795</v>
      </c>
      <c r="B165" t="s">
        <v>3509</v>
      </c>
    </row>
    <row r="166" spans="1:2" x14ac:dyDescent="0.3">
      <c r="A166" t="s">
        <v>4795</v>
      </c>
      <c r="B166" t="s">
        <v>4941</v>
      </c>
    </row>
    <row r="167" spans="1:2" x14ac:dyDescent="0.3">
      <c r="A167" t="s">
        <v>4795</v>
      </c>
      <c r="B167" t="s">
        <v>3429</v>
      </c>
    </row>
    <row r="168" spans="1:2" x14ac:dyDescent="0.3">
      <c r="A168" t="s">
        <v>4795</v>
      </c>
      <c r="B168" t="s">
        <v>4942</v>
      </c>
    </row>
    <row r="169" spans="1:2" x14ac:dyDescent="0.3">
      <c r="A169" t="s">
        <v>4795</v>
      </c>
      <c r="B169" t="s">
        <v>4943</v>
      </c>
    </row>
    <row r="170" spans="1:2" x14ac:dyDescent="0.3">
      <c r="A170" t="s">
        <v>4795</v>
      </c>
      <c r="B170" t="s">
        <v>4944</v>
      </c>
    </row>
    <row r="171" spans="1:2" x14ac:dyDescent="0.3">
      <c r="A171" t="s">
        <v>4795</v>
      </c>
      <c r="B171" t="s">
        <v>4945</v>
      </c>
    </row>
    <row r="172" spans="1:2" x14ac:dyDescent="0.3">
      <c r="A172" t="s">
        <v>4795</v>
      </c>
      <c r="B172" t="s">
        <v>4946</v>
      </c>
    </row>
    <row r="173" spans="1:2" x14ac:dyDescent="0.3">
      <c r="A173" t="s">
        <v>4795</v>
      </c>
      <c r="B173" t="s">
        <v>5416</v>
      </c>
    </row>
    <row r="174" spans="1:2" x14ac:dyDescent="0.3">
      <c r="A174" t="s">
        <v>4795</v>
      </c>
      <c r="B174" t="s">
        <v>4947</v>
      </c>
    </row>
    <row r="175" spans="1:2" x14ac:dyDescent="0.3">
      <c r="A175" t="s">
        <v>4795</v>
      </c>
      <c r="B175" t="s">
        <v>4948</v>
      </c>
    </row>
    <row r="176" spans="1:2" x14ac:dyDescent="0.3">
      <c r="A176" t="s">
        <v>4795</v>
      </c>
      <c r="B176" t="s">
        <v>4949</v>
      </c>
    </row>
    <row r="177" spans="1:2" x14ac:dyDescent="0.3">
      <c r="A177" t="s">
        <v>4795</v>
      </c>
      <c r="B177" t="s">
        <v>4950</v>
      </c>
    </row>
    <row r="178" spans="1:2" x14ac:dyDescent="0.3">
      <c r="A178" t="s">
        <v>4795</v>
      </c>
      <c r="B178" t="s">
        <v>4951</v>
      </c>
    </row>
    <row r="179" spans="1:2" x14ac:dyDescent="0.3">
      <c r="A179" t="s">
        <v>4795</v>
      </c>
      <c r="B179" t="s">
        <v>4952</v>
      </c>
    </row>
    <row r="180" spans="1:2" x14ac:dyDescent="0.3">
      <c r="A180" t="s">
        <v>4795</v>
      </c>
      <c r="B180" t="s">
        <v>4953</v>
      </c>
    </row>
    <row r="181" spans="1:2" x14ac:dyDescent="0.3">
      <c r="A181" t="s">
        <v>4796</v>
      </c>
      <c r="B181" t="s">
        <v>4900</v>
      </c>
    </row>
    <row r="182" spans="1:2" x14ac:dyDescent="0.3">
      <c r="A182" t="s">
        <v>4796</v>
      </c>
      <c r="B182" t="s">
        <v>4954</v>
      </c>
    </row>
    <row r="183" spans="1:2" x14ac:dyDescent="0.3">
      <c r="A183" t="s">
        <v>4796</v>
      </c>
      <c r="B183" t="s">
        <v>4955</v>
      </c>
    </row>
    <row r="184" spans="1:2" x14ac:dyDescent="0.3">
      <c r="A184" t="s">
        <v>4796</v>
      </c>
      <c r="B184" t="s">
        <v>4956</v>
      </c>
    </row>
    <row r="185" spans="1:2" x14ac:dyDescent="0.3">
      <c r="A185" t="s">
        <v>4796</v>
      </c>
      <c r="B185" t="s">
        <v>4957</v>
      </c>
    </row>
    <row r="186" spans="1:2" x14ac:dyDescent="0.3">
      <c r="A186" t="s">
        <v>4796</v>
      </c>
      <c r="B186" t="s">
        <v>4958</v>
      </c>
    </row>
    <row r="187" spans="1:2" x14ac:dyDescent="0.3">
      <c r="A187" t="s">
        <v>4796</v>
      </c>
      <c r="B187" t="s">
        <v>4959</v>
      </c>
    </row>
    <row r="188" spans="1:2" x14ac:dyDescent="0.3">
      <c r="A188" t="s">
        <v>4796</v>
      </c>
      <c r="B188" t="s">
        <v>4960</v>
      </c>
    </row>
    <row r="189" spans="1:2" x14ac:dyDescent="0.3">
      <c r="A189" t="s">
        <v>4796</v>
      </c>
      <c r="B189" t="s">
        <v>3572</v>
      </c>
    </row>
    <row r="190" spans="1:2" x14ac:dyDescent="0.3">
      <c r="A190" t="s">
        <v>4796</v>
      </c>
      <c r="B190" t="s">
        <v>4859</v>
      </c>
    </row>
    <row r="191" spans="1:2" x14ac:dyDescent="0.3">
      <c r="A191" t="s">
        <v>4796</v>
      </c>
      <c r="B191" t="s">
        <v>4961</v>
      </c>
    </row>
    <row r="192" spans="1:2" x14ac:dyDescent="0.3">
      <c r="A192" t="s">
        <v>4796</v>
      </c>
      <c r="B192" t="s">
        <v>4962</v>
      </c>
    </row>
    <row r="193" spans="1:2" x14ac:dyDescent="0.3">
      <c r="A193" t="s">
        <v>4797</v>
      </c>
      <c r="B193" t="s">
        <v>4963</v>
      </c>
    </row>
    <row r="194" spans="1:2" x14ac:dyDescent="0.3">
      <c r="A194" t="s">
        <v>4797</v>
      </c>
      <c r="B194" t="s">
        <v>4964</v>
      </c>
    </row>
    <row r="195" spans="1:2" x14ac:dyDescent="0.3">
      <c r="A195" t="s">
        <v>4797</v>
      </c>
      <c r="B195" t="s">
        <v>4965</v>
      </c>
    </row>
    <row r="196" spans="1:2" x14ac:dyDescent="0.3">
      <c r="A196" t="s">
        <v>4797</v>
      </c>
      <c r="B196" t="s">
        <v>4966</v>
      </c>
    </row>
    <row r="197" spans="1:2" x14ac:dyDescent="0.3">
      <c r="A197" t="s">
        <v>4797</v>
      </c>
      <c r="B197" t="s">
        <v>4967</v>
      </c>
    </row>
    <row r="198" spans="1:2" x14ac:dyDescent="0.3">
      <c r="A198" t="s">
        <v>4797</v>
      </c>
      <c r="B198" t="s">
        <v>4968</v>
      </c>
    </row>
    <row r="199" spans="1:2" x14ac:dyDescent="0.3">
      <c r="A199" t="s">
        <v>4797</v>
      </c>
      <c r="B199" t="s">
        <v>3700</v>
      </c>
    </row>
    <row r="200" spans="1:2" x14ac:dyDescent="0.3">
      <c r="A200" t="s">
        <v>4797</v>
      </c>
      <c r="B200" t="s">
        <v>4868</v>
      </c>
    </row>
    <row r="201" spans="1:2" x14ac:dyDescent="0.3">
      <c r="A201" t="s">
        <v>4797</v>
      </c>
      <c r="B201" t="s">
        <v>4982</v>
      </c>
    </row>
    <row r="202" spans="1:2" x14ac:dyDescent="0.3">
      <c r="A202" t="s">
        <v>4797</v>
      </c>
      <c r="B202" t="s">
        <v>4969</v>
      </c>
    </row>
    <row r="203" spans="1:2" x14ac:dyDescent="0.3">
      <c r="A203" t="s">
        <v>4797</v>
      </c>
      <c r="B203" t="s">
        <v>4970</v>
      </c>
    </row>
    <row r="204" spans="1:2" x14ac:dyDescent="0.3">
      <c r="A204" t="s">
        <v>4797</v>
      </c>
      <c r="B204" t="s">
        <v>4971</v>
      </c>
    </row>
    <row r="205" spans="1:2" x14ac:dyDescent="0.3">
      <c r="A205" t="s">
        <v>4797</v>
      </c>
      <c r="B205" t="s">
        <v>4972</v>
      </c>
    </row>
    <row r="206" spans="1:2" x14ac:dyDescent="0.3">
      <c r="A206" t="s">
        <v>4797</v>
      </c>
      <c r="B206" t="s">
        <v>4973</v>
      </c>
    </row>
    <row r="207" spans="1:2" x14ac:dyDescent="0.3">
      <c r="A207" t="s">
        <v>4797</v>
      </c>
      <c r="B207" t="s">
        <v>4974</v>
      </c>
    </row>
    <row r="208" spans="1:2" x14ac:dyDescent="0.3">
      <c r="A208" t="s">
        <v>4797</v>
      </c>
      <c r="B208" t="s">
        <v>3650</v>
      </c>
    </row>
    <row r="209" spans="1:2" x14ac:dyDescent="0.3">
      <c r="A209" t="s">
        <v>4797</v>
      </c>
      <c r="B209" t="s">
        <v>4975</v>
      </c>
    </row>
    <row r="210" spans="1:2" x14ac:dyDescent="0.3">
      <c r="A210" t="s">
        <v>4797</v>
      </c>
      <c r="B210" t="s">
        <v>4976</v>
      </c>
    </row>
    <row r="211" spans="1:2" x14ac:dyDescent="0.3">
      <c r="A211" t="s">
        <v>4797</v>
      </c>
      <c r="B211" t="s">
        <v>4977</v>
      </c>
    </row>
    <row r="212" spans="1:2" x14ac:dyDescent="0.3">
      <c r="A212" t="s">
        <v>4797</v>
      </c>
      <c r="B212" t="s">
        <v>3701</v>
      </c>
    </row>
    <row r="213" spans="1:2" x14ac:dyDescent="0.3">
      <c r="A213" t="s">
        <v>4797</v>
      </c>
      <c r="B213" t="s">
        <v>4978</v>
      </c>
    </row>
    <row r="214" spans="1:2" x14ac:dyDescent="0.3">
      <c r="A214" t="s">
        <v>4797</v>
      </c>
      <c r="B214" t="s">
        <v>4979</v>
      </c>
    </row>
    <row r="215" spans="1:2" x14ac:dyDescent="0.3">
      <c r="A215" t="s">
        <v>4797</v>
      </c>
      <c r="B215" t="s">
        <v>4980</v>
      </c>
    </row>
    <row r="216" spans="1:2" x14ac:dyDescent="0.3">
      <c r="A216" t="s">
        <v>4797</v>
      </c>
      <c r="B216" t="s">
        <v>3702</v>
      </c>
    </row>
    <row r="217" spans="1:2" x14ac:dyDescent="0.3">
      <c r="A217" t="s">
        <v>4797</v>
      </c>
      <c r="B217" t="s">
        <v>4981</v>
      </c>
    </row>
    <row r="218" spans="1:2" x14ac:dyDescent="0.3">
      <c r="A218" t="s">
        <v>4798</v>
      </c>
      <c r="B218" t="s">
        <v>4983</v>
      </c>
    </row>
    <row r="219" spans="1:2" x14ac:dyDescent="0.3">
      <c r="A219" t="s">
        <v>4798</v>
      </c>
      <c r="B219" t="s">
        <v>4984</v>
      </c>
    </row>
    <row r="220" spans="1:2" x14ac:dyDescent="0.3">
      <c r="A220" t="s">
        <v>4798</v>
      </c>
      <c r="B220" t="s">
        <v>3796</v>
      </c>
    </row>
    <row r="221" spans="1:2" x14ac:dyDescent="0.3">
      <c r="A221" t="s">
        <v>4798</v>
      </c>
      <c r="B221" t="s">
        <v>4985</v>
      </c>
    </row>
    <row r="222" spans="1:2" x14ac:dyDescent="0.3">
      <c r="A222" t="s">
        <v>4798</v>
      </c>
      <c r="B222" t="s">
        <v>4986</v>
      </c>
    </row>
    <row r="223" spans="1:2" x14ac:dyDescent="0.3">
      <c r="A223" t="s">
        <v>4798</v>
      </c>
      <c r="B223" t="s">
        <v>4987</v>
      </c>
    </row>
    <row r="224" spans="1:2" x14ac:dyDescent="0.3">
      <c r="A224" t="s">
        <v>4798</v>
      </c>
      <c r="B224" t="s">
        <v>4988</v>
      </c>
    </row>
    <row r="225" spans="1:2" x14ac:dyDescent="0.3">
      <c r="A225" t="s">
        <v>4798</v>
      </c>
      <c r="B225" t="s">
        <v>3742</v>
      </c>
    </row>
    <row r="226" spans="1:2" x14ac:dyDescent="0.3">
      <c r="A226" t="s">
        <v>4798</v>
      </c>
      <c r="B226" t="s">
        <v>4989</v>
      </c>
    </row>
    <row r="227" spans="1:2" x14ac:dyDescent="0.3">
      <c r="A227" t="s">
        <v>4798</v>
      </c>
      <c r="B227" t="s">
        <v>4990</v>
      </c>
    </row>
    <row r="228" spans="1:2" x14ac:dyDescent="0.3">
      <c r="A228" t="s">
        <v>4798</v>
      </c>
      <c r="B228" t="s">
        <v>4991</v>
      </c>
    </row>
    <row r="229" spans="1:2" x14ac:dyDescent="0.3">
      <c r="A229" t="s">
        <v>4798</v>
      </c>
      <c r="B229" t="s">
        <v>4992</v>
      </c>
    </row>
    <row r="230" spans="1:2" x14ac:dyDescent="0.3">
      <c r="A230" t="s">
        <v>4798</v>
      </c>
      <c r="B230" t="s">
        <v>4993</v>
      </c>
    </row>
    <row r="231" spans="1:2" x14ac:dyDescent="0.3">
      <c r="A231" t="s">
        <v>4798</v>
      </c>
      <c r="B231" t="s">
        <v>4994</v>
      </c>
    </row>
    <row r="232" spans="1:2" x14ac:dyDescent="0.3">
      <c r="A232" t="s">
        <v>4798</v>
      </c>
      <c r="B232" t="s">
        <v>3783</v>
      </c>
    </row>
    <row r="233" spans="1:2" x14ac:dyDescent="0.3">
      <c r="A233" t="s">
        <v>4798</v>
      </c>
      <c r="B233" t="s">
        <v>4995</v>
      </c>
    </row>
    <row r="234" spans="1:2" x14ac:dyDescent="0.3">
      <c r="A234" t="s">
        <v>4798</v>
      </c>
      <c r="B234" t="s">
        <v>4996</v>
      </c>
    </row>
    <row r="235" spans="1:2" x14ac:dyDescent="0.3">
      <c r="A235" t="s">
        <v>4799</v>
      </c>
      <c r="B235" t="s">
        <v>4997</v>
      </c>
    </row>
    <row r="236" spans="1:2" x14ac:dyDescent="0.3">
      <c r="A236" t="s">
        <v>4799</v>
      </c>
      <c r="B236" t="s">
        <v>4998</v>
      </c>
    </row>
    <row r="237" spans="1:2" x14ac:dyDescent="0.3">
      <c r="A237" t="s">
        <v>4799</v>
      </c>
      <c r="B237" t="s">
        <v>4999</v>
      </c>
    </row>
    <row r="238" spans="1:2" x14ac:dyDescent="0.3">
      <c r="A238" t="s">
        <v>4799</v>
      </c>
      <c r="B238" t="s">
        <v>3890</v>
      </c>
    </row>
    <row r="239" spans="1:2" x14ac:dyDescent="0.3">
      <c r="A239" t="s">
        <v>4799</v>
      </c>
      <c r="B239" t="s">
        <v>5000</v>
      </c>
    </row>
    <row r="240" spans="1:2" x14ac:dyDescent="0.3">
      <c r="A240" t="s">
        <v>4799</v>
      </c>
      <c r="B240" t="s">
        <v>3891</v>
      </c>
    </row>
    <row r="241" spans="1:2" x14ac:dyDescent="0.3">
      <c r="A241" t="s">
        <v>4799</v>
      </c>
      <c r="B241" t="s">
        <v>5001</v>
      </c>
    </row>
    <row r="242" spans="1:2" x14ac:dyDescent="0.3">
      <c r="A242" t="s">
        <v>4799</v>
      </c>
      <c r="B242" t="s">
        <v>5002</v>
      </c>
    </row>
    <row r="243" spans="1:2" x14ac:dyDescent="0.3">
      <c r="A243" t="s">
        <v>4799</v>
      </c>
      <c r="B243" t="s">
        <v>5003</v>
      </c>
    </row>
    <row r="244" spans="1:2" x14ac:dyDescent="0.3">
      <c r="A244" t="s">
        <v>4799</v>
      </c>
      <c r="B244" t="s">
        <v>5004</v>
      </c>
    </row>
    <row r="245" spans="1:2" x14ac:dyDescent="0.3">
      <c r="A245" t="s">
        <v>4799</v>
      </c>
      <c r="B245" t="s">
        <v>5005</v>
      </c>
    </row>
    <row r="246" spans="1:2" x14ac:dyDescent="0.3">
      <c r="A246" t="s">
        <v>4799</v>
      </c>
      <c r="B246" t="s">
        <v>4931</v>
      </c>
    </row>
    <row r="247" spans="1:2" x14ac:dyDescent="0.3">
      <c r="A247" t="s">
        <v>4799</v>
      </c>
      <c r="B247" t="s">
        <v>5006</v>
      </c>
    </row>
    <row r="248" spans="1:2" x14ac:dyDescent="0.3">
      <c r="A248" t="s">
        <v>4799</v>
      </c>
      <c r="B248" t="s">
        <v>3863</v>
      </c>
    </row>
    <row r="249" spans="1:2" x14ac:dyDescent="0.3">
      <c r="A249" t="s">
        <v>4799</v>
      </c>
      <c r="B249" t="s">
        <v>5007</v>
      </c>
    </row>
    <row r="250" spans="1:2" x14ac:dyDescent="0.3">
      <c r="A250" t="s">
        <v>4799</v>
      </c>
      <c r="B250" t="s">
        <v>3892</v>
      </c>
    </row>
    <row r="251" spans="1:2" x14ac:dyDescent="0.3">
      <c r="A251" t="s">
        <v>4799</v>
      </c>
      <c r="B251" t="s">
        <v>5008</v>
      </c>
    </row>
    <row r="252" spans="1:2" x14ac:dyDescent="0.3">
      <c r="A252" t="s">
        <v>4799</v>
      </c>
      <c r="B252" t="s">
        <v>5011</v>
      </c>
    </row>
    <row r="253" spans="1:2" x14ac:dyDescent="0.3">
      <c r="A253" t="s">
        <v>4799</v>
      </c>
      <c r="B253" t="s">
        <v>5009</v>
      </c>
    </row>
    <row r="254" spans="1:2" x14ac:dyDescent="0.3">
      <c r="A254" t="s">
        <v>4799</v>
      </c>
      <c r="B254" t="s">
        <v>5010</v>
      </c>
    </row>
    <row r="255" spans="1:2" x14ac:dyDescent="0.3">
      <c r="A255" t="s">
        <v>4800</v>
      </c>
      <c r="B255" t="s">
        <v>5012</v>
      </c>
    </row>
    <row r="256" spans="1:2" x14ac:dyDescent="0.3">
      <c r="A256" t="s">
        <v>4800</v>
      </c>
      <c r="B256" t="s">
        <v>4985</v>
      </c>
    </row>
    <row r="257" spans="1:2" x14ac:dyDescent="0.3">
      <c r="A257" t="s">
        <v>4800</v>
      </c>
      <c r="B257" t="s">
        <v>4035</v>
      </c>
    </row>
    <row r="258" spans="1:2" x14ac:dyDescent="0.3">
      <c r="A258" t="s">
        <v>4800</v>
      </c>
      <c r="B258" t="s">
        <v>5024</v>
      </c>
    </row>
    <row r="259" spans="1:2" x14ac:dyDescent="0.3">
      <c r="A259" t="s">
        <v>4800</v>
      </c>
      <c r="B259" t="s">
        <v>4036</v>
      </c>
    </row>
    <row r="260" spans="1:2" x14ac:dyDescent="0.3">
      <c r="A260" t="s">
        <v>4800</v>
      </c>
      <c r="B260" t="s">
        <v>4037</v>
      </c>
    </row>
    <row r="261" spans="1:2" x14ac:dyDescent="0.3">
      <c r="A261" t="s">
        <v>4800</v>
      </c>
      <c r="B261" t="s">
        <v>5013</v>
      </c>
    </row>
    <row r="262" spans="1:2" x14ac:dyDescent="0.3">
      <c r="A262" t="s">
        <v>4800</v>
      </c>
      <c r="B262" t="s">
        <v>4038</v>
      </c>
    </row>
    <row r="263" spans="1:2" x14ac:dyDescent="0.3">
      <c r="A263" t="s">
        <v>4800</v>
      </c>
      <c r="B263" t="s">
        <v>5014</v>
      </c>
    </row>
    <row r="264" spans="1:2" x14ac:dyDescent="0.3">
      <c r="A264" t="s">
        <v>4800</v>
      </c>
      <c r="B264" t="s">
        <v>4039</v>
      </c>
    </row>
    <row r="265" spans="1:2" x14ac:dyDescent="0.3">
      <c r="A265" t="s">
        <v>4800</v>
      </c>
      <c r="B265" t="s">
        <v>4040</v>
      </c>
    </row>
    <row r="266" spans="1:2" x14ac:dyDescent="0.3">
      <c r="A266" t="s">
        <v>4800</v>
      </c>
      <c r="B266" t="s">
        <v>5015</v>
      </c>
    </row>
    <row r="267" spans="1:2" x14ac:dyDescent="0.3">
      <c r="A267" t="s">
        <v>4800</v>
      </c>
      <c r="B267" t="s">
        <v>4041</v>
      </c>
    </row>
    <row r="268" spans="1:2" x14ac:dyDescent="0.3">
      <c r="A268" t="s">
        <v>4800</v>
      </c>
      <c r="B268" t="s">
        <v>4042</v>
      </c>
    </row>
    <row r="269" spans="1:2" x14ac:dyDescent="0.3">
      <c r="A269" t="s">
        <v>4800</v>
      </c>
      <c r="B269" t="s">
        <v>4043</v>
      </c>
    </row>
    <row r="270" spans="1:2" x14ac:dyDescent="0.3">
      <c r="A270" t="s">
        <v>4800</v>
      </c>
      <c r="B270" t="s">
        <v>5016</v>
      </c>
    </row>
    <row r="271" spans="1:2" x14ac:dyDescent="0.3">
      <c r="A271" t="s">
        <v>4800</v>
      </c>
      <c r="B271" t="s">
        <v>5017</v>
      </c>
    </row>
    <row r="272" spans="1:2" x14ac:dyDescent="0.3">
      <c r="A272" t="s">
        <v>4800</v>
      </c>
      <c r="B272" t="s">
        <v>5018</v>
      </c>
    </row>
    <row r="273" spans="1:2" x14ac:dyDescent="0.3">
      <c r="A273" t="s">
        <v>4800</v>
      </c>
      <c r="B273" t="s">
        <v>4044</v>
      </c>
    </row>
    <row r="274" spans="1:2" x14ac:dyDescent="0.3">
      <c r="A274" t="s">
        <v>4800</v>
      </c>
      <c r="B274" t="s">
        <v>5019</v>
      </c>
    </row>
    <row r="275" spans="1:2" x14ac:dyDescent="0.3">
      <c r="A275" t="s">
        <v>4800</v>
      </c>
      <c r="B275" t="s">
        <v>4045</v>
      </c>
    </row>
    <row r="276" spans="1:2" x14ac:dyDescent="0.3">
      <c r="A276" t="s">
        <v>4800</v>
      </c>
      <c r="B276" t="s">
        <v>5020</v>
      </c>
    </row>
    <row r="277" spans="1:2" x14ac:dyDescent="0.3">
      <c r="A277" t="s">
        <v>4800</v>
      </c>
      <c r="B277" t="s">
        <v>5021</v>
      </c>
    </row>
    <row r="278" spans="1:2" x14ac:dyDescent="0.3">
      <c r="A278" t="s">
        <v>4800</v>
      </c>
      <c r="B278" t="s">
        <v>4046</v>
      </c>
    </row>
    <row r="279" spans="1:2" x14ac:dyDescent="0.3">
      <c r="A279" t="s">
        <v>4800</v>
      </c>
      <c r="B279" t="s">
        <v>5022</v>
      </c>
    </row>
    <row r="280" spans="1:2" x14ac:dyDescent="0.3">
      <c r="A280" t="s">
        <v>4800</v>
      </c>
      <c r="B280" t="s">
        <v>4047</v>
      </c>
    </row>
    <row r="281" spans="1:2" x14ac:dyDescent="0.3">
      <c r="A281" t="s">
        <v>4800</v>
      </c>
      <c r="B281" t="s">
        <v>4048</v>
      </c>
    </row>
    <row r="282" spans="1:2" x14ac:dyDescent="0.3">
      <c r="A282" t="s">
        <v>4800</v>
      </c>
      <c r="B282" t="s">
        <v>4049</v>
      </c>
    </row>
    <row r="283" spans="1:2" x14ac:dyDescent="0.3">
      <c r="A283" t="s">
        <v>4800</v>
      </c>
      <c r="B283" t="s">
        <v>4050</v>
      </c>
    </row>
    <row r="284" spans="1:2" x14ac:dyDescent="0.3">
      <c r="A284" t="s">
        <v>4800</v>
      </c>
      <c r="B284" t="s">
        <v>5023</v>
      </c>
    </row>
    <row r="285" spans="1:2" x14ac:dyDescent="0.3">
      <c r="A285" t="s">
        <v>4800</v>
      </c>
      <c r="B285" t="s">
        <v>4051</v>
      </c>
    </row>
    <row r="286" spans="1:2" x14ac:dyDescent="0.3">
      <c r="A286" t="s">
        <v>4800</v>
      </c>
      <c r="B286" t="s">
        <v>5025</v>
      </c>
    </row>
    <row r="287" spans="1:2" x14ac:dyDescent="0.3">
      <c r="A287" t="s">
        <v>4800</v>
      </c>
      <c r="B287" t="s">
        <v>4052</v>
      </c>
    </row>
    <row r="288" spans="1:2" x14ac:dyDescent="0.3">
      <c r="A288" t="s">
        <v>4800</v>
      </c>
      <c r="B288" t="s">
        <v>5026</v>
      </c>
    </row>
    <row r="289" spans="1:2" x14ac:dyDescent="0.3">
      <c r="A289" t="s">
        <v>4800</v>
      </c>
      <c r="B289" t="s">
        <v>4053</v>
      </c>
    </row>
    <row r="290" spans="1:2" x14ac:dyDescent="0.3">
      <c r="A290" t="s">
        <v>4800</v>
      </c>
      <c r="B290" t="s">
        <v>5027</v>
      </c>
    </row>
    <row r="291" spans="1:2" x14ac:dyDescent="0.3">
      <c r="A291" t="s">
        <v>4801</v>
      </c>
      <c r="B291" t="s">
        <v>5028</v>
      </c>
    </row>
    <row r="292" spans="1:2" x14ac:dyDescent="0.3">
      <c r="A292" t="s">
        <v>4801</v>
      </c>
      <c r="B292" t="s">
        <v>5029</v>
      </c>
    </row>
    <row r="293" spans="1:2" x14ac:dyDescent="0.3">
      <c r="A293" t="s">
        <v>4801</v>
      </c>
      <c r="B293" t="s">
        <v>5030</v>
      </c>
    </row>
    <row r="294" spans="1:2" x14ac:dyDescent="0.3">
      <c r="A294" t="s">
        <v>4801</v>
      </c>
      <c r="B294" t="s">
        <v>4143</v>
      </c>
    </row>
    <row r="295" spans="1:2" x14ac:dyDescent="0.3">
      <c r="A295" t="s">
        <v>4801</v>
      </c>
      <c r="B295" t="s">
        <v>5031</v>
      </c>
    </row>
    <row r="296" spans="1:2" x14ac:dyDescent="0.3">
      <c r="A296" t="s">
        <v>4801</v>
      </c>
      <c r="B296" t="s">
        <v>5032</v>
      </c>
    </row>
    <row r="297" spans="1:2" x14ac:dyDescent="0.3">
      <c r="A297" t="s">
        <v>4801</v>
      </c>
      <c r="B297" t="s">
        <v>5033</v>
      </c>
    </row>
    <row r="298" spans="1:2" x14ac:dyDescent="0.3">
      <c r="A298" t="s">
        <v>4801</v>
      </c>
      <c r="B298" t="s">
        <v>5034</v>
      </c>
    </row>
    <row r="299" spans="1:2" x14ac:dyDescent="0.3">
      <c r="A299" t="s">
        <v>4801</v>
      </c>
      <c r="B299" t="s">
        <v>5035</v>
      </c>
    </row>
    <row r="300" spans="1:2" x14ac:dyDescent="0.3">
      <c r="A300" t="s">
        <v>4801</v>
      </c>
      <c r="B300" t="s">
        <v>5036</v>
      </c>
    </row>
    <row r="301" spans="1:2" x14ac:dyDescent="0.3">
      <c r="A301" t="s">
        <v>4801</v>
      </c>
      <c r="B301" t="s">
        <v>5037</v>
      </c>
    </row>
    <row r="302" spans="1:2" x14ac:dyDescent="0.3">
      <c r="A302" t="s">
        <v>4801</v>
      </c>
      <c r="B302" t="s">
        <v>5038</v>
      </c>
    </row>
    <row r="303" spans="1:2" x14ac:dyDescent="0.3">
      <c r="A303" t="s">
        <v>4801</v>
      </c>
      <c r="B303" t="s">
        <v>5039</v>
      </c>
    </row>
    <row r="304" spans="1:2" x14ac:dyDescent="0.3">
      <c r="A304" t="s">
        <v>4801</v>
      </c>
      <c r="B304" t="s">
        <v>5040</v>
      </c>
    </row>
    <row r="305" spans="1:2" x14ac:dyDescent="0.3">
      <c r="A305" t="s">
        <v>4802</v>
      </c>
      <c r="B305" t="s">
        <v>5041</v>
      </c>
    </row>
    <row r="306" spans="1:2" x14ac:dyDescent="0.3">
      <c r="A306" t="s">
        <v>4802</v>
      </c>
      <c r="B306" t="s">
        <v>5042</v>
      </c>
    </row>
    <row r="307" spans="1:2" x14ac:dyDescent="0.3">
      <c r="A307" t="s">
        <v>4802</v>
      </c>
      <c r="B307" t="s">
        <v>5043</v>
      </c>
    </row>
    <row r="308" spans="1:2" x14ac:dyDescent="0.3">
      <c r="A308" t="s">
        <v>4802</v>
      </c>
      <c r="B308" t="s">
        <v>4154</v>
      </c>
    </row>
    <row r="309" spans="1:2" x14ac:dyDescent="0.3">
      <c r="A309" t="s">
        <v>4802</v>
      </c>
      <c r="B309" t="s">
        <v>5044</v>
      </c>
    </row>
    <row r="310" spans="1:2" x14ac:dyDescent="0.3">
      <c r="A310" t="s">
        <v>4802</v>
      </c>
      <c r="B310" t="s">
        <v>5045</v>
      </c>
    </row>
    <row r="311" spans="1:2" x14ac:dyDescent="0.3">
      <c r="A311" t="s">
        <v>4802</v>
      </c>
      <c r="B311" t="s">
        <v>5046</v>
      </c>
    </row>
    <row r="312" spans="1:2" x14ac:dyDescent="0.3">
      <c r="A312" t="s">
        <v>4802</v>
      </c>
      <c r="B312" t="s">
        <v>5058</v>
      </c>
    </row>
    <row r="313" spans="1:2" x14ac:dyDescent="0.3">
      <c r="A313" t="s">
        <v>4802</v>
      </c>
      <c r="B313" t="s">
        <v>5047</v>
      </c>
    </row>
    <row r="314" spans="1:2" x14ac:dyDescent="0.3">
      <c r="A314" t="s">
        <v>4802</v>
      </c>
      <c r="B314" t="s">
        <v>5048</v>
      </c>
    </row>
    <row r="315" spans="1:2" x14ac:dyDescent="0.3">
      <c r="A315" t="s">
        <v>4802</v>
      </c>
      <c r="B315" t="s">
        <v>5049</v>
      </c>
    </row>
    <row r="316" spans="1:2" x14ac:dyDescent="0.3">
      <c r="A316" t="s">
        <v>4802</v>
      </c>
      <c r="B316" t="s">
        <v>5050</v>
      </c>
    </row>
    <row r="317" spans="1:2" x14ac:dyDescent="0.3">
      <c r="A317" t="s">
        <v>4802</v>
      </c>
      <c r="B317" t="s">
        <v>5051</v>
      </c>
    </row>
    <row r="318" spans="1:2" x14ac:dyDescent="0.3">
      <c r="A318" t="s">
        <v>4802</v>
      </c>
      <c r="B318" t="s">
        <v>5052</v>
      </c>
    </row>
    <row r="319" spans="1:2" x14ac:dyDescent="0.3">
      <c r="A319" t="s">
        <v>4802</v>
      </c>
      <c r="B319" t="s">
        <v>5053</v>
      </c>
    </row>
    <row r="320" spans="1:2" x14ac:dyDescent="0.3">
      <c r="A320" t="s">
        <v>4802</v>
      </c>
      <c r="B320" t="s">
        <v>3931</v>
      </c>
    </row>
    <row r="321" spans="1:2" x14ac:dyDescent="0.3">
      <c r="A321" t="s">
        <v>4802</v>
      </c>
      <c r="B321" t="s">
        <v>5054</v>
      </c>
    </row>
    <row r="322" spans="1:2" x14ac:dyDescent="0.3">
      <c r="A322" t="s">
        <v>4802</v>
      </c>
      <c r="B322" t="s">
        <v>5055</v>
      </c>
    </row>
    <row r="323" spans="1:2" x14ac:dyDescent="0.3">
      <c r="A323" t="s">
        <v>4802</v>
      </c>
      <c r="B323" t="s">
        <v>5056</v>
      </c>
    </row>
    <row r="324" spans="1:2" x14ac:dyDescent="0.3">
      <c r="A324" t="s">
        <v>4802</v>
      </c>
      <c r="B324" t="s">
        <v>5057</v>
      </c>
    </row>
    <row r="325" spans="1:2" x14ac:dyDescent="0.3">
      <c r="A325" t="s">
        <v>4802</v>
      </c>
      <c r="B325" t="s">
        <v>5059</v>
      </c>
    </row>
    <row r="326" spans="1:2" x14ac:dyDescent="0.3">
      <c r="A326" t="s">
        <v>4803</v>
      </c>
      <c r="B326" t="s">
        <v>5060</v>
      </c>
    </row>
    <row r="327" spans="1:2" x14ac:dyDescent="0.3">
      <c r="A327" t="s">
        <v>4803</v>
      </c>
      <c r="B327" t="s">
        <v>5061</v>
      </c>
    </row>
    <row r="328" spans="1:2" x14ac:dyDescent="0.3">
      <c r="A328" t="s">
        <v>4803</v>
      </c>
      <c r="B328" t="s">
        <v>5062</v>
      </c>
    </row>
    <row r="329" spans="1:2" x14ac:dyDescent="0.3">
      <c r="A329" t="s">
        <v>4803</v>
      </c>
      <c r="B329" t="s">
        <v>5063</v>
      </c>
    </row>
    <row r="330" spans="1:2" x14ac:dyDescent="0.3">
      <c r="A330" t="s">
        <v>4803</v>
      </c>
      <c r="B330" t="s">
        <v>4922</v>
      </c>
    </row>
    <row r="331" spans="1:2" x14ac:dyDescent="0.3">
      <c r="A331" t="s">
        <v>4803</v>
      </c>
      <c r="B331" t="s">
        <v>5064</v>
      </c>
    </row>
    <row r="332" spans="1:2" x14ac:dyDescent="0.3">
      <c r="A332" t="s">
        <v>4803</v>
      </c>
      <c r="B332" t="s">
        <v>5065</v>
      </c>
    </row>
    <row r="333" spans="1:2" x14ac:dyDescent="0.3">
      <c r="A333" t="s">
        <v>4803</v>
      </c>
      <c r="B333" t="s">
        <v>4409</v>
      </c>
    </row>
    <row r="334" spans="1:2" x14ac:dyDescent="0.3">
      <c r="A334" t="s">
        <v>4803</v>
      </c>
      <c r="B334" t="s">
        <v>5066</v>
      </c>
    </row>
    <row r="335" spans="1:2" x14ac:dyDescent="0.3">
      <c r="A335" t="s">
        <v>4803</v>
      </c>
      <c r="B335" t="s">
        <v>5067</v>
      </c>
    </row>
    <row r="336" spans="1:2" x14ac:dyDescent="0.3">
      <c r="A336" t="s">
        <v>4803</v>
      </c>
      <c r="B336" t="s">
        <v>4410</v>
      </c>
    </row>
    <row r="337" spans="1:2" x14ac:dyDescent="0.3">
      <c r="A337" t="s">
        <v>4803</v>
      </c>
      <c r="B337" t="s">
        <v>5068</v>
      </c>
    </row>
    <row r="338" spans="1:2" x14ac:dyDescent="0.3">
      <c r="A338" t="s">
        <v>4803</v>
      </c>
      <c r="B338" t="s">
        <v>5069</v>
      </c>
    </row>
    <row r="339" spans="1:2" x14ac:dyDescent="0.3">
      <c r="A339" t="s">
        <v>4803</v>
      </c>
      <c r="B339" t="s">
        <v>5070</v>
      </c>
    </row>
    <row r="340" spans="1:2" x14ac:dyDescent="0.3">
      <c r="A340" t="s">
        <v>4803</v>
      </c>
      <c r="B340" t="s">
        <v>5071</v>
      </c>
    </row>
    <row r="341" spans="1:2" x14ac:dyDescent="0.3">
      <c r="A341" t="s">
        <v>4803</v>
      </c>
      <c r="B341" t="s">
        <v>3461</v>
      </c>
    </row>
    <row r="342" spans="1:2" x14ac:dyDescent="0.3">
      <c r="A342" t="s">
        <v>4803</v>
      </c>
      <c r="B342" t="s">
        <v>5072</v>
      </c>
    </row>
    <row r="343" spans="1:2" x14ac:dyDescent="0.3">
      <c r="A343" t="s">
        <v>4803</v>
      </c>
      <c r="B343" t="s">
        <v>5073</v>
      </c>
    </row>
    <row r="344" spans="1:2" x14ac:dyDescent="0.3">
      <c r="A344" t="s">
        <v>4803</v>
      </c>
      <c r="B344" t="s">
        <v>5074</v>
      </c>
    </row>
    <row r="345" spans="1:2" x14ac:dyDescent="0.3">
      <c r="A345" t="s">
        <v>4803</v>
      </c>
      <c r="B345" t="s">
        <v>4787</v>
      </c>
    </row>
    <row r="346" spans="1:2" x14ac:dyDescent="0.3">
      <c r="A346" t="s">
        <v>4803</v>
      </c>
      <c r="B346" t="s">
        <v>5075</v>
      </c>
    </row>
    <row r="347" spans="1:2" x14ac:dyDescent="0.3">
      <c r="A347" t="s">
        <v>4803</v>
      </c>
      <c r="B347" t="s">
        <v>5076</v>
      </c>
    </row>
    <row r="348" spans="1:2" x14ac:dyDescent="0.3">
      <c r="A348" t="s">
        <v>4803</v>
      </c>
      <c r="B348" t="s">
        <v>5077</v>
      </c>
    </row>
    <row r="349" spans="1:2" x14ac:dyDescent="0.3">
      <c r="A349" t="s">
        <v>4803</v>
      </c>
      <c r="B349" t="s">
        <v>4411</v>
      </c>
    </row>
    <row r="350" spans="1:2" x14ac:dyDescent="0.3">
      <c r="A350" t="s">
        <v>4803</v>
      </c>
      <c r="B350" t="s">
        <v>5078</v>
      </c>
    </row>
    <row r="351" spans="1:2" x14ac:dyDescent="0.3">
      <c r="A351" t="s">
        <v>4803</v>
      </c>
      <c r="B351" t="s">
        <v>5079</v>
      </c>
    </row>
    <row r="352" spans="1:2" x14ac:dyDescent="0.3">
      <c r="A352" t="s">
        <v>4803</v>
      </c>
      <c r="B352" t="s">
        <v>5080</v>
      </c>
    </row>
    <row r="353" spans="1:2" x14ac:dyDescent="0.3">
      <c r="A353" t="s">
        <v>4803</v>
      </c>
      <c r="B353" t="s">
        <v>5081</v>
      </c>
    </row>
    <row r="354" spans="1:2" x14ac:dyDescent="0.3">
      <c r="A354" t="s">
        <v>4803</v>
      </c>
      <c r="B354" t="s">
        <v>4821</v>
      </c>
    </row>
    <row r="355" spans="1:2" x14ac:dyDescent="0.3">
      <c r="A355" t="s">
        <v>4803</v>
      </c>
      <c r="B355" t="s">
        <v>5082</v>
      </c>
    </row>
    <row r="356" spans="1:2" x14ac:dyDescent="0.3">
      <c r="A356" t="s">
        <v>4803</v>
      </c>
      <c r="B356" t="s">
        <v>5083</v>
      </c>
    </row>
    <row r="357" spans="1:2" x14ac:dyDescent="0.3">
      <c r="A357" t="s">
        <v>4803</v>
      </c>
      <c r="B357" t="s">
        <v>5084</v>
      </c>
    </row>
    <row r="358" spans="1:2" x14ac:dyDescent="0.3">
      <c r="A358" t="s">
        <v>4803</v>
      </c>
      <c r="B358" t="s">
        <v>5085</v>
      </c>
    </row>
    <row r="359" spans="1:2" x14ac:dyDescent="0.3">
      <c r="A359" t="s">
        <v>4803</v>
      </c>
      <c r="B359" t="s">
        <v>5086</v>
      </c>
    </row>
    <row r="360" spans="1:2" x14ac:dyDescent="0.3">
      <c r="A360" t="s">
        <v>4803</v>
      </c>
      <c r="B360" t="s">
        <v>5087</v>
      </c>
    </row>
    <row r="361" spans="1:2" x14ac:dyDescent="0.3">
      <c r="A361" t="s">
        <v>4804</v>
      </c>
      <c r="B361" t="s">
        <v>5088</v>
      </c>
    </row>
    <row r="362" spans="1:2" x14ac:dyDescent="0.3">
      <c r="A362" t="s">
        <v>4804</v>
      </c>
      <c r="B362" t="s">
        <v>5089</v>
      </c>
    </row>
    <row r="363" spans="1:2" x14ac:dyDescent="0.3">
      <c r="A363" t="s">
        <v>4804</v>
      </c>
      <c r="B363" t="s">
        <v>5090</v>
      </c>
    </row>
    <row r="364" spans="1:2" x14ac:dyDescent="0.3">
      <c r="A364" t="s">
        <v>4804</v>
      </c>
      <c r="B364" t="s">
        <v>5091</v>
      </c>
    </row>
    <row r="365" spans="1:2" x14ac:dyDescent="0.3">
      <c r="A365" t="s">
        <v>4804</v>
      </c>
      <c r="B365" t="s">
        <v>5092</v>
      </c>
    </row>
    <row r="366" spans="1:2" x14ac:dyDescent="0.3">
      <c r="A366" t="s">
        <v>4804</v>
      </c>
      <c r="B366" t="s">
        <v>5093</v>
      </c>
    </row>
    <row r="367" spans="1:2" x14ac:dyDescent="0.3">
      <c r="A367" t="s">
        <v>4804</v>
      </c>
      <c r="B367" t="s">
        <v>5094</v>
      </c>
    </row>
    <row r="368" spans="1:2" x14ac:dyDescent="0.3">
      <c r="A368" t="s">
        <v>4804</v>
      </c>
      <c r="B368" t="s">
        <v>5095</v>
      </c>
    </row>
    <row r="369" spans="1:2" x14ac:dyDescent="0.3">
      <c r="A369" t="s">
        <v>4804</v>
      </c>
      <c r="B369" t="s">
        <v>4502</v>
      </c>
    </row>
    <row r="370" spans="1:2" x14ac:dyDescent="0.3">
      <c r="A370" t="s">
        <v>4804</v>
      </c>
      <c r="B370" t="s">
        <v>5096</v>
      </c>
    </row>
    <row r="371" spans="1:2" x14ac:dyDescent="0.3">
      <c r="A371" t="s">
        <v>4804</v>
      </c>
      <c r="B371" t="s">
        <v>5105</v>
      </c>
    </row>
    <row r="372" spans="1:2" x14ac:dyDescent="0.3">
      <c r="A372" t="s">
        <v>4804</v>
      </c>
      <c r="B372" t="s">
        <v>5097</v>
      </c>
    </row>
    <row r="373" spans="1:2" x14ac:dyDescent="0.3">
      <c r="A373" t="s">
        <v>4804</v>
      </c>
      <c r="B373" t="s">
        <v>5098</v>
      </c>
    </row>
    <row r="374" spans="1:2" x14ac:dyDescent="0.3">
      <c r="A374" t="s">
        <v>4804</v>
      </c>
      <c r="B374" t="s">
        <v>5099</v>
      </c>
    </row>
    <row r="375" spans="1:2" x14ac:dyDescent="0.3">
      <c r="A375" t="s">
        <v>4804</v>
      </c>
      <c r="B375" t="s">
        <v>5100</v>
      </c>
    </row>
    <row r="376" spans="1:2" x14ac:dyDescent="0.3">
      <c r="A376" t="s">
        <v>4804</v>
      </c>
      <c r="B376" t="s">
        <v>5101</v>
      </c>
    </row>
    <row r="377" spans="1:2" x14ac:dyDescent="0.3">
      <c r="A377" t="s">
        <v>4804</v>
      </c>
      <c r="B377" t="s">
        <v>4503</v>
      </c>
    </row>
    <row r="378" spans="1:2" x14ac:dyDescent="0.3">
      <c r="A378" t="s">
        <v>4804</v>
      </c>
      <c r="B378" t="s">
        <v>5102</v>
      </c>
    </row>
    <row r="379" spans="1:2" x14ac:dyDescent="0.3">
      <c r="A379" t="s">
        <v>4804</v>
      </c>
      <c r="B379" t="s">
        <v>5103</v>
      </c>
    </row>
    <row r="380" spans="1:2" x14ac:dyDescent="0.3">
      <c r="A380" t="s">
        <v>4804</v>
      </c>
      <c r="B380" t="s">
        <v>5445</v>
      </c>
    </row>
    <row r="381" spans="1:2" x14ac:dyDescent="0.3">
      <c r="A381" t="s">
        <v>4804</v>
      </c>
      <c r="B381" t="s">
        <v>5104</v>
      </c>
    </row>
  </sheetData>
  <sheetProtection algorithmName="SHA-512" hashValue="UrR34fcmnuGGEnwhtRqwZxYcyqTEgdXUCmHs9cCTl07BmEVwO2TiffIfcOpb9pm1JVsQ8WnGySHWPQC+d6h2PQ==" saltValue="928H+1BlrHLKHZ+4shCADg==" spinCount="100000" sheet="1" objects="1" scenarios="1" formatCells="0" formatRows="0" sort="0" autoFilter="0"/>
  <autoFilter ref="A1:B1" xr:uid="{00000000-0009-0000-0000-000002000000}"/>
  <sortState xmlns:xlrd2="http://schemas.microsoft.com/office/spreadsheetml/2017/richdata2" ref="A2:B381">
    <sortCondition ref="A2:A381"/>
    <sortCondition ref="B2:B381"/>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4"/>
  <dimension ref="A1:F2480"/>
  <sheetViews>
    <sheetView topLeftCell="A647" workbookViewId="0">
      <selection activeCell="D657" sqref="D657:D662"/>
    </sheetView>
  </sheetViews>
  <sheetFormatPr defaultRowHeight="14.4" x14ac:dyDescent="0.3"/>
  <cols>
    <col min="1" max="1" width="14.6640625" bestFit="1" customWidth="1"/>
    <col min="2" max="2" width="23.5546875" bestFit="1" customWidth="1"/>
    <col min="3" max="3" width="43.44140625" bestFit="1" customWidth="1"/>
    <col min="4" max="4" width="29.33203125" bestFit="1" customWidth="1"/>
    <col min="5" max="5" width="44.6640625" customWidth="1"/>
    <col min="6" max="6" width="13.33203125" customWidth="1"/>
  </cols>
  <sheetData>
    <row r="1" spans="1:6" x14ac:dyDescent="0.3">
      <c r="A1" s="182" t="s">
        <v>4504</v>
      </c>
      <c r="B1" s="182" t="s">
        <v>4505</v>
      </c>
      <c r="C1" s="182" t="str">
        <f t="shared" ref="C1:C64" si="0">CONCATENATE(A1,"_",B1)</f>
        <v>województwo_powiat</v>
      </c>
      <c r="D1" s="182" t="s">
        <v>4506</v>
      </c>
      <c r="E1" s="182" t="str">
        <f t="shared" ref="E1:E64" si="1">C1&amp;"_"&amp;D1</f>
        <v>województwo_powiat_gmina</v>
      </c>
      <c r="F1" s="182" t="s">
        <v>4507</v>
      </c>
    </row>
    <row r="2" spans="1:6" x14ac:dyDescent="0.3">
      <c r="A2" t="s">
        <v>5392</v>
      </c>
      <c r="B2" t="s">
        <v>4805</v>
      </c>
      <c r="C2" t="str">
        <f t="shared" si="0"/>
        <v>dolnośląskie_bolesławiecki</v>
      </c>
      <c r="D2" t="s">
        <v>2413</v>
      </c>
      <c r="E2" t="str">
        <f t="shared" si="1"/>
        <v>dolnośląskie_bolesławiecki_Gromadka</v>
      </c>
      <c r="F2" t="s">
        <v>2</v>
      </c>
    </row>
    <row r="3" spans="1:6" x14ac:dyDescent="0.3">
      <c r="A3" t="s">
        <v>5392</v>
      </c>
      <c r="B3" t="s">
        <v>4805</v>
      </c>
      <c r="C3" t="str">
        <f t="shared" si="0"/>
        <v>dolnośląskie_bolesławiecki</v>
      </c>
      <c r="D3" t="s">
        <v>2414</v>
      </c>
      <c r="E3" t="str">
        <f t="shared" si="1"/>
        <v>dolnośląskie_bolesławiecki_Nowogrodziec</v>
      </c>
      <c r="F3" t="s">
        <v>3</v>
      </c>
    </row>
    <row r="4" spans="1:6" x14ac:dyDescent="0.3">
      <c r="A4" t="s">
        <v>5392</v>
      </c>
      <c r="B4" t="s">
        <v>4805</v>
      </c>
      <c r="C4" t="str">
        <f t="shared" si="0"/>
        <v>dolnośląskie_bolesławiecki</v>
      </c>
      <c r="D4" t="s">
        <v>2415</v>
      </c>
      <c r="E4" t="str">
        <f t="shared" si="1"/>
        <v>dolnośląskie_bolesławiecki_Osiecznica</v>
      </c>
      <c r="F4" t="s">
        <v>4</v>
      </c>
    </row>
    <row r="5" spans="1:6" x14ac:dyDescent="0.3">
      <c r="A5" t="s">
        <v>5392</v>
      </c>
      <c r="B5" t="s">
        <v>4805</v>
      </c>
      <c r="C5" t="str">
        <f t="shared" si="0"/>
        <v>dolnośląskie_bolesławiecki</v>
      </c>
      <c r="D5" t="s">
        <v>2416</v>
      </c>
      <c r="E5" t="str">
        <f t="shared" si="1"/>
        <v>dolnośląskie_bolesławiecki_Warta Bolesławiecka</v>
      </c>
      <c r="F5" t="s">
        <v>5</v>
      </c>
    </row>
    <row r="6" spans="1:6" x14ac:dyDescent="0.3">
      <c r="A6" t="s">
        <v>5392</v>
      </c>
      <c r="B6" t="s">
        <v>4805</v>
      </c>
      <c r="C6" t="str">
        <f t="shared" si="0"/>
        <v>dolnośląskie_bolesławiecki</v>
      </c>
      <c r="D6" t="s">
        <v>4508</v>
      </c>
      <c r="E6" t="str">
        <f t="shared" si="1"/>
        <v>dolnośląskie_bolesławiecki_Bolesławiec (gm. miejska)</v>
      </c>
      <c r="F6" t="s">
        <v>0</v>
      </c>
    </row>
    <row r="7" spans="1:6" x14ac:dyDescent="0.3">
      <c r="A7" t="s">
        <v>5392</v>
      </c>
      <c r="B7" t="s">
        <v>4805</v>
      </c>
      <c r="C7" t="str">
        <f t="shared" si="0"/>
        <v>dolnośląskie_bolesławiecki</v>
      </c>
      <c r="D7" t="s">
        <v>4509</v>
      </c>
      <c r="E7" t="str">
        <f t="shared" si="1"/>
        <v>dolnośląskie_bolesławiecki_Bolesławiec (gm. wiejska)</v>
      </c>
      <c r="F7" t="s">
        <v>1</v>
      </c>
    </row>
    <row r="8" spans="1:6" x14ac:dyDescent="0.3">
      <c r="A8" t="s">
        <v>5392</v>
      </c>
      <c r="B8" t="s">
        <v>4806</v>
      </c>
      <c r="C8" t="str">
        <f t="shared" si="0"/>
        <v>dolnośląskie_dzierżoniowski</v>
      </c>
      <c r="D8" t="s">
        <v>2417</v>
      </c>
      <c r="E8" t="str">
        <f t="shared" si="1"/>
        <v>dolnośląskie_dzierżoniowski_Bielawa</v>
      </c>
      <c r="F8" t="s">
        <v>6</v>
      </c>
    </row>
    <row r="9" spans="1:6" x14ac:dyDescent="0.3">
      <c r="A9" t="s">
        <v>5392</v>
      </c>
      <c r="B9" t="s">
        <v>4806</v>
      </c>
      <c r="C9" t="str">
        <f t="shared" si="0"/>
        <v>dolnośląskie_dzierżoniowski</v>
      </c>
      <c r="D9" t="s">
        <v>2420</v>
      </c>
      <c r="E9" t="str">
        <f t="shared" si="1"/>
        <v>dolnośląskie_dzierżoniowski_Łagiewniki</v>
      </c>
      <c r="F9" t="s">
        <v>10</v>
      </c>
    </row>
    <row r="10" spans="1:6" x14ac:dyDescent="0.3">
      <c r="A10" t="s">
        <v>5392</v>
      </c>
      <c r="B10" t="s">
        <v>4806</v>
      </c>
      <c r="C10" t="str">
        <f t="shared" si="0"/>
        <v>dolnośląskie_dzierżoniowski</v>
      </c>
      <c r="D10" t="s">
        <v>2421</v>
      </c>
      <c r="E10" t="str">
        <f t="shared" si="1"/>
        <v>dolnośląskie_dzierżoniowski_Niemcza</v>
      </c>
      <c r="F10" t="s">
        <v>11</v>
      </c>
    </row>
    <row r="11" spans="1:6" x14ac:dyDescent="0.3">
      <c r="A11" t="s">
        <v>5392</v>
      </c>
      <c r="B11" t="s">
        <v>4806</v>
      </c>
      <c r="C11" t="str">
        <f t="shared" si="0"/>
        <v>dolnośląskie_dzierżoniowski</v>
      </c>
      <c r="D11" t="s">
        <v>2418</v>
      </c>
      <c r="E11" t="str">
        <f t="shared" si="1"/>
        <v>dolnośląskie_dzierżoniowski_Pieszyce</v>
      </c>
      <c r="F11" t="s">
        <v>5429</v>
      </c>
    </row>
    <row r="12" spans="1:6" x14ac:dyDescent="0.3">
      <c r="A12" t="s">
        <v>5392</v>
      </c>
      <c r="B12" t="s">
        <v>4806</v>
      </c>
      <c r="C12" t="str">
        <f t="shared" si="0"/>
        <v>dolnośląskie_dzierżoniowski</v>
      </c>
      <c r="D12" t="s">
        <v>2419</v>
      </c>
      <c r="E12" t="str">
        <f t="shared" si="1"/>
        <v>dolnośląskie_dzierżoniowski_Piława Górna</v>
      </c>
      <c r="F12" t="s">
        <v>8</v>
      </c>
    </row>
    <row r="13" spans="1:6" x14ac:dyDescent="0.3">
      <c r="A13" t="s">
        <v>5392</v>
      </c>
      <c r="B13" t="s">
        <v>4806</v>
      </c>
      <c r="C13" t="str">
        <f t="shared" si="0"/>
        <v>dolnośląskie_dzierżoniowski</v>
      </c>
      <c r="D13" t="s">
        <v>4510</v>
      </c>
      <c r="E13" t="str">
        <f t="shared" si="1"/>
        <v>dolnośląskie_dzierżoniowski_Dzierżoniów (gm. miejska)</v>
      </c>
      <c r="F13" t="s">
        <v>7</v>
      </c>
    </row>
    <row r="14" spans="1:6" x14ac:dyDescent="0.3">
      <c r="A14" t="s">
        <v>5392</v>
      </c>
      <c r="B14" t="s">
        <v>4806</v>
      </c>
      <c r="C14" t="str">
        <f t="shared" si="0"/>
        <v>dolnośląskie_dzierżoniowski</v>
      </c>
      <c r="D14" t="s">
        <v>4511</v>
      </c>
      <c r="E14" t="str">
        <f t="shared" si="1"/>
        <v>dolnośląskie_dzierżoniowski_Dzierżoniów (gm. wiejska)</v>
      </c>
      <c r="F14" t="s">
        <v>9</v>
      </c>
    </row>
    <row r="15" spans="1:6" x14ac:dyDescent="0.3">
      <c r="A15" t="s">
        <v>5392</v>
      </c>
      <c r="B15" t="s">
        <v>4807</v>
      </c>
      <c r="C15" t="str">
        <f t="shared" si="0"/>
        <v>dolnośląskie_głogowski</v>
      </c>
      <c r="D15" t="s">
        <v>2422</v>
      </c>
      <c r="E15" t="str">
        <f t="shared" si="1"/>
        <v>dolnośląskie_głogowski_Jerzmanowa</v>
      </c>
      <c r="F15" t="s">
        <v>14</v>
      </c>
    </row>
    <row r="16" spans="1:6" x14ac:dyDescent="0.3">
      <c r="A16" t="s">
        <v>5392</v>
      </c>
      <c r="B16" t="s">
        <v>4807</v>
      </c>
      <c r="C16" t="str">
        <f t="shared" si="0"/>
        <v>dolnośląskie_głogowski</v>
      </c>
      <c r="D16" t="s">
        <v>2423</v>
      </c>
      <c r="E16" t="str">
        <f t="shared" si="1"/>
        <v>dolnośląskie_głogowski_Kotla</v>
      </c>
      <c r="F16" t="s">
        <v>15</v>
      </c>
    </row>
    <row r="17" spans="1:6" x14ac:dyDescent="0.3">
      <c r="A17" t="s">
        <v>5392</v>
      </c>
      <c r="B17" t="s">
        <v>4807</v>
      </c>
      <c r="C17" t="str">
        <f t="shared" si="0"/>
        <v>dolnośląskie_głogowski</v>
      </c>
      <c r="D17" t="s">
        <v>2424</v>
      </c>
      <c r="E17" t="str">
        <f t="shared" si="1"/>
        <v>dolnośląskie_głogowski_Pęcław</v>
      </c>
      <c r="F17" t="s">
        <v>16</v>
      </c>
    </row>
    <row r="18" spans="1:6" x14ac:dyDescent="0.3">
      <c r="A18" t="s">
        <v>5392</v>
      </c>
      <c r="B18" t="s">
        <v>4807</v>
      </c>
      <c r="C18" t="str">
        <f t="shared" si="0"/>
        <v>dolnośląskie_głogowski</v>
      </c>
      <c r="D18" t="s">
        <v>2425</v>
      </c>
      <c r="E18" t="str">
        <f t="shared" si="1"/>
        <v>dolnośląskie_głogowski_Żukowice</v>
      </c>
      <c r="F18" t="s">
        <v>17</v>
      </c>
    </row>
    <row r="19" spans="1:6" x14ac:dyDescent="0.3">
      <c r="A19" t="s">
        <v>5392</v>
      </c>
      <c r="B19" t="s">
        <v>4807</v>
      </c>
      <c r="C19" t="str">
        <f t="shared" si="0"/>
        <v>dolnośląskie_głogowski</v>
      </c>
      <c r="D19" t="s">
        <v>4512</v>
      </c>
      <c r="E19" t="str">
        <f t="shared" si="1"/>
        <v>dolnośląskie_głogowski_Głogów (gm. miejska)</v>
      </c>
      <c r="F19" t="s">
        <v>12</v>
      </c>
    </row>
    <row r="20" spans="1:6" x14ac:dyDescent="0.3">
      <c r="A20" t="s">
        <v>5392</v>
      </c>
      <c r="B20" t="s">
        <v>4807</v>
      </c>
      <c r="C20" t="str">
        <f t="shared" si="0"/>
        <v>dolnośląskie_głogowski</v>
      </c>
      <c r="D20" t="s">
        <v>4513</v>
      </c>
      <c r="E20" t="str">
        <f t="shared" si="1"/>
        <v>dolnośląskie_głogowski_Głogów (gm. wiejska)</v>
      </c>
      <c r="F20" t="s">
        <v>13</v>
      </c>
    </row>
    <row r="21" spans="1:6" x14ac:dyDescent="0.3">
      <c r="A21" t="s">
        <v>5392</v>
      </c>
      <c r="B21" t="s">
        <v>4808</v>
      </c>
      <c r="C21" t="str">
        <f t="shared" si="0"/>
        <v>dolnośląskie_górowski</v>
      </c>
      <c r="D21" t="s">
        <v>2426</v>
      </c>
      <c r="E21" t="str">
        <f t="shared" si="1"/>
        <v>dolnośląskie_górowski_Góra</v>
      </c>
      <c r="F21" t="s">
        <v>18</v>
      </c>
    </row>
    <row r="22" spans="1:6" x14ac:dyDescent="0.3">
      <c r="A22" t="s">
        <v>5392</v>
      </c>
      <c r="B22" t="s">
        <v>4808</v>
      </c>
      <c r="C22" t="str">
        <f t="shared" si="0"/>
        <v>dolnośląskie_górowski</v>
      </c>
      <c r="D22" t="s">
        <v>2427</v>
      </c>
      <c r="E22" t="str">
        <f t="shared" si="1"/>
        <v>dolnośląskie_górowski_Jemielno</v>
      </c>
      <c r="F22" t="s">
        <v>19</v>
      </c>
    </row>
    <row r="23" spans="1:6" x14ac:dyDescent="0.3">
      <c r="A23" t="s">
        <v>5392</v>
      </c>
      <c r="B23" t="s">
        <v>4808</v>
      </c>
      <c r="C23" t="str">
        <f t="shared" si="0"/>
        <v>dolnośląskie_górowski</v>
      </c>
      <c r="D23" t="s">
        <v>2428</v>
      </c>
      <c r="E23" t="str">
        <f t="shared" si="1"/>
        <v>dolnośląskie_górowski_Niechlów</v>
      </c>
      <c r="F23" t="s">
        <v>20</v>
      </c>
    </row>
    <row r="24" spans="1:6" x14ac:dyDescent="0.3">
      <c r="A24" t="s">
        <v>5392</v>
      </c>
      <c r="B24" t="s">
        <v>4808</v>
      </c>
      <c r="C24" t="str">
        <f t="shared" si="0"/>
        <v>dolnośląskie_górowski</v>
      </c>
      <c r="D24" t="s">
        <v>2429</v>
      </c>
      <c r="E24" t="str">
        <f t="shared" si="1"/>
        <v>dolnośląskie_górowski_Wąsosz</v>
      </c>
      <c r="F24" t="s">
        <v>21</v>
      </c>
    </row>
    <row r="25" spans="1:6" x14ac:dyDescent="0.3">
      <c r="A25" t="s">
        <v>5392</v>
      </c>
      <c r="B25" t="s">
        <v>4809</v>
      </c>
      <c r="C25" t="str">
        <f t="shared" si="0"/>
        <v>dolnośląskie_jaworski</v>
      </c>
      <c r="D25" t="s">
        <v>2431</v>
      </c>
      <c r="E25" t="str">
        <f t="shared" si="1"/>
        <v>dolnośląskie_jaworski_Bolków</v>
      </c>
      <c r="F25" t="s">
        <v>23</v>
      </c>
    </row>
    <row r="26" spans="1:6" x14ac:dyDescent="0.3">
      <c r="A26" t="s">
        <v>5392</v>
      </c>
      <c r="B26" t="s">
        <v>4809</v>
      </c>
      <c r="C26" t="str">
        <f t="shared" si="0"/>
        <v>dolnośląskie_jaworski</v>
      </c>
      <c r="D26" t="s">
        <v>2430</v>
      </c>
      <c r="E26" t="str">
        <f t="shared" si="1"/>
        <v>dolnośląskie_jaworski_Jawor</v>
      </c>
      <c r="F26" t="s">
        <v>22</v>
      </c>
    </row>
    <row r="27" spans="1:6" x14ac:dyDescent="0.3">
      <c r="A27" t="s">
        <v>5392</v>
      </c>
      <c r="B27" t="s">
        <v>4809</v>
      </c>
      <c r="C27" t="str">
        <f t="shared" si="0"/>
        <v>dolnośląskie_jaworski</v>
      </c>
      <c r="D27" t="s">
        <v>2432</v>
      </c>
      <c r="E27" t="str">
        <f t="shared" si="1"/>
        <v>dolnośląskie_jaworski_Męcinka</v>
      </c>
      <c r="F27" t="s">
        <v>24</v>
      </c>
    </row>
    <row r="28" spans="1:6" x14ac:dyDescent="0.3">
      <c r="A28" t="s">
        <v>5392</v>
      </c>
      <c r="B28" t="s">
        <v>4809</v>
      </c>
      <c r="C28" t="str">
        <f t="shared" si="0"/>
        <v>dolnośląskie_jaworski</v>
      </c>
      <c r="D28" t="s">
        <v>2433</v>
      </c>
      <c r="E28" t="str">
        <f t="shared" si="1"/>
        <v>dolnośląskie_jaworski_Mściwojów</v>
      </c>
      <c r="F28" t="s">
        <v>25</v>
      </c>
    </row>
    <row r="29" spans="1:6" x14ac:dyDescent="0.3">
      <c r="A29" t="s">
        <v>5392</v>
      </c>
      <c r="B29" t="s">
        <v>4809</v>
      </c>
      <c r="C29" t="str">
        <f t="shared" si="0"/>
        <v>dolnośląskie_jaworski</v>
      </c>
      <c r="D29" t="s">
        <v>2434</v>
      </c>
      <c r="E29" t="str">
        <f t="shared" si="1"/>
        <v>dolnośląskie_jaworski_Paszowice</v>
      </c>
      <c r="F29" t="s">
        <v>26</v>
      </c>
    </row>
    <row r="30" spans="1:6" x14ac:dyDescent="0.3">
      <c r="A30" t="s">
        <v>5392</v>
      </c>
      <c r="B30" t="s">
        <v>4809</v>
      </c>
      <c r="C30" t="str">
        <f t="shared" si="0"/>
        <v>dolnośląskie_jaworski</v>
      </c>
      <c r="D30" t="s">
        <v>2435</v>
      </c>
      <c r="E30" t="str">
        <f t="shared" si="1"/>
        <v>dolnośląskie_jaworski_Wądroże Wielkie</v>
      </c>
      <c r="F30" t="s">
        <v>27</v>
      </c>
    </row>
    <row r="31" spans="1:6" x14ac:dyDescent="0.3">
      <c r="A31" t="s">
        <v>5392</v>
      </c>
      <c r="B31" t="s">
        <v>2553</v>
      </c>
      <c r="C31" t="str">
        <f t="shared" si="0"/>
        <v>dolnośląskie_Jelenia Góra</v>
      </c>
      <c r="D31" t="s">
        <v>2553</v>
      </c>
      <c r="E31" t="str">
        <f t="shared" si="1"/>
        <v>dolnośląskie_Jelenia Góra_Jelenia Góra</v>
      </c>
      <c r="F31" t="s">
        <v>163</v>
      </c>
    </row>
    <row r="32" spans="1:6" x14ac:dyDescent="0.3">
      <c r="A32" t="s">
        <v>5392</v>
      </c>
      <c r="B32" t="s">
        <v>4810</v>
      </c>
      <c r="C32" t="str">
        <f t="shared" si="0"/>
        <v>dolnośląskie_kamiennogórski</v>
      </c>
      <c r="D32" t="s">
        <v>2445</v>
      </c>
      <c r="E32" t="str">
        <f t="shared" si="1"/>
        <v>dolnośląskie_kamiennogórski_Lubawka</v>
      </c>
      <c r="F32" t="s">
        <v>39</v>
      </c>
    </row>
    <row r="33" spans="1:6" x14ac:dyDescent="0.3">
      <c r="A33" t="s">
        <v>5392</v>
      </c>
      <c r="B33" t="s">
        <v>4810</v>
      </c>
      <c r="C33" t="str">
        <f t="shared" si="0"/>
        <v>dolnośląskie_kamiennogórski</v>
      </c>
      <c r="D33" t="s">
        <v>2446</v>
      </c>
      <c r="E33" t="str">
        <f t="shared" si="1"/>
        <v>dolnośląskie_kamiennogórski_Marciszów</v>
      </c>
      <c r="F33" t="s">
        <v>40</v>
      </c>
    </row>
    <row r="34" spans="1:6" x14ac:dyDescent="0.3">
      <c r="A34" t="s">
        <v>5392</v>
      </c>
      <c r="B34" t="s">
        <v>4810</v>
      </c>
      <c r="C34" t="str">
        <f t="shared" si="0"/>
        <v>dolnośląskie_kamiennogórski</v>
      </c>
      <c r="D34" t="s">
        <v>4514</v>
      </c>
      <c r="E34" t="str">
        <f t="shared" si="1"/>
        <v>dolnośląskie_kamiennogórski_Kamienna Góra (gm. miejska)</v>
      </c>
      <c r="F34" t="s">
        <v>37</v>
      </c>
    </row>
    <row r="35" spans="1:6" x14ac:dyDescent="0.3">
      <c r="A35" t="s">
        <v>5392</v>
      </c>
      <c r="B35" t="s">
        <v>4810</v>
      </c>
      <c r="C35" t="str">
        <f t="shared" si="0"/>
        <v>dolnośląskie_kamiennogórski</v>
      </c>
      <c r="D35" t="s">
        <v>4515</v>
      </c>
      <c r="E35" t="str">
        <f t="shared" si="1"/>
        <v>dolnośląskie_kamiennogórski_Kamienna Góra (gm. wiejska)</v>
      </c>
      <c r="F35" t="s">
        <v>38</v>
      </c>
    </row>
    <row r="36" spans="1:6" x14ac:dyDescent="0.3">
      <c r="A36" t="s">
        <v>5392</v>
      </c>
      <c r="B36" t="s">
        <v>5403</v>
      </c>
      <c r="C36" t="str">
        <f t="shared" si="0"/>
        <v>dolnośląskie_karkonoski</v>
      </c>
      <c r="D36" t="s">
        <v>2440</v>
      </c>
      <c r="E36" t="str">
        <f t="shared" si="1"/>
        <v>dolnośląskie_karkonoski_Janowice Wielkie</v>
      </c>
      <c r="F36" t="s">
        <v>32</v>
      </c>
    </row>
    <row r="37" spans="1:6" x14ac:dyDescent="0.3">
      <c r="A37" t="s">
        <v>5392</v>
      </c>
      <c r="B37" t="s">
        <v>5403</v>
      </c>
      <c r="C37" t="str">
        <f t="shared" si="0"/>
        <v>dolnośląskie_karkonoski</v>
      </c>
      <c r="D37" t="s">
        <v>2441</v>
      </c>
      <c r="E37" t="str">
        <f t="shared" si="1"/>
        <v>dolnośląskie_karkonoski_Jeżów Sudecki</v>
      </c>
      <c r="F37" t="s">
        <v>33</v>
      </c>
    </row>
    <row r="38" spans="1:6" x14ac:dyDescent="0.3">
      <c r="A38" t="s">
        <v>5392</v>
      </c>
      <c r="B38" t="s">
        <v>5403</v>
      </c>
      <c r="C38" t="str">
        <f t="shared" si="0"/>
        <v>dolnośląskie_karkonoski</v>
      </c>
      <c r="D38" t="s">
        <v>2436</v>
      </c>
      <c r="E38" t="str">
        <f t="shared" si="1"/>
        <v>dolnośląskie_karkonoski_Karpacz</v>
      </c>
      <c r="F38" t="s">
        <v>28</v>
      </c>
    </row>
    <row r="39" spans="1:6" x14ac:dyDescent="0.3">
      <c r="A39" t="s">
        <v>5392</v>
      </c>
      <c r="B39" t="s">
        <v>5403</v>
      </c>
      <c r="C39" t="str">
        <f t="shared" si="0"/>
        <v>dolnośląskie_karkonoski</v>
      </c>
      <c r="D39" t="s">
        <v>2437</v>
      </c>
      <c r="E39" t="str">
        <f t="shared" si="1"/>
        <v>dolnośląskie_karkonoski_Kowary</v>
      </c>
      <c r="F39" t="s">
        <v>29</v>
      </c>
    </row>
    <row r="40" spans="1:6" x14ac:dyDescent="0.3">
      <c r="A40" t="s">
        <v>5392</v>
      </c>
      <c r="B40" t="s">
        <v>5403</v>
      </c>
      <c r="C40" t="str">
        <f t="shared" si="0"/>
        <v>dolnośląskie_karkonoski</v>
      </c>
      <c r="D40" t="s">
        <v>2442</v>
      </c>
      <c r="E40" t="str">
        <f t="shared" si="1"/>
        <v>dolnośląskie_karkonoski_Mysłakowice</v>
      </c>
      <c r="F40" t="s">
        <v>34</v>
      </c>
    </row>
    <row r="41" spans="1:6" x14ac:dyDescent="0.3">
      <c r="A41" t="s">
        <v>5392</v>
      </c>
      <c r="B41" t="s">
        <v>5403</v>
      </c>
      <c r="C41" t="str">
        <f t="shared" si="0"/>
        <v>dolnośląskie_karkonoski</v>
      </c>
      <c r="D41" t="s">
        <v>2438</v>
      </c>
      <c r="E41" t="str">
        <f t="shared" si="1"/>
        <v>dolnośląskie_karkonoski_Piechowice</v>
      </c>
      <c r="F41" t="s">
        <v>30</v>
      </c>
    </row>
    <row r="42" spans="1:6" x14ac:dyDescent="0.3">
      <c r="A42" t="s">
        <v>5392</v>
      </c>
      <c r="B42" t="s">
        <v>5403</v>
      </c>
      <c r="C42" t="str">
        <f t="shared" si="0"/>
        <v>dolnośląskie_karkonoski</v>
      </c>
      <c r="D42" t="s">
        <v>2443</v>
      </c>
      <c r="E42" t="str">
        <f t="shared" si="1"/>
        <v>dolnośląskie_karkonoski_Podgórzyn</v>
      </c>
      <c r="F42" t="s">
        <v>35</v>
      </c>
    </row>
    <row r="43" spans="1:6" x14ac:dyDescent="0.3">
      <c r="A43" t="s">
        <v>5392</v>
      </c>
      <c r="B43" t="s">
        <v>5403</v>
      </c>
      <c r="C43" t="str">
        <f t="shared" si="0"/>
        <v>dolnośląskie_karkonoski</v>
      </c>
      <c r="D43" t="s">
        <v>2444</v>
      </c>
      <c r="E43" t="str">
        <f t="shared" si="1"/>
        <v>dolnośląskie_karkonoski_Stara Kamienica</v>
      </c>
      <c r="F43" t="s">
        <v>36</v>
      </c>
    </row>
    <row r="44" spans="1:6" x14ac:dyDescent="0.3">
      <c r="A44" t="s">
        <v>5392</v>
      </c>
      <c r="B44" t="s">
        <v>5403</v>
      </c>
      <c r="C44" t="str">
        <f t="shared" si="0"/>
        <v>dolnośląskie_karkonoski</v>
      </c>
      <c r="D44" t="s">
        <v>2439</v>
      </c>
      <c r="E44" t="str">
        <f t="shared" si="1"/>
        <v>dolnośląskie_karkonoski_Szklarska Poręba</v>
      </c>
      <c r="F44" t="s">
        <v>31</v>
      </c>
    </row>
    <row r="45" spans="1:6" x14ac:dyDescent="0.3">
      <c r="A45" t="s">
        <v>5392</v>
      </c>
      <c r="B45" t="s">
        <v>4811</v>
      </c>
      <c r="C45" t="str">
        <f t="shared" si="0"/>
        <v>dolnośląskie_kłodzki</v>
      </c>
      <c r="D45" t="s">
        <v>2450</v>
      </c>
      <c r="E45" t="str">
        <f t="shared" si="1"/>
        <v>dolnośląskie_kłodzki_Bystrzyca Kłodzka</v>
      </c>
      <c r="F45" t="s">
        <v>46</v>
      </c>
    </row>
    <row r="46" spans="1:6" x14ac:dyDescent="0.3">
      <c r="A46" t="s">
        <v>5392</v>
      </c>
      <c r="B46" t="s">
        <v>4811</v>
      </c>
      <c r="C46" t="str">
        <f t="shared" si="0"/>
        <v>dolnośląskie_kłodzki</v>
      </c>
      <c r="D46" t="s">
        <v>2447</v>
      </c>
      <c r="E46" t="str">
        <f t="shared" si="1"/>
        <v>dolnośląskie_kłodzki_Duszniki-Zdrój</v>
      </c>
      <c r="F46" t="s">
        <v>41</v>
      </c>
    </row>
    <row r="47" spans="1:6" x14ac:dyDescent="0.3">
      <c r="A47" t="s">
        <v>5392</v>
      </c>
      <c r="B47" t="s">
        <v>4811</v>
      </c>
      <c r="C47" t="str">
        <f t="shared" si="0"/>
        <v>dolnośląskie_kłodzki</v>
      </c>
      <c r="D47" t="s">
        <v>2448</v>
      </c>
      <c r="E47" t="str">
        <f t="shared" si="1"/>
        <v>dolnośląskie_kłodzki_Kudowa-Zdrój</v>
      </c>
      <c r="F47" t="s">
        <v>43</v>
      </c>
    </row>
    <row r="48" spans="1:6" x14ac:dyDescent="0.3">
      <c r="A48" t="s">
        <v>5392</v>
      </c>
      <c r="B48" t="s">
        <v>4811</v>
      </c>
      <c r="C48" t="str">
        <f t="shared" si="0"/>
        <v>dolnośląskie_kłodzki</v>
      </c>
      <c r="D48" t="s">
        <v>2451</v>
      </c>
      <c r="E48" t="str">
        <f t="shared" si="1"/>
        <v>dolnośląskie_kłodzki_Lądek-Zdrój</v>
      </c>
      <c r="F48" t="s">
        <v>48</v>
      </c>
    </row>
    <row r="49" spans="1:6" x14ac:dyDescent="0.3">
      <c r="A49" t="s">
        <v>5392</v>
      </c>
      <c r="B49" t="s">
        <v>4811</v>
      </c>
      <c r="C49" t="str">
        <f t="shared" si="0"/>
        <v>dolnośląskie_kłodzki</v>
      </c>
      <c r="D49" t="s">
        <v>2452</v>
      </c>
      <c r="E49" t="str">
        <f t="shared" si="1"/>
        <v>dolnośląskie_kłodzki_Lewin Kłodzki</v>
      </c>
      <c r="F49" t="s">
        <v>49</v>
      </c>
    </row>
    <row r="50" spans="1:6" x14ac:dyDescent="0.3">
      <c r="A50" t="s">
        <v>5392</v>
      </c>
      <c r="B50" t="s">
        <v>4811</v>
      </c>
      <c r="C50" t="str">
        <f t="shared" si="0"/>
        <v>dolnośląskie_kłodzki</v>
      </c>
      <c r="D50" t="s">
        <v>2453</v>
      </c>
      <c r="E50" t="str">
        <f t="shared" si="1"/>
        <v>dolnośląskie_kłodzki_Międzylesie</v>
      </c>
      <c r="F50" t="s">
        <v>50</v>
      </c>
    </row>
    <row r="51" spans="1:6" x14ac:dyDescent="0.3">
      <c r="A51" t="s">
        <v>5392</v>
      </c>
      <c r="B51" t="s">
        <v>4811</v>
      </c>
      <c r="C51" t="str">
        <f t="shared" si="0"/>
        <v>dolnośląskie_kłodzki</v>
      </c>
      <c r="D51" t="s">
        <v>2449</v>
      </c>
      <c r="E51" t="str">
        <f t="shared" si="1"/>
        <v>dolnośląskie_kłodzki_Polanica-Zdrój</v>
      </c>
      <c r="F51" t="s">
        <v>45</v>
      </c>
    </row>
    <row r="52" spans="1:6" x14ac:dyDescent="0.3">
      <c r="A52" t="s">
        <v>5392</v>
      </c>
      <c r="B52" t="s">
        <v>4811</v>
      </c>
      <c r="C52" t="str">
        <f t="shared" si="0"/>
        <v>dolnośląskie_kłodzki</v>
      </c>
      <c r="D52" t="s">
        <v>2454</v>
      </c>
      <c r="E52" t="str">
        <f t="shared" si="1"/>
        <v>dolnośląskie_kłodzki_Radków</v>
      </c>
      <c r="F52" t="s">
        <v>52</v>
      </c>
    </row>
    <row r="53" spans="1:6" x14ac:dyDescent="0.3">
      <c r="A53" t="s">
        <v>5392</v>
      </c>
      <c r="B53" t="s">
        <v>4811</v>
      </c>
      <c r="C53" t="str">
        <f t="shared" si="0"/>
        <v>dolnośląskie_kłodzki</v>
      </c>
      <c r="D53" t="s">
        <v>2455</v>
      </c>
      <c r="E53" t="str">
        <f t="shared" si="1"/>
        <v>dolnośląskie_kłodzki_Stronie Śląskie</v>
      </c>
      <c r="F53" t="s">
        <v>53</v>
      </c>
    </row>
    <row r="54" spans="1:6" x14ac:dyDescent="0.3">
      <c r="A54" t="s">
        <v>5392</v>
      </c>
      <c r="B54" t="s">
        <v>4811</v>
      </c>
      <c r="C54" t="str">
        <f t="shared" si="0"/>
        <v>dolnośląskie_kłodzki</v>
      </c>
      <c r="D54" t="s">
        <v>2456</v>
      </c>
      <c r="E54" t="str">
        <f t="shared" si="1"/>
        <v>dolnośląskie_kłodzki_Szczytna</v>
      </c>
      <c r="F54" t="s">
        <v>54</v>
      </c>
    </row>
    <row r="55" spans="1:6" x14ac:dyDescent="0.3">
      <c r="A55" t="s">
        <v>5392</v>
      </c>
      <c r="B55" t="s">
        <v>4811</v>
      </c>
      <c r="C55" t="str">
        <f t="shared" si="0"/>
        <v>dolnośląskie_kłodzki</v>
      </c>
      <c r="D55" t="s">
        <v>4516</v>
      </c>
      <c r="E55" t="str">
        <f t="shared" si="1"/>
        <v>dolnośląskie_kłodzki_Kłodzko (gm. miejska)</v>
      </c>
      <c r="F55" t="s">
        <v>42</v>
      </c>
    </row>
    <row r="56" spans="1:6" x14ac:dyDescent="0.3">
      <c r="A56" t="s">
        <v>5392</v>
      </c>
      <c r="B56" t="s">
        <v>4811</v>
      </c>
      <c r="C56" t="str">
        <f t="shared" si="0"/>
        <v>dolnośląskie_kłodzki</v>
      </c>
      <c r="D56" t="s">
        <v>4517</v>
      </c>
      <c r="E56" t="str">
        <f t="shared" si="1"/>
        <v>dolnośląskie_kłodzki_Nowa Ruda (gm. miejska)</v>
      </c>
      <c r="F56" t="s">
        <v>44</v>
      </c>
    </row>
    <row r="57" spans="1:6" x14ac:dyDescent="0.3">
      <c r="A57" t="s">
        <v>5392</v>
      </c>
      <c r="B57" t="s">
        <v>4811</v>
      </c>
      <c r="C57" t="str">
        <f t="shared" si="0"/>
        <v>dolnośląskie_kłodzki</v>
      </c>
      <c r="D57" t="s">
        <v>4518</v>
      </c>
      <c r="E57" t="str">
        <f t="shared" si="1"/>
        <v>dolnośląskie_kłodzki_Kłodzko (gm. wiejska)</v>
      </c>
      <c r="F57" t="s">
        <v>47</v>
      </c>
    </row>
    <row r="58" spans="1:6" x14ac:dyDescent="0.3">
      <c r="A58" t="s">
        <v>5392</v>
      </c>
      <c r="B58" t="s">
        <v>4811</v>
      </c>
      <c r="C58" t="str">
        <f t="shared" si="0"/>
        <v>dolnośląskie_kłodzki</v>
      </c>
      <c r="D58" t="s">
        <v>4519</v>
      </c>
      <c r="E58" t="str">
        <f t="shared" si="1"/>
        <v>dolnośląskie_kłodzki_Nowa Ruda (gm. wiejska)</v>
      </c>
      <c r="F58" t="s">
        <v>51</v>
      </c>
    </row>
    <row r="59" spans="1:6" x14ac:dyDescent="0.3">
      <c r="A59" t="s">
        <v>5392</v>
      </c>
      <c r="B59" t="s">
        <v>2554</v>
      </c>
      <c r="C59" t="str">
        <f t="shared" si="0"/>
        <v>dolnośląskie_Legnica</v>
      </c>
      <c r="D59" t="s">
        <v>2554</v>
      </c>
      <c r="E59" t="str">
        <f t="shared" si="1"/>
        <v>dolnośląskie_Legnica_Legnica</v>
      </c>
      <c r="F59" t="s">
        <v>164</v>
      </c>
    </row>
    <row r="60" spans="1:6" x14ac:dyDescent="0.3">
      <c r="A60" t="s">
        <v>5392</v>
      </c>
      <c r="B60" t="s">
        <v>4812</v>
      </c>
      <c r="C60" t="str">
        <f t="shared" si="0"/>
        <v>dolnośląskie_legnicki</v>
      </c>
      <c r="D60" t="s">
        <v>2457</v>
      </c>
      <c r="E60" t="str">
        <f t="shared" si="1"/>
        <v>dolnośląskie_legnicki_Krotoszyce</v>
      </c>
      <c r="F60" t="s">
        <v>57</v>
      </c>
    </row>
    <row r="61" spans="1:6" x14ac:dyDescent="0.3">
      <c r="A61" t="s">
        <v>5392</v>
      </c>
      <c r="B61" t="s">
        <v>4812</v>
      </c>
      <c r="C61" t="str">
        <f t="shared" si="0"/>
        <v>dolnośląskie_legnicki</v>
      </c>
      <c r="D61" t="s">
        <v>2458</v>
      </c>
      <c r="E61" t="str">
        <f t="shared" si="1"/>
        <v>dolnośląskie_legnicki_Kunice</v>
      </c>
      <c r="F61" t="s">
        <v>58</v>
      </c>
    </row>
    <row r="62" spans="1:6" x14ac:dyDescent="0.3">
      <c r="A62" t="s">
        <v>5392</v>
      </c>
      <c r="B62" t="s">
        <v>4812</v>
      </c>
      <c r="C62" t="str">
        <f t="shared" si="0"/>
        <v>dolnośląskie_legnicki</v>
      </c>
      <c r="D62" t="s">
        <v>2459</v>
      </c>
      <c r="E62" t="str">
        <f t="shared" si="1"/>
        <v>dolnośląskie_legnicki_Legnickie Pole</v>
      </c>
      <c r="F62" t="s">
        <v>59</v>
      </c>
    </row>
    <row r="63" spans="1:6" x14ac:dyDescent="0.3">
      <c r="A63" t="s">
        <v>5392</v>
      </c>
      <c r="B63" t="s">
        <v>4812</v>
      </c>
      <c r="C63" t="str">
        <f t="shared" si="0"/>
        <v>dolnośląskie_legnicki</v>
      </c>
      <c r="D63" t="s">
        <v>2460</v>
      </c>
      <c r="E63" t="str">
        <f t="shared" si="1"/>
        <v>dolnośląskie_legnicki_Miłkowice</v>
      </c>
      <c r="F63" t="s">
        <v>60</v>
      </c>
    </row>
    <row r="64" spans="1:6" x14ac:dyDescent="0.3">
      <c r="A64" t="s">
        <v>5392</v>
      </c>
      <c r="B64" t="s">
        <v>4812</v>
      </c>
      <c r="C64" t="str">
        <f t="shared" si="0"/>
        <v>dolnośląskie_legnicki</v>
      </c>
      <c r="D64" t="s">
        <v>2461</v>
      </c>
      <c r="E64" t="str">
        <f t="shared" si="1"/>
        <v>dolnośląskie_legnicki_Prochowice</v>
      </c>
      <c r="F64" t="s">
        <v>61</v>
      </c>
    </row>
    <row r="65" spans="1:6" x14ac:dyDescent="0.3">
      <c r="A65" t="s">
        <v>5392</v>
      </c>
      <c r="B65" t="s">
        <v>4812</v>
      </c>
      <c r="C65" t="str">
        <f t="shared" ref="C65:C128" si="2">CONCATENATE(A65,"_",B65)</f>
        <v>dolnośląskie_legnicki</v>
      </c>
      <c r="D65" t="s">
        <v>2462</v>
      </c>
      <c r="E65" t="str">
        <f t="shared" ref="E65:E128" si="3">C65&amp;"_"&amp;D65</f>
        <v>dolnośląskie_legnicki_Ruja</v>
      </c>
      <c r="F65" t="s">
        <v>62</v>
      </c>
    </row>
    <row r="66" spans="1:6" x14ac:dyDescent="0.3">
      <c r="A66" t="s">
        <v>5392</v>
      </c>
      <c r="B66" t="s">
        <v>4812</v>
      </c>
      <c r="C66" t="str">
        <f t="shared" si="2"/>
        <v>dolnośląskie_legnicki</v>
      </c>
      <c r="D66" t="s">
        <v>4520</v>
      </c>
      <c r="E66" t="str">
        <f t="shared" si="3"/>
        <v>dolnośląskie_legnicki_Chojnów (gm. miejska)</v>
      </c>
      <c r="F66" t="s">
        <v>55</v>
      </c>
    </row>
    <row r="67" spans="1:6" x14ac:dyDescent="0.3">
      <c r="A67" t="s">
        <v>5392</v>
      </c>
      <c r="B67" t="s">
        <v>4812</v>
      </c>
      <c r="C67" t="str">
        <f t="shared" si="2"/>
        <v>dolnośląskie_legnicki</v>
      </c>
      <c r="D67" t="s">
        <v>4521</v>
      </c>
      <c r="E67" t="str">
        <f t="shared" si="3"/>
        <v>dolnośląskie_legnicki_Chojnów (gm. wiejska)</v>
      </c>
      <c r="F67" t="s">
        <v>56</v>
      </c>
    </row>
    <row r="68" spans="1:6" x14ac:dyDescent="0.3">
      <c r="A68" t="s">
        <v>5392</v>
      </c>
      <c r="B68" t="s">
        <v>4813</v>
      </c>
      <c r="C68" t="str">
        <f t="shared" si="2"/>
        <v>dolnośląskie_lubański</v>
      </c>
      <c r="D68" t="s">
        <v>2464</v>
      </c>
      <c r="E68" t="str">
        <f t="shared" si="3"/>
        <v>dolnośląskie_lubański_Leśna</v>
      </c>
      <c r="F68" t="s">
        <v>65</v>
      </c>
    </row>
    <row r="69" spans="1:6" x14ac:dyDescent="0.3">
      <c r="A69" t="s">
        <v>5392</v>
      </c>
      <c r="B69" t="s">
        <v>4813</v>
      </c>
      <c r="C69" t="str">
        <f t="shared" si="2"/>
        <v>dolnośląskie_lubański</v>
      </c>
      <c r="D69" t="s">
        <v>2465</v>
      </c>
      <c r="E69" t="str">
        <f t="shared" si="3"/>
        <v>dolnośląskie_lubański_Olszyna</v>
      </c>
      <c r="F69" t="s">
        <v>67</v>
      </c>
    </row>
    <row r="70" spans="1:6" x14ac:dyDescent="0.3">
      <c r="A70" t="s">
        <v>5392</v>
      </c>
      <c r="B70" t="s">
        <v>4813</v>
      </c>
      <c r="C70" t="str">
        <f t="shared" si="2"/>
        <v>dolnośląskie_lubański</v>
      </c>
      <c r="D70" t="s">
        <v>2466</v>
      </c>
      <c r="E70" t="str">
        <f t="shared" si="3"/>
        <v>dolnośląskie_lubański_Platerówka</v>
      </c>
      <c r="F70" t="s">
        <v>68</v>
      </c>
    </row>
    <row r="71" spans="1:6" x14ac:dyDescent="0.3">
      <c r="A71" t="s">
        <v>5392</v>
      </c>
      <c r="B71" t="s">
        <v>4813</v>
      </c>
      <c r="C71" t="str">
        <f t="shared" si="2"/>
        <v>dolnośląskie_lubański</v>
      </c>
      <c r="D71" t="s">
        <v>2467</v>
      </c>
      <c r="E71" t="str">
        <f t="shared" si="3"/>
        <v>dolnośląskie_lubański_Siekierczyn</v>
      </c>
      <c r="F71" t="s">
        <v>69</v>
      </c>
    </row>
    <row r="72" spans="1:6" x14ac:dyDescent="0.3">
      <c r="A72" t="s">
        <v>5392</v>
      </c>
      <c r="B72" t="s">
        <v>4813</v>
      </c>
      <c r="C72" t="str">
        <f t="shared" si="2"/>
        <v>dolnośląskie_lubański</v>
      </c>
      <c r="D72" t="s">
        <v>2463</v>
      </c>
      <c r="E72" t="str">
        <f t="shared" si="3"/>
        <v>dolnośląskie_lubański_Świeradów-Zdrój</v>
      </c>
      <c r="F72" t="s">
        <v>64</v>
      </c>
    </row>
    <row r="73" spans="1:6" x14ac:dyDescent="0.3">
      <c r="A73" t="s">
        <v>5392</v>
      </c>
      <c r="B73" t="s">
        <v>4813</v>
      </c>
      <c r="C73" t="str">
        <f t="shared" si="2"/>
        <v>dolnośląskie_lubański</v>
      </c>
      <c r="D73" t="s">
        <v>4522</v>
      </c>
      <c r="E73" t="str">
        <f t="shared" si="3"/>
        <v>dolnośląskie_lubański_Lubań (gm. miejska)</v>
      </c>
      <c r="F73" t="s">
        <v>63</v>
      </c>
    </row>
    <row r="74" spans="1:6" x14ac:dyDescent="0.3">
      <c r="A74" t="s">
        <v>5392</v>
      </c>
      <c r="B74" t="s">
        <v>4813</v>
      </c>
      <c r="C74" t="str">
        <f t="shared" si="2"/>
        <v>dolnośląskie_lubański</v>
      </c>
      <c r="D74" t="s">
        <v>4523</v>
      </c>
      <c r="E74" t="str">
        <f t="shared" si="3"/>
        <v>dolnośląskie_lubański_Lubań (gm. wiejska)</v>
      </c>
      <c r="F74" t="s">
        <v>66</v>
      </c>
    </row>
    <row r="75" spans="1:6" x14ac:dyDescent="0.3">
      <c r="A75" t="s">
        <v>5392</v>
      </c>
      <c r="B75" t="s">
        <v>4814</v>
      </c>
      <c r="C75" t="str">
        <f t="shared" si="2"/>
        <v>dolnośląskie_lubiński</v>
      </c>
      <c r="D75" t="s">
        <v>2468</v>
      </c>
      <c r="E75" t="str">
        <f t="shared" si="3"/>
        <v>dolnośląskie_lubiński_Rudna</v>
      </c>
      <c r="F75" t="s">
        <v>72</v>
      </c>
    </row>
    <row r="76" spans="1:6" x14ac:dyDescent="0.3">
      <c r="A76" t="s">
        <v>5392</v>
      </c>
      <c r="B76" t="s">
        <v>4814</v>
      </c>
      <c r="C76" t="str">
        <f t="shared" si="2"/>
        <v>dolnośląskie_lubiński</v>
      </c>
      <c r="D76" t="s">
        <v>2469</v>
      </c>
      <c r="E76" t="str">
        <f t="shared" si="3"/>
        <v>dolnośląskie_lubiński_Ścinawa</v>
      </c>
      <c r="F76" t="s">
        <v>73</v>
      </c>
    </row>
    <row r="77" spans="1:6" x14ac:dyDescent="0.3">
      <c r="A77" t="s">
        <v>5392</v>
      </c>
      <c r="B77" t="s">
        <v>4814</v>
      </c>
      <c r="C77" t="str">
        <f t="shared" si="2"/>
        <v>dolnośląskie_lubiński</v>
      </c>
      <c r="D77" t="s">
        <v>4524</v>
      </c>
      <c r="E77" t="str">
        <f t="shared" si="3"/>
        <v>dolnośląskie_lubiński_Lubin (gm. miejska)</v>
      </c>
      <c r="F77" t="s">
        <v>70</v>
      </c>
    </row>
    <row r="78" spans="1:6" x14ac:dyDescent="0.3">
      <c r="A78" t="s">
        <v>5392</v>
      </c>
      <c r="B78" t="s">
        <v>4814</v>
      </c>
      <c r="C78" t="str">
        <f t="shared" si="2"/>
        <v>dolnośląskie_lubiński</v>
      </c>
      <c r="D78" t="s">
        <v>4525</v>
      </c>
      <c r="E78" t="str">
        <f t="shared" si="3"/>
        <v>dolnośląskie_lubiński_Lubin (gm. wiejska)</v>
      </c>
      <c r="F78" t="s">
        <v>71</v>
      </c>
    </row>
    <row r="79" spans="1:6" x14ac:dyDescent="0.3">
      <c r="A79" t="s">
        <v>5392</v>
      </c>
      <c r="B79" t="s">
        <v>4815</v>
      </c>
      <c r="C79" t="str">
        <f t="shared" si="2"/>
        <v>dolnośląskie_lwówecki</v>
      </c>
      <c r="D79" t="s">
        <v>2470</v>
      </c>
      <c r="E79" t="str">
        <f t="shared" si="3"/>
        <v>dolnośląskie_lwówecki_Gryfów Śląski</v>
      </c>
      <c r="F79" t="s">
        <v>74</v>
      </c>
    </row>
    <row r="80" spans="1:6" x14ac:dyDescent="0.3">
      <c r="A80" t="s">
        <v>5392</v>
      </c>
      <c r="B80" t="s">
        <v>4815</v>
      </c>
      <c r="C80" t="str">
        <f t="shared" si="2"/>
        <v>dolnośląskie_lwówecki</v>
      </c>
      <c r="D80" t="s">
        <v>2471</v>
      </c>
      <c r="E80" t="str">
        <f t="shared" si="3"/>
        <v>dolnośląskie_lwówecki_Lubomierz</v>
      </c>
      <c r="F80" t="s">
        <v>75</v>
      </c>
    </row>
    <row r="81" spans="1:6" x14ac:dyDescent="0.3">
      <c r="A81" t="s">
        <v>5392</v>
      </c>
      <c r="B81" t="s">
        <v>4815</v>
      </c>
      <c r="C81" t="str">
        <f t="shared" si="2"/>
        <v>dolnośląskie_lwówecki</v>
      </c>
      <c r="D81" t="s">
        <v>2472</v>
      </c>
      <c r="E81" t="str">
        <f t="shared" si="3"/>
        <v>dolnośląskie_lwówecki_Lwówek Śląski</v>
      </c>
      <c r="F81" t="s">
        <v>76</v>
      </c>
    </row>
    <row r="82" spans="1:6" x14ac:dyDescent="0.3">
      <c r="A82" t="s">
        <v>5392</v>
      </c>
      <c r="B82" t="s">
        <v>4815</v>
      </c>
      <c r="C82" t="str">
        <f t="shared" si="2"/>
        <v>dolnośląskie_lwówecki</v>
      </c>
      <c r="D82" t="s">
        <v>2473</v>
      </c>
      <c r="E82" t="str">
        <f t="shared" si="3"/>
        <v>dolnośląskie_lwówecki_Mirsk</v>
      </c>
      <c r="F82" t="s">
        <v>77</v>
      </c>
    </row>
    <row r="83" spans="1:6" x14ac:dyDescent="0.3">
      <c r="A83" t="s">
        <v>5392</v>
      </c>
      <c r="B83" t="s">
        <v>4815</v>
      </c>
      <c r="C83" t="str">
        <f t="shared" si="2"/>
        <v>dolnośląskie_lwówecki</v>
      </c>
      <c r="D83" t="s">
        <v>2474</v>
      </c>
      <c r="E83" t="str">
        <f t="shared" si="3"/>
        <v>dolnośląskie_lwówecki_Wleń</v>
      </c>
      <c r="F83" t="s">
        <v>78</v>
      </c>
    </row>
    <row r="84" spans="1:6" x14ac:dyDescent="0.3">
      <c r="A84" t="s">
        <v>5392</v>
      </c>
      <c r="B84" t="s">
        <v>4816</v>
      </c>
      <c r="C84" t="str">
        <f t="shared" si="2"/>
        <v>dolnośląskie_milicki</v>
      </c>
      <c r="D84" t="s">
        <v>2475</v>
      </c>
      <c r="E84" t="str">
        <f t="shared" si="3"/>
        <v>dolnośląskie_milicki_Cieszków</v>
      </c>
      <c r="F84" t="s">
        <v>79</v>
      </c>
    </row>
    <row r="85" spans="1:6" x14ac:dyDescent="0.3">
      <c r="A85" t="s">
        <v>5392</v>
      </c>
      <c r="B85" t="s">
        <v>4816</v>
      </c>
      <c r="C85" t="str">
        <f t="shared" si="2"/>
        <v>dolnośląskie_milicki</v>
      </c>
      <c r="D85" t="s">
        <v>2476</v>
      </c>
      <c r="E85" t="str">
        <f t="shared" si="3"/>
        <v>dolnośląskie_milicki_Krośnice</v>
      </c>
      <c r="F85" t="s">
        <v>80</v>
      </c>
    </row>
    <row r="86" spans="1:6" x14ac:dyDescent="0.3">
      <c r="A86" t="s">
        <v>5392</v>
      </c>
      <c r="B86" t="s">
        <v>4816</v>
      </c>
      <c r="C86" t="str">
        <f t="shared" si="2"/>
        <v>dolnośląskie_milicki</v>
      </c>
      <c r="D86" t="s">
        <v>2477</v>
      </c>
      <c r="E86" t="str">
        <f t="shared" si="3"/>
        <v>dolnośląskie_milicki_Milicz</v>
      </c>
      <c r="F86" t="s">
        <v>81</v>
      </c>
    </row>
    <row r="87" spans="1:6" x14ac:dyDescent="0.3">
      <c r="A87" t="s">
        <v>5392</v>
      </c>
      <c r="B87" t="s">
        <v>4817</v>
      </c>
      <c r="C87" t="str">
        <f t="shared" si="2"/>
        <v>dolnośląskie_oleśnicki</v>
      </c>
      <c r="D87" t="s">
        <v>2479</v>
      </c>
      <c r="E87" t="str">
        <f t="shared" si="3"/>
        <v>dolnośląskie_oleśnicki_Bierutów</v>
      </c>
      <c r="F87" t="s">
        <v>83</v>
      </c>
    </row>
    <row r="88" spans="1:6" x14ac:dyDescent="0.3">
      <c r="A88" t="s">
        <v>5392</v>
      </c>
      <c r="B88" t="s">
        <v>4817</v>
      </c>
      <c r="C88" t="str">
        <f t="shared" si="2"/>
        <v>dolnośląskie_oleśnicki</v>
      </c>
      <c r="D88" t="s">
        <v>2480</v>
      </c>
      <c r="E88" t="str">
        <f t="shared" si="3"/>
        <v>dolnośląskie_oleśnicki_Dobroszyce</v>
      </c>
      <c r="F88" t="s">
        <v>84</v>
      </c>
    </row>
    <row r="89" spans="1:6" x14ac:dyDescent="0.3">
      <c r="A89" t="s">
        <v>5392</v>
      </c>
      <c r="B89" t="s">
        <v>4817</v>
      </c>
      <c r="C89" t="str">
        <f t="shared" si="2"/>
        <v>dolnośląskie_oleśnicki</v>
      </c>
      <c r="D89" t="s">
        <v>2481</v>
      </c>
      <c r="E89" t="str">
        <f t="shared" si="3"/>
        <v>dolnośląskie_oleśnicki_Dziadowa Kłoda</v>
      </c>
      <c r="F89" t="s">
        <v>85</v>
      </c>
    </row>
    <row r="90" spans="1:6" x14ac:dyDescent="0.3">
      <c r="A90" t="s">
        <v>5392</v>
      </c>
      <c r="B90" t="s">
        <v>4817</v>
      </c>
      <c r="C90" t="str">
        <f t="shared" si="2"/>
        <v>dolnośląskie_oleśnicki</v>
      </c>
      <c r="D90" t="s">
        <v>2482</v>
      </c>
      <c r="E90" t="str">
        <f t="shared" si="3"/>
        <v>dolnośląskie_oleśnicki_Międzybórz</v>
      </c>
      <c r="F90" t="s">
        <v>86</v>
      </c>
    </row>
    <row r="91" spans="1:6" x14ac:dyDescent="0.3">
      <c r="A91" t="s">
        <v>5392</v>
      </c>
      <c r="B91" t="s">
        <v>4817</v>
      </c>
      <c r="C91" t="str">
        <f t="shared" si="2"/>
        <v>dolnośląskie_oleśnicki</v>
      </c>
      <c r="D91" t="s">
        <v>2483</v>
      </c>
      <c r="E91" t="str">
        <f t="shared" si="3"/>
        <v>dolnośląskie_oleśnicki_Syców</v>
      </c>
      <c r="F91" t="s">
        <v>88</v>
      </c>
    </row>
    <row r="92" spans="1:6" x14ac:dyDescent="0.3">
      <c r="A92" t="s">
        <v>5392</v>
      </c>
      <c r="B92" t="s">
        <v>4817</v>
      </c>
      <c r="C92" t="str">
        <f t="shared" si="2"/>
        <v>dolnośląskie_oleśnicki</v>
      </c>
      <c r="D92" t="s">
        <v>2484</v>
      </c>
      <c r="E92" t="str">
        <f t="shared" si="3"/>
        <v>dolnośląskie_oleśnicki_Twardogóra</v>
      </c>
      <c r="F92" t="s">
        <v>89</v>
      </c>
    </row>
    <row r="93" spans="1:6" x14ac:dyDescent="0.3">
      <c r="A93" t="s">
        <v>5392</v>
      </c>
      <c r="B93" t="s">
        <v>4817</v>
      </c>
      <c r="C93" t="str">
        <f t="shared" si="2"/>
        <v>dolnośląskie_oleśnicki</v>
      </c>
      <c r="D93" t="s">
        <v>4526</v>
      </c>
      <c r="E93" t="str">
        <f t="shared" si="3"/>
        <v>dolnośląskie_oleśnicki_Oleśnica (gm. miejska)</v>
      </c>
      <c r="F93" t="s">
        <v>82</v>
      </c>
    </row>
    <row r="94" spans="1:6" x14ac:dyDescent="0.3">
      <c r="A94" t="s">
        <v>5392</v>
      </c>
      <c r="B94" t="s">
        <v>4817</v>
      </c>
      <c r="C94" t="str">
        <f t="shared" si="2"/>
        <v>dolnośląskie_oleśnicki</v>
      </c>
      <c r="D94" t="s">
        <v>4527</v>
      </c>
      <c r="E94" t="str">
        <f t="shared" si="3"/>
        <v>dolnośląskie_oleśnicki_Oleśnica (gm. wiejska)</v>
      </c>
      <c r="F94" t="s">
        <v>87</v>
      </c>
    </row>
    <row r="95" spans="1:6" x14ac:dyDescent="0.3">
      <c r="A95" t="s">
        <v>5392</v>
      </c>
      <c r="B95" t="s">
        <v>4818</v>
      </c>
      <c r="C95" t="str">
        <f t="shared" si="2"/>
        <v>dolnośląskie_oławski</v>
      </c>
      <c r="D95" t="s">
        <v>2485</v>
      </c>
      <c r="E95" t="str">
        <f t="shared" si="3"/>
        <v>dolnośląskie_oławski_Domaniów</v>
      </c>
      <c r="F95" t="s">
        <v>91</v>
      </c>
    </row>
    <row r="96" spans="1:6" x14ac:dyDescent="0.3">
      <c r="A96" t="s">
        <v>5392</v>
      </c>
      <c r="B96" t="s">
        <v>4818</v>
      </c>
      <c r="C96" t="str">
        <f t="shared" si="2"/>
        <v>dolnośląskie_oławski</v>
      </c>
      <c r="D96" t="s">
        <v>2486</v>
      </c>
      <c r="E96" t="str">
        <f t="shared" si="3"/>
        <v>dolnośląskie_oławski_Jelcz-Laskowice</v>
      </c>
      <c r="F96" t="s">
        <v>92</v>
      </c>
    </row>
    <row r="97" spans="1:6" x14ac:dyDescent="0.3">
      <c r="A97" t="s">
        <v>5392</v>
      </c>
      <c r="B97" t="s">
        <v>4818</v>
      </c>
      <c r="C97" t="str">
        <f t="shared" si="2"/>
        <v>dolnośląskie_oławski</v>
      </c>
      <c r="D97" t="s">
        <v>4528</v>
      </c>
      <c r="E97" t="str">
        <f t="shared" si="3"/>
        <v>dolnośląskie_oławski_Oława (gm. miejska)</v>
      </c>
      <c r="F97" t="s">
        <v>90</v>
      </c>
    </row>
    <row r="98" spans="1:6" x14ac:dyDescent="0.3">
      <c r="A98" t="s">
        <v>5392</v>
      </c>
      <c r="B98" t="s">
        <v>4818</v>
      </c>
      <c r="C98" t="str">
        <f t="shared" si="2"/>
        <v>dolnośląskie_oławski</v>
      </c>
      <c r="D98" t="s">
        <v>4529</v>
      </c>
      <c r="E98" t="str">
        <f t="shared" si="3"/>
        <v>dolnośląskie_oławski_Oława (gm. wiejska)</v>
      </c>
      <c r="F98" t="s">
        <v>93</v>
      </c>
    </row>
    <row r="99" spans="1:6" x14ac:dyDescent="0.3">
      <c r="A99" t="s">
        <v>5392</v>
      </c>
      <c r="B99" t="s">
        <v>4819</v>
      </c>
      <c r="C99" t="str">
        <f t="shared" si="2"/>
        <v>dolnośląskie_polkowicki</v>
      </c>
      <c r="D99" t="s">
        <v>2487</v>
      </c>
      <c r="E99" t="str">
        <f t="shared" si="3"/>
        <v>dolnośląskie_polkowicki_Chocianów</v>
      </c>
      <c r="F99" t="s">
        <v>94</v>
      </c>
    </row>
    <row r="100" spans="1:6" x14ac:dyDescent="0.3">
      <c r="A100" t="s">
        <v>5392</v>
      </c>
      <c r="B100" t="s">
        <v>4819</v>
      </c>
      <c r="C100" t="str">
        <f t="shared" si="2"/>
        <v>dolnośląskie_polkowicki</v>
      </c>
      <c r="D100" t="s">
        <v>2488</v>
      </c>
      <c r="E100" t="str">
        <f t="shared" si="3"/>
        <v>dolnośląskie_polkowicki_Gaworzyce</v>
      </c>
      <c r="F100" t="s">
        <v>95</v>
      </c>
    </row>
    <row r="101" spans="1:6" x14ac:dyDescent="0.3">
      <c r="A101" t="s">
        <v>5392</v>
      </c>
      <c r="B101" t="s">
        <v>4819</v>
      </c>
      <c r="C101" t="str">
        <f t="shared" si="2"/>
        <v>dolnośląskie_polkowicki</v>
      </c>
      <c r="D101" t="s">
        <v>2489</v>
      </c>
      <c r="E101" t="str">
        <f t="shared" si="3"/>
        <v>dolnośląskie_polkowicki_Grębocice</v>
      </c>
      <c r="F101" t="s">
        <v>96</v>
      </c>
    </row>
    <row r="102" spans="1:6" x14ac:dyDescent="0.3">
      <c r="A102" t="s">
        <v>5392</v>
      </c>
      <c r="B102" t="s">
        <v>4819</v>
      </c>
      <c r="C102" t="str">
        <f t="shared" si="2"/>
        <v>dolnośląskie_polkowicki</v>
      </c>
      <c r="D102" t="s">
        <v>2490</v>
      </c>
      <c r="E102" t="str">
        <f t="shared" si="3"/>
        <v>dolnośląskie_polkowicki_Polkowice</v>
      </c>
      <c r="F102" t="s">
        <v>97</v>
      </c>
    </row>
    <row r="103" spans="1:6" x14ac:dyDescent="0.3">
      <c r="A103" t="s">
        <v>5392</v>
      </c>
      <c r="B103" t="s">
        <v>4819</v>
      </c>
      <c r="C103" t="str">
        <f t="shared" si="2"/>
        <v>dolnośląskie_polkowicki</v>
      </c>
      <c r="D103" t="s">
        <v>2491</v>
      </c>
      <c r="E103" t="str">
        <f t="shared" si="3"/>
        <v>dolnośląskie_polkowicki_Przemków</v>
      </c>
      <c r="F103" t="s">
        <v>98</v>
      </c>
    </row>
    <row r="104" spans="1:6" x14ac:dyDescent="0.3">
      <c r="A104" t="s">
        <v>5392</v>
      </c>
      <c r="B104" t="s">
        <v>4819</v>
      </c>
      <c r="C104" t="str">
        <f t="shared" si="2"/>
        <v>dolnośląskie_polkowicki</v>
      </c>
      <c r="D104" t="s">
        <v>2492</v>
      </c>
      <c r="E104" t="str">
        <f t="shared" si="3"/>
        <v>dolnośląskie_polkowicki_Radwanice</v>
      </c>
      <c r="F104" t="s">
        <v>99</v>
      </c>
    </row>
    <row r="105" spans="1:6" x14ac:dyDescent="0.3">
      <c r="A105" t="s">
        <v>5392</v>
      </c>
      <c r="B105" t="s">
        <v>4820</v>
      </c>
      <c r="C105" t="str">
        <f t="shared" si="2"/>
        <v>dolnośląskie_strzeliński</v>
      </c>
      <c r="D105" t="s">
        <v>2493</v>
      </c>
      <c r="E105" t="str">
        <f t="shared" si="3"/>
        <v>dolnośląskie_strzeliński_Borów</v>
      </c>
      <c r="F105" t="s">
        <v>100</v>
      </c>
    </row>
    <row r="106" spans="1:6" x14ac:dyDescent="0.3">
      <c r="A106" t="s">
        <v>5392</v>
      </c>
      <c r="B106" t="s">
        <v>4820</v>
      </c>
      <c r="C106" t="str">
        <f t="shared" si="2"/>
        <v>dolnośląskie_strzeliński</v>
      </c>
      <c r="D106" t="s">
        <v>2494</v>
      </c>
      <c r="E106" t="str">
        <f t="shared" si="3"/>
        <v>dolnośląskie_strzeliński_Kondratowice</v>
      </c>
      <c r="F106" t="s">
        <v>101</v>
      </c>
    </row>
    <row r="107" spans="1:6" x14ac:dyDescent="0.3">
      <c r="A107" t="s">
        <v>5392</v>
      </c>
      <c r="B107" t="s">
        <v>4820</v>
      </c>
      <c r="C107" t="str">
        <f t="shared" si="2"/>
        <v>dolnośląskie_strzeliński</v>
      </c>
      <c r="D107" t="s">
        <v>2495</v>
      </c>
      <c r="E107" t="str">
        <f t="shared" si="3"/>
        <v>dolnośląskie_strzeliński_Przeworno</v>
      </c>
      <c r="F107" t="s">
        <v>102</v>
      </c>
    </row>
    <row r="108" spans="1:6" x14ac:dyDescent="0.3">
      <c r="A108" t="s">
        <v>5392</v>
      </c>
      <c r="B108" t="s">
        <v>4820</v>
      </c>
      <c r="C108" t="str">
        <f t="shared" si="2"/>
        <v>dolnośląskie_strzeliński</v>
      </c>
      <c r="D108" t="s">
        <v>2496</v>
      </c>
      <c r="E108" t="str">
        <f t="shared" si="3"/>
        <v>dolnośląskie_strzeliński_Strzelin</v>
      </c>
      <c r="F108" t="s">
        <v>103</v>
      </c>
    </row>
    <row r="109" spans="1:6" x14ac:dyDescent="0.3">
      <c r="A109" t="s">
        <v>5392</v>
      </c>
      <c r="B109" t="s">
        <v>4820</v>
      </c>
      <c r="C109" t="str">
        <f t="shared" si="2"/>
        <v>dolnośląskie_strzeliński</v>
      </c>
      <c r="D109" t="s">
        <v>2497</v>
      </c>
      <c r="E109" t="str">
        <f t="shared" si="3"/>
        <v>dolnośląskie_strzeliński_Wiązów</v>
      </c>
      <c r="F109" s="48" t="s">
        <v>104</v>
      </c>
    </row>
    <row r="110" spans="1:6" x14ac:dyDescent="0.3">
      <c r="A110" t="s">
        <v>5392</v>
      </c>
      <c r="B110" t="s">
        <v>4821</v>
      </c>
      <c r="C110" t="str">
        <f t="shared" si="2"/>
        <v>dolnośląskie_średzki</v>
      </c>
      <c r="D110" t="s">
        <v>2498</v>
      </c>
      <c r="E110" t="str">
        <f t="shared" si="3"/>
        <v>dolnośląskie_średzki_Kostomłoty</v>
      </c>
      <c r="F110" t="s">
        <v>105</v>
      </c>
    </row>
    <row r="111" spans="1:6" x14ac:dyDescent="0.3">
      <c r="A111" t="s">
        <v>5392</v>
      </c>
      <c r="B111" t="s">
        <v>4821</v>
      </c>
      <c r="C111" t="str">
        <f t="shared" si="2"/>
        <v>dolnośląskie_średzki</v>
      </c>
      <c r="D111" t="s">
        <v>2499</v>
      </c>
      <c r="E111" t="str">
        <f t="shared" si="3"/>
        <v>dolnośląskie_średzki_Malczyce</v>
      </c>
      <c r="F111" t="s">
        <v>106</v>
      </c>
    </row>
    <row r="112" spans="1:6" x14ac:dyDescent="0.3">
      <c r="A112" t="s">
        <v>5392</v>
      </c>
      <c r="B112" t="s">
        <v>4821</v>
      </c>
      <c r="C112" t="str">
        <f t="shared" si="2"/>
        <v>dolnośląskie_średzki</v>
      </c>
      <c r="D112" t="s">
        <v>2500</v>
      </c>
      <c r="E112" t="str">
        <f t="shared" si="3"/>
        <v>dolnośląskie_średzki_Miękinia</v>
      </c>
      <c r="F112" t="s">
        <v>5480</v>
      </c>
    </row>
    <row r="113" spans="1:6" x14ac:dyDescent="0.3">
      <c r="A113" t="s">
        <v>5392</v>
      </c>
      <c r="B113" t="s">
        <v>4821</v>
      </c>
      <c r="C113" t="str">
        <f t="shared" si="2"/>
        <v>dolnośląskie_średzki</v>
      </c>
      <c r="D113" t="s">
        <v>2501</v>
      </c>
      <c r="E113" t="str">
        <f t="shared" si="3"/>
        <v>dolnośląskie_średzki_Środa Śląska</v>
      </c>
      <c r="F113" t="s">
        <v>108</v>
      </c>
    </row>
    <row r="114" spans="1:6" x14ac:dyDescent="0.3">
      <c r="A114" t="s">
        <v>5392</v>
      </c>
      <c r="B114" t="s">
        <v>4821</v>
      </c>
      <c r="C114" t="str">
        <f t="shared" si="2"/>
        <v>dolnośląskie_średzki</v>
      </c>
      <c r="D114" t="s">
        <v>2502</v>
      </c>
      <c r="E114" t="str">
        <f t="shared" si="3"/>
        <v>dolnośląskie_średzki_Udanin</v>
      </c>
      <c r="F114" t="s">
        <v>109</v>
      </c>
    </row>
    <row r="115" spans="1:6" x14ac:dyDescent="0.3">
      <c r="A115" t="s">
        <v>5392</v>
      </c>
      <c r="B115" t="s">
        <v>4822</v>
      </c>
      <c r="C115" t="str">
        <f t="shared" si="2"/>
        <v>dolnośląskie_świdnicki</v>
      </c>
      <c r="D115" t="s">
        <v>2505</v>
      </c>
      <c r="E115" t="str">
        <f t="shared" si="3"/>
        <v>dolnośląskie_świdnicki_Dobromierz</v>
      </c>
      <c r="F115" t="s">
        <v>112</v>
      </c>
    </row>
    <row r="116" spans="1:6" x14ac:dyDescent="0.3">
      <c r="A116" t="s">
        <v>5392</v>
      </c>
      <c r="B116" t="s">
        <v>4822</v>
      </c>
      <c r="C116" t="str">
        <f t="shared" si="2"/>
        <v>dolnośląskie_świdnicki</v>
      </c>
      <c r="D116" t="s">
        <v>2506</v>
      </c>
      <c r="E116" t="str">
        <f t="shared" si="3"/>
        <v>dolnośląskie_świdnicki_Jaworzyna Śląska</v>
      </c>
      <c r="F116" t="s">
        <v>113</v>
      </c>
    </row>
    <row r="117" spans="1:6" x14ac:dyDescent="0.3">
      <c r="A117" t="s">
        <v>5392</v>
      </c>
      <c r="B117" t="s">
        <v>4822</v>
      </c>
      <c r="C117" t="str">
        <f t="shared" si="2"/>
        <v>dolnośląskie_świdnicki</v>
      </c>
      <c r="D117" t="s">
        <v>2507</v>
      </c>
      <c r="E117" t="str">
        <f t="shared" si="3"/>
        <v>dolnośląskie_świdnicki_Marcinowice</v>
      </c>
      <c r="F117" t="s">
        <v>114</v>
      </c>
    </row>
    <row r="118" spans="1:6" x14ac:dyDescent="0.3">
      <c r="A118" t="s">
        <v>5392</v>
      </c>
      <c r="B118" t="s">
        <v>4822</v>
      </c>
      <c r="C118" t="str">
        <f t="shared" si="2"/>
        <v>dolnośląskie_świdnicki</v>
      </c>
      <c r="D118" t="s">
        <v>2508</v>
      </c>
      <c r="E118" t="str">
        <f t="shared" si="3"/>
        <v>dolnośląskie_świdnicki_Strzegom</v>
      </c>
      <c r="F118" t="s">
        <v>115</v>
      </c>
    </row>
    <row r="119" spans="1:6" x14ac:dyDescent="0.3">
      <c r="A119" t="s">
        <v>5392</v>
      </c>
      <c r="B119" t="s">
        <v>4822</v>
      </c>
      <c r="C119" t="str">
        <f t="shared" si="2"/>
        <v>dolnośląskie_świdnicki</v>
      </c>
      <c r="D119" t="s">
        <v>2504</v>
      </c>
      <c r="E119" t="str">
        <f t="shared" si="3"/>
        <v>dolnośląskie_świdnicki_Świebodzice</v>
      </c>
      <c r="F119" t="s">
        <v>111</v>
      </c>
    </row>
    <row r="120" spans="1:6" x14ac:dyDescent="0.3">
      <c r="A120" t="s">
        <v>5392</v>
      </c>
      <c r="B120" t="s">
        <v>4822</v>
      </c>
      <c r="C120" t="str">
        <f t="shared" si="2"/>
        <v>dolnośląskie_świdnicki</v>
      </c>
      <c r="D120" t="s">
        <v>2509</v>
      </c>
      <c r="E120" t="str">
        <f t="shared" si="3"/>
        <v>dolnośląskie_świdnicki_Żarów</v>
      </c>
      <c r="F120" t="s">
        <v>117</v>
      </c>
    </row>
    <row r="121" spans="1:6" x14ac:dyDescent="0.3">
      <c r="A121" t="s">
        <v>5392</v>
      </c>
      <c r="B121" t="s">
        <v>4822</v>
      </c>
      <c r="C121" t="str">
        <f t="shared" si="2"/>
        <v>dolnośląskie_świdnicki</v>
      </c>
      <c r="D121" t="s">
        <v>4530</v>
      </c>
      <c r="E121" t="str">
        <f t="shared" si="3"/>
        <v>dolnośląskie_świdnicki_Świdnica (gm. miejska)</v>
      </c>
      <c r="F121" t="s">
        <v>110</v>
      </c>
    </row>
    <row r="122" spans="1:6" x14ac:dyDescent="0.3">
      <c r="A122" t="s">
        <v>5392</v>
      </c>
      <c r="B122" t="s">
        <v>4822</v>
      </c>
      <c r="C122" t="str">
        <f t="shared" si="2"/>
        <v>dolnośląskie_świdnicki</v>
      </c>
      <c r="D122" t="s">
        <v>4531</v>
      </c>
      <c r="E122" t="str">
        <f t="shared" si="3"/>
        <v>dolnośląskie_świdnicki_Świdnica (gm. wiejska)</v>
      </c>
      <c r="F122" t="s">
        <v>116</v>
      </c>
    </row>
    <row r="123" spans="1:6" x14ac:dyDescent="0.3">
      <c r="A123" t="s">
        <v>5392</v>
      </c>
      <c r="B123" t="s">
        <v>4823</v>
      </c>
      <c r="C123" t="str">
        <f t="shared" si="2"/>
        <v>dolnośląskie_trzebnicki</v>
      </c>
      <c r="D123" t="s">
        <v>2510</v>
      </c>
      <c r="E123" t="str">
        <f t="shared" si="3"/>
        <v>dolnośląskie_trzebnicki_Oborniki Śląskie</v>
      </c>
      <c r="F123" t="s">
        <v>118</v>
      </c>
    </row>
    <row r="124" spans="1:6" x14ac:dyDescent="0.3">
      <c r="A124" t="s">
        <v>5392</v>
      </c>
      <c r="B124" t="s">
        <v>4823</v>
      </c>
      <c r="C124" t="str">
        <f t="shared" si="2"/>
        <v>dolnośląskie_trzebnicki</v>
      </c>
      <c r="D124" t="s">
        <v>2511</v>
      </c>
      <c r="E124" t="str">
        <f t="shared" si="3"/>
        <v>dolnośląskie_trzebnicki_Prusice</v>
      </c>
      <c r="F124" t="s">
        <v>119</v>
      </c>
    </row>
    <row r="125" spans="1:6" x14ac:dyDescent="0.3">
      <c r="A125" t="s">
        <v>5392</v>
      </c>
      <c r="B125" t="s">
        <v>4823</v>
      </c>
      <c r="C125" t="str">
        <f t="shared" si="2"/>
        <v>dolnośląskie_trzebnicki</v>
      </c>
      <c r="D125" t="s">
        <v>2512</v>
      </c>
      <c r="E125" t="str">
        <f t="shared" si="3"/>
        <v>dolnośląskie_trzebnicki_Trzebnica</v>
      </c>
      <c r="F125" t="s">
        <v>120</v>
      </c>
    </row>
    <row r="126" spans="1:6" x14ac:dyDescent="0.3">
      <c r="A126" t="s">
        <v>5392</v>
      </c>
      <c r="B126" t="s">
        <v>4823</v>
      </c>
      <c r="C126" t="str">
        <f t="shared" si="2"/>
        <v>dolnośląskie_trzebnicki</v>
      </c>
      <c r="D126" t="s">
        <v>2513</v>
      </c>
      <c r="E126" t="str">
        <f t="shared" si="3"/>
        <v>dolnośląskie_trzebnicki_Wisznia Mała</v>
      </c>
      <c r="F126" t="s">
        <v>121</v>
      </c>
    </row>
    <row r="127" spans="1:6" x14ac:dyDescent="0.3">
      <c r="A127" t="s">
        <v>5392</v>
      </c>
      <c r="B127" t="s">
        <v>4823</v>
      </c>
      <c r="C127" t="str">
        <f t="shared" si="2"/>
        <v>dolnośląskie_trzebnicki</v>
      </c>
      <c r="D127" t="s">
        <v>2514</v>
      </c>
      <c r="E127" t="str">
        <f t="shared" si="3"/>
        <v>dolnośląskie_trzebnicki_Zawonia</v>
      </c>
      <c r="F127" t="s">
        <v>122</v>
      </c>
    </row>
    <row r="128" spans="1:6" x14ac:dyDescent="0.3">
      <c r="A128" t="s">
        <v>5392</v>
      </c>
      <c r="B128" t="s">
        <v>4823</v>
      </c>
      <c r="C128" t="str">
        <f t="shared" si="2"/>
        <v>dolnośląskie_trzebnicki</v>
      </c>
      <c r="D128" t="s">
        <v>2515</v>
      </c>
      <c r="E128" t="str">
        <f t="shared" si="3"/>
        <v>dolnośląskie_trzebnicki_Żmigród</v>
      </c>
      <c r="F128" t="s">
        <v>123</v>
      </c>
    </row>
    <row r="129" spans="1:6" x14ac:dyDescent="0.3">
      <c r="A129" t="s">
        <v>5392</v>
      </c>
      <c r="B129" t="s">
        <v>2524</v>
      </c>
      <c r="C129" t="str">
        <f t="shared" ref="C129:C192" si="4">CONCATENATE(A129,"_",B129)</f>
        <v>dolnośląskie_Wałbrzych</v>
      </c>
      <c r="D129" t="s">
        <v>2524</v>
      </c>
      <c r="E129" t="str">
        <f t="shared" ref="E129:E192" si="5">C129&amp;"_"&amp;D129</f>
        <v>dolnośląskie_Wałbrzych_Wałbrzych</v>
      </c>
      <c r="F129" t="s">
        <v>5208</v>
      </c>
    </row>
    <row r="130" spans="1:6" x14ac:dyDescent="0.3">
      <c r="A130" t="s">
        <v>5392</v>
      </c>
      <c r="B130" t="s">
        <v>4824</v>
      </c>
      <c r="C130" t="str">
        <f t="shared" si="4"/>
        <v>dolnośląskie_wałbrzyski</v>
      </c>
      <c r="D130" t="s">
        <v>2516</v>
      </c>
      <c r="E130" t="str">
        <f t="shared" si="5"/>
        <v>dolnośląskie_wałbrzyski_Boguszów-Gorce</v>
      </c>
      <c r="F130" t="s">
        <v>124</v>
      </c>
    </row>
    <row r="131" spans="1:6" x14ac:dyDescent="0.3">
      <c r="A131" t="s">
        <v>5392</v>
      </c>
      <c r="B131" t="s">
        <v>4824</v>
      </c>
      <c r="C131" t="str">
        <f t="shared" si="4"/>
        <v>dolnośląskie_wałbrzyski</v>
      </c>
      <c r="D131" t="s">
        <v>2519</v>
      </c>
      <c r="E131" t="str">
        <f t="shared" si="5"/>
        <v>dolnośląskie_wałbrzyski_Czarny Bór</v>
      </c>
      <c r="F131" t="s">
        <v>127</v>
      </c>
    </row>
    <row r="132" spans="1:6" x14ac:dyDescent="0.3">
      <c r="A132" t="s">
        <v>5392</v>
      </c>
      <c r="B132" t="s">
        <v>4824</v>
      </c>
      <c r="C132" t="str">
        <f t="shared" si="4"/>
        <v>dolnośląskie_wałbrzyski</v>
      </c>
      <c r="D132" t="s">
        <v>2520</v>
      </c>
      <c r="E132" t="str">
        <f t="shared" si="5"/>
        <v>dolnośląskie_wałbrzyski_Głuszyca</v>
      </c>
      <c r="F132" t="s">
        <v>128</v>
      </c>
    </row>
    <row r="133" spans="1:6" x14ac:dyDescent="0.3">
      <c r="A133" t="s">
        <v>5392</v>
      </c>
      <c r="B133" t="s">
        <v>4824</v>
      </c>
      <c r="C133" t="str">
        <f t="shared" si="4"/>
        <v>dolnośląskie_wałbrzyski</v>
      </c>
      <c r="D133" t="s">
        <v>2517</v>
      </c>
      <c r="E133" t="str">
        <f t="shared" si="5"/>
        <v>dolnośląskie_wałbrzyski_Jedlina-Zdrój</v>
      </c>
      <c r="F133" t="s">
        <v>125</v>
      </c>
    </row>
    <row r="134" spans="1:6" x14ac:dyDescent="0.3">
      <c r="A134" t="s">
        <v>5392</v>
      </c>
      <c r="B134" t="s">
        <v>4824</v>
      </c>
      <c r="C134" t="str">
        <f t="shared" si="4"/>
        <v>dolnośląskie_wałbrzyski</v>
      </c>
      <c r="D134" t="s">
        <v>2521</v>
      </c>
      <c r="E134" t="str">
        <f t="shared" si="5"/>
        <v>dolnośląskie_wałbrzyski_Mieroszów</v>
      </c>
      <c r="F134" t="s">
        <v>129</v>
      </c>
    </row>
    <row r="135" spans="1:6" x14ac:dyDescent="0.3">
      <c r="A135" t="s">
        <v>5392</v>
      </c>
      <c r="B135" t="s">
        <v>4824</v>
      </c>
      <c r="C135" t="str">
        <f t="shared" si="4"/>
        <v>dolnośląskie_wałbrzyski</v>
      </c>
      <c r="D135" t="s">
        <v>2522</v>
      </c>
      <c r="E135" t="str">
        <f t="shared" si="5"/>
        <v>dolnośląskie_wałbrzyski_Stare Bogaczowice</v>
      </c>
      <c r="F135" t="s">
        <v>130</v>
      </c>
    </row>
    <row r="136" spans="1:6" x14ac:dyDescent="0.3">
      <c r="A136" t="s">
        <v>5392</v>
      </c>
      <c r="B136" t="s">
        <v>4824</v>
      </c>
      <c r="C136" t="str">
        <f t="shared" si="4"/>
        <v>dolnośląskie_wałbrzyski</v>
      </c>
      <c r="D136" t="s">
        <v>2518</v>
      </c>
      <c r="E136" t="str">
        <f t="shared" si="5"/>
        <v>dolnośląskie_wałbrzyski_Szczawno-Zdrój</v>
      </c>
      <c r="F136" t="s">
        <v>126</v>
      </c>
    </row>
    <row r="137" spans="1:6" x14ac:dyDescent="0.3">
      <c r="A137" t="s">
        <v>5392</v>
      </c>
      <c r="B137" t="s">
        <v>4824</v>
      </c>
      <c r="C137" t="str">
        <f t="shared" si="4"/>
        <v>dolnośląskie_wałbrzyski</v>
      </c>
      <c r="D137" t="s">
        <v>2523</v>
      </c>
      <c r="E137" t="str">
        <f t="shared" si="5"/>
        <v>dolnośląskie_wałbrzyski_Walim</v>
      </c>
      <c r="F137" t="s">
        <v>131</v>
      </c>
    </row>
    <row r="138" spans="1:6" x14ac:dyDescent="0.3">
      <c r="A138" t="s">
        <v>5392</v>
      </c>
      <c r="B138" t="s">
        <v>4825</v>
      </c>
      <c r="C138" t="str">
        <f t="shared" si="4"/>
        <v>dolnośląskie_wołowski</v>
      </c>
      <c r="D138" t="s">
        <v>2525</v>
      </c>
      <c r="E138" t="str">
        <f t="shared" si="5"/>
        <v>dolnośląskie_wołowski_Brzeg Dolny</v>
      </c>
      <c r="F138" t="s">
        <v>132</v>
      </c>
    </row>
    <row r="139" spans="1:6" x14ac:dyDescent="0.3">
      <c r="A139" t="s">
        <v>5392</v>
      </c>
      <c r="B139" t="s">
        <v>4825</v>
      </c>
      <c r="C139" t="str">
        <f t="shared" si="4"/>
        <v>dolnośląskie_wołowski</v>
      </c>
      <c r="D139" t="s">
        <v>2526</v>
      </c>
      <c r="E139" t="str">
        <f t="shared" si="5"/>
        <v>dolnośląskie_wołowski_Wińsko</v>
      </c>
      <c r="F139" t="s">
        <v>133</v>
      </c>
    </row>
    <row r="140" spans="1:6" x14ac:dyDescent="0.3">
      <c r="A140" t="s">
        <v>5392</v>
      </c>
      <c r="B140" t="s">
        <v>4825</v>
      </c>
      <c r="C140" t="str">
        <f t="shared" si="4"/>
        <v>dolnośląskie_wołowski</v>
      </c>
      <c r="D140" t="s">
        <v>2527</v>
      </c>
      <c r="E140" t="str">
        <f t="shared" si="5"/>
        <v>dolnośląskie_wołowski_Wołów</v>
      </c>
      <c r="F140" t="s">
        <v>134</v>
      </c>
    </row>
    <row r="141" spans="1:6" x14ac:dyDescent="0.3">
      <c r="A141" t="s">
        <v>5392</v>
      </c>
      <c r="B141" t="s">
        <v>2555</v>
      </c>
      <c r="C141" t="str">
        <f t="shared" si="4"/>
        <v>dolnośląskie_Wrocław</v>
      </c>
      <c r="D141" t="s">
        <v>2555</v>
      </c>
      <c r="E141" t="str">
        <f t="shared" si="5"/>
        <v>dolnośląskie_Wrocław_Wrocław</v>
      </c>
      <c r="F141" t="s">
        <v>165</v>
      </c>
    </row>
    <row r="142" spans="1:6" x14ac:dyDescent="0.3">
      <c r="A142" t="s">
        <v>5392</v>
      </c>
      <c r="B142" t="s">
        <v>4826</v>
      </c>
      <c r="C142" t="str">
        <f t="shared" si="4"/>
        <v>dolnośląskie_wrocławski</v>
      </c>
      <c r="D142" t="s">
        <v>2528</v>
      </c>
      <c r="E142" t="str">
        <f t="shared" si="5"/>
        <v>dolnośląskie_wrocławski_Czernica</v>
      </c>
      <c r="F142" t="s">
        <v>135</v>
      </c>
    </row>
    <row r="143" spans="1:6" x14ac:dyDescent="0.3">
      <c r="A143" t="s">
        <v>5392</v>
      </c>
      <c r="B143" t="s">
        <v>4826</v>
      </c>
      <c r="C143" t="str">
        <f t="shared" si="4"/>
        <v>dolnośląskie_wrocławski</v>
      </c>
      <c r="D143" t="s">
        <v>2529</v>
      </c>
      <c r="E143" t="str">
        <f t="shared" si="5"/>
        <v>dolnośląskie_wrocławski_Długołęka</v>
      </c>
      <c r="F143" t="s">
        <v>136</v>
      </c>
    </row>
    <row r="144" spans="1:6" x14ac:dyDescent="0.3">
      <c r="A144" t="s">
        <v>5392</v>
      </c>
      <c r="B144" t="s">
        <v>4826</v>
      </c>
      <c r="C144" t="str">
        <f t="shared" si="4"/>
        <v>dolnośląskie_wrocławski</v>
      </c>
      <c r="D144" t="s">
        <v>2530</v>
      </c>
      <c r="E144" t="str">
        <f t="shared" si="5"/>
        <v>dolnośląskie_wrocławski_Jordanów Śląski</v>
      </c>
      <c r="F144" t="s">
        <v>137</v>
      </c>
    </row>
    <row r="145" spans="1:6" x14ac:dyDescent="0.3">
      <c r="A145" t="s">
        <v>5392</v>
      </c>
      <c r="B145" t="s">
        <v>4826</v>
      </c>
      <c r="C145" t="str">
        <f t="shared" si="4"/>
        <v>dolnośląskie_wrocławski</v>
      </c>
      <c r="D145" t="s">
        <v>2531</v>
      </c>
      <c r="E145" t="str">
        <f t="shared" si="5"/>
        <v>dolnośląskie_wrocławski_Kąty Wrocławskie</v>
      </c>
      <c r="F145" t="s">
        <v>138</v>
      </c>
    </row>
    <row r="146" spans="1:6" x14ac:dyDescent="0.3">
      <c r="A146" t="s">
        <v>5392</v>
      </c>
      <c r="B146" t="s">
        <v>4826</v>
      </c>
      <c r="C146" t="str">
        <f t="shared" si="4"/>
        <v>dolnośląskie_wrocławski</v>
      </c>
      <c r="D146" t="s">
        <v>2532</v>
      </c>
      <c r="E146" t="str">
        <f t="shared" si="5"/>
        <v>dolnośląskie_wrocławski_Kobierzyce</v>
      </c>
      <c r="F146" t="s">
        <v>139</v>
      </c>
    </row>
    <row r="147" spans="1:6" x14ac:dyDescent="0.3">
      <c r="A147" t="s">
        <v>5392</v>
      </c>
      <c r="B147" t="s">
        <v>4826</v>
      </c>
      <c r="C147" t="str">
        <f t="shared" si="4"/>
        <v>dolnośląskie_wrocławski</v>
      </c>
      <c r="D147" t="s">
        <v>2533</v>
      </c>
      <c r="E147" t="str">
        <f t="shared" si="5"/>
        <v>dolnośląskie_wrocławski_Mietków</v>
      </c>
      <c r="F147" t="s">
        <v>140</v>
      </c>
    </row>
    <row r="148" spans="1:6" x14ac:dyDescent="0.3">
      <c r="A148" t="s">
        <v>5392</v>
      </c>
      <c r="B148" t="s">
        <v>4826</v>
      </c>
      <c r="C148" t="str">
        <f t="shared" si="4"/>
        <v>dolnośląskie_wrocławski</v>
      </c>
      <c r="D148" t="s">
        <v>2535</v>
      </c>
      <c r="E148" t="str">
        <f t="shared" si="5"/>
        <v>dolnośląskie_wrocławski_Siechnice</v>
      </c>
      <c r="F148" t="s">
        <v>142</v>
      </c>
    </row>
    <row r="149" spans="1:6" x14ac:dyDescent="0.3">
      <c r="A149" t="s">
        <v>5392</v>
      </c>
      <c r="B149" t="s">
        <v>4826</v>
      </c>
      <c r="C149" t="str">
        <f t="shared" si="4"/>
        <v>dolnośląskie_wrocławski</v>
      </c>
      <c r="D149" t="s">
        <v>2534</v>
      </c>
      <c r="E149" t="str">
        <f t="shared" si="5"/>
        <v>dolnośląskie_wrocławski_Sobótka</v>
      </c>
      <c r="F149" t="s">
        <v>141</v>
      </c>
    </row>
    <row r="150" spans="1:6" x14ac:dyDescent="0.3">
      <c r="A150" t="s">
        <v>5392</v>
      </c>
      <c r="B150" t="s">
        <v>4826</v>
      </c>
      <c r="C150" t="str">
        <f t="shared" si="4"/>
        <v>dolnośląskie_wrocławski</v>
      </c>
      <c r="D150" t="s">
        <v>2536</v>
      </c>
      <c r="E150" t="str">
        <f t="shared" si="5"/>
        <v>dolnośląskie_wrocławski_Żórawina</v>
      </c>
      <c r="F150" t="s">
        <v>143</v>
      </c>
    </row>
    <row r="151" spans="1:6" x14ac:dyDescent="0.3">
      <c r="A151" t="s">
        <v>5392</v>
      </c>
      <c r="B151" t="s">
        <v>4788</v>
      </c>
      <c r="C151" t="str">
        <f t="shared" si="4"/>
        <v>dolnośląskie_ząbkowicki</v>
      </c>
      <c r="D151" t="s">
        <v>2537</v>
      </c>
      <c r="E151" t="str">
        <f t="shared" si="5"/>
        <v>dolnośląskie_ząbkowicki_Bardo</v>
      </c>
      <c r="F151" t="s">
        <v>144</v>
      </c>
    </row>
    <row r="152" spans="1:6" x14ac:dyDescent="0.3">
      <c r="A152" t="s">
        <v>5392</v>
      </c>
      <c r="B152" t="s">
        <v>4788</v>
      </c>
      <c r="C152" t="str">
        <f t="shared" si="4"/>
        <v>dolnośląskie_ząbkowicki</v>
      </c>
      <c r="D152" t="s">
        <v>2538</v>
      </c>
      <c r="E152" t="str">
        <f t="shared" si="5"/>
        <v>dolnośląskie_ząbkowicki_Ciepłowody</v>
      </c>
      <c r="F152" t="s">
        <v>145</v>
      </c>
    </row>
    <row r="153" spans="1:6" x14ac:dyDescent="0.3">
      <c r="A153" t="s">
        <v>5392</v>
      </c>
      <c r="B153" t="s">
        <v>4788</v>
      </c>
      <c r="C153" t="str">
        <f t="shared" si="4"/>
        <v>dolnośląskie_ząbkowicki</v>
      </c>
      <c r="D153" t="s">
        <v>2539</v>
      </c>
      <c r="E153" t="str">
        <f t="shared" si="5"/>
        <v>dolnośląskie_ząbkowicki_Kamieniec Ząbkowicki</v>
      </c>
      <c r="F153" t="s">
        <v>5407</v>
      </c>
    </row>
    <row r="154" spans="1:6" x14ac:dyDescent="0.3">
      <c r="A154" t="s">
        <v>5392</v>
      </c>
      <c r="B154" t="s">
        <v>4788</v>
      </c>
      <c r="C154" t="str">
        <f t="shared" si="4"/>
        <v>dolnośląskie_ząbkowicki</v>
      </c>
      <c r="D154" t="s">
        <v>2540</v>
      </c>
      <c r="E154" t="str">
        <f t="shared" si="5"/>
        <v>dolnośląskie_ząbkowicki_Stoszowice</v>
      </c>
      <c r="F154" t="s">
        <v>146</v>
      </c>
    </row>
    <row r="155" spans="1:6" x14ac:dyDescent="0.3">
      <c r="A155" t="s">
        <v>5392</v>
      </c>
      <c r="B155" t="s">
        <v>4788</v>
      </c>
      <c r="C155" t="str">
        <f t="shared" si="4"/>
        <v>dolnośląskie_ząbkowicki</v>
      </c>
      <c r="D155" t="s">
        <v>2541</v>
      </c>
      <c r="E155" t="str">
        <f t="shared" si="5"/>
        <v>dolnośląskie_ząbkowicki_Ząbkowice Śląskie</v>
      </c>
      <c r="F155" t="s">
        <v>147</v>
      </c>
    </row>
    <row r="156" spans="1:6" x14ac:dyDescent="0.3">
      <c r="A156" t="s">
        <v>5392</v>
      </c>
      <c r="B156" t="s">
        <v>4788</v>
      </c>
      <c r="C156" t="str">
        <f t="shared" si="4"/>
        <v>dolnośląskie_ząbkowicki</v>
      </c>
      <c r="D156" t="s">
        <v>2542</v>
      </c>
      <c r="E156" t="str">
        <f t="shared" si="5"/>
        <v>dolnośląskie_ząbkowicki_Ziębice</v>
      </c>
      <c r="F156" t="s">
        <v>148</v>
      </c>
    </row>
    <row r="157" spans="1:6" x14ac:dyDescent="0.3">
      <c r="A157" t="s">
        <v>5392</v>
      </c>
      <c r="B157" t="s">
        <v>4788</v>
      </c>
      <c r="C157" t="str">
        <f t="shared" si="4"/>
        <v>dolnośląskie_ząbkowicki</v>
      </c>
      <c r="D157" t="s">
        <v>2543</v>
      </c>
      <c r="E157" t="str">
        <f t="shared" si="5"/>
        <v>dolnośląskie_ząbkowicki_Złoty Stok</v>
      </c>
      <c r="F157" t="s">
        <v>149</v>
      </c>
    </row>
    <row r="158" spans="1:6" x14ac:dyDescent="0.3">
      <c r="A158" t="s">
        <v>5392</v>
      </c>
      <c r="B158" t="s">
        <v>4827</v>
      </c>
      <c r="C158" t="str">
        <f t="shared" si="4"/>
        <v>dolnośląskie_zgorzelecki</v>
      </c>
      <c r="D158" t="s">
        <v>2545</v>
      </c>
      <c r="E158" t="str">
        <f t="shared" si="5"/>
        <v>dolnośląskie_zgorzelecki_Bogatynia</v>
      </c>
      <c r="F158" t="s">
        <v>152</v>
      </c>
    </row>
    <row r="159" spans="1:6" x14ac:dyDescent="0.3">
      <c r="A159" t="s">
        <v>5392</v>
      </c>
      <c r="B159" t="s">
        <v>4827</v>
      </c>
      <c r="C159" t="str">
        <f t="shared" si="4"/>
        <v>dolnośląskie_zgorzelecki</v>
      </c>
      <c r="D159" t="s">
        <v>2546</v>
      </c>
      <c r="E159" t="str">
        <f t="shared" si="5"/>
        <v>dolnośląskie_zgorzelecki_Pieńsk</v>
      </c>
      <c r="F159" t="s">
        <v>153</v>
      </c>
    </row>
    <row r="160" spans="1:6" x14ac:dyDescent="0.3">
      <c r="A160" t="s">
        <v>5392</v>
      </c>
      <c r="B160" t="s">
        <v>4827</v>
      </c>
      <c r="C160" t="str">
        <f t="shared" si="4"/>
        <v>dolnośląskie_zgorzelecki</v>
      </c>
      <c r="D160" t="s">
        <v>2547</v>
      </c>
      <c r="E160" t="str">
        <f t="shared" si="5"/>
        <v>dolnośląskie_zgorzelecki_Sulików</v>
      </c>
      <c r="F160" t="s">
        <v>154</v>
      </c>
    </row>
    <row r="161" spans="1:6" x14ac:dyDescent="0.3">
      <c r="A161" t="s">
        <v>5392</v>
      </c>
      <c r="B161" t="s">
        <v>4827</v>
      </c>
      <c r="C161" t="str">
        <f t="shared" si="4"/>
        <v>dolnośląskie_zgorzelecki</v>
      </c>
      <c r="D161" t="s">
        <v>2548</v>
      </c>
      <c r="E161" t="str">
        <f t="shared" si="5"/>
        <v>dolnośląskie_zgorzelecki_Węgliniec</v>
      </c>
      <c r="F161" t="s">
        <v>155</v>
      </c>
    </row>
    <row r="162" spans="1:6" x14ac:dyDescent="0.3">
      <c r="A162" t="s">
        <v>5392</v>
      </c>
      <c r="B162" t="s">
        <v>4827</v>
      </c>
      <c r="C162" t="str">
        <f t="shared" si="4"/>
        <v>dolnośląskie_zgorzelecki</v>
      </c>
      <c r="D162" t="s">
        <v>2544</v>
      </c>
      <c r="E162" t="str">
        <f t="shared" si="5"/>
        <v>dolnośląskie_zgorzelecki_Zawidów</v>
      </c>
      <c r="F162" t="s">
        <v>150</v>
      </c>
    </row>
    <row r="163" spans="1:6" x14ac:dyDescent="0.3">
      <c r="A163" t="s">
        <v>5392</v>
      </c>
      <c r="B163" t="s">
        <v>4827</v>
      </c>
      <c r="C163" t="str">
        <f t="shared" si="4"/>
        <v>dolnośląskie_zgorzelecki</v>
      </c>
      <c r="D163" t="s">
        <v>4532</v>
      </c>
      <c r="E163" t="str">
        <f t="shared" si="5"/>
        <v>dolnośląskie_zgorzelecki_Zgorzelec (gm. miejska)</v>
      </c>
      <c r="F163" t="s">
        <v>151</v>
      </c>
    </row>
    <row r="164" spans="1:6" x14ac:dyDescent="0.3">
      <c r="A164" t="s">
        <v>5392</v>
      </c>
      <c r="B164" t="s">
        <v>4827</v>
      </c>
      <c r="C164" t="str">
        <f t="shared" si="4"/>
        <v>dolnośląskie_zgorzelecki</v>
      </c>
      <c r="D164" t="s">
        <v>4533</v>
      </c>
      <c r="E164" t="str">
        <f t="shared" si="5"/>
        <v>dolnośląskie_zgorzelecki_Zgorzelec (gm. wiejska)</v>
      </c>
      <c r="F164" t="s">
        <v>156</v>
      </c>
    </row>
    <row r="165" spans="1:6" x14ac:dyDescent="0.3">
      <c r="A165" t="s">
        <v>5392</v>
      </c>
      <c r="B165" t="s">
        <v>4828</v>
      </c>
      <c r="C165" t="str">
        <f t="shared" si="4"/>
        <v>dolnośląskie_złotoryjski</v>
      </c>
      <c r="D165" t="s">
        <v>2550</v>
      </c>
      <c r="E165" t="str">
        <f t="shared" si="5"/>
        <v>dolnośląskie_złotoryjski_Pielgrzymka</v>
      </c>
      <c r="F165" t="s">
        <v>159</v>
      </c>
    </row>
    <row r="166" spans="1:6" x14ac:dyDescent="0.3">
      <c r="A166" t="s">
        <v>5392</v>
      </c>
      <c r="B166" t="s">
        <v>4828</v>
      </c>
      <c r="C166" t="str">
        <f t="shared" si="4"/>
        <v>dolnośląskie_złotoryjski</v>
      </c>
      <c r="D166" t="s">
        <v>2551</v>
      </c>
      <c r="E166" t="str">
        <f t="shared" si="5"/>
        <v>dolnośląskie_złotoryjski_Świerzawa</v>
      </c>
      <c r="F166" t="s">
        <v>160</v>
      </c>
    </row>
    <row r="167" spans="1:6" x14ac:dyDescent="0.3">
      <c r="A167" t="s">
        <v>5392</v>
      </c>
      <c r="B167" t="s">
        <v>4828</v>
      </c>
      <c r="C167" t="str">
        <f t="shared" si="4"/>
        <v>dolnośląskie_złotoryjski</v>
      </c>
      <c r="D167" t="s">
        <v>2549</v>
      </c>
      <c r="E167" t="str">
        <f t="shared" si="5"/>
        <v>dolnośląskie_złotoryjski_Wojcieszów</v>
      </c>
      <c r="F167" t="s">
        <v>157</v>
      </c>
    </row>
    <row r="168" spans="1:6" x14ac:dyDescent="0.3">
      <c r="A168" t="s">
        <v>5392</v>
      </c>
      <c r="B168" t="s">
        <v>4828</v>
      </c>
      <c r="C168" t="str">
        <f t="shared" si="4"/>
        <v>dolnośląskie_złotoryjski</v>
      </c>
      <c r="D168" t="s">
        <v>2552</v>
      </c>
      <c r="E168" t="str">
        <f t="shared" si="5"/>
        <v>dolnośląskie_złotoryjski_Zagrodno</v>
      </c>
      <c r="F168" t="s">
        <v>161</v>
      </c>
    </row>
    <row r="169" spans="1:6" x14ac:dyDescent="0.3">
      <c r="A169" t="s">
        <v>5392</v>
      </c>
      <c r="B169" t="s">
        <v>4828</v>
      </c>
      <c r="C169" t="str">
        <f t="shared" si="4"/>
        <v>dolnośląskie_złotoryjski</v>
      </c>
      <c r="D169" t="s">
        <v>4534</v>
      </c>
      <c r="E169" t="str">
        <f t="shared" si="5"/>
        <v>dolnośląskie_złotoryjski_Złotoryja (gm. miejska)</v>
      </c>
      <c r="F169" t="s">
        <v>158</v>
      </c>
    </row>
    <row r="170" spans="1:6" x14ac:dyDescent="0.3">
      <c r="A170" t="s">
        <v>5392</v>
      </c>
      <c r="B170" t="s">
        <v>4828</v>
      </c>
      <c r="C170" t="str">
        <f t="shared" si="4"/>
        <v>dolnośląskie_złotoryjski</v>
      </c>
      <c r="D170" t="s">
        <v>4535</v>
      </c>
      <c r="E170" t="str">
        <f t="shared" si="5"/>
        <v>dolnośląskie_złotoryjski_Złotoryja (gm. wiejska)</v>
      </c>
      <c r="F170" t="s">
        <v>162</v>
      </c>
    </row>
    <row r="171" spans="1:6" x14ac:dyDescent="0.3">
      <c r="A171" t="s">
        <v>5382</v>
      </c>
      <c r="B171" t="s">
        <v>4829</v>
      </c>
      <c r="C171" t="str">
        <f t="shared" si="4"/>
        <v>kujawsko-pomorskie_aleksandrowski</v>
      </c>
      <c r="D171" t="s">
        <v>2558</v>
      </c>
      <c r="E171" t="str">
        <f t="shared" si="5"/>
        <v>kujawsko-pomorskie_aleksandrowski_Bądkowo</v>
      </c>
      <c r="F171" t="s">
        <v>170</v>
      </c>
    </row>
    <row r="172" spans="1:6" x14ac:dyDescent="0.3">
      <c r="A172" t="s">
        <v>5382</v>
      </c>
      <c r="B172" t="s">
        <v>4829</v>
      </c>
      <c r="C172" t="str">
        <f t="shared" si="4"/>
        <v>kujawsko-pomorskie_aleksandrowski</v>
      </c>
      <c r="D172" t="s">
        <v>2556</v>
      </c>
      <c r="E172" t="str">
        <f t="shared" si="5"/>
        <v>kujawsko-pomorskie_aleksandrowski_Ciechocinek</v>
      </c>
      <c r="F172" t="s">
        <v>167</v>
      </c>
    </row>
    <row r="173" spans="1:6" x14ac:dyDescent="0.3">
      <c r="A173" t="s">
        <v>5382</v>
      </c>
      <c r="B173" t="s">
        <v>4829</v>
      </c>
      <c r="C173" t="str">
        <f t="shared" si="4"/>
        <v>kujawsko-pomorskie_aleksandrowski</v>
      </c>
      <c r="D173" t="s">
        <v>2559</v>
      </c>
      <c r="E173" t="str">
        <f t="shared" si="5"/>
        <v>kujawsko-pomorskie_aleksandrowski_Koneck</v>
      </c>
      <c r="F173" t="s">
        <v>171</v>
      </c>
    </row>
    <row r="174" spans="1:6" x14ac:dyDescent="0.3">
      <c r="A174" t="s">
        <v>5382</v>
      </c>
      <c r="B174" t="s">
        <v>4829</v>
      </c>
      <c r="C174" t="str">
        <f t="shared" si="4"/>
        <v>kujawsko-pomorskie_aleksandrowski</v>
      </c>
      <c r="D174" t="s">
        <v>2557</v>
      </c>
      <c r="E174" t="str">
        <f t="shared" si="5"/>
        <v>kujawsko-pomorskie_aleksandrowski_Nieszawa</v>
      </c>
      <c r="F174" t="s">
        <v>168</v>
      </c>
    </row>
    <row r="175" spans="1:6" x14ac:dyDescent="0.3">
      <c r="A175" t="s">
        <v>5382</v>
      </c>
      <c r="B175" t="s">
        <v>4829</v>
      </c>
      <c r="C175" t="str">
        <f t="shared" si="4"/>
        <v>kujawsko-pomorskie_aleksandrowski</v>
      </c>
      <c r="D175" t="s">
        <v>2560</v>
      </c>
      <c r="E175" t="str">
        <f t="shared" si="5"/>
        <v>kujawsko-pomorskie_aleksandrowski_Raciążek</v>
      </c>
      <c r="F175" t="s">
        <v>172</v>
      </c>
    </row>
    <row r="176" spans="1:6" x14ac:dyDescent="0.3">
      <c r="A176" t="s">
        <v>5382</v>
      </c>
      <c r="B176" t="s">
        <v>4829</v>
      </c>
      <c r="C176" t="str">
        <f t="shared" si="4"/>
        <v>kujawsko-pomorskie_aleksandrowski</v>
      </c>
      <c r="D176" t="s">
        <v>2561</v>
      </c>
      <c r="E176" t="str">
        <f t="shared" si="5"/>
        <v>kujawsko-pomorskie_aleksandrowski_Waganiec</v>
      </c>
      <c r="F176" t="s">
        <v>173</v>
      </c>
    </row>
    <row r="177" spans="1:6" x14ac:dyDescent="0.3">
      <c r="A177" t="s">
        <v>5382</v>
      </c>
      <c r="B177" t="s">
        <v>4829</v>
      </c>
      <c r="C177" t="str">
        <f t="shared" si="4"/>
        <v>kujawsko-pomorskie_aleksandrowski</v>
      </c>
      <c r="D177" t="s">
        <v>2562</v>
      </c>
      <c r="E177" t="str">
        <f t="shared" si="5"/>
        <v>kujawsko-pomorskie_aleksandrowski_Zakrzewo</v>
      </c>
      <c r="F177" t="s">
        <v>174</v>
      </c>
    </row>
    <row r="178" spans="1:6" x14ac:dyDescent="0.3">
      <c r="A178" t="s">
        <v>5382</v>
      </c>
      <c r="B178" t="s">
        <v>4829</v>
      </c>
      <c r="C178" t="str">
        <f t="shared" si="4"/>
        <v>kujawsko-pomorskie_aleksandrowski</v>
      </c>
      <c r="D178" t="s">
        <v>4536</v>
      </c>
      <c r="E178" t="str">
        <f t="shared" si="5"/>
        <v>kujawsko-pomorskie_aleksandrowski_Aleksandrów Kujawski (gm. miejska)</v>
      </c>
      <c r="F178" t="s">
        <v>166</v>
      </c>
    </row>
    <row r="179" spans="1:6" x14ac:dyDescent="0.3">
      <c r="A179" t="s">
        <v>5382</v>
      </c>
      <c r="B179" t="s">
        <v>4829</v>
      </c>
      <c r="C179" t="str">
        <f t="shared" si="4"/>
        <v>kujawsko-pomorskie_aleksandrowski</v>
      </c>
      <c r="D179" t="s">
        <v>4537</v>
      </c>
      <c r="E179" t="str">
        <f t="shared" si="5"/>
        <v>kujawsko-pomorskie_aleksandrowski_Aleksandrów Kujawski (gm. wiejska)</v>
      </c>
      <c r="F179" t="s">
        <v>169</v>
      </c>
    </row>
    <row r="180" spans="1:6" x14ac:dyDescent="0.3">
      <c r="A180" t="s">
        <v>5382</v>
      </c>
      <c r="B180" t="s">
        <v>4830</v>
      </c>
      <c r="C180" t="str">
        <f t="shared" si="4"/>
        <v>kujawsko-pomorskie_brodnicki</v>
      </c>
      <c r="D180" t="s">
        <v>2567</v>
      </c>
      <c r="E180" t="str">
        <f t="shared" si="5"/>
        <v>kujawsko-pomorskie_brodnicki_Bartniczka</v>
      </c>
      <c r="F180" t="s">
        <v>180</v>
      </c>
    </row>
    <row r="181" spans="1:6" x14ac:dyDescent="0.3">
      <c r="A181" t="s">
        <v>5382</v>
      </c>
      <c r="B181" t="s">
        <v>4830</v>
      </c>
      <c r="C181" t="str">
        <f t="shared" si="4"/>
        <v>kujawsko-pomorskie_brodnicki</v>
      </c>
      <c r="D181" t="s">
        <v>2564</v>
      </c>
      <c r="E181" t="str">
        <f t="shared" si="5"/>
        <v>kujawsko-pomorskie_brodnicki_Bobrowo</v>
      </c>
      <c r="F181" t="s">
        <v>176</v>
      </c>
    </row>
    <row r="182" spans="1:6" x14ac:dyDescent="0.3">
      <c r="A182" t="s">
        <v>5382</v>
      </c>
      <c r="B182" t="s">
        <v>4830</v>
      </c>
      <c r="C182" t="str">
        <f t="shared" si="4"/>
        <v>kujawsko-pomorskie_brodnicki</v>
      </c>
      <c r="D182" t="s">
        <v>2565</v>
      </c>
      <c r="E182" t="str">
        <f t="shared" si="5"/>
        <v>kujawsko-pomorskie_brodnicki_Brzozie</v>
      </c>
      <c r="F182" t="s">
        <v>178</v>
      </c>
    </row>
    <row r="183" spans="1:6" x14ac:dyDescent="0.3">
      <c r="A183" t="s">
        <v>5382</v>
      </c>
      <c r="B183" t="s">
        <v>4830</v>
      </c>
      <c r="C183" t="str">
        <f t="shared" si="4"/>
        <v>kujawsko-pomorskie_brodnicki</v>
      </c>
      <c r="D183" t="s">
        <v>2566</v>
      </c>
      <c r="E183" t="str">
        <f t="shared" si="5"/>
        <v>kujawsko-pomorskie_brodnicki_Górzno</v>
      </c>
      <c r="F183" t="s">
        <v>179</v>
      </c>
    </row>
    <row r="184" spans="1:6" x14ac:dyDescent="0.3">
      <c r="A184" t="s">
        <v>5382</v>
      </c>
      <c r="B184" t="s">
        <v>4830</v>
      </c>
      <c r="C184" t="str">
        <f t="shared" si="4"/>
        <v>kujawsko-pomorskie_brodnicki</v>
      </c>
      <c r="D184" t="s">
        <v>2568</v>
      </c>
      <c r="E184" t="str">
        <f t="shared" si="5"/>
        <v>kujawsko-pomorskie_brodnicki_Jabłonowo Pomorskie</v>
      </c>
      <c r="F184" t="s">
        <v>181</v>
      </c>
    </row>
    <row r="185" spans="1:6" x14ac:dyDescent="0.3">
      <c r="A185" t="s">
        <v>5382</v>
      </c>
      <c r="B185" t="s">
        <v>4830</v>
      </c>
      <c r="C185" t="str">
        <f t="shared" si="4"/>
        <v>kujawsko-pomorskie_brodnicki</v>
      </c>
      <c r="D185" t="s">
        <v>2569</v>
      </c>
      <c r="E185" t="str">
        <f t="shared" si="5"/>
        <v>kujawsko-pomorskie_brodnicki_Osiek</v>
      </c>
      <c r="F185" t="s">
        <v>182</v>
      </c>
    </row>
    <row r="186" spans="1:6" x14ac:dyDescent="0.3">
      <c r="A186" t="s">
        <v>5382</v>
      </c>
      <c r="B186" t="s">
        <v>4830</v>
      </c>
      <c r="C186" t="str">
        <f t="shared" si="4"/>
        <v>kujawsko-pomorskie_brodnicki</v>
      </c>
      <c r="D186" t="s">
        <v>2570</v>
      </c>
      <c r="E186" t="str">
        <f t="shared" si="5"/>
        <v>kujawsko-pomorskie_brodnicki_Świedziebnia</v>
      </c>
      <c r="F186" t="s">
        <v>183</v>
      </c>
    </row>
    <row r="187" spans="1:6" x14ac:dyDescent="0.3">
      <c r="A187" t="s">
        <v>5382</v>
      </c>
      <c r="B187" t="s">
        <v>4830</v>
      </c>
      <c r="C187" t="str">
        <f t="shared" si="4"/>
        <v>kujawsko-pomorskie_brodnicki</v>
      </c>
      <c r="D187" t="s">
        <v>2571</v>
      </c>
      <c r="E187" t="str">
        <f t="shared" si="5"/>
        <v>kujawsko-pomorskie_brodnicki_Zbiczno</v>
      </c>
      <c r="F187" t="s">
        <v>184</v>
      </c>
    </row>
    <row r="188" spans="1:6" x14ac:dyDescent="0.3">
      <c r="A188" t="s">
        <v>5382</v>
      </c>
      <c r="B188" t="s">
        <v>4830</v>
      </c>
      <c r="C188" t="str">
        <f t="shared" si="4"/>
        <v>kujawsko-pomorskie_brodnicki</v>
      </c>
      <c r="D188" t="s">
        <v>4538</v>
      </c>
      <c r="E188" t="str">
        <f t="shared" si="5"/>
        <v>kujawsko-pomorskie_brodnicki_Brodnica (gm. miejska)</v>
      </c>
      <c r="F188" t="s">
        <v>175</v>
      </c>
    </row>
    <row r="189" spans="1:6" x14ac:dyDescent="0.3">
      <c r="A189" t="s">
        <v>5382</v>
      </c>
      <c r="B189" t="s">
        <v>4830</v>
      </c>
      <c r="C189" t="str">
        <f t="shared" si="4"/>
        <v>kujawsko-pomorskie_brodnicki</v>
      </c>
      <c r="D189" t="s">
        <v>4539</v>
      </c>
      <c r="E189" t="str">
        <f t="shared" si="5"/>
        <v>kujawsko-pomorskie_brodnicki_Brodnica (gm. wiejska)</v>
      </c>
      <c r="F189" t="s">
        <v>177</v>
      </c>
    </row>
    <row r="190" spans="1:6" x14ac:dyDescent="0.3">
      <c r="A190" t="s">
        <v>5382</v>
      </c>
      <c r="B190" t="s">
        <v>4831</v>
      </c>
      <c r="C190" t="str">
        <f t="shared" si="4"/>
        <v>kujawsko-pomorskie_bydgoski</v>
      </c>
      <c r="D190" t="s">
        <v>2572</v>
      </c>
      <c r="E190" t="str">
        <f t="shared" si="5"/>
        <v>kujawsko-pomorskie_bydgoski_Białe Błota</v>
      </c>
      <c r="F190" t="s">
        <v>185</v>
      </c>
    </row>
    <row r="191" spans="1:6" x14ac:dyDescent="0.3">
      <c r="A191" t="s">
        <v>5382</v>
      </c>
      <c r="B191" t="s">
        <v>4831</v>
      </c>
      <c r="C191" t="str">
        <f t="shared" si="4"/>
        <v>kujawsko-pomorskie_bydgoski</v>
      </c>
      <c r="D191" t="s">
        <v>2573</v>
      </c>
      <c r="E191" t="str">
        <f t="shared" si="5"/>
        <v>kujawsko-pomorskie_bydgoski_Dąbrowa Chełmińska</v>
      </c>
      <c r="F191" t="s">
        <v>186</v>
      </c>
    </row>
    <row r="192" spans="1:6" x14ac:dyDescent="0.3">
      <c r="A192" t="s">
        <v>5382</v>
      </c>
      <c r="B192" t="s">
        <v>4831</v>
      </c>
      <c r="C192" t="str">
        <f t="shared" si="4"/>
        <v>kujawsko-pomorskie_bydgoski</v>
      </c>
      <c r="D192" t="s">
        <v>2574</v>
      </c>
      <c r="E192" t="str">
        <f t="shared" si="5"/>
        <v>kujawsko-pomorskie_bydgoski_Dobrcz</v>
      </c>
      <c r="F192" t="s">
        <v>187</v>
      </c>
    </row>
    <row r="193" spans="1:6" x14ac:dyDescent="0.3">
      <c r="A193" t="s">
        <v>5382</v>
      </c>
      <c r="B193" t="s">
        <v>4831</v>
      </c>
      <c r="C193" t="str">
        <f t="shared" ref="C193:C256" si="6">CONCATENATE(A193,"_",B193)</f>
        <v>kujawsko-pomorskie_bydgoski</v>
      </c>
      <c r="D193" t="s">
        <v>2575</v>
      </c>
      <c r="E193" t="str">
        <f t="shared" ref="E193:E256" si="7">C193&amp;"_"&amp;D193</f>
        <v>kujawsko-pomorskie_bydgoski_Koronowo</v>
      </c>
      <c r="F193" t="s">
        <v>188</v>
      </c>
    </row>
    <row r="194" spans="1:6" x14ac:dyDescent="0.3">
      <c r="A194" t="s">
        <v>5382</v>
      </c>
      <c r="B194" t="s">
        <v>4831</v>
      </c>
      <c r="C194" t="str">
        <f t="shared" si="6"/>
        <v>kujawsko-pomorskie_bydgoski</v>
      </c>
      <c r="D194" t="s">
        <v>2576</v>
      </c>
      <c r="E194" t="str">
        <f t="shared" si="7"/>
        <v>kujawsko-pomorskie_bydgoski_Nowa Wieś Wielka</v>
      </c>
      <c r="F194" t="s">
        <v>189</v>
      </c>
    </row>
    <row r="195" spans="1:6" x14ac:dyDescent="0.3">
      <c r="A195" t="s">
        <v>5382</v>
      </c>
      <c r="B195" t="s">
        <v>4831</v>
      </c>
      <c r="C195" t="str">
        <f t="shared" si="6"/>
        <v>kujawsko-pomorskie_bydgoski</v>
      </c>
      <c r="D195" t="s">
        <v>2577</v>
      </c>
      <c r="E195" t="str">
        <f t="shared" si="7"/>
        <v>kujawsko-pomorskie_bydgoski_Osielsko</v>
      </c>
      <c r="F195" t="s">
        <v>190</v>
      </c>
    </row>
    <row r="196" spans="1:6" x14ac:dyDescent="0.3">
      <c r="A196" t="s">
        <v>5382</v>
      </c>
      <c r="B196" t="s">
        <v>4831</v>
      </c>
      <c r="C196" t="str">
        <f t="shared" si="6"/>
        <v>kujawsko-pomorskie_bydgoski</v>
      </c>
      <c r="D196" t="s">
        <v>2578</v>
      </c>
      <c r="E196" t="str">
        <f t="shared" si="7"/>
        <v>kujawsko-pomorskie_bydgoski_Sicienko</v>
      </c>
      <c r="F196" t="s">
        <v>191</v>
      </c>
    </row>
    <row r="197" spans="1:6" x14ac:dyDescent="0.3">
      <c r="A197" t="s">
        <v>5382</v>
      </c>
      <c r="B197" t="s">
        <v>4831</v>
      </c>
      <c r="C197" t="str">
        <f t="shared" si="6"/>
        <v>kujawsko-pomorskie_bydgoski</v>
      </c>
      <c r="D197" t="s">
        <v>2579</v>
      </c>
      <c r="E197" t="str">
        <f t="shared" si="7"/>
        <v>kujawsko-pomorskie_bydgoski_Solec Kujawski</v>
      </c>
      <c r="F197" t="s">
        <v>192</v>
      </c>
    </row>
    <row r="198" spans="1:6" x14ac:dyDescent="0.3">
      <c r="A198" t="s">
        <v>5382</v>
      </c>
      <c r="B198" t="s">
        <v>2675</v>
      </c>
      <c r="C198" t="str">
        <f t="shared" si="6"/>
        <v>kujawsko-pomorskie_Bydgoszcz</v>
      </c>
      <c r="D198" t="s">
        <v>2675</v>
      </c>
      <c r="E198" t="str">
        <f t="shared" si="7"/>
        <v>kujawsko-pomorskie_Bydgoszcz_Bydgoszcz</v>
      </c>
      <c r="F198" t="s">
        <v>306</v>
      </c>
    </row>
    <row r="199" spans="1:6" x14ac:dyDescent="0.3">
      <c r="A199" t="s">
        <v>5382</v>
      </c>
      <c r="B199" t="s">
        <v>4832</v>
      </c>
      <c r="C199" t="str">
        <f t="shared" si="6"/>
        <v>kujawsko-pomorskie_chełmiński</v>
      </c>
      <c r="D199" t="s">
        <v>2580</v>
      </c>
      <c r="E199" t="str">
        <f t="shared" si="7"/>
        <v>kujawsko-pomorskie_chełmiński_Kijewo Królewskie</v>
      </c>
      <c r="F199" t="s">
        <v>195</v>
      </c>
    </row>
    <row r="200" spans="1:6" x14ac:dyDescent="0.3">
      <c r="A200" t="s">
        <v>5382</v>
      </c>
      <c r="B200" t="s">
        <v>4832</v>
      </c>
      <c r="C200" t="str">
        <f t="shared" si="6"/>
        <v>kujawsko-pomorskie_chełmiński</v>
      </c>
      <c r="D200" t="s">
        <v>2581</v>
      </c>
      <c r="E200" t="str">
        <f t="shared" si="7"/>
        <v>kujawsko-pomorskie_chełmiński_Lisewo</v>
      </c>
      <c r="F200" t="s">
        <v>196</v>
      </c>
    </row>
    <row r="201" spans="1:6" x14ac:dyDescent="0.3">
      <c r="A201" t="s">
        <v>5382</v>
      </c>
      <c r="B201" t="s">
        <v>4832</v>
      </c>
      <c r="C201" t="str">
        <f t="shared" si="6"/>
        <v>kujawsko-pomorskie_chełmiński</v>
      </c>
      <c r="D201" t="s">
        <v>2582</v>
      </c>
      <c r="E201" t="str">
        <f t="shared" si="7"/>
        <v>kujawsko-pomorskie_chełmiński_Papowo Biskupie</v>
      </c>
      <c r="F201" t="s">
        <v>197</v>
      </c>
    </row>
    <row r="202" spans="1:6" x14ac:dyDescent="0.3">
      <c r="A202" t="s">
        <v>5382</v>
      </c>
      <c r="B202" t="s">
        <v>4832</v>
      </c>
      <c r="C202" t="str">
        <f t="shared" si="6"/>
        <v>kujawsko-pomorskie_chełmiński</v>
      </c>
      <c r="D202" t="s">
        <v>2583</v>
      </c>
      <c r="E202" t="str">
        <f t="shared" si="7"/>
        <v>kujawsko-pomorskie_chełmiński_Stolno</v>
      </c>
      <c r="F202" t="s">
        <v>198</v>
      </c>
    </row>
    <row r="203" spans="1:6" x14ac:dyDescent="0.3">
      <c r="A203" t="s">
        <v>5382</v>
      </c>
      <c r="B203" t="s">
        <v>4832</v>
      </c>
      <c r="C203" t="str">
        <f t="shared" si="6"/>
        <v>kujawsko-pomorskie_chełmiński</v>
      </c>
      <c r="D203" t="s">
        <v>2584</v>
      </c>
      <c r="E203" t="str">
        <f t="shared" si="7"/>
        <v>kujawsko-pomorskie_chełmiński_Unisław</v>
      </c>
      <c r="F203" t="s">
        <v>199</v>
      </c>
    </row>
    <row r="204" spans="1:6" x14ac:dyDescent="0.3">
      <c r="A204" t="s">
        <v>5382</v>
      </c>
      <c r="B204" t="s">
        <v>4832</v>
      </c>
      <c r="C204" t="str">
        <f t="shared" si="6"/>
        <v>kujawsko-pomorskie_chełmiński</v>
      </c>
      <c r="D204" t="s">
        <v>4540</v>
      </c>
      <c r="E204" t="str">
        <f t="shared" si="7"/>
        <v>kujawsko-pomorskie_chełmiński_Chełmno (gm. miejska)</v>
      </c>
      <c r="F204" t="s">
        <v>193</v>
      </c>
    </row>
    <row r="205" spans="1:6" x14ac:dyDescent="0.3">
      <c r="A205" t="s">
        <v>5382</v>
      </c>
      <c r="B205" t="s">
        <v>4832</v>
      </c>
      <c r="C205" t="str">
        <f t="shared" si="6"/>
        <v>kujawsko-pomorskie_chełmiński</v>
      </c>
      <c r="D205" t="s">
        <v>4541</v>
      </c>
      <c r="E205" t="str">
        <f t="shared" si="7"/>
        <v>kujawsko-pomorskie_chełmiński_Chełmno (gm. wiejska)</v>
      </c>
      <c r="F205" t="s">
        <v>194</v>
      </c>
    </row>
    <row r="206" spans="1:6" x14ac:dyDescent="0.3">
      <c r="A206" t="s">
        <v>5382</v>
      </c>
      <c r="B206" t="s">
        <v>4833</v>
      </c>
      <c r="C206" t="str">
        <f t="shared" si="6"/>
        <v>kujawsko-pomorskie_golubsko-dobrzyński</v>
      </c>
      <c r="D206" t="s">
        <v>2585</v>
      </c>
      <c r="E206" t="str">
        <f t="shared" si="7"/>
        <v>kujawsko-pomorskie_golubsko-dobrzyński_Ciechocin</v>
      </c>
      <c r="F206" t="s">
        <v>201</v>
      </c>
    </row>
    <row r="207" spans="1:6" x14ac:dyDescent="0.3">
      <c r="A207" t="s">
        <v>5382</v>
      </c>
      <c r="B207" t="s">
        <v>4833</v>
      </c>
      <c r="C207" t="str">
        <f t="shared" si="6"/>
        <v>kujawsko-pomorskie_golubsko-dobrzyński</v>
      </c>
      <c r="D207" t="s">
        <v>2586</v>
      </c>
      <c r="E207" t="str">
        <f t="shared" si="7"/>
        <v>kujawsko-pomorskie_golubsko-dobrzyński_Kowalewo Pomorskie</v>
      </c>
      <c r="F207" t="s">
        <v>203</v>
      </c>
    </row>
    <row r="208" spans="1:6" x14ac:dyDescent="0.3">
      <c r="A208" t="s">
        <v>5382</v>
      </c>
      <c r="B208" t="s">
        <v>4833</v>
      </c>
      <c r="C208" t="str">
        <f t="shared" si="6"/>
        <v>kujawsko-pomorskie_golubsko-dobrzyński</v>
      </c>
      <c r="D208" t="s">
        <v>2587</v>
      </c>
      <c r="E208" t="str">
        <f t="shared" si="7"/>
        <v>kujawsko-pomorskie_golubsko-dobrzyński_Radomin</v>
      </c>
      <c r="F208" t="s">
        <v>204</v>
      </c>
    </row>
    <row r="209" spans="1:6" x14ac:dyDescent="0.3">
      <c r="A209" t="s">
        <v>5382</v>
      </c>
      <c r="B209" t="s">
        <v>4833</v>
      </c>
      <c r="C209" t="str">
        <f t="shared" si="6"/>
        <v>kujawsko-pomorskie_golubsko-dobrzyński</v>
      </c>
      <c r="D209" t="s">
        <v>2588</v>
      </c>
      <c r="E209" t="str">
        <f t="shared" si="7"/>
        <v>kujawsko-pomorskie_golubsko-dobrzyński_Zbójno</v>
      </c>
      <c r="F209" t="s">
        <v>205</v>
      </c>
    </row>
    <row r="210" spans="1:6" x14ac:dyDescent="0.3">
      <c r="A210" t="s">
        <v>5382</v>
      </c>
      <c r="B210" t="s">
        <v>4833</v>
      </c>
      <c r="C210" t="str">
        <f t="shared" si="6"/>
        <v>kujawsko-pomorskie_golubsko-dobrzyński</v>
      </c>
      <c r="D210" t="s">
        <v>4542</v>
      </c>
      <c r="E210" t="str">
        <f t="shared" si="7"/>
        <v>kujawsko-pomorskie_golubsko-dobrzyński_Golub-Dobrzyń (gm. miejska)</v>
      </c>
      <c r="F210" t="s">
        <v>200</v>
      </c>
    </row>
    <row r="211" spans="1:6" x14ac:dyDescent="0.3">
      <c r="A211" t="s">
        <v>5382</v>
      </c>
      <c r="B211" t="s">
        <v>4833</v>
      </c>
      <c r="C211" t="str">
        <f t="shared" si="6"/>
        <v>kujawsko-pomorskie_golubsko-dobrzyński</v>
      </c>
      <c r="D211" t="s">
        <v>4543</v>
      </c>
      <c r="E211" t="str">
        <f t="shared" si="7"/>
        <v>kujawsko-pomorskie_golubsko-dobrzyński_Golub-Dobrzyń (gm. wiejska)</v>
      </c>
      <c r="F211" t="s">
        <v>202</v>
      </c>
    </row>
    <row r="212" spans="1:6" x14ac:dyDescent="0.3">
      <c r="A212" t="s">
        <v>5382</v>
      </c>
      <c r="B212" t="s">
        <v>2589</v>
      </c>
      <c r="C212" t="str">
        <f t="shared" si="6"/>
        <v>kujawsko-pomorskie_Grudziądz</v>
      </c>
      <c r="D212" t="s">
        <v>2589</v>
      </c>
      <c r="E212" t="str">
        <f t="shared" si="7"/>
        <v>kujawsko-pomorskie_Grudziądz_Grudziądz</v>
      </c>
      <c r="F212" t="s">
        <v>307</v>
      </c>
    </row>
    <row r="213" spans="1:6" x14ac:dyDescent="0.3">
      <c r="A213" t="s">
        <v>5382</v>
      </c>
      <c r="B213" t="s">
        <v>4834</v>
      </c>
      <c r="C213" t="str">
        <f t="shared" si="6"/>
        <v>kujawsko-pomorskie_grudziądzki</v>
      </c>
      <c r="D213" t="s">
        <v>2589</v>
      </c>
      <c r="E213" t="str">
        <f t="shared" si="7"/>
        <v>kujawsko-pomorskie_grudziądzki_Grudziądz</v>
      </c>
      <c r="F213" t="s">
        <v>206</v>
      </c>
    </row>
    <row r="214" spans="1:6" x14ac:dyDescent="0.3">
      <c r="A214" t="s">
        <v>5382</v>
      </c>
      <c r="B214" t="s">
        <v>4834</v>
      </c>
      <c r="C214" t="str">
        <f t="shared" si="6"/>
        <v>kujawsko-pomorskie_grudziądzki</v>
      </c>
      <c r="D214" t="s">
        <v>2590</v>
      </c>
      <c r="E214" t="str">
        <f t="shared" si="7"/>
        <v>kujawsko-pomorskie_grudziądzki_Gruta</v>
      </c>
      <c r="F214" t="s">
        <v>207</v>
      </c>
    </row>
    <row r="215" spans="1:6" x14ac:dyDescent="0.3">
      <c r="A215" t="s">
        <v>5382</v>
      </c>
      <c r="B215" t="s">
        <v>4834</v>
      </c>
      <c r="C215" t="str">
        <f t="shared" si="6"/>
        <v>kujawsko-pomorskie_grudziądzki</v>
      </c>
      <c r="D215" t="s">
        <v>2591</v>
      </c>
      <c r="E215" t="str">
        <f t="shared" si="7"/>
        <v>kujawsko-pomorskie_grudziądzki_Łasin</v>
      </c>
      <c r="F215" t="s">
        <v>208</v>
      </c>
    </row>
    <row r="216" spans="1:6" x14ac:dyDescent="0.3">
      <c r="A216" t="s">
        <v>5382</v>
      </c>
      <c r="B216" t="s">
        <v>4834</v>
      </c>
      <c r="C216" t="str">
        <f t="shared" si="6"/>
        <v>kujawsko-pomorskie_grudziądzki</v>
      </c>
      <c r="D216" t="s">
        <v>2592</v>
      </c>
      <c r="E216" t="str">
        <f t="shared" si="7"/>
        <v>kujawsko-pomorskie_grudziądzki_Radzyń Chełmiński</v>
      </c>
      <c r="F216" t="s">
        <v>209</v>
      </c>
    </row>
    <row r="217" spans="1:6" x14ac:dyDescent="0.3">
      <c r="A217" t="s">
        <v>5382</v>
      </c>
      <c r="B217" t="s">
        <v>4834</v>
      </c>
      <c r="C217" t="str">
        <f t="shared" si="6"/>
        <v>kujawsko-pomorskie_grudziądzki</v>
      </c>
      <c r="D217" t="s">
        <v>2593</v>
      </c>
      <c r="E217" t="str">
        <f t="shared" si="7"/>
        <v>kujawsko-pomorskie_grudziądzki_Rogóźno</v>
      </c>
      <c r="F217" t="s">
        <v>210</v>
      </c>
    </row>
    <row r="218" spans="1:6" x14ac:dyDescent="0.3">
      <c r="A218" t="s">
        <v>5382</v>
      </c>
      <c r="B218" t="s">
        <v>4834</v>
      </c>
      <c r="C218" t="str">
        <f t="shared" si="6"/>
        <v>kujawsko-pomorskie_grudziądzki</v>
      </c>
      <c r="D218" t="s">
        <v>2594</v>
      </c>
      <c r="E218" t="str">
        <f t="shared" si="7"/>
        <v>kujawsko-pomorskie_grudziądzki_Świecie nad Osą</v>
      </c>
      <c r="F218" t="s">
        <v>211</v>
      </c>
    </row>
    <row r="219" spans="1:6" x14ac:dyDescent="0.3">
      <c r="A219" t="s">
        <v>5382</v>
      </c>
      <c r="B219" t="s">
        <v>4835</v>
      </c>
      <c r="C219" t="str">
        <f t="shared" si="6"/>
        <v>kujawsko-pomorskie_inowrocławski</v>
      </c>
      <c r="D219" t="s">
        <v>2595</v>
      </c>
      <c r="E219" t="str">
        <f t="shared" si="7"/>
        <v>kujawsko-pomorskie_inowrocławski_Dąbrowa Biskupia</v>
      </c>
      <c r="F219" t="s">
        <v>213</v>
      </c>
    </row>
    <row r="220" spans="1:6" x14ac:dyDescent="0.3">
      <c r="A220" t="s">
        <v>5382</v>
      </c>
      <c r="B220" t="s">
        <v>4835</v>
      </c>
      <c r="C220" t="str">
        <f t="shared" si="6"/>
        <v>kujawsko-pomorskie_inowrocławski</v>
      </c>
      <c r="D220" t="s">
        <v>2596</v>
      </c>
      <c r="E220" t="str">
        <f t="shared" si="7"/>
        <v>kujawsko-pomorskie_inowrocławski_Gniewkowo</v>
      </c>
      <c r="F220" t="s">
        <v>214</v>
      </c>
    </row>
    <row r="221" spans="1:6" x14ac:dyDescent="0.3">
      <c r="A221" t="s">
        <v>5382</v>
      </c>
      <c r="B221" t="s">
        <v>4835</v>
      </c>
      <c r="C221" t="str">
        <f t="shared" si="6"/>
        <v>kujawsko-pomorskie_inowrocławski</v>
      </c>
      <c r="D221" t="s">
        <v>2597</v>
      </c>
      <c r="E221" t="str">
        <f t="shared" si="7"/>
        <v>kujawsko-pomorskie_inowrocławski_Janikowo</v>
      </c>
      <c r="F221" t="s">
        <v>216</v>
      </c>
    </row>
    <row r="222" spans="1:6" x14ac:dyDescent="0.3">
      <c r="A222" t="s">
        <v>5382</v>
      </c>
      <c r="B222" t="s">
        <v>4835</v>
      </c>
      <c r="C222" t="str">
        <f t="shared" si="6"/>
        <v>kujawsko-pomorskie_inowrocławski</v>
      </c>
      <c r="D222" t="s">
        <v>2598</v>
      </c>
      <c r="E222" t="str">
        <f t="shared" si="7"/>
        <v>kujawsko-pomorskie_inowrocławski_Kruszwica</v>
      </c>
      <c r="F222" t="s">
        <v>217</v>
      </c>
    </row>
    <row r="223" spans="1:6" x14ac:dyDescent="0.3">
      <c r="A223" t="s">
        <v>5382</v>
      </c>
      <c r="B223" t="s">
        <v>4835</v>
      </c>
      <c r="C223" t="str">
        <f t="shared" si="6"/>
        <v>kujawsko-pomorskie_inowrocławski</v>
      </c>
      <c r="D223" t="s">
        <v>2599</v>
      </c>
      <c r="E223" t="str">
        <f t="shared" si="7"/>
        <v>kujawsko-pomorskie_inowrocławski_Pakość</v>
      </c>
      <c r="F223" t="s">
        <v>218</v>
      </c>
    </row>
    <row r="224" spans="1:6" x14ac:dyDescent="0.3">
      <c r="A224" t="s">
        <v>5382</v>
      </c>
      <c r="B224" t="s">
        <v>4835</v>
      </c>
      <c r="C224" t="str">
        <f t="shared" si="6"/>
        <v>kujawsko-pomorskie_inowrocławski</v>
      </c>
      <c r="D224" t="s">
        <v>2600</v>
      </c>
      <c r="E224" t="str">
        <f t="shared" si="7"/>
        <v>kujawsko-pomorskie_inowrocławski_Rojewo</v>
      </c>
      <c r="F224" t="s">
        <v>219</v>
      </c>
    </row>
    <row r="225" spans="1:6" x14ac:dyDescent="0.3">
      <c r="A225" t="s">
        <v>5382</v>
      </c>
      <c r="B225" t="s">
        <v>4835</v>
      </c>
      <c r="C225" t="str">
        <f t="shared" si="6"/>
        <v>kujawsko-pomorskie_inowrocławski</v>
      </c>
      <c r="D225" t="s">
        <v>2601</v>
      </c>
      <c r="E225" t="str">
        <f t="shared" si="7"/>
        <v>kujawsko-pomorskie_inowrocławski_Złotniki Kujawskie</v>
      </c>
      <c r="F225" t="s">
        <v>220</v>
      </c>
    </row>
    <row r="226" spans="1:6" x14ac:dyDescent="0.3">
      <c r="A226" t="s">
        <v>5382</v>
      </c>
      <c r="B226" t="s">
        <v>4835</v>
      </c>
      <c r="C226" t="str">
        <f t="shared" si="6"/>
        <v>kujawsko-pomorskie_inowrocławski</v>
      </c>
      <c r="D226" t="s">
        <v>4544</v>
      </c>
      <c r="E226" t="str">
        <f t="shared" si="7"/>
        <v>kujawsko-pomorskie_inowrocławski_Inowrocław (gm. miejska)</v>
      </c>
      <c r="F226" t="s">
        <v>212</v>
      </c>
    </row>
    <row r="227" spans="1:6" x14ac:dyDescent="0.3">
      <c r="A227" t="s">
        <v>5382</v>
      </c>
      <c r="B227" t="s">
        <v>4835</v>
      </c>
      <c r="C227" t="str">
        <f t="shared" si="6"/>
        <v>kujawsko-pomorskie_inowrocławski</v>
      </c>
      <c r="D227" t="s">
        <v>4545</v>
      </c>
      <c r="E227" t="str">
        <f t="shared" si="7"/>
        <v>kujawsko-pomorskie_inowrocławski_Inowrocław (gm. wiejska)</v>
      </c>
      <c r="F227" t="s">
        <v>215</v>
      </c>
    </row>
    <row r="228" spans="1:6" x14ac:dyDescent="0.3">
      <c r="A228" t="s">
        <v>5382</v>
      </c>
      <c r="B228" t="s">
        <v>4836</v>
      </c>
      <c r="C228" t="str">
        <f t="shared" si="6"/>
        <v>kujawsko-pomorskie_lipnowski</v>
      </c>
      <c r="D228" t="s">
        <v>2603</v>
      </c>
      <c r="E228" t="str">
        <f t="shared" si="7"/>
        <v>kujawsko-pomorskie_lipnowski_Bobrowniki</v>
      </c>
      <c r="F228" t="s">
        <v>5481</v>
      </c>
    </row>
    <row r="229" spans="1:6" x14ac:dyDescent="0.3">
      <c r="A229" t="s">
        <v>5382</v>
      </c>
      <c r="B229" t="s">
        <v>4836</v>
      </c>
      <c r="C229" t="str">
        <f t="shared" si="6"/>
        <v>kujawsko-pomorskie_lipnowski</v>
      </c>
      <c r="D229" t="s">
        <v>2604</v>
      </c>
      <c r="E229" t="str">
        <f t="shared" si="7"/>
        <v>kujawsko-pomorskie_lipnowski_Chrostkowo</v>
      </c>
      <c r="F229" t="s">
        <v>223</v>
      </c>
    </row>
    <row r="230" spans="1:6" x14ac:dyDescent="0.3">
      <c r="A230" t="s">
        <v>5382</v>
      </c>
      <c r="B230" t="s">
        <v>4836</v>
      </c>
      <c r="C230" t="str">
        <f t="shared" si="6"/>
        <v>kujawsko-pomorskie_lipnowski</v>
      </c>
      <c r="D230" t="s">
        <v>2605</v>
      </c>
      <c r="E230" t="str">
        <f t="shared" si="7"/>
        <v>kujawsko-pomorskie_lipnowski_Dobrzyń nad Wisłą</v>
      </c>
      <c r="F230" t="s">
        <v>224</v>
      </c>
    </row>
    <row r="231" spans="1:6" x14ac:dyDescent="0.3">
      <c r="A231" t="s">
        <v>5382</v>
      </c>
      <c r="B231" t="s">
        <v>4836</v>
      </c>
      <c r="C231" t="str">
        <f t="shared" si="6"/>
        <v>kujawsko-pomorskie_lipnowski</v>
      </c>
      <c r="D231" t="s">
        <v>2606</v>
      </c>
      <c r="E231" t="str">
        <f t="shared" si="7"/>
        <v>kujawsko-pomorskie_lipnowski_Kikół</v>
      </c>
      <c r="F231" t="s">
        <v>5482</v>
      </c>
    </row>
    <row r="232" spans="1:6" x14ac:dyDescent="0.3">
      <c r="A232" t="s">
        <v>5382</v>
      </c>
      <c r="B232" t="s">
        <v>4836</v>
      </c>
      <c r="C232" t="str">
        <f t="shared" si="6"/>
        <v>kujawsko-pomorskie_lipnowski</v>
      </c>
      <c r="D232" t="s">
        <v>2607</v>
      </c>
      <c r="E232" t="str">
        <f t="shared" si="7"/>
        <v>kujawsko-pomorskie_lipnowski_Skępe</v>
      </c>
      <c r="F232" t="s">
        <v>227</v>
      </c>
    </row>
    <row r="233" spans="1:6" x14ac:dyDescent="0.3">
      <c r="A233" t="s">
        <v>5382</v>
      </c>
      <c r="B233" t="s">
        <v>4836</v>
      </c>
      <c r="C233" t="str">
        <f t="shared" si="6"/>
        <v>kujawsko-pomorskie_lipnowski</v>
      </c>
      <c r="D233" t="s">
        <v>2608</v>
      </c>
      <c r="E233" t="str">
        <f t="shared" si="7"/>
        <v>kujawsko-pomorskie_lipnowski_Tłuchowo</v>
      </c>
      <c r="F233" t="s">
        <v>228</v>
      </c>
    </row>
    <row r="234" spans="1:6" x14ac:dyDescent="0.3">
      <c r="A234" t="s">
        <v>5382</v>
      </c>
      <c r="B234" t="s">
        <v>4836</v>
      </c>
      <c r="C234" t="str">
        <f t="shared" si="6"/>
        <v>kujawsko-pomorskie_lipnowski</v>
      </c>
      <c r="D234" t="s">
        <v>2609</v>
      </c>
      <c r="E234" t="str">
        <f t="shared" si="7"/>
        <v>kujawsko-pomorskie_lipnowski_Wielgie</v>
      </c>
      <c r="F234" t="s">
        <v>229</v>
      </c>
    </row>
    <row r="235" spans="1:6" x14ac:dyDescent="0.3">
      <c r="A235" t="s">
        <v>5382</v>
      </c>
      <c r="B235" t="s">
        <v>4836</v>
      </c>
      <c r="C235" t="str">
        <f t="shared" si="6"/>
        <v>kujawsko-pomorskie_lipnowski</v>
      </c>
      <c r="D235" t="s">
        <v>4546</v>
      </c>
      <c r="E235" t="str">
        <f t="shared" si="7"/>
        <v>kujawsko-pomorskie_lipnowski_Lipno (gm. miejska)</v>
      </c>
      <c r="F235" t="s">
        <v>221</v>
      </c>
    </row>
    <row r="236" spans="1:6" x14ac:dyDescent="0.3">
      <c r="A236" t="s">
        <v>5382</v>
      </c>
      <c r="B236" t="s">
        <v>4836</v>
      </c>
      <c r="C236" t="str">
        <f t="shared" si="6"/>
        <v>kujawsko-pomorskie_lipnowski</v>
      </c>
      <c r="D236" t="s">
        <v>4547</v>
      </c>
      <c r="E236" t="str">
        <f t="shared" si="7"/>
        <v>kujawsko-pomorskie_lipnowski_Lipno (gm. wiejska)</v>
      </c>
      <c r="F236" t="s">
        <v>226</v>
      </c>
    </row>
    <row r="237" spans="1:6" x14ac:dyDescent="0.3">
      <c r="A237" t="s">
        <v>5382</v>
      </c>
      <c r="B237" t="s">
        <v>4837</v>
      </c>
      <c r="C237" t="str">
        <f t="shared" si="6"/>
        <v>kujawsko-pomorskie_mogileński</v>
      </c>
      <c r="D237" t="s">
        <v>2610</v>
      </c>
      <c r="E237" t="str">
        <f t="shared" si="7"/>
        <v>kujawsko-pomorskie_mogileński_Dąbrowa</v>
      </c>
      <c r="F237" t="s">
        <v>230</v>
      </c>
    </row>
    <row r="238" spans="1:6" x14ac:dyDescent="0.3">
      <c r="A238" t="s">
        <v>5382</v>
      </c>
      <c r="B238" t="s">
        <v>4837</v>
      </c>
      <c r="C238" t="str">
        <f t="shared" si="6"/>
        <v>kujawsko-pomorskie_mogileński</v>
      </c>
      <c r="D238" t="s">
        <v>2611</v>
      </c>
      <c r="E238" t="str">
        <f t="shared" si="7"/>
        <v>kujawsko-pomorskie_mogileński_Jeziora Wielkie</v>
      </c>
      <c r="F238" t="s">
        <v>231</v>
      </c>
    </row>
    <row r="239" spans="1:6" x14ac:dyDescent="0.3">
      <c r="A239" t="s">
        <v>5382</v>
      </c>
      <c r="B239" t="s">
        <v>4837</v>
      </c>
      <c r="C239" t="str">
        <f t="shared" si="6"/>
        <v>kujawsko-pomorskie_mogileński</v>
      </c>
      <c r="D239" t="s">
        <v>2612</v>
      </c>
      <c r="E239" t="str">
        <f t="shared" si="7"/>
        <v>kujawsko-pomorskie_mogileński_Mogilno</v>
      </c>
      <c r="F239" t="s">
        <v>232</v>
      </c>
    </row>
    <row r="240" spans="1:6" x14ac:dyDescent="0.3">
      <c r="A240" t="s">
        <v>5382</v>
      </c>
      <c r="B240" t="s">
        <v>4837</v>
      </c>
      <c r="C240" t="str">
        <f t="shared" si="6"/>
        <v>kujawsko-pomorskie_mogileński</v>
      </c>
      <c r="D240" t="s">
        <v>2613</v>
      </c>
      <c r="E240" t="str">
        <f t="shared" si="7"/>
        <v>kujawsko-pomorskie_mogileński_Strzelno</v>
      </c>
      <c r="F240" t="s">
        <v>233</v>
      </c>
    </row>
    <row r="241" spans="1:6" x14ac:dyDescent="0.3">
      <c r="A241" t="s">
        <v>5382</v>
      </c>
      <c r="B241" t="s">
        <v>4838</v>
      </c>
      <c r="C241" t="str">
        <f t="shared" si="6"/>
        <v>kujawsko-pomorskie_nakielski</v>
      </c>
      <c r="D241" t="s">
        <v>2614</v>
      </c>
      <c r="E241" t="str">
        <f t="shared" si="7"/>
        <v>kujawsko-pomorskie_nakielski_Kcynia</v>
      </c>
      <c r="F241" t="s">
        <v>234</v>
      </c>
    </row>
    <row r="242" spans="1:6" x14ac:dyDescent="0.3">
      <c r="A242" t="s">
        <v>5382</v>
      </c>
      <c r="B242" t="s">
        <v>4838</v>
      </c>
      <c r="C242" t="str">
        <f t="shared" si="6"/>
        <v>kujawsko-pomorskie_nakielski</v>
      </c>
      <c r="D242" t="s">
        <v>2615</v>
      </c>
      <c r="E242" t="str">
        <f t="shared" si="7"/>
        <v>kujawsko-pomorskie_nakielski_Mrocza</v>
      </c>
      <c r="F242" t="s">
        <v>235</v>
      </c>
    </row>
    <row r="243" spans="1:6" x14ac:dyDescent="0.3">
      <c r="A243" t="s">
        <v>5382</v>
      </c>
      <c r="B243" t="s">
        <v>4838</v>
      </c>
      <c r="C243" t="str">
        <f t="shared" si="6"/>
        <v>kujawsko-pomorskie_nakielski</v>
      </c>
      <c r="D243" t="s">
        <v>2616</v>
      </c>
      <c r="E243" t="str">
        <f t="shared" si="7"/>
        <v>kujawsko-pomorskie_nakielski_Nakło nad Notecią</v>
      </c>
      <c r="F243" t="s">
        <v>236</v>
      </c>
    </row>
    <row r="244" spans="1:6" x14ac:dyDescent="0.3">
      <c r="A244" t="s">
        <v>5382</v>
      </c>
      <c r="B244" t="s">
        <v>4838</v>
      </c>
      <c r="C244" t="str">
        <f t="shared" si="6"/>
        <v>kujawsko-pomorskie_nakielski</v>
      </c>
      <c r="D244" t="s">
        <v>2617</v>
      </c>
      <c r="E244" t="str">
        <f t="shared" si="7"/>
        <v>kujawsko-pomorskie_nakielski_Sadki</v>
      </c>
      <c r="F244" t="s">
        <v>237</v>
      </c>
    </row>
    <row r="245" spans="1:6" x14ac:dyDescent="0.3">
      <c r="A245" t="s">
        <v>5382</v>
      </c>
      <c r="B245" t="s">
        <v>4838</v>
      </c>
      <c r="C245" t="str">
        <f t="shared" si="6"/>
        <v>kujawsko-pomorskie_nakielski</v>
      </c>
      <c r="D245" t="s">
        <v>2618</v>
      </c>
      <c r="E245" t="str">
        <f t="shared" si="7"/>
        <v>kujawsko-pomorskie_nakielski_Szubin</v>
      </c>
      <c r="F245" t="s">
        <v>238</v>
      </c>
    </row>
    <row r="246" spans="1:6" x14ac:dyDescent="0.3">
      <c r="A246" t="s">
        <v>5382</v>
      </c>
      <c r="B246" t="s">
        <v>4839</v>
      </c>
      <c r="C246" t="str">
        <f t="shared" si="6"/>
        <v>kujawsko-pomorskie_radziejowski</v>
      </c>
      <c r="D246" t="s">
        <v>2619</v>
      </c>
      <c r="E246" t="str">
        <f t="shared" si="7"/>
        <v>kujawsko-pomorskie_radziejowski_Bytoń</v>
      </c>
      <c r="F246" t="s">
        <v>240</v>
      </c>
    </row>
    <row r="247" spans="1:6" x14ac:dyDescent="0.3">
      <c r="A247" t="s">
        <v>5382</v>
      </c>
      <c r="B247" t="s">
        <v>4839</v>
      </c>
      <c r="C247" t="str">
        <f t="shared" si="6"/>
        <v>kujawsko-pomorskie_radziejowski</v>
      </c>
      <c r="D247" t="s">
        <v>2620</v>
      </c>
      <c r="E247" t="str">
        <f t="shared" si="7"/>
        <v>kujawsko-pomorskie_radziejowski_Dobre</v>
      </c>
      <c r="F247" t="s">
        <v>241</v>
      </c>
    </row>
    <row r="248" spans="1:6" x14ac:dyDescent="0.3">
      <c r="A248" t="s">
        <v>5382</v>
      </c>
      <c r="B248" t="s">
        <v>4839</v>
      </c>
      <c r="C248" t="str">
        <f t="shared" si="6"/>
        <v>kujawsko-pomorskie_radziejowski</v>
      </c>
      <c r="D248" t="s">
        <v>2621</v>
      </c>
      <c r="E248" t="str">
        <f t="shared" si="7"/>
        <v>kujawsko-pomorskie_radziejowski_Osięciny</v>
      </c>
      <c r="F248" t="s">
        <v>242</v>
      </c>
    </row>
    <row r="249" spans="1:6" x14ac:dyDescent="0.3">
      <c r="A249" t="s">
        <v>5382</v>
      </c>
      <c r="B249" t="s">
        <v>4839</v>
      </c>
      <c r="C249" t="str">
        <f t="shared" si="6"/>
        <v>kujawsko-pomorskie_radziejowski</v>
      </c>
      <c r="D249" t="s">
        <v>2622</v>
      </c>
      <c r="E249" t="str">
        <f t="shared" si="7"/>
        <v>kujawsko-pomorskie_radziejowski_Piotrków Kujawski</v>
      </c>
      <c r="F249" t="s">
        <v>243</v>
      </c>
    </row>
    <row r="250" spans="1:6" x14ac:dyDescent="0.3">
      <c r="A250" t="s">
        <v>5382</v>
      </c>
      <c r="B250" t="s">
        <v>4839</v>
      </c>
      <c r="C250" t="str">
        <f t="shared" si="6"/>
        <v>kujawsko-pomorskie_radziejowski</v>
      </c>
      <c r="D250" t="s">
        <v>2623</v>
      </c>
      <c r="E250" t="str">
        <f t="shared" si="7"/>
        <v>kujawsko-pomorskie_radziejowski_Topólka</v>
      </c>
      <c r="F250" t="s">
        <v>245</v>
      </c>
    </row>
    <row r="251" spans="1:6" x14ac:dyDescent="0.3">
      <c r="A251" t="s">
        <v>5382</v>
      </c>
      <c r="B251" t="s">
        <v>4839</v>
      </c>
      <c r="C251" t="str">
        <f t="shared" si="6"/>
        <v>kujawsko-pomorskie_radziejowski</v>
      </c>
      <c r="D251" t="s">
        <v>4548</v>
      </c>
      <c r="E251" t="str">
        <f t="shared" si="7"/>
        <v>kujawsko-pomorskie_radziejowski_Radziejów (gm. miejska)</v>
      </c>
      <c r="F251" t="s">
        <v>239</v>
      </c>
    </row>
    <row r="252" spans="1:6" x14ac:dyDescent="0.3">
      <c r="A252" t="s">
        <v>5382</v>
      </c>
      <c r="B252" t="s">
        <v>4839</v>
      </c>
      <c r="C252" t="str">
        <f t="shared" si="6"/>
        <v>kujawsko-pomorskie_radziejowski</v>
      </c>
      <c r="D252" t="s">
        <v>4549</v>
      </c>
      <c r="E252" t="str">
        <f t="shared" si="7"/>
        <v>kujawsko-pomorskie_radziejowski_Radziejów (gm. wiejska)</v>
      </c>
      <c r="F252" t="s">
        <v>244</v>
      </c>
    </row>
    <row r="253" spans="1:6" x14ac:dyDescent="0.3">
      <c r="A253" t="s">
        <v>5382</v>
      </c>
      <c r="B253" t="s">
        <v>4840</v>
      </c>
      <c r="C253" t="str">
        <f t="shared" si="6"/>
        <v>kujawsko-pomorskie_rypiński</v>
      </c>
      <c r="D253" t="s">
        <v>2624</v>
      </c>
      <c r="E253" t="str">
        <f t="shared" si="7"/>
        <v>kujawsko-pomorskie_rypiński_Brzuze</v>
      </c>
      <c r="F253" t="s">
        <v>247</v>
      </c>
    </row>
    <row r="254" spans="1:6" x14ac:dyDescent="0.3">
      <c r="A254" t="s">
        <v>5382</v>
      </c>
      <c r="B254" t="s">
        <v>4840</v>
      </c>
      <c r="C254" t="str">
        <f t="shared" si="6"/>
        <v>kujawsko-pomorskie_rypiński</v>
      </c>
      <c r="D254" t="s">
        <v>2625</v>
      </c>
      <c r="E254" t="str">
        <f t="shared" si="7"/>
        <v>kujawsko-pomorskie_rypiński_Rogowo</v>
      </c>
      <c r="F254" t="s">
        <v>248</v>
      </c>
    </row>
    <row r="255" spans="1:6" x14ac:dyDescent="0.3">
      <c r="A255" t="s">
        <v>5382</v>
      </c>
      <c r="B255" t="s">
        <v>4840</v>
      </c>
      <c r="C255" t="str">
        <f t="shared" si="6"/>
        <v>kujawsko-pomorskie_rypiński</v>
      </c>
      <c r="D255" t="s">
        <v>2626</v>
      </c>
      <c r="E255" t="str">
        <f t="shared" si="7"/>
        <v>kujawsko-pomorskie_rypiński_Skrwilno</v>
      </c>
      <c r="F255" t="s">
        <v>250</v>
      </c>
    </row>
    <row r="256" spans="1:6" x14ac:dyDescent="0.3">
      <c r="A256" t="s">
        <v>5382</v>
      </c>
      <c r="B256" t="s">
        <v>4840</v>
      </c>
      <c r="C256" t="str">
        <f t="shared" si="6"/>
        <v>kujawsko-pomorskie_rypiński</v>
      </c>
      <c r="D256" t="s">
        <v>2627</v>
      </c>
      <c r="E256" t="str">
        <f t="shared" si="7"/>
        <v>kujawsko-pomorskie_rypiński_Wąpielsk</v>
      </c>
      <c r="F256" t="s">
        <v>251</v>
      </c>
    </row>
    <row r="257" spans="1:6" x14ac:dyDescent="0.3">
      <c r="A257" t="s">
        <v>5382</v>
      </c>
      <c r="B257" t="s">
        <v>4840</v>
      </c>
      <c r="C257" t="str">
        <f t="shared" ref="C257:C320" si="8">CONCATENATE(A257,"_",B257)</f>
        <v>kujawsko-pomorskie_rypiński</v>
      </c>
      <c r="D257" t="s">
        <v>4550</v>
      </c>
      <c r="E257" t="str">
        <f t="shared" ref="E257:E320" si="9">C257&amp;"_"&amp;D257</f>
        <v>kujawsko-pomorskie_rypiński_Rypin (gm. miejska)</v>
      </c>
      <c r="F257" t="s">
        <v>246</v>
      </c>
    </row>
    <row r="258" spans="1:6" x14ac:dyDescent="0.3">
      <c r="A258" t="s">
        <v>5382</v>
      </c>
      <c r="B258" t="s">
        <v>4840</v>
      </c>
      <c r="C258" t="str">
        <f t="shared" si="8"/>
        <v>kujawsko-pomorskie_rypiński</v>
      </c>
      <c r="D258" t="s">
        <v>4551</v>
      </c>
      <c r="E258" t="str">
        <f t="shared" si="9"/>
        <v>kujawsko-pomorskie_rypiński_Rypin (gm. wiejska)</v>
      </c>
      <c r="F258" t="s">
        <v>249</v>
      </c>
    </row>
    <row r="259" spans="1:6" x14ac:dyDescent="0.3">
      <c r="A259" t="s">
        <v>5382</v>
      </c>
      <c r="B259" t="s">
        <v>4841</v>
      </c>
      <c r="C259" t="str">
        <f t="shared" si="8"/>
        <v>kujawsko-pomorskie_sępoleński</v>
      </c>
      <c r="D259" t="s">
        <v>2628</v>
      </c>
      <c r="E259" t="str">
        <f t="shared" si="9"/>
        <v>kujawsko-pomorskie_sępoleński_Kamień Krajeński</v>
      </c>
      <c r="F259" t="s">
        <v>252</v>
      </c>
    </row>
    <row r="260" spans="1:6" x14ac:dyDescent="0.3">
      <c r="A260" t="s">
        <v>5382</v>
      </c>
      <c r="B260" t="s">
        <v>4841</v>
      </c>
      <c r="C260" t="str">
        <f t="shared" si="8"/>
        <v>kujawsko-pomorskie_sępoleński</v>
      </c>
      <c r="D260" t="s">
        <v>2629</v>
      </c>
      <c r="E260" t="str">
        <f t="shared" si="9"/>
        <v>kujawsko-pomorskie_sępoleński_Sępólno Krajeńskie</v>
      </c>
      <c r="F260" t="s">
        <v>253</v>
      </c>
    </row>
    <row r="261" spans="1:6" x14ac:dyDescent="0.3">
      <c r="A261" t="s">
        <v>5382</v>
      </c>
      <c r="B261" t="s">
        <v>4841</v>
      </c>
      <c r="C261" t="str">
        <f t="shared" si="8"/>
        <v>kujawsko-pomorskie_sępoleński</v>
      </c>
      <c r="D261" t="s">
        <v>2630</v>
      </c>
      <c r="E261" t="str">
        <f t="shared" si="9"/>
        <v>kujawsko-pomorskie_sępoleński_Sośno</v>
      </c>
      <c r="F261" t="s">
        <v>254</v>
      </c>
    </row>
    <row r="262" spans="1:6" x14ac:dyDescent="0.3">
      <c r="A262" t="s">
        <v>5382</v>
      </c>
      <c r="B262" t="s">
        <v>4841</v>
      </c>
      <c r="C262" t="str">
        <f t="shared" si="8"/>
        <v>kujawsko-pomorskie_sępoleński</v>
      </c>
      <c r="D262" t="s">
        <v>2631</v>
      </c>
      <c r="E262" t="str">
        <f t="shared" si="9"/>
        <v>kujawsko-pomorskie_sępoleński_Więcbork</v>
      </c>
      <c r="F262" t="s">
        <v>255</v>
      </c>
    </row>
    <row r="263" spans="1:6" x14ac:dyDescent="0.3">
      <c r="A263" t="s">
        <v>5382</v>
      </c>
      <c r="B263" t="s">
        <v>4842</v>
      </c>
      <c r="C263" t="str">
        <f t="shared" si="8"/>
        <v>kujawsko-pomorskie_świecki</v>
      </c>
      <c r="D263" t="s">
        <v>2632</v>
      </c>
      <c r="E263" t="str">
        <f t="shared" si="9"/>
        <v>kujawsko-pomorskie_świecki_Bukowiec</v>
      </c>
      <c r="F263" t="s">
        <v>256</v>
      </c>
    </row>
    <row r="264" spans="1:6" x14ac:dyDescent="0.3">
      <c r="A264" t="s">
        <v>5382</v>
      </c>
      <c r="B264" t="s">
        <v>4842</v>
      </c>
      <c r="C264" t="str">
        <f t="shared" si="8"/>
        <v>kujawsko-pomorskie_świecki</v>
      </c>
      <c r="D264" t="s">
        <v>2633</v>
      </c>
      <c r="E264" t="str">
        <f t="shared" si="9"/>
        <v>kujawsko-pomorskie_świecki_Dragacz</v>
      </c>
      <c r="F264" t="s">
        <v>257</v>
      </c>
    </row>
    <row r="265" spans="1:6" x14ac:dyDescent="0.3">
      <c r="A265" t="s">
        <v>5382</v>
      </c>
      <c r="B265" t="s">
        <v>4842</v>
      </c>
      <c r="C265" t="str">
        <f t="shared" si="8"/>
        <v>kujawsko-pomorskie_świecki</v>
      </c>
      <c r="D265" t="s">
        <v>2634</v>
      </c>
      <c r="E265" t="str">
        <f t="shared" si="9"/>
        <v>kujawsko-pomorskie_świecki_Drzycim</v>
      </c>
      <c r="F265" t="s">
        <v>258</v>
      </c>
    </row>
    <row r="266" spans="1:6" x14ac:dyDescent="0.3">
      <c r="A266" t="s">
        <v>5382</v>
      </c>
      <c r="B266" t="s">
        <v>4842</v>
      </c>
      <c r="C266" t="str">
        <f t="shared" si="8"/>
        <v>kujawsko-pomorskie_świecki</v>
      </c>
      <c r="D266" t="s">
        <v>2635</v>
      </c>
      <c r="E266" t="str">
        <f t="shared" si="9"/>
        <v>kujawsko-pomorskie_świecki_Jeżewo</v>
      </c>
      <c r="F266" t="s">
        <v>259</v>
      </c>
    </row>
    <row r="267" spans="1:6" x14ac:dyDescent="0.3">
      <c r="A267" t="s">
        <v>5382</v>
      </c>
      <c r="B267" t="s">
        <v>4842</v>
      </c>
      <c r="C267" t="str">
        <f t="shared" si="8"/>
        <v>kujawsko-pomorskie_świecki</v>
      </c>
      <c r="D267" t="s">
        <v>2636</v>
      </c>
      <c r="E267" t="str">
        <f t="shared" si="9"/>
        <v>kujawsko-pomorskie_świecki_Lniano</v>
      </c>
      <c r="F267" t="s">
        <v>260</v>
      </c>
    </row>
    <row r="268" spans="1:6" x14ac:dyDescent="0.3">
      <c r="A268" t="s">
        <v>5382</v>
      </c>
      <c r="B268" t="s">
        <v>4842</v>
      </c>
      <c r="C268" t="str">
        <f t="shared" si="8"/>
        <v>kujawsko-pomorskie_świecki</v>
      </c>
      <c r="D268" t="s">
        <v>2637</v>
      </c>
      <c r="E268" t="str">
        <f t="shared" si="9"/>
        <v>kujawsko-pomorskie_świecki_Nowe</v>
      </c>
      <c r="F268" t="s">
        <v>261</v>
      </c>
    </row>
    <row r="269" spans="1:6" x14ac:dyDescent="0.3">
      <c r="A269" t="s">
        <v>5382</v>
      </c>
      <c r="B269" t="s">
        <v>4842</v>
      </c>
      <c r="C269" t="str">
        <f t="shared" si="8"/>
        <v>kujawsko-pomorskie_świecki</v>
      </c>
      <c r="D269" t="s">
        <v>2638</v>
      </c>
      <c r="E269" t="str">
        <f t="shared" si="9"/>
        <v>kujawsko-pomorskie_świecki_Osie</v>
      </c>
      <c r="F269" t="s">
        <v>262</v>
      </c>
    </row>
    <row r="270" spans="1:6" x14ac:dyDescent="0.3">
      <c r="A270" t="s">
        <v>5382</v>
      </c>
      <c r="B270" t="s">
        <v>4842</v>
      </c>
      <c r="C270" t="str">
        <f t="shared" si="8"/>
        <v>kujawsko-pomorskie_świecki</v>
      </c>
      <c r="D270" t="s">
        <v>2639</v>
      </c>
      <c r="E270" t="str">
        <f t="shared" si="9"/>
        <v>kujawsko-pomorskie_świecki_Pruszcz</v>
      </c>
      <c r="F270" s="181" t="s">
        <v>5474</v>
      </c>
    </row>
    <row r="271" spans="1:6" x14ac:dyDescent="0.3">
      <c r="A271" t="s">
        <v>5382</v>
      </c>
      <c r="B271" t="s">
        <v>4842</v>
      </c>
      <c r="C271" t="str">
        <f t="shared" si="8"/>
        <v>kujawsko-pomorskie_świecki</v>
      </c>
      <c r="D271" t="s">
        <v>2640</v>
      </c>
      <c r="E271" t="str">
        <f t="shared" si="9"/>
        <v>kujawsko-pomorskie_świecki_Świecie</v>
      </c>
      <c r="F271" t="s">
        <v>264</v>
      </c>
    </row>
    <row r="272" spans="1:6" x14ac:dyDescent="0.3">
      <c r="A272" t="s">
        <v>5382</v>
      </c>
      <c r="B272" t="s">
        <v>4842</v>
      </c>
      <c r="C272" t="str">
        <f t="shared" si="8"/>
        <v>kujawsko-pomorskie_świecki</v>
      </c>
      <c r="D272" t="s">
        <v>2641</v>
      </c>
      <c r="E272" t="str">
        <f t="shared" si="9"/>
        <v>kujawsko-pomorskie_świecki_Świekatowo</v>
      </c>
      <c r="F272" t="s">
        <v>265</v>
      </c>
    </row>
    <row r="273" spans="1:6" x14ac:dyDescent="0.3">
      <c r="A273" t="s">
        <v>5382</v>
      </c>
      <c r="B273" t="s">
        <v>4842</v>
      </c>
      <c r="C273" t="str">
        <f t="shared" si="8"/>
        <v>kujawsko-pomorskie_świecki</v>
      </c>
      <c r="D273" t="s">
        <v>2642</v>
      </c>
      <c r="E273" t="str">
        <f t="shared" si="9"/>
        <v>kujawsko-pomorskie_świecki_Warlubie</v>
      </c>
      <c r="F273" t="s">
        <v>266</v>
      </c>
    </row>
    <row r="274" spans="1:6" x14ac:dyDescent="0.3">
      <c r="A274" t="s">
        <v>5382</v>
      </c>
      <c r="B274" t="s">
        <v>2676</v>
      </c>
      <c r="C274" t="str">
        <f t="shared" si="8"/>
        <v>kujawsko-pomorskie_Toruń</v>
      </c>
      <c r="D274" t="s">
        <v>2676</v>
      </c>
      <c r="E274" t="str">
        <f t="shared" si="9"/>
        <v>kujawsko-pomorskie_Toruń_Toruń</v>
      </c>
      <c r="F274" t="s">
        <v>308</v>
      </c>
    </row>
    <row r="275" spans="1:6" x14ac:dyDescent="0.3">
      <c r="A275" t="s">
        <v>5382</v>
      </c>
      <c r="B275" t="s">
        <v>4843</v>
      </c>
      <c r="C275" t="str">
        <f t="shared" si="8"/>
        <v>kujawsko-pomorskie_toruński</v>
      </c>
      <c r="D275" t="s">
        <v>2643</v>
      </c>
      <c r="E275" t="str">
        <f t="shared" si="9"/>
        <v>kujawsko-pomorskie_toruński_Czernikowo</v>
      </c>
      <c r="F275" t="s">
        <v>269</v>
      </c>
    </row>
    <row r="276" spans="1:6" x14ac:dyDescent="0.3">
      <c r="A276" t="s">
        <v>5382</v>
      </c>
      <c r="B276" t="s">
        <v>4843</v>
      </c>
      <c r="C276" t="str">
        <f t="shared" si="8"/>
        <v>kujawsko-pomorskie_toruński</v>
      </c>
      <c r="D276" t="s">
        <v>2644</v>
      </c>
      <c r="E276" t="str">
        <f t="shared" si="9"/>
        <v>kujawsko-pomorskie_toruński_Lubicz</v>
      </c>
      <c r="F276" t="s">
        <v>270</v>
      </c>
    </row>
    <row r="277" spans="1:6" x14ac:dyDescent="0.3">
      <c r="A277" t="s">
        <v>5382</v>
      </c>
      <c r="B277" t="s">
        <v>4843</v>
      </c>
      <c r="C277" t="str">
        <f t="shared" si="8"/>
        <v>kujawsko-pomorskie_toruński</v>
      </c>
      <c r="D277" t="s">
        <v>2645</v>
      </c>
      <c r="E277" t="str">
        <f t="shared" si="9"/>
        <v>kujawsko-pomorskie_toruński_Łubianka</v>
      </c>
      <c r="F277" t="s">
        <v>271</v>
      </c>
    </row>
    <row r="278" spans="1:6" x14ac:dyDescent="0.3">
      <c r="A278" t="s">
        <v>5382</v>
      </c>
      <c r="B278" t="s">
        <v>4843</v>
      </c>
      <c r="C278" t="str">
        <f t="shared" si="8"/>
        <v>kujawsko-pomorskie_toruński</v>
      </c>
      <c r="D278" t="s">
        <v>2646</v>
      </c>
      <c r="E278" t="str">
        <f t="shared" si="9"/>
        <v>kujawsko-pomorskie_toruński_Łysomice</v>
      </c>
      <c r="F278" t="s">
        <v>272</v>
      </c>
    </row>
    <row r="279" spans="1:6" x14ac:dyDescent="0.3">
      <c r="A279" t="s">
        <v>5382</v>
      </c>
      <c r="B279" t="s">
        <v>4843</v>
      </c>
      <c r="C279" t="str">
        <f t="shared" si="8"/>
        <v>kujawsko-pomorskie_toruński</v>
      </c>
      <c r="D279" t="s">
        <v>2647</v>
      </c>
      <c r="E279" t="str">
        <f t="shared" si="9"/>
        <v>kujawsko-pomorskie_toruński_Obrowo</v>
      </c>
      <c r="F279" t="s">
        <v>273</v>
      </c>
    </row>
    <row r="280" spans="1:6" x14ac:dyDescent="0.3">
      <c r="A280" t="s">
        <v>5382</v>
      </c>
      <c r="B280" t="s">
        <v>4843</v>
      </c>
      <c r="C280" t="str">
        <f t="shared" si="8"/>
        <v>kujawsko-pomorskie_toruński</v>
      </c>
      <c r="D280" t="s">
        <v>2648</v>
      </c>
      <c r="E280" t="str">
        <f t="shared" si="9"/>
        <v>kujawsko-pomorskie_toruński_Wielka Nieszawka</v>
      </c>
      <c r="F280" t="s">
        <v>274</v>
      </c>
    </row>
    <row r="281" spans="1:6" x14ac:dyDescent="0.3">
      <c r="A281" t="s">
        <v>5382</v>
      </c>
      <c r="B281" t="s">
        <v>4843</v>
      </c>
      <c r="C281" t="str">
        <f t="shared" si="8"/>
        <v>kujawsko-pomorskie_toruński</v>
      </c>
      <c r="D281" t="s">
        <v>2649</v>
      </c>
      <c r="E281" t="str">
        <f t="shared" si="9"/>
        <v>kujawsko-pomorskie_toruński_Zławieś Wielka</v>
      </c>
      <c r="F281" t="s">
        <v>275</v>
      </c>
    </row>
    <row r="282" spans="1:6" x14ac:dyDescent="0.3">
      <c r="A282" t="s">
        <v>5382</v>
      </c>
      <c r="B282" t="s">
        <v>4843</v>
      </c>
      <c r="C282" t="str">
        <f t="shared" si="8"/>
        <v>kujawsko-pomorskie_toruński</v>
      </c>
      <c r="D282" t="s">
        <v>4552</v>
      </c>
      <c r="E282" t="str">
        <f t="shared" si="9"/>
        <v>kujawsko-pomorskie_toruński_Chełmża (gm. miejska)</v>
      </c>
      <c r="F282" t="s">
        <v>267</v>
      </c>
    </row>
    <row r="283" spans="1:6" x14ac:dyDescent="0.3">
      <c r="A283" t="s">
        <v>5382</v>
      </c>
      <c r="B283" t="s">
        <v>4843</v>
      </c>
      <c r="C283" t="str">
        <f t="shared" si="8"/>
        <v>kujawsko-pomorskie_toruński</v>
      </c>
      <c r="D283" t="s">
        <v>4553</v>
      </c>
      <c r="E283" t="str">
        <f t="shared" si="9"/>
        <v>kujawsko-pomorskie_toruński_Chełmża (gm. wiejska)</v>
      </c>
      <c r="F283" t="s">
        <v>268</v>
      </c>
    </row>
    <row r="284" spans="1:6" x14ac:dyDescent="0.3">
      <c r="A284" t="s">
        <v>5382</v>
      </c>
      <c r="B284" t="s">
        <v>4844</v>
      </c>
      <c r="C284" t="str">
        <f t="shared" si="8"/>
        <v>kujawsko-pomorskie_tucholski</v>
      </c>
      <c r="D284" t="s">
        <v>2650</v>
      </c>
      <c r="E284" t="str">
        <f t="shared" si="9"/>
        <v>kujawsko-pomorskie_tucholski_Cekcyn</v>
      </c>
      <c r="F284" t="s">
        <v>276</v>
      </c>
    </row>
    <row r="285" spans="1:6" x14ac:dyDescent="0.3">
      <c r="A285" t="s">
        <v>5382</v>
      </c>
      <c r="B285" t="s">
        <v>4844</v>
      </c>
      <c r="C285" t="str">
        <f t="shared" si="8"/>
        <v>kujawsko-pomorskie_tucholski</v>
      </c>
      <c r="D285" t="s">
        <v>2651</v>
      </c>
      <c r="E285" t="str">
        <f t="shared" si="9"/>
        <v>kujawsko-pomorskie_tucholski_Gostycyn</v>
      </c>
      <c r="F285" t="s">
        <v>277</v>
      </c>
    </row>
    <row r="286" spans="1:6" x14ac:dyDescent="0.3">
      <c r="A286" t="s">
        <v>5382</v>
      </c>
      <c r="B286" t="s">
        <v>4844</v>
      </c>
      <c r="C286" t="str">
        <f t="shared" si="8"/>
        <v>kujawsko-pomorskie_tucholski</v>
      </c>
      <c r="D286" t="s">
        <v>2652</v>
      </c>
      <c r="E286" t="str">
        <f t="shared" si="9"/>
        <v>kujawsko-pomorskie_tucholski_Kęsowo</v>
      </c>
      <c r="F286" t="s">
        <v>278</v>
      </c>
    </row>
    <row r="287" spans="1:6" x14ac:dyDescent="0.3">
      <c r="A287" t="s">
        <v>5382</v>
      </c>
      <c r="B287" t="s">
        <v>4844</v>
      </c>
      <c r="C287" t="str">
        <f t="shared" si="8"/>
        <v>kujawsko-pomorskie_tucholski</v>
      </c>
      <c r="D287" t="s">
        <v>2653</v>
      </c>
      <c r="E287" t="str">
        <f t="shared" si="9"/>
        <v>kujawsko-pomorskie_tucholski_Lubiewo</v>
      </c>
      <c r="F287" t="s">
        <v>279</v>
      </c>
    </row>
    <row r="288" spans="1:6" x14ac:dyDescent="0.3">
      <c r="A288" t="s">
        <v>5382</v>
      </c>
      <c r="B288" t="s">
        <v>4844</v>
      </c>
      <c r="C288" t="str">
        <f t="shared" si="8"/>
        <v>kujawsko-pomorskie_tucholski</v>
      </c>
      <c r="D288" t="s">
        <v>2654</v>
      </c>
      <c r="E288" t="str">
        <f t="shared" si="9"/>
        <v>kujawsko-pomorskie_tucholski_Śliwice</v>
      </c>
      <c r="F288" t="s">
        <v>280</v>
      </c>
    </row>
    <row r="289" spans="1:6" x14ac:dyDescent="0.3">
      <c r="A289" t="s">
        <v>5382</v>
      </c>
      <c r="B289" t="s">
        <v>4844</v>
      </c>
      <c r="C289" t="str">
        <f t="shared" si="8"/>
        <v>kujawsko-pomorskie_tucholski</v>
      </c>
      <c r="D289" t="s">
        <v>2655</v>
      </c>
      <c r="E289" t="str">
        <f t="shared" si="9"/>
        <v>kujawsko-pomorskie_tucholski_Tuchola</v>
      </c>
      <c r="F289" t="s">
        <v>281</v>
      </c>
    </row>
    <row r="290" spans="1:6" x14ac:dyDescent="0.3">
      <c r="A290" t="s">
        <v>5382</v>
      </c>
      <c r="B290" t="s">
        <v>4845</v>
      </c>
      <c r="C290" t="str">
        <f t="shared" si="8"/>
        <v>kujawsko-pomorskie_wąbrzeski</v>
      </c>
      <c r="D290" t="s">
        <v>2656</v>
      </c>
      <c r="E290" t="str">
        <f t="shared" si="9"/>
        <v>kujawsko-pomorskie_wąbrzeski_Dębowa Łąka</v>
      </c>
      <c r="F290" t="s">
        <v>283</v>
      </c>
    </row>
    <row r="291" spans="1:6" x14ac:dyDescent="0.3">
      <c r="A291" t="s">
        <v>5382</v>
      </c>
      <c r="B291" t="s">
        <v>4845</v>
      </c>
      <c r="C291" t="str">
        <f t="shared" si="8"/>
        <v>kujawsko-pomorskie_wąbrzeski</v>
      </c>
      <c r="D291" t="s">
        <v>2657</v>
      </c>
      <c r="E291" t="str">
        <f t="shared" si="9"/>
        <v>kujawsko-pomorskie_wąbrzeski_Książki</v>
      </c>
      <c r="F291" t="s">
        <v>284</v>
      </c>
    </row>
    <row r="292" spans="1:6" x14ac:dyDescent="0.3">
      <c r="A292" t="s">
        <v>5382</v>
      </c>
      <c r="B292" t="s">
        <v>4845</v>
      </c>
      <c r="C292" t="str">
        <f t="shared" si="8"/>
        <v>kujawsko-pomorskie_wąbrzeski</v>
      </c>
      <c r="D292" t="s">
        <v>2658</v>
      </c>
      <c r="E292" t="str">
        <f t="shared" si="9"/>
        <v>kujawsko-pomorskie_wąbrzeski_Płużnica</v>
      </c>
      <c r="F292" t="s">
        <v>285</v>
      </c>
    </row>
    <row r="293" spans="1:6" x14ac:dyDescent="0.3">
      <c r="A293" t="s">
        <v>5382</v>
      </c>
      <c r="B293" t="s">
        <v>4845</v>
      </c>
      <c r="C293" t="str">
        <f t="shared" si="8"/>
        <v>kujawsko-pomorskie_wąbrzeski</v>
      </c>
      <c r="D293" t="s">
        <v>5432</v>
      </c>
      <c r="E293" t="str">
        <f t="shared" si="9"/>
        <v>kujawsko-pomorskie_wąbrzeski_Ryńsk</v>
      </c>
      <c r="F293" t="s">
        <v>286</v>
      </c>
    </row>
    <row r="294" spans="1:6" x14ac:dyDescent="0.3">
      <c r="A294" t="s">
        <v>5382</v>
      </c>
      <c r="B294" t="s">
        <v>4845</v>
      </c>
      <c r="C294" t="str">
        <f t="shared" si="8"/>
        <v>kujawsko-pomorskie_wąbrzeski</v>
      </c>
      <c r="D294" t="s">
        <v>5448</v>
      </c>
      <c r="E294" t="str">
        <f t="shared" si="9"/>
        <v>kujawsko-pomorskie_wąbrzeski_Wąbrzeźno</v>
      </c>
      <c r="F294" t="s">
        <v>282</v>
      </c>
    </row>
    <row r="295" spans="1:6" x14ac:dyDescent="0.3">
      <c r="A295" t="s">
        <v>5382</v>
      </c>
      <c r="B295" t="s">
        <v>2669</v>
      </c>
      <c r="C295" t="str">
        <f t="shared" si="8"/>
        <v>kujawsko-pomorskie_Włocławek</v>
      </c>
      <c r="D295" t="s">
        <v>2669</v>
      </c>
      <c r="E295" t="str">
        <f t="shared" si="9"/>
        <v>kujawsko-pomorskie_Włocławek_Włocławek</v>
      </c>
      <c r="F295" t="s">
        <v>309</v>
      </c>
    </row>
    <row r="296" spans="1:6" x14ac:dyDescent="0.3">
      <c r="A296" t="s">
        <v>5382</v>
      </c>
      <c r="B296" t="s">
        <v>4846</v>
      </c>
      <c r="C296" t="str">
        <f t="shared" si="8"/>
        <v>kujawsko-pomorskie_włocławski</v>
      </c>
      <c r="D296" t="s">
        <v>2659</v>
      </c>
      <c r="E296" t="str">
        <f t="shared" si="9"/>
        <v>kujawsko-pomorskie_włocławski_Baruchowo</v>
      </c>
      <c r="F296" t="s">
        <v>288</v>
      </c>
    </row>
    <row r="297" spans="1:6" x14ac:dyDescent="0.3">
      <c r="A297" t="s">
        <v>5382</v>
      </c>
      <c r="B297" t="s">
        <v>4846</v>
      </c>
      <c r="C297" t="str">
        <f t="shared" si="8"/>
        <v>kujawsko-pomorskie_włocławski</v>
      </c>
      <c r="D297" t="s">
        <v>2660</v>
      </c>
      <c r="E297" t="str">
        <f t="shared" si="9"/>
        <v>kujawsko-pomorskie_włocławski_Boniewo</v>
      </c>
      <c r="F297" t="s">
        <v>289</v>
      </c>
    </row>
    <row r="298" spans="1:6" x14ac:dyDescent="0.3">
      <c r="A298" t="s">
        <v>5382</v>
      </c>
      <c r="B298" t="s">
        <v>4846</v>
      </c>
      <c r="C298" t="str">
        <f t="shared" si="8"/>
        <v>kujawsko-pomorskie_włocławski</v>
      </c>
      <c r="D298" t="s">
        <v>2661</v>
      </c>
      <c r="E298" t="str">
        <f t="shared" si="9"/>
        <v>kujawsko-pomorskie_włocławski_Brześć Kujawski</v>
      </c>
      <c r="F298" t="s">
        <v>290</v>
      </c>
    </row>
    <row r="299" spans="1:6" x14ac:dyDescent="0.3">
      <c r="A299" t="s">
        <v>5382</v>
      </c>
      <c r="B299" t="s">
        <v>4846</v>
      </c>
      <c r="C299" t="str">
        <f t="shared" si="8"/>
        <v>kujawsko-pomorskie_włocławski</v>
      </c>
      <c r="D299" t="s">
        <v>2662</v>
      </c>
      <c r="E299" t="str">
        <f t="shared" si="9"/>
        <v>kujawsko-pomorskie_włocławski_Choceń</v>
      </c>
      <c r="F299" t="s">
        <v>291</v>
      </c>
    </row>
    <row r="300" spans="1:6" x14ac:dyDescent="0.3">
      <c r="A300" t="s">
        <v>5382</v>
      </c>
      <c r="B300" t="s">
        <v>4846</v>
      </c>
      <c r="C300" t="str">
        <f t="shared" si="8"/>
        <v>kujawsko-pomorskie_włocławski</v>
      </c>
      <c r="D300" t="s">
        <v>2663</v>
      </c>
      <c r="E300" t="str">
        <f t="shared" si="9"/>
        <v>kujawsko-pomorskie_włocławski_Chodecz</v>
      </c>
      <c r="F300" t="s">
        <v>292</v>
      </c>
    </row>
    <row r="301" spans="1:6" x14ac:dyDescent="0.3">
      <c r="A301" t="s">
        <v>5382</v>
      </c>
      <c r="B301" t="s">
        <v>4846</v>
      </c>
      <c r="C301" t="str">
        <f t="shared" si="8"/>
        <v>kujawsko-pomorskie_włocławski</v>
      </c>
      <c r="D301" t="s">
        <v>2664</v>
      </c>
      <c r="E301" t="str">
        <f t="shared" si="9"/>
        <v>kujawsko-pomorskie_włocławski_Fabianki</v>
      </c>
      <c r="F301" t="s">
        <v>293</v>
      </c>
    </row>
    <row r="302" spans="1:6" x14ac:dyDescent="0.3">
      <c r="A302" t="s">
        <v>5382</v>
      </c>
      <c r="B302" t="s">
        <v>4846</v>
      </c>
      <c r="C302" t="str">
        <f t="shared" si="8"/>
        <v>kujawsko-pomorskie_włocławski</v>
      </c>
      <c r="D302" t="s">
        <v>2665</v>
      </c>
      <c r="E302" t="str">
        <f t="shared" si="9"/>
        <v>kujawsko-pomorskie_włocławski_Izbica Kujawska</v>
      </c>
      <c r="F302" t="s">
        <v>294</v>
      </c>
    </row>
    <row r="303" spans="1:6" x14ac:dyDescent="0.3">
      <c r="A303" t="s">
        <v>5382</v>
      </c>
      <c r="B303" t="s">
        <v>4846</v>
      </c>
      <c r="C303" t="str">
        <f t="shared" si="8"/>
        <v>kujawsko-pomorskie_włocławski</v>
      </c>
      <c r="D303" t="s">
        <v>2666</v>
      </c>
      <c r="E303" t="str">
        <f t="shared" si="9"/>
        <v>kujawsko-pomorskie_włocławski_Lubanie</v>
      </c>
      <c r="F303" t="s">
        <v>296</v>
      </c>
    </row>
    <row r="304" spans="1:6" x14ac:dyDescent="0.3">
      <c r="A304" t="s">
        <v>5382</v>
      </c>
      <c r="B304" t="s">
        <v>4846</v>
      </c>
      <c r="C304" t="str">
        <f t="shared" si="8"/>
        <v>kujawsko-pomorskie_włocławski</v>
      </c>
      <c r="D304" t="s">
        <v>2667</v>
      </c>
      <c r="E304" t="str">
        <f t="shared" si="9"/>
        <v>kujawsko-pomorskie_włocławski_Lubień Kujawski</v>
      </c>
      <c r="F304" t="s">
        <v>297</v>
      </c>
    </row>
    <row r="305" spans="1:6" x14ac:dyDescent="0.3">
      <c r="A305" t="s">
        <v>5382</v>
      </c>
      <c r="B305" t="s">
        <v>4846</v>
      </c>
      <c r="C305" t="str">
        <f t="shared" si="8"/>
        <v>kujawsko-pomorskie_włocławski</v>
      </c>
      <c r="D305" t="s">
        <v>2668</v>
      </c>
      <c r="E305" t="str">
        <f t="shared" si="9"/>
        <v>kujawsko-pomorskie_włocławski_Lubraniec</v>
      </c>
      <c r="F305" t="s">
        <v>298</v>
      </c>
    </row>
    <row r="306" spans="1:6" x14ac:dyDescent="0.3">
      <c r="A306" t="s">
        <v>5382</v>
      </c>
      <c r="B306" t="s">
        <v>4846</v>
      </c>
      <c r="C306" t="str">
        <f t="shared" si="8"/>
        <v>kujawsko-pomorskie_włocławski</v>
      </c>
      <c r="D306" t="s">
        <v>2669</v>
      </c>
      <c r="E306" t="str">
        <f t="shared" si="9"/>
        <v>kujawsko-pomorskie_włocławski_Włocławek</v>
      </c>
      <c r="F306" t="s">
        <v>299</v>
      </c>
    </row>
    <row r="307" spans="1:6" x14ac:dyDescent="0.3">
      <c r="A307" t="s">
        <v>5382</v>
      </c>
      <c r="B307" t="s">
        <v>4846</v>
      </c>
      <c r="C307" t="str">
        <f t="shared" si="8"/>
        <v>kujawsko-pomorskie_włocławski</v>
      </c>
      <c r="D307" t="s">
        <v>4554</v>
      </c>
      <c r="E307" t="str">
        <f t="shared" si="9"/>
        <v>kujawsko-pomorskie_włocławski_Kowal (gm. miejska)</v>
      </c>
      <c r="F307" t="s">
        <v>287</v>
      </c>
    </row>
    <row r="308" spans="1:6" x14ac:dyDescent="0.3">
      <c r="A308" t="s">
        <v>5382</v>
      </c>
      <c r="B308" t="s">
        <v>4846</v>
      </c>
      <c r="C308" t="str">
        <f t="shared" si="8"/>
        <v>kujawsko-pomorskie_włocławski</v>
      </c>
      <c r="D308" t="s">
        <v>4555</v>
      </c>
      <c r="E308" t="str">
        <f t="shared" si="9"/>
        <v>kujawsko-pomorskie_włocławski_Kowal (gm. wiejska)</v>
      </c>
      <c r="F308" t="s">
        <v>295</v>
      </c>
    </row>
    <row r="309" spans="1:6" x14ac:dyDescent="0.3">
      <c r="A309" t="s">
        <v>5382</v>
      </c>
      <c r="B309" t="s">
        <v>4847</v>
      </c>
      <c r="C309" t="str">
        <f t="shared" si="8"/>
        <v>kujawsko-pomorskie_żniński</v>
      </c>
      <c r="D309" t="s">
        <v>2670</v>
      </c>
      <c r="E309" t="str">
        <f t="shared" si="9"/>
        <v>kujawsko-pomorskie_żniński_Barcin</v>
      </c>
      <c r="F309" t="s">
        <v>300</v>
      </c>
    </row>
    <row r="310" spans="1:6" x14ac:dyDescent="0.3">
      <c r="A310" t="s">
        <v>5382</v>
      </c>
      <c r="B310" t="s">
        <v>4847</v>
      </c>
      <c r="C310" t="str">
        <f t="shared" si="8"/>
        <v>kujawsko-pomorskie_żniński</v>
      </c>
      <c r="D310" t="s">
        <v>2671</v>
      </c>
      <c r="E310" t="str">
        <f t="shared" si="9"/>
        <v>kujawsko-pomorskie_żniński_Gąsawa</v>
      </c>
      <c r="F310" t="s">
        <v>5483</v>
      </c>
    </row>
    <row r="311" spans="1:6" x14ac:dyDescent="0.3">
      <c r="A311" t="s">
        <v>5382</v>
      </c>
      <c r="B311" t="s">
        <v>4847</v>
      </c>
      <c r="C311" t="str">
        <f t="shared" si="8"/>
        <v>kujawsko-pomorskie_żniński</v>
      </c>
      <c r="D311" t="s">
        <v>2672</v>
      </c>
      <c r="E311" t="str">
        <f t="shared" si="9"/>
        <v>kujawsko-pomorskie_żniński_Janowiec Wielkopolski</v>
      </c>
      <c r="F311" t="s">
        <v>302</v>
      </c>
    </row>
    <row r="312" spans="1:6" x14ac:dyDescent="0.3">
      <c r="A312" t="s">
        <v>5382</v>
      </c>
      <c r="B312" t="s">
        <v>4847</v>
      </c>
      <c r="C312" t="str">
        <f t="shared" si="8"/>
        <v>kujawsko-pomorskie_żniński</v>
      </c>
      <c r="D312" t="s">
        <v>2673</v>
      </c>
      <c r="E312" t="str">
        <f t="shared" si="9"/>
        <v>kujawsko-pomorskie_żniński_Łabiszyn</v>
      </c>
      <c r="F312" t="s">
        <v>303</v>
      </c>
    </row>
    <row r="313" spans="1:6" x14ac:dyDescent="0.3">
      <c r="A313" t="s">
        <v>5382</v>
      </c>
      <c r="B313" t="s">
        <v>4847</v>
      </c>
      <c r="C313" t="str">
        <f t="shared" si="8"/>
        <v>kujawsko-pomorskie_żniński</v>
      </c>
      <c r="D313" t="s">
        <v>2625</v>
      </c>
      <c r="E313" t="str">
        <f t="shared" si="9"/>
        <v>kujawsko-pomorskie_żniński_Rogowo</v>
      </c>
      <c r="F313" t="s">
        <v>304</v>
      </c>
    </row>
    <row r="314" spans="1:6" x14ac:dyDescent="0.3">
      <c r="A314" t="s">
        <v>5382</v>
      </c>
      <c r="B314" t="s">
        <v>4847</v>
      </c>
      <c r="C314" t="str">
        <f t="shared" si="8"/>
        <v>kujawsko-pomorskie_żniński</v>
      </c>
      <c r="D314" t="s">
        <v>2674</v>
      </c>
      <c r="E314" t="str">
        <f t="shared" si="9"/>
        <v>kujawsko-pomorskie_żniński_Żnin</v>
      </c>
      <c r="F314" t="s">
        <v>305</v>
      </c>
    </row>
    <row r="315" spans="1:6" x14ac:dyDescent="0.3">
      <c r="A315" t="s">
        <v>5379</v>
      </c>
      <c r="B315" t="s">
        <v>4848</v>
      </c>
      <c r="C315" t="str">
        <f t="shared" si="8"/>
        <v>lubelskie_bialski</v>
      </c>
      <c r="D315" t="s">
        <v>2677</v>
      </c>
      <c r="E315" t="str">
        <f t="shared" si="9"/>
        <v>lubelskie_bialski_Biała Podlaska</v>
      </c>
      <c r="F315" t="s">
        <v>312</v>
      </c>
    </row>
    <row r="316" spans="1:6" x14ac:dyDescent="0.3">
      <c r="A316" t="s">
        <v>5379</v>
      </c>
      <c r="B316" t="s">
        <v>4848</v>
      </c>
      <c r="C316" t="str">
        <f t="shared" si="8"/>
        <v>lubelskie_bialski</v>
      </c>
      <c r="D316" t="s">
        <v>2678</v>
      </c>
      <c r="E316" t="str">
        <f t="shared" si="9"/>
        <v>lubelskie_bialski_Drelów</v>
      </c>
      <c r="F316" t="s">
        <v>313</v>
      </c>
    </row>
    <row r="317" spans="1:6" x14ac:dyDescent="0.3">
      <c r="A317" t="s">
        <v>5379</v>
      </c>
      <c r="B317" t="s">
        <v>4848</v>
      </c>
      <c r="C317" t="str">
        <f t="shared" si="8"/>
        <v>lubelskie_bialski</v>
      </c>
      <c r="D317" t="s">
        <v>2679</v>
      </c>
      <c r="E317" t="str">
        <f t="shared" si="9"/>
        <v>lubelskie_bialski_Janów Podlaski</v>
      </c>
      <c r="F317" t="s">
        <v>314</v>
      </c>
    </row>
    <row r="318" spans="1:6" x14ac:dyDescent="0.3">
      <c r="A318" t="s">
        <v>5379</v>
      </c>
      <c r="B318" t="s">
        <v>4848</v>
      </c>
      <c r="C318" t="str">
        <f t="shared" si="8"/>
        <v>lubelskie_bialski</v>
      </c>
      <c r="D318" t="s">
        <v>2680</v>
      </c>
      <c r="E318" t="str">
        <f t="shared" si="9"/>
        <v>lubelskie_bialski_Kodeń</v>
      </c>
      <c r="F318" t="s">
        <v>315</v>
      </c>
    </row>
    <row r="319" spans="1:6" x14ac:dyDescent="0.3">
      <c r="A319" t="s">
        <v>5379</v>
      </c>
      <c r="B319" t="s">
        <v>4848</v>
      </c>
      <c r="C319" t="str">
        <f t="shared" si="8"/>
        <v>lubelskie_bialski</v>
      </c>
      <c r="D319" t="s">
        <v>2681</v>
      </c>
      <c r="E319" t="str">
        <f t="shared" si="9"/>
        <v>lubelskie_bialski_Konstantynów</v>
      </c>
      <c r="F319" t="s">
        <v>316</v>
      </c>
    </row>
    <row r="320" spans="1:6" x14ac:dyDescent="0.3">
      <c r="A320" t="s">
        <v>5379</v>
      </c>
      <c r="B320" t="s">
        <v>4848</v>
      </c>
      <c r="C320" t="str">
        <f t="shared" si="8"/>
        <v>lubelskie_bialski</v>
      </c>
      <c r="D320" t="s">
        <v>2682</v>
      </c>
      <c r="E320" t="str">
        <f t="shared" si="9"/>
        <v>lubelskie_bialski_Leśna Podlaska</v>
      </c>
      <c r="F320" t="s">
        <v>317</v>
      </c>
    </row>
    <row r="321" spans="1:6" x14ac:dyDescent="0.3">
      <c r="A321" t="s">
        <v>5379</v>
      </c>
      <c r="B321" t="s">
        <v>4848</v>
      </c>
      <c r="C321" t="str">
        <f t="shared" ref="C321:C384" si="10">CONCATENATE(A321,"_",B321)</f>
        <v>lubelskie_bialski</v>
      </c>
      <c r="D321" t="s">
        <v>2683</v>
      </c>
      <c r="E321" t="str">
        <f t="shared" ref="E321:E384" si="11">C321&amp;"_"&amp;D321</f>
        <v>lubelskie_bialski_Łomazy</v>
      </c>
      <c r="F321" t="s">
        <v>318</v>
      </c>
    </row>
    <row r="322" spans="1:6" x14ac:dyDescent="0.3">
      <c r="A322" t="s">
        <v>5379</v>
      </c>
      <c r="B322" t="s">
        <v>4848</v>
      </c>
      <c r="C322" t="str">
        <f t="shared" si="10"/>
        <v>lubelskie_bialski</v>
      </c>
      <c r="D322" t="s">
        <v>2684</v>
      </c>
      <c r="E322" t="str">
        <f t="shared" si="11"/>
        <v>lubelskie_bialski_Piszczac</v>
      </c>
      <c r="F322" t="s">
        <v>5485</v>
      </c>
    </row>
    <row r="323" spans="1:6" x14ac:dyDescent="0.3">
      <c r="A323" t="s">
        <v>5379</v>
      </c>
      <c r="B323" t="s">
        <v>4848</v>
      </c>
      <c r="C323" t="str">
        <f t="shared" si="10"/>
        <v>lubelskie_bialski</v>
      </c>
      <c r="D323" t="s">
        <v>2685</v>
      </c>
      <c r="E323" t="str">
        <f t="shared" si="11"/>
        <v>lubelskie_bialski_Rokitno</v>
      </c>
      <c r="F323" t="s">
        <v>321</v>
      </c>
    </row>
    <row r="324" spans="1:6" x14ac:dyDescent="0.3">
      <c r="A324" t="s">
        <v>5379</v>
      </c>
      <c r="B324" t="s">
        <v>4848</v>
      </c>
      <c r="C324" t="str">
        <f t="shared" si="10"/>
        <v>lubelskie_bialski</v>
      </c>
      <c r="D324" t="s">
        <v>2686</v>
      </c>
      <c r="E324" t="str">
        <f t="shared" si="11"/>
        <v>lubelskie_bialski_Rossosz</v>
      </c>
      <c r="F324" t="s">
        <v>322</v>
      </c>
    </row>
    <row r="325" spans="1:6" x14ac:dyDescent="0.3">
      <c r="A325" t="s">
        <v>5379</v>
      </c>
      <c r="B325" t="s">
        <v>4848</v>
      </c>
      <c r="C325" t="str">
        <f t="shared" si="10"/>
        <v>lubelskie_bialski</v>
      </c>
      <c r="D325" t="s">
        <v>2687</v>
      </c>
      <c r="E325" t="str">
        <f t="shared" si="11"/>
        <v>lubelskie_bialski_Sławatycze</v>
      </c>
      <c r="F325" t="s">
        <v>323</v>
      </c>
    </row>
    <row r="326" spans="1:6" x14ac:dyDescent="0.3">
      <c r="A326" t="s">
        <v>5379</v>
      </c>
      <c r="B326" t="s">
        <v>4848</v>
      </c>
      <c r="C326" t="str">
        <f t="shared" si="10"/>
        <v>lubelskie_bialski</v>
      </c>
      <c r="D326" t="s">
        <v>2688</v>
      </c>
      <c r="E326" t="str">
        <f t="shared" si="11"/>
        <v>lubelskie_bialski_Sosnówka</v>
      </c>
      <c r="F326" t="s">
        <v>324</v>
      </c>
    </row>
    <row r="327" spans="1:6" x14ac:dyDescent="0.3">
      <c r="A327" t="s">
        <v>5379</v>
      </c>
      <c r="B327" t="s">
        <v>4848</v>
      </c>
      <c r="C327" t="str">
        <f t="shared" si="10"/>
        <v>lubelskie_bialski</v>
      </c>
      <c r="D327" t="s">
        <v>2689</v>
      </c>
      <c r="E327" t="str">
        <f t="shared" si="11"/>
        <v>lubelskie_bialski_Tuczna</v>
      </c>
      <c r="F327" t="s">
        <v>326</v>
      </c>
    </row>
    <row r="328" spans="1:6" x14ac:dyDescent="0.3">
      <c r="A328" t="s">
        <v>5379</v>
      </c>
      <c r="B328" t="s">
        <v>4848</v>
      </c>
      <c r="C328" t="str">
        <f t="shared" si="10"/>
        <v>lubelskie_bialski</v>
      </c>
      <c r="D328" t="s">
        <v>2690</v>
      </c>
      <c r="E328" t="str">
        <f t="shared" si="11"/>
        <v>lubelskie_bialski_Wisznice</v>
      </c>
      <c r="F328" t="s">
        <v>327</v>
      </c>
    </row>
    <row r="329" spans="1:6" x14ac:dyDescent="0.3">
      <c r="A329" t="s">
        <v>5379</v>
      </c>
      <c r="B329" t="s">
        <v>4848</v>
      </c>
      <c r="C329" t="str">
        <f t="shared" si="10"/>
        <v>lubelskie_bialski</v>
      </c>
      <c r="D329" t="s">
        <v>2691</v>
      </c>
      <c r="E329" t="str">
        <f t="shared" si="11"/>
        <v>lubelskie_bialski_Zalesie</v>
      </c>
      <c r="F329" t="s">
        <v>328</v>
      </c>
    </row>
    <row r="330" spans="1:6" x14ac:dyDescent="0.3">
      <c r="A330" t="s">
        <v>5379</v>
      </c>
      <c r="B330" t="s">
        <v>4848</v>
      </c>
      <c r="C330" t="str">
        <f t="shared" si="10"/>
        <v>lubelskie_bialski</v>
      </c>
      <c r="D330" t="s">
        <v>4556</v>
      </c>
      <c r="E330" t="str">
        <f t="shared" si="11"/>
        <v>lubelskie_bialski_Międzyrzec Podlaski (gm. miejska)</v>
      </c>
      <c r="F330" t="s">
        <v>310</v>
      </c>
    </row>
    <row r="331" spans="1:6" x14ac:dyDescent="0.3">
      <c r="A331" t="s">
        <v>5379</v>
      </c>
      <c r="B331" t="s">
        <v>4848</v>
      </c>
      <c r="C331" t="str">
        <f t="shared" si="10"/>
        <v>lubelskie_bialski</v>
      </c>
      <c r="D331" t="s">
        <v>4557</v>
      </c>
      <c r="E331" t="str">
        <f t="shared" si="11"/>
        <v>lubelskie_bialski_Terespol (gm. miejska)</v>
      </c>
      <c r="F331" t="s">
        <v>311</v>
      </c>
    </row>
    <row r="332" spans="1:6" x14ac:dyDescent="0.3">
      <c r="A332" t="s">
        <v>5379</v>
      </c>
      <c r="B332" t="s">
        <v>4848</v>
      </c>
      <c r="C332" t="str">
        <f t="shared" si="10"/>
        <v>lubelskie_bialski</v>
      </c>
      <c r="D332" t="s">
        <v>4558</v>
      </c>
      <c r="E332" t="str">
        <f t="shared" si="11"/>
        <v>lubelskie_bialski_Międzyrzec Podlaski (gm. wiejska)</v>
      </c>
      <c r="F332" t="s">
        <v>319</v>
      </c>
    </row>
    <row r="333" spans="1:6" x14ac:dyDescent="0.3">
      <c r="A333" t="s">
        <v>5379</v>
      </c>
      <c r="B333" t="s">
        <v>4848</v>
      </c>
      <c r="C333" t="str">
        <f t="shared" si="10"/>
        <v>lubelskie_bialski</v>
      </c>
      <c r="D333" t="s">
        <v>4559</v>
      </c>
      <c r="E333" t="str">
        <f t="shared" si="11"/>
        <v>lubelskie_bialski_Terespol (gm. wiejska)</v>
      </c>
      <c r="F333" t="s">
        <v>325</v>
      </c>
    </row>
    <row r="334" spans="1:6" x14ac:dyDescent="0.3">
      <c r="A334" t="s">
        <v>5379</v>
      </c>
      <c r="B334" t="s">
        <v>2677</v>
      </c>
      <c r="C334" t="str">
        <f t="shared" si="10"/>
        <v>lubelskie_Biała Podlaska</v>
      </c>
      <c r="D334" t="s">
        <v>2677</v>
      </c>
      <c r="E334" t="str">
        <f t="shared" si="11"/>
        <v>lubelskie_Biała Podlaska_Biała Podlaska</v>
      </c>
      <c r="F334" t="s">
        <v>510</v>
      </c>
    </row>
    <row r="335" spans="1:6" x14ac:dyDescent="0.3">
      <c r="A335" t="s">
        <v>5379</v>
      </c>
      <c r="B335" t="s">
        <v>4849</v>
      </c>
      <c r="C335" t="str">
        <f t="shared" si="10"/>
        <v>lubelskie_biłgorajski</v>
      </c>
      <c r="D335" t="s">
        <v>2692</v>
      </c>
      <c r="E335" t="str">
        <f t="shared" si="11"/>
        <v>lubelskie_biłgorajski_Aleksandrów</v>
      </c>
      <c r="F335" t="s">
        <v>330</v>
      </c>
    </row>
    <row r="336" spans="1:6" x14ac:dyDescent="0.3">
      <c r="A336" t="s">
        <v>5379</v>
      </c>
      <c r="B336" t="s">
        <v>4849</v>
      </c>
      <c r="C336" t="str">
        <f t="shared" si="10"/>
        <v>lubelskie_biłgorajski</v>
      </c>
      <c r="D336" t="s">
        <v>2693</v>
      </c>
      <c r="E336" t="str">
        <f t="shared" si="11"/>
        <v>lubelskie_biłgorajski_Biszcza</v>
      </c>
      <c r="F336" t="s">
        <v>332</v>
      </c>
    </row>
    <row r="337" spans="1:6" x14ac:dyDescent="0.3">
      <c r="A337" t="s">
        <v>5379</v>
      </c>
      <c r="B337" t="s">
        <v>4849</v>
      </c>
      <c r="C337" t="str">
        <f t="shared" si="10"/>
        <v>lubelskie_biłgorajski</v>
      </c>
      <c r="D337" t="s">
        <v>2694</v>
      </c>
      <c r="E337" t="str">
        <f t="shared" si="11"/>
        <v>lubelskie_biłgorajski_Frampol</v>
      </c>
      <c r="F337" t="s">
        <v>333</v>
      </c>
    </row>
    <row r="338" spans="1:6" x14ac:dyDescent="0.3">
      <c r="A338" t="s">
        <v>5379</v>
      </c>
      <c r="B338" t="s">
        <v>4849</v>
      </c>
      <c r="C338" t="str">
        <f t="shared" si="10"/>
        <v>lubelskie_biłgorajski</v>
      </c>
      <c r="D338" t="s">
        <v>2695</v>
      </c>
      <c r="E338" t="str">
        <f t="shared" si="11"/>
        <v>lubelskie_biłgorajski_Goraj</v>
      </c>
      <c r="F338" t="s">
        <v>5402</v>
      </c>
    </row>
    <row r="339" spans="1:6" x14ac:dyDescent="0.3">
      <c r="A339" t="s">
        <v>5379</v>
      </c>
      <c r="B339" t="s">
        <v>4849</v>
      </c>
      <c r="C339" t="str">
        <f t="shared" si="10"/>
        <v>lubelskie_biłgorajski</v>
      </c>
      <c r="D339" t="s">
        <v>2696</v>
      </c>
      <c r="E339" t="str">
        <f t="shared" si="11"/>
        <v>lubelskie_biłgorajski_Józefów</v>
      </c>
      <c r="F339" t="s">
        <v>334</v>
      </c>
    </row>
    <row r="340" spans="1:6" x14ac:dyDescent="0.3">
      <c r="A340" t="s">
        <v>5379</v>
      </c>
      <c r="B340" t="s">
        <v>4849</v>
      </c>
      <c r="C340" t="str">
        <f t="shared" si="10"/>
        <v>lubelskie_biłgorajski</v>
      </c>
      <c r="D340" t="s">
        <v>2697</v>
      </c>
      <c r="E340" t="str">
        <f t="shared" si="11"/>
        <v>lubelskie_biłgorajski_Księżpol</v>
      </c>
      <c r="F340" t="s">
        <v>335</v>
      </c>
    </row>
    <row r="341" spans="1:6" x14ac:dyDescent="0.3">
      <c r="A341" t="s">
        <v>5379</v>
      </c>
      <c r="B341" t="s">
        <v>4849</v>
      </c>
      <c r="C341" t="str">
        <f t="shared" si="10"/>
        <v>lubelskie_biłgorajski</v>
      </c>
      <c r="D341" t="s">
        <v>2698</v>
      </c>
      <c r="E341" t="str">
        <f t="shared" si="11"/>
        <v>lubelskie_biłgorajski_Łukowa</v>
      </c>
      <c r="F341" t="s">
        <v>336</v>
      </c>
    </row>
    <row r="342" spans="1:6" x14ac:dyDescent="0.3">
      <c r="A342" t="s">
        <v>5379</v>
      </c>
      <c r="B342" t="s">
        <v>4849</v>
      </c>
      <c r="C342" t="str">
        <f t="shared" si="10"/>
        <v>lubelskie_biłgorajski</v>
      </c>
      <c r="D342" t="s">
        <v>2699</v>
      </c>
      <c r="E342" t="str">
        <f t="shared" si="11"/>
        <v>lubelskie_biłgorajski_Obsza</v>
      </c>
      <c r="F342" t="s">
        <v>337</v>
      </c>
    </row>
    <row r="343" spans="1:6" x14ac:dyDescent="0.3">
      <c r="A343" t="s">
        <v>5379</v>
      </c>
      <c r="B343" t="s">
        <v>4849</v>
      </c>
      <c r="C343" t="str">
        <f t="shared" si="10"/>
        <v>lubelskie_biłgorajski</v>
      </c>
      <c r="D343" t="s">
        <v>2700</v>
      </c>
      <c r="E343" t="str">
        <f t="shared" si="11"/>
        <v>lubelskie_biłgorajski_Potok Górny</v>
      </c>
      <c r="F343" t="s">
        <v>338</v>
      </c>
    </row>
    <row r="344" spans="1:6" x14ac:dyDescent="0.3">
      <c r="A344" t="s">
        <v>5379</v>
      </c>
      <c r="B344" t="s">
        <v>4849</v>
      </c>
      <c r="C344" t="str">
        <f t="shared" si="10"/>
        <v>lubelskie_biłgorajski</v>
      </c>
      <c r="D344" t="s">
        <v>2701</v>
      </c>
      <c r="E344" t="str">
        <f t="shared" si="11"/>
        <v>lubelskie_biłgorajski_Tarnogród</v>
      </c>
      <c r="F344" t="s">
        <v>339</v>
      </c>
    </row>
    <row r="345" spans="1:6" x14ac:dyDescent="0.3">
      <c r="A345" t="s">
        <v>5379</v>
      </c>
      <c r="B345" t="s">
        <v>4849</v>
      </c>
      <c r="C345" t="str">
        <f t="shared" si="10"/>
        <v>lubelskie_biłgorajski</v>
      </c>
      <c r="D345" t="s">
        <v>2702</v>
      </c>
      <c r="E345" t="str">
        <f t="shared" si="11"/>
        <v>lubelskie_biłgorajski_Tereszpol</v>
      </c>
      <c r="F345" t="s">
        <v>340</v>
      </c>
    </row>
    <row r="346" spans="1:6" x14ac:dyDescent="0.3">
      <c r="A346" t="s">
        <v>5379</v>
      </c>
      <c r="B346" t="s">
        <v>4849</v>
      </c>
      <c r="C346" t="str">
        <f t="shared" si="10"/>
        <v>lubelskie_biłgorajski</v>
      </c>
      <c r="D346" t="s">
        <v>2703</v>
      </c>
      <c r="E346" t="str">
        <f t="shared" si="11"/>
        <v>lubelskie_biłgorajski_Turobin</v>
      </c>
      <c r="F346" t="s">
        <v>5486</v>
      </c>
    </row>
    <row r="347" spans="1:6" x14ac:dyDescent="0.3">
      <c r="A347" t="s">
        <v>5379</v>
      </c>
      <c r="B347" t="s">
        <v>4849</v>
      </c>
      <c r="C347" t="str">
        <f t="shared" si="10"/>
        <v>lubelskie_biłgorajski</v>
      </c>
      <c r="D347" t="s">
        <v>4560</v>
      </c>
      <c r="E347" t="str">
        <f t="shared" si="11"/>
        <v>lubelskie_biłgorajski_Biłgoraj (gm. miejska)</v>
      </c>
      <c r="F347" t="s">
        <v>329</v>
      </c>
    </row>
    <row r="348" spans="1:6" x14ac:dyDescent="0.3">
      <c r="A348" t="s">
        <v>5379</v>
      </c>
      <c r="B348" t="s">
        <v>4849</v>
      </c>
      <c r="C348" t="str">
        <f t="shared" si="10"/>
        <v>lubelskie_biłgorajski</v>
      </c>
      <c r="D348" t="s">
        <v>4561</v>
      </c>
      <c r="E348" t="str">
        <f t="shared" si="11"/>
        <v>lubelskie_biłgorajski_Biłgoraj (gm. wiejska)</v>
      </c>
      <c r="F348" t="s">
        <v>331</v>
      </c>
    </row>
    <row r="349" spans="1:6" x14ac:dyDescent="0.3">
      <c r="A349" t="s">
        <v>5379</v>
      </c>
      <c r="B349" t="s">
        <v>2705</v>
      </c>
      <c r="C349" t="str">
        <f t="shared" si="10"/>
        <v>lubelskie_Chełm</v>
      </c>
      <c r="D349" t="s">
        <v>2705</v>
      </c>
      <c r="E349" t="str">
        <f t="shared" si="11"/>
        <v>lubelskie_Chełm_Chełm</v>
      </c>
      <c r="F349" t="s">
        <v>511</v>
      </c>
    </row>
    <row r="350" spans="1:6" x14ac:dyDescent="0.3">
      <c r="A350" t="s">
        <v>5379</v>
      </c>
      <c r="B350" t="s">
        <v>4850</v>
      </c>
      <c r="C350" t="str">
        <f t="shared" si="10"/>
        <v>lubelskie_chełmski</v>
      </c>
      <c r="D350" t="s">
        <v>2704</v>
      </c>
      <c r="E350" t="str">
        <f t="shared" si="11"/>
        <v>lubelskie_chełmski_Białopole</v>
      </c>
      <c r="F350" t="s">
        <v>343</v>
      </c>
    </row>
    <row r="351" spans="1:6" x14ac:dyDescent="0.3">
      <c r="A351" t="s">
        <v>5379</v>
      </c>
      <c r="B351" t="s">
        <v>4850</v>
      </c>
      <c r="C351" t="str">
        <f t="shared" si="10"/>
        <v>lubelskie_chełmski</v>
      </c>
      <c r="D351" t="s">
        <v>2705</v>
      </c>
      <c r="E351" t="str">
        <f t="shared" si="11"/>
        <v>lubelskie_chełmski_Chełm</v>
      </c>
      <c r="F351" t="s">
        <v>344</v>
      </c>
    </row>
    <row r="352" spans="1:6" x14ac:dyDescent="0.3">
      <c r="A352" t="s">
        <v>5379</v>
      </c>
      <c r="B352" t="s">
        <v>4850</v>
      </c>
      <c r="C352" t="str">
        <f t="shared" si="10"/>
        <v>lubelskie_chełmski</v>
      </c>
      <c r="D352" t="s">
        <v>2706</v>
      </c>
      <c r="E352" t="str">
        <f t="shared" si="11"/>
        <v>lubelskie_chełmski_Dorohusk</v>
      </c>
      <c r="F352" t="s">
        <v>345</v>
      </c>
    </row>
    <row r="353" spans="1:6" x14ac:dyDescent="0.3">
      <c r="A353" t="s">
        <v>5379</v>
      </c>
      <c r="B353" t="s">
        <v>4850</v>
      </c>
      <c r="C353" t="str">
        <f t="shared" si="10"/>
        <v>lubelskie_chełmski</v>
      </c>
      <c r="D353" t="s">
        <v>2707</v>
      </c>
      <c r="E353" t="str">
        <f t="shared" si="11"/>
        <v>lubelskie_chełmski_Dubienka</v>
      </c>
      <c r="F353" t="s">
        <v>346</v>
      </c>
    </row>
    <row r="354" spans="1:6" x14ac:dyDescent="0.3">
      <c r="A354" t="s">
        <v>5379</v>
      </c>
      <c r="B354" t="s">
        <v>4850</v>
      </c>
      <c r="C354" t="str">
        <f t="shared" si="10"/>
        <v>lubelskie_chełmski</v>
      </c>
      <c r="D354" t="s">
        <v>2708</v>
      </c>
      <c r="E354" t="str">
        <f t="shared" si="11"/>
        <v>lubelskie_chełmski_Kamień</v>
      </c>
      <c r="F354" t="s">
        <v>347</v>
      </c>
    </row>
    <row r="355" spans="1:6" x14ac:dyDescent="0.3">
      <c r="A355" t="s">
        <v>5379</v>
      </c>
      <c r="B355" t="s">
        <v>4850</v>
      </c>
      <c r="C355" t="str">
        <f t="shared" si="10"/>
        <v>lubelskie_chełmski</v>
      </c>
      <c r="D355" t="s">
        <v>2709</v>
      </c>
      <c r="E355" t="str">
        <f t="shared" si="11"/>
        <v>lubelskie_chełmski_Leśniowice</v>
      </c>
      <c r="F355" t="s">
        <v>348</v>
      </c>
    </row>
    <row r="356" spans="1:6" x14ac:dyDescent="0.3">
      <c r="A356" t="s">
        <v>5379</v>
      </c>
      <c r="B356" t="s">
        <v>4850</v>
      </c>
      <c r="C356" t="str">
        <f t="shared" si="10"/>
        <v>lubelskie_chełmski</v>
      </c>
      <c r="D356" t="s">
        <v>2716</v>
      </c>
      <c r="E356" t="str">
        <f t="shared" si="11"/>
        <v>lubelskie_chełmski_Rejowiec</v>
      </c>
      <c r="F356" t="s">
        <v>5431</v>
      </c>
    </row>
    <row r="357" spans="1:6" x14ac:dyDescent="0.3">
      <c r="A357" t="s">
        <v>5379</v>
      </c>
      <c r="B357" t="s">
        <v>4850</v>
      </c>
      <c r="C357" t="str">
        <f t="shared" si="10"/>
        <v>lubelskie_chełmski</v>
      </c>
      <c r="D357" t="s">
        <v>2710</v>
      </c>
      <c r="E357" t="str">
        <f t="shared" si="11"/>
        <v>lubelskie_chełmski_Ruda-Huta</v>
      </c>
      <c r="F357" t="s">
        <v>350</v>
      </c>
    </row>
    <row r="358" spans="1:6" x14ac:dyDescent="0.3">
      <c r="A358" t="s">
        <v>5379</v>
      </c>
      <c r="B358" t="s">
        <v>4850</v>
      </c>
      <c r="C358" t="str">
        <f t="shared" si="10"/>
        <v>lubelskie_chełmski</v>
      </c>
      <c r="D358" t="s">
        <v>2711</v>
      </c>
      <c r="E358" t="str">
        <f t="shared" si="11"/>
        <v>lubelskie_chełmski_Sawin</v>
      </c>
      <c r="F358" t="s">
        <v>351</v>
      </c>
    </row>
    <row r="359" spans="1:6" x14ac:dyDescent="0.3">
      <c r="A359" t="s">
        <v>5379</v>
      </c>
      <c r="B359" t="s">
        <v>4850</v>
      </c>
      <c r="C359" t="str">
        <f t="shared" si="10"/>
        <v>lubelskie_chełmski</v>
      </c>
      <c r="D359" t="s">
        <v>2712</v>
      </c>
      <c r="E359" t="str">
        <f t="shared" si="11"/>
        <v>lubelskie_chełmski_Siedliszcze</v>
      </c>
      <c r="F359" t="s">
        <v>5434</v>
      </c>
    </row>
    <row r="360" spans="1:6" x14ac:dyDescent="0.3">
      <c r="A360" t="s">
        <v>5379</v>
      </c>
      <c r="B360" t="s">
        <v>4850</v>
      </c>
      <c r="C360" t="str">
        <f t="shared" si="10"/>
        <v>lubelskie_chełmski</v>
      </c>
      <c r="D360" t="s">
        <v>2713</v>
      </c>
      <c r="E360" t="str">
        <f t="shared" si="11"/>
        <v>lubelskie_chełmski_Wierzbica</v>
      </c>
      <c r="F360" t="s">
        <v>352</v>
      </c>
    </row>
    <row r="361" spans="1:6" x14ac:dyDescent="0.3">
      <c r="A361" t="s">
        <v>5379</v>
      </c>
      <c r="B361" t="s">
        <v>4850</v>
      </c>
      <c r="C361" t="str">
        <f t="shared" si="10"/>
        <v>lubelskie_chełmski</v>
      </c>
      <c r="D361" t="s">
        <v>2714</v>
      </c>
      <c r="E361" t="str">
        <f t="shared" si="11"/>
        <v>lubelskie_chełmski_Wojsławice</v>
      </c>
      <c r="F361" t="s">
        <v>353</v>
      </c>
    </row>
    <row r="362" spans="1:6" x14ac:dyDescent="0.3">
      <c r="A362" t="s">
        <v>5379</v>
      </c>
      <c r="B362" t="s">
        <v>4850</v>
      </c>
      <c r="C362" t="str">
        <f t="shared" si="10"/>
        <v>lubelskie_chełmski</v>
      </c>
      <c r="D362" t="s">
        <v>2715</v>
      </c>
      <c r="E362" t="str">
        <f t="shared" si="11"/>
        <v>lubelskie_chełmski_Żmudź</v>
      </c>
      <c r="F362" t="s">
        <v>354</v>
      </c>
    </row>
    <row r="363" spans="1:6" x14ac:dyDescent="0.3">
      <c r="A363" t="s">
        <v>5379</v>
      </c>
      <c r="B363" t="s">
        <v>4850</v>
      </c>
      <c r="C363" t="str">
        <f t="shared" si="10"/>
        <v>lubelskie_chełmski</v>
      </c>
      <c r="D363" t="s">
        <v>4562</v>
      </c>
      <c r="E363" t="str">
        <f t="shared" si="11"/>
        <v>lubelskie_chełmski_Rejowiec Fabryczny (gm. miejska)</v>
      </c>
      <c r="F363" t="s">
        <v>342</v>
      </c>
    </row>
    <row r="364" spans="1:6" x14ac:dyDescent="0.3">
      <c r="A364" t="s">
        <v>5379</v>
      </c>
      <c r="B364" t="s">
        <v>4850</v>
      </c>
      <c r="C364" t="str">
        <f t="shared" si="10"/>
        <v>lubelskie_chełmski</v>
      </c>
      <c r="D364" t="s">
        <v>4563</v>
      </c>
      <c r="E364" t="str">
        <f t="shared" si="11"/>
        <v>lubelskie_chełmski_Rejowiec Fabryczny (gm. wiejska)</v>
      </c>
      <c r="F364" t="s">
        <v>349</v>
      </c>
    </row>
    <row r="365" spans="1:6" x14ac:dyDescent="0.3">
      <c r="A365" t="s">
        <v>5379</v>
      </c>
      <c r="B365" t="s">
        <v>4851</v>
      </c>
      <c r="C365" t="str">
        <f t="shared" si="10"/>
        <v>lubelskie_hrubieszowski</v>
      </c>
      <c r="D365" t="s">
        <v>2717</v>
      </c>
      <c r="E365" t="str">
        <f t="shared" si="11"/>
        <v>lubelskie_hrubieszowski_Dołhobyczów</v>
      </c>
      <c r="F365" t="s">
        <v>356</v>
      </c>
    </row>
    <row r="366" spans="1:6" x14ac:dyDescent="0.3">
      <c r="A366" t="s">
        <v>5379</v>
      </c>
      <c r="B366" t="s">
        <v>4851</v>
      </c>
      <c r="C366" t="str">
        <f t="shared" si="10"/>
        <v>lubelskie_hrubieszowski</v>
      </c>
      <c r="D366" t="s">
        <v>2718</v>
      </c>
      <c r="E366" t="str">
        <f t="shared" si="11"/>
        <v>lubelskie_hrubieszowski_Horodło</v>
      </c>
      <c r="F366" t="s">
        <v>357</v>
      </c>
    </row>
    <row r="367" spans="1:6" x14ac:dyDescent="0.3">
      <c r="A367" t="s">
        <v>5379</v>
      </c>
      <c r="B367" t="s">
        <v>4851</v>
      </c>
      <c r="C367" t="str">
        <f t="shared" si="10"/>
        <v>lubelskie_hrubieszowski</v>
      </c>
      <c r="D367" t="s">
        <v>2719</v>
      </c>
      <c r="E367" t="str">
        <f t="shared" si="11"/>
        <v>lubelskie_hrubieszowski_Mircze</v>
      </c>
      <c r="F367" t="s">
        <v>359</v>
      </c>
    </row>
    <row r="368" spans="1:6" x14ac:dyDescent="0.3">
      <c r="A368" t="s">
        <v>5379</v>
      </c>
      <c r="B368" t="s">
        <v>4851</v>
      </c>
      <c r="C368" t="str">
        <f t="shared" si="10"/>
        <v>lubelskie_hrubieszowski</v>
      </c>
      <c r="D368" t="s">
        <v>2720</v>
      </c>
      <c r="E368" t="str">
        <f t="shared" si="11"/>
        <v>lubelskie_hrubieszowski_Trzeszczany</v>
      </c>
      <c r="F368" t="s">
        <v>360</v>
      </c>
    </row>
    <row r="369" spans="1:6" x14ac:dyDescent="0.3">
      <c r="A369" t="s">
        <v>5379</v>
      </c>
      <c r="B369" t="s">
        <v>4851</v>
      </c>
      <c r="C369" t="str">
        <f t="shared" si="10"/>
        <v>lubelskie_hrubieszowski</v>
      </c>
      <c r="D369" t="s">
        <v>2721</v>
      </c>
      <c r="E369" t="str">
        <f t="shared" si="11"/>
        <v>lubelskie_hrubieszowski_Uchanie</v>
      </c>
      <c r="F369" t="s">
        <v>361</v>
      </c>
    </row>
    <row r="370" spans="1:6" x14ac:dyDescent="0.3">
      <c r="A370" t="s">
        <v>5379</v>
      </c>
      <c r="B370" t="s">
        <v>4851</v>
      </c>
      <c r="C370" t="str">
        <f t="shared" si="10"/>
        <v>lubelskie_hrubieszowski</v>
      </c>
      <c r="D370" t="s">
        <v>2722</v>
      </c>
      <c r="E370" t="str">
        <f t="shared" si="11"/>
        <v>lubelskie_hrubieszowski_Werbkowice</v>
      </c>
      <c r="F370" t="s">
        <v>362</v>
      </c>
    </row>
    <row r="371" spans="1:6" x14ac:dyDescent="0.3">
      <c r="A371" t="s">
        <v>5379</v>
      </c>
      <c r="B371" t="s">
        <v>4851</v>
      </c>
      <c r="C371" t="str">
        <f t="shared" si="10"/>
        <v>lubelskie_hrubieszowski</v>
      </c>
      <c r="D371" t="s">
        <v>4564</v>
      </c>
      <c r="E371" t="str">
        <f t="shared" si="11"/>
        <v>lubelskie_hrubieszowski_Hrubieszów (gm. miejska)</v>
      </c>
      <c r="F371" t="s">
        <v>355</v>
      </c>
    </row>
    <row r="372" spans="1:6" x14ac:dyDescent="0.3">
      <c r="A372" t="s">
        <v>5379</v>
      </c>
      <c r="B372" t="s">
        <v>4851</v>
      </c>
      <c r="C372" t="str">
        <f t="shared" si="10"/>
        <v>lubelskie_hrubieszowski</v>
      </c>
      <c r="D372" t="s">
        <v>4565</v>
      </c>
      <c r="E372" t="str">
        <f t="shared" si="11"/>
        <v>lubelskie_hrubieszowski_Hrubieszów (gm. wiejska)</v>
      </c>
      <c r="F372" t="s">
        <v>358</v>
      </c>
    </row>
    <row r="373" spans="1:6" x14ac:dyDescent="0.3">
      <c r="A373" t="s">
        <v>5379</v>
      </c>
      <c r="B373" t="s">
        <v>4852</v>
      </c>
      <c r="C373" t="str">
        <f t="shared" si="10"/>
        <v>lubelskie_janowski</v>
      </c>
      <c r="D373" t="s">
        <v>2723</v>
      </c>
      <c r="E373" t="str">
        <f t="shared" si="11"/>
        <v>lubelskie_janowski_Batorz</v>
      </c>
      <c r="F373" t="s">
        <v>363</v>
      </c>
    </row>
    <row r="374" spans="1:6" x14ac:dyDescent="0.3">
      <c r="A374" t="s">
        <v>5379</v>
      </c>
      <c r="B374" t="s">
        <v>4852</v>
      </c>
      <c r="C374" t="str">
        <f t="shared" si="10"/>
        <v>lubelskie_janowski</v>
      </c>
      <c r="D374" t="s">
        <v>2724</v>
      </c>
      <c r="E374" t="str">
        <f t="shared" si="11"/>
        <v>lubelskie_janowski_Chrzanów</v>
      </c>
      <c r="F374" t="s">
        <v>364</v>
      </c>
    </row>
    <row r="375" spans="1:6" x14ac:dyDescent="0.3">
      <c r="A375" t="s">
        <v>5379</v>
      </c>
      <c r="B375" t="s">
        <v>4852</v>
      </c>
      <c r="C375" t="str">
        <f t="shared" si="10"/>
        <v>lubelskie_janowski</v>
      </c>
      <c r="D375" t="s">
        <v>2725</v>
      </c>
      <c r="E375" t="str">
        <f t="shared" si="11"/>
        <v>lubelskie_janowski_Dzwola</v>
      </c>
      <c r="F375" t="s">
        <v>365</v>
      </c>
    </row>
    <row r="376" spans="1:6" x14ac:dyDescent="0.3">
      <c r="A376" t="s">
        <v>5379</v>
      </c>
      <c r="B376" t="s">
        <v>4852</v>
      </c>
      <c r="C376" t="str">
        <f t="shared" si="10"/>
        <v>lubelskie_janowski</v>
      </c>
      <c r="D376" t="s">
        <v>2726</v>
      </c>
      <c r="E376" t="str">
        <f t="shared" si="11"/>
        <v>lubelskie_janowski_Godziszów</v>
      </c>
      <c r="F376" t="s">
        <v>366</v>
      </c>
    </row>
    <row r="377" spans="1:6" x14ac:dyDescent="0.3">
      <c r="A377" t="s">
        <v>5379</v>
      </c>
      <c r="B377" t="s">
        <v>4852</v>
      </c>
      <c r="C377" t="str">
        <f t="shared" si="10"/>
        <v>lubelskie_janowski</v>
      </c>
      <c r="D377" t="s">
        <v>2727</v>
      </c>
      <c r="E377" t="str">
        <f t="shared" si="11"/>
        <v>lubelskie_janowski_Janów Lubelski</v>
      </c>
      <c r="F377" t="s">
        <v>367</v>
      </c>
    </row>
    <row r="378" spans="1:6" x14ac:dyDescent="0.3">
      <c r="A378" t="s">
        <v>5379</v>
      </c>
      <c r="B378" t="s">
        <v>4852</v>
      </c>
      <c r="C378" t="str">
        <f t="shared" si="10"/>
        <v>lubelskie_janowski</v>
      </c>
      <c r="D378" t="s">
        <v>2728</v>
      </c>
      <c r="E378" t="str">
        <f t="shared" si="11"/>
        <v>lubelskie_janowski_Modliborzyce</v>
      </c>
      <c r="F378" t="s">
        <v>5162</v>
      </c>
    </row>
    <row r="379" spans="1:6" x14ac:dyDescent="0.3">
      <c r="A379" t="s">
        <v>5379</v>
      </c>
      <c r="B379" t="s">
        <v>4852</v>
      </c>
      <c r="C379" t="str">
        <f t="shared" si="10"/>
        <v>lubelskie_janowski</v>
      </c>
      <c r="D379" t="s">
        <v>2729</v>
      </c>
      <c r="E379" t="str">
        <f t="shared" si="11"/>
        <v>lubelskie_janowski_Potok Wielki</v>
      </c>
      <c r="F379" t="s">
        <v>368</v>
      </c>
    </row>
    <row r="380" spans="1:6" x14ac:dyDescent="0.3">
      <c r="A380" t="s">
        <v>5379</v>
      </c>
      <c r="B380" t="s">
        <v>4853</v>
      </c>
      <c r="C380" t="str">
        <f t="shared" si="10"/>
        <v>lubelskie_krasnostawski</v>
      </c>
      <c r="D380" t="s">
        <v>2730</v>
      </c>
      <c r="E380" t="str">
        <f t="shared" si="11"/>
        <v>lubelskie_krasnostawski_Fajsławice</v>
      </c>
      <c r="F380" t="s">
        <v>370</v>
      </c>
    </row>
    <row r="381" spans="1:6" x14ac:dyDescent="0.3">
      <c r="A381" t="s">
        <v>5379</v>
      </c>
      <c r="B381" t="s">
        <v>4853</v>
      </c>
      <c r="C381" t="str">
        <f t="shared" si="10"/>
        <v>lubelskie_krasnostawski</v>
      </c>
      <c r="D381" t="s">
        <v>2731</v>
      </c>
      <c r="E381" t="str">
        <f t="shared" si="11"/>
        <v>lubelskie_krasnostawski_Gorzków</v>
      </c>
      <c r="F381" t="s">
        <v>371</v>
      </c>
    </row>
    <row r="382" spans="1:6" x14ac:dyDescent="0.3">
      <c r="A382" t="s">
        <v>5379</v>
      </c>
      <c r="B382" t="s">
        <v>4853</v>
      </c>
      <c r="C382" t="str">
        <f t="shared" si="10"/>
        <v>lubelskie_krasnostawski</v>
      </c>
      <c r="D382" t="s">
        <v>2732</v>
      </c>
      <c r="E382" t="str">
        <f t="shared" si="11"/>
        <v>lubelskie_krasnostawski_Izbica</v>
      </c>
      <c r="F382" s="181" t="s">
        <v>5468</v>
      </c>
    </row>
    <row r="383" spans="1:6" x14ac:dyDescent="0.3">
      <c r="A383" t="s">
        <v>5379</v>
      </c>
      <c r="B383" t="s">
        <v>4853</v>
      </c>
      <c r="C383" t="str">
        <f t="shared" si="10"/>
        <v>lubelskie_krasnostawski</v>
      </c>
      <c r="D383" t="s">
        <v>2733</v>
      </c>
      <c r="E383" t="str">
        <f t="shared" si="11"/>
        <v>lubelskie_krasnostawski_Kraśniczyn</v>
      </c>
      <c r="F383" t="s">
        <v>374</v>
      </c>
    </row>
    <row r="384" spans="1:6" x14ac:dyDescent="0.3">
      <c r="A384" t="s">
        <v>5379</v>
      </c>
      <c r="B384" t="s">
        <v>4853</v>
      </c>
      <c r="C384" t="str">
        <f t="shared" si="10"/>
        <v>lubelskie_krasnostawski</v>
      </c>
      <c r="D384" t="s">
        <v>2734</v>
      </c>
      <c r="E384" t="str">
        <f t="shared" si="11"/>
        <v>lubelskie_krasnostawski_Łopiennik Górny</v>
      </c>
      <c r="F384" t="s">
        <v>375</v>
      </c>
    </row>
    <row r="385" spans="1:6" x14ac:dyDescent="0.3">
      <c r="A385" t="s">
        <v>5379</v>
      </c>
      <c r="B385" t="s">
        <v>4853</v>
      </c>
      <c r="C385" t="str">
        <f t="shared" ref="C385:C448" si="12">CONCATENATE(A385,"_",B385)</f>
        <v>lubelskie_krasnostawski</v>
      </c>
      <c r="D385" t="s">
        <v>2735</v>
      </c>
      <c r="E385" t="str">
        <f t="shared" ref="E385:E448" si="13">C385&amp;"_"&amp;D385</f>
        <v>lubelskie_krasnostawski_Rudnik</v>
      </c>
      <c r="F385" t="s">
        <v>376</v>
      </c>
    </row>
    <row r="386" spans="1:6" x14ac:dyDescent="0.3">
      <c r="A386" t="s">
        <v>5379</v>
      </c>
      <c r="B386" t="s">
        <v>4853</v>
      </c>
      <c r="C386" t="str">
        <f t="shared" si="12"/>
        <v>lubelskie_krasnostawski</v>
      </c>
      <c r="D386" t="s">
        <v>2736</v>
      </c>
      <c r="E386" t="str">
        <f t="shared" si="13"/>
        <v>lubelskie_krasnostawski_Siennica Różana</v>
      </c>
      <c r="F386" t="s">
        <v>377</v>
      </c>
    </row>
    <row r="387" spans="1:6" x14ac:dyDescent="0.3">
      <c r="A387" t="s">
        <v>5379</v>
      </c>
      <c r="B387" t="s">
        <v>4853</v>
      </c>
      <c r="C387" t="str">
        <f t="shared" si="12"/>
        <v>lubelskie_krasnostawski</v>
      </c>
      <c r="D387" t="s">
        <v>2737</v>
      </c>
      <c r="E387" t="str">
        <f t="shared" si="13"/>
        <v>lubelskie_krasnostawski_Żółkiewka</v>
      </c>
      <c r="F387" t="s">
        <v>378</v>
      </c>
    </row>
    <row r="388" spans="1:6" x14ac:dyDescent="0.3">
      <c r="A388" t="s">
        <v>5379</v>
      </c>
      <c r="B388" t="s">
        <v>4853</v>
      </c>
      <c r="C388" t="str">
        <f t="shared" si="12"/>
        <v>lubelskie_krasnostawski</v>
      </c>
      <c r="D388" t="s">
        <v>4566</v>
      </c>
      <c r="E388" t="str">
        <f t="shared" si="13"/>
        <v>lubelskie_krasnostawski_Krasnystaw (gm. miejska)</v>
      </c>
      <c r="F388" t="s">
        <v>369</v>
      </c>
    </row>
    <row r="389" spans="1:6" x14ac:dyDescent="0.3">
      <c r="A389" t="s">
        <v>5379</v>
      </c>
      <c r="B389" t="s">
        <v>4853</v>
      </c>
      <c r="C389" t="str">
        <f t="shared" si="12"/>
        <v>lubelskie_krasnostawski</v>
      </c>
      <c r="D389" t="s">
        <v>4567</v>
      </c>
      <c r="E389" t="str">
        <f t="shared" si="13"/>
        <v>lubelskie_krasnostawski_Krasnystaw (gm. wiejska)</v>
      </c>
      <c r="F389" t="s">
        <v>373</v>
      </c>
    </row>
    <row r="390" spans="1:6" x14ac:dyDescent="0.3">
      <c r="A390" t="s">
        <v>5379</v>
      </c>
      <c r="B390" t="s">
        <v>4854</v>
      </c>
      <c r="C390" t="str">
        <f t="shared" si="12"/>
        <v>lubelskie_kraśnicki</v>
      </c>
      <c r="D390" t="s">
        <v>2738</v>
      </c>
      <c r="E390" t="str">
        <f t="shared" si="13"/>
        <v>lubelskie_kraśnicki_Annopol</v>
      </c>
      <c r="F390" t="s">
        <v>380</v>
      </c>
    </row>
    <row r="391" spans="1:6" x14ac:dyDescent="0.3">
      <c r="A391" t="s">
        <v>5379</v>
      </c>
      <c r="B391" t="s">
        <v>4854</v>
      </c>
      <c r="C391" t="str">
        <f t="shared" si="12"/>
        <v>lubelskie_kraśnicki</v>
      </c>
      <c r="D391" t="s">
        <v>2739</v>
      </c>
      <c r="E391" t="str">
        <f t="shared" si="13"/>
        <v>lubelskie_kraśnicki_Dzierzkowice</v>
      </c>
      <c r="F391" t="s">
        <v>381</v>
      </c>
    </row>
    <row r="392" spans="1:6" x14ac:dyDescent="0.3">
      <c r="A392" t="s">
        <v>5379</v>
      </c>
      <c r="B392" t="s">
        <v>4854</v>
      </c>
      <c r="C392" t="str">
        <f t="shared" si="12"/>
        <v>lubelskie_kraśnicki</v>
      </c>
      <c r="D392" t="s">
        <v>2740</v>
      </c>
      <c r="E392" t="str">
        <f t="shared" si="13"/>
        <v>lubelskie_kraśnicki_Gościeradów</v>
      </c>
      <c r="F392" t="s">
        <v>382</v>
      </c>
    </row>
    <row r="393" spans="1:6" x14ac:dyDescent="0.3">
      <c r="A393" t="s">
        <v>5379</v>
      </c>
      <c r="B393" t="s">
        <v>4854</v>
      </c>
      <c r="C393" t="str">
        <f t="shared" si="12"/>
        <v>lubelskie_kraśnicki</v>
      </c>
      <c r="D393" t="s">
        <v>2741</v>
      </c>
      <c r="E393" t="str">
        <f t="shared" si="13"/>
        <v>lubelskie_kraśnicki_Szastarka</v>
      </c>
      <c r="F393" t="s">
        <v>384</v>
      </c>
    </row>
    <row r="394" spans="1:6" x14ac:dyDescent="0.3">
      <c r="A394" t="s">
        <v>5379</v>
      </c>
      <c r="B394" t="s">
        <v>4854</v>
      </c>
      <c r="C394" t="str">
        <f t="shared" si="12"/>
        <v>lubelskie_kraśnicki</v>
      </c>
      <c r="D394" t="s">
        <v>2742</v>
      </c>
      <c r="E394" t="str">
        <f t="shared" si="13"/>
        <v>lubelskie_kraśnicki_Trzydnik Duży</v>
      </c>
      <c r="F394" t="s">
        <v>385</v>
      </c>
    </row>
    <row r="395" spans="1:6" x14ac:dyDescent="0.3">
      <c r="A395" t="s">
        <v>5379</v>
      </c>
      <c r="B395" t="s">
        <v>4854</v>
      </c>
      <c r="C395" t="str">
        <f t="shared" si="12"/>
        <v>lubelskie_kraśnicki</v>
      </c>
      <c r="D395" t="s">
        <v>2743</v>
      </c>
      <c r="E395" t="str">
        <f t="shared" si="13"/>
        <v>lubelskie_kraśnicki_Urzędów</v>
      </c>
      <c r="F395" t="s">
        <v>5447</v>
      </c>
    </row>
    <row r="396" spans="1:6" x14ac:dyDescent="0.3">
      <c r="A396" t="s">
        <v>5379</v>
      </c>
      <c r="B396" t="s">
        <v>4854</v>
      </c>
      <c r="C396" t="str">
        <f t="shared" si="12"/>
        <v>lubelskie_kraśnicki</v>
      </c>
      <c r="D396" t="s">
        <v>2744</v>
      </c>
      <c r="E396" t="str">
        <f t="shared" si="13"/>
        <v>lubelskie_kraśnicki_Wilkołaz</v>
      </c>
      <c r="F396" t="s">
        <v>386</v>
      </c>
    </row>
    <row r="397" spans="1:6" x14ac:dyDescent="0.3">
      <c r="A397" t="s">
        <v>5379</v>
      </c>
      <c r="B397" t="s">
        <v>4854</v>
      </c>
      <c r="C397" t="str">
        <f t="shared" si="12"/>
        <v>lubelskie_kraśnicki</v>
      </c>
      <c r="D397" t="s">
        <v>2745</v>
      </c>
      <c r="E397" t="str">
        <f t="shared" si="13"/>
        <v>lubelskie_kraśnicki_Zakrzówek</v>
      </c>
      <c r="F397" t="s">
        <v>387</v>
      </c>
    </row>
    <row r="398" spans="1:6" x14ac:dyDescent="0.3">
      <c r="A398" t="s">
        <v>5379</v>
      </c>
      <c r="B398" t="s">
        <v>4854</v>
      </c>
      <c r="C398" t="str">
        <f t="shared" si="12"/>
        <v>lubelskie_kraśnicki</v>
      </c>
      <c r="D398" t="s">
        <v>4568</v>
      </c>
      <c r="E398" t="str">
        <f t="shared" si="13"/>
        <v>lubelskie_kraśnicki_Kraśnik (gm. miejska)</v>
      </c>
      <c r="F398" t="s">
        <v>379</v>
      </c>
    </row>
    <row r="399" spans="1:6" x14ac:dyDescent="0.3">
      <c r="A399" t="s">
        <v>5379</v>
      </c>
      <c r="B399" t="s">
        <v>4854</v>
      </c>
      <c r="C399" t="str">
        <f t="shared" si="12"/>
        <v>lubelskie_kraśnicki</v>
      </c>
      <c r="D399" t="s">
        <v>4569</v>
      </c>
      <c r="E399" t="str">
        <f t="shared" si="13"/>
        <v>lubelskie_kraśnicki_Kraśnik (gm. wiejska)</v>
      </c>
      <c r="F399" t="s">
        <v>383</v>
      </c>
    </row>
    <row r="400" spans="1:6" x14ac:dyDescent="0.3">
      <c r="A400" t="s">
        <v>5379</v>
      </c>
      <c r="B400" t="s">
        <v>4855</v>
      </c>
      <c r="C400" t="str">
        <f t="shared" si="12"/>
        <v>lubelskie_lubartowski</v>
      </c>
      <c r="D400" t="s">
        <v>2746</v>
      </c>
      <c r="E400" t="str">
        <f t="shared" si="13"/>
        <v>lubelskie_lubartowski_Abramów</v>
      </c>
      <c r="F400" t="s">
        <v>389</v>
      </c>
    </row>
    <row r="401" spans="1:6" x14ac:dyDescent="0.3">
      <c r="A401" t="s">
        <v>5379</v>
      </c>
      <c r="B401" t="s">
        <v>4855</v>
      </c>
      <c r="C401" t="str">
        <f t="shared" si="12"/>
        <v>lubelskie_lubartowski</v>
      </c>
      <c r="D401" t="s">
        <v>2747</v>
      </c>
      <c r="E401" t="str">
        <f t="shared" si="13"/>
        <v>lubelskie_lubartowski_Firlej</v>
      </c>
      <c r="F401" t="s">
        <v>390</v>
      </c>
    </row>
    <row r="402" spans="1:6" x14ac:dyDescent="0.3">
      <c r="A402" t="s">
        <v>5379</v>
      </c>
      <c r="B402" t="s">
        <v>4855</v>
      </c>
      <c r="C402" t="str">
        <f t="shared" si="12"/>
        <v>lubelskie_lubartowski</v>
      </c>
      <c r="D402" t="s">
        <v>2748</v>
      </c>
      <c r="E402" t="str">
        <f t="shared" si="13"/>
        <v>lubelskie_lubartowski_Jeziorzany</v>
      </c>
      <c r="F402" t="s">
        <v>391</v>
      </c>
    </row>
    <row r="403" spans="1:6" x14ac:dyDescent="0.3">
      <c r="A403" t="s">
        <v>5379</v>
      </c>
      <c r="B403" t="s">
        <v>4855</v>
      </c>
      <c r="C403" t="str">
        <f t="shared" si="12"/>
        <v>lubelskie_lubartowski</v>
      </c>
      <c r="D403" t="s">
        <v>2749</v>
      </c>
      <c r="E403" t="str">
        <f t="shared" si="13"/>
        <v>lubelskie_lubartowski_Kamionka</v>
      </c>
      <c r="F403" t="s">
        <v>5408</v>
      </c>
    </row>
    <row r="404" spans="1:6" x14ac:dyDescent="0.3">
      <c r="A404" t="s">
        <v>5379</v>
      </c>
      <c r="B404" t="s">
        <v>4855</v>
      </c>
      <c r="C404" t="str">
        <f t="shared" si="12"/>
        <v>lubelskie_lubartowski</v>
      </c>
      <c r="D404" t="s">
        <v>2750</v>
      </c>
      <c r="E404" t="str">
        <f t="shared" si="13"/>
        <v>lubelskie_lubartowski_Kock</v>
      </c>
      <c r="F404" t="s">
        <v>392</v>
      </c>
    </row>
    <row r="405" spans="1:6" x14ac:dyDescent="0.3">
      <c r="A405" t="s">
        <v>5379</v>
      </c>
      <c r="B405" t="s">
        <v>4855</v>
      </c>
      <c r="C405" t="str">
        <f t="shared" si="12"/>
        <v>lubelskie_lubartowski</v>
      </c>
      <c r="D405" t="s">
        <v>2751</v>
      </c>
      <c r="E405" t="str">
        <f t="shared" si="13"/>
        <v>lubelskie_lubartowski_Michów</v>
      </c>
      <c r="F405" t="s">
        <v>394</v>
      </c>
    </row>
    <row r="406" spans="1:6" x14ac:dyDescent="0.3">
      <c r="A406" t="s">
        <v>5379</v>
      </c>
      <c r="B406" t="s">
        <v>4855</v>
      </c>
      <c r="C406" t="str">
        <f t="shared" si="12"/>
        <v>lubelskie_lubartowski</v>
      </c>
      <c r="D406" t="s">
        <v>2752</v>
      </c>
      <c r="E406" t="str">
        <f t="shared" si="13"/>
        <v>lubelskie_lubartowski_Niedźwiada</v>
      </c>
      <c r="F406" t="s">
        <v>395</v>
      </c>
    </row>
    <row r="407" spans="1:6" x14ac:dyDescent="0.3">
      <c r="A407" t="s">
        <v>5379</v>
      </c>
      <c r="B407" t="s">
        <v>4855</v>
      </c>
      <c r="C407" t="str">
        <f t="shared" si="12"/>
        <v>lubelskie_lubartowski</v>
      </c>
      <c r="D407" t="s">
        <v>2753</v>
      </c>
      <c r="E407" t="str">
        <f t="shared" si="13"/>
        <v>lubelskie_lubartowski_Ostrów Lubelski</v>
      </c>
      <c r="F407" t="s">
        <v>396</v>
      </c>
    </row>
    <row r="408" spans="1:6" x14ac:dyDescent="0.3">
      <c r="A408" t="s">
        <v>5379</v>
      </c>
      <c r="B408" t="s">
        <v>4855</v>
      </c>
      <c r="C408" t="str">
        <f t="shared" si="12"/>
        <v>lubelskie_lubartowski</v>
      </c>
      <c r="D408" t="s">
        <v>2754</v>
      </c>
      <c r="E408" t="str">
        <f t="shared" si="13"/>
        <v>lubelskie_lubartowski_Ostrówek</v>
      </c>
      <c r="F408" t="s">
        <v>397</v>
      </c>
    </row>
    <row r="409" spans="1:6" x14ac:dyDescent="0.3">
      <c r="A409" t="s">
        <v>5379</v>
      </c>
      <c r="B409" t="s">
        <v>4855</v>
      </c>
      <c r="C409" t="str">
        <f t="shared" si="12"/>
        <v>lubelskie_lubartowski</v>
      </c>
      <c r="D409" t="s">
        <v>2755</v>
      </c>
      <c r="E409" t="str">
        <f t="shared" si="13"/>
        <v>lubelskie_lubartowski_Serniki</v>
      </c>
      <c r="F409" t="s">
        <v>398</v>
      </c>
    </row>
    <row r="410" spans="1:6" x14ac:dyDescent="0.3">
      <c r="A410" t="s">
        <v>5379</v>
      </c>
      <c r="B410" t="s">
        <v>4855</v>
      </c>
      <c r="C410" t="str">
        <f t="shared" si="12"/>
        <v>lubelskie_lubartowski</v>
      </c>
      <c r="D410" t="s">
        <v>2756</v>
      </c>
      <c r="E410" t="str">
        <f t="shared" si="13"/>
        <v>lubelskie_lubartowski_Uścimów</v>
      </c>
      <c r="F410" t="s">
        <v>399</v>
      </c>
    </row>
    <row r="411" spans="1:6" x14ac:dyDescent="0.3">
      <c r="A411" t="s">
        <v>5379</v>
      </c>
      <c r="B411" t="s">
        <v>4855</v>
      </c>
      <c r="C411" t="str">
        <f t="shared" si="12"/>
        <v>lubelskie_lubartowski</v>
      </c>
      <c r="D411" t="s">
        <v>4570</v>
      </c>
      <c r="E411" t="str">
        <f t="shared" si="13"/>
        <v>lubelskie_lubartowski_Lubartów (gm. miejska)</v>
      </c>
      <c r="F411" t="s">
        <v>388</v>
      </c>
    </row>
    <row r="412" spans="1:6" x14ac:dyDescent="0.3">
      <c r="A412" t="s">
        <v>5379</v>
      </c>
      <c r="B412" t="s">
        <v>4855</v>
      </c>
      <c r="C412" t="str">
        <f t="shared" si="12"/>
        <v>lubelskie_lubartowski</v>
      </c>
      <c r="D412" t="s">
        <v>4571</v>
      </c>
      <c r="E412" t="str">
        <f t="shared" si="13"/>
        <v>lubelskie_lubartowski_Lubartów (gm. wiejska)</v>
      </c>
      <c r="F412" t="s">
        <v>393</v>
      </c>
    </row>
    <row r="413" spans="1:6" x14ac:dyDescent="0.3">
      <c r="A413" t="s">
        <v>5379</v>
      </c>
      <c r="B413" t="s">
        <v>4856</v>
      </c>
      <c r="C413" t="str">
        <f t="shared" si="12"/>
        <v>lubelskie_lubelski</v>
      </c>
      <c r="D413" t="s">
        <v>2757</v>
      </c>
      <c r="E413" t="str">
        <f t="shared" si="13"/>
        <v>lubelskie_lubelski_Bełżyce</v>
      </c>
      <c r="F413" t="s">
        <v>400</v>
      </c>
    </row>
    <row r="414" spans="1:6" x14ac:dyDescent="0.3">
      <c r="A414" t="s">
        <v>5379</v>
      </c>
      <c r="B414" t="s">
        <v>4856</v>
      </c>
      <c r="C414" t="str">
        <f t="shared" si="12"/>
        <v>lubelskie_lubelski</v>
      </c>
      <c r="D414" t="s">
        <v>2758</v>
      </c>
      <c r="E414" t="str">
        <f t="shared" si="13"/>
        <v>lubelskie_lubelski_Borzechów</v>
      </c>
      <c r="F414" t="s">
        <v>401</v>
      </c>
    </row>
    <row r="415" spans="1:6" x14ac:dyDescent="0.3">
      <c r="A415" t="s">
        <v>5379</v>
      </c>
      <c r="B415" t="s">
        <v>4856</v>
      </c>
      <c r="C415" t="str">
        <f t="shared" si="12"/>
        <v>lubelskie_lubelski</v>
      </c>
      <c r="D415" t="s">
        <v>2759</v>
      </c>
      <c r="E415" t="str">
        <f t="shared" si="13"/>
        <v>lubelskie_lubelski_Bychawa</v>
      </c>
      <c r="F415" t="s">
        <v>402</v>
      </c>
    </row>
    <row r="416" spans="1:6" x14ac:dyDescent="0.3">
      <c r="A416" t="s">
        <v>5379</v>
      </c>
      <c r="B416" t="s">
        <v>4856</v>
      </c>
      <c r="C416" t="str">
        <f t="shared" si="12"/>
        <v>lubelskie_lubelski</v>
      </c>
      <c r="D416" t="s">
        <v>2760</v>
      </c>
      <c r="E416" t="str">
        <f t="shared" si="13"/>
        <v>lubelskie_lubelski_Garbów</v>
      </c>
      <c r="F416" t="s">
        <v>403</v>
      </c>
    </row>
    <row r="417" spans="1:6" x14ac:dyDescent="0.3">
      <c r="A417" t="s">
        <v>5379</v>
      </c>
      <c r="B417" t="s">
        <v>4856</v>
      </c>
      <c r="C417" t="str">
        <f t="shared" si="12"/>
        <v>lubelskie_lubelski</v>
      </c>
      <c r="D417" t="s">
        <v>2761</v>
      </c>
      <c r="E417" t="str">
        <f t="shared" si="13"/>
        <v>lubelskie_lubelski_Głusk</v>
      </c>
      <c r="F417" t="s">
        <v>404</v>
      </c>
    </row>
    <row r="418" spans="1:6" x14ac:dyDescent="0.3">
      <c r="A418" t="s">
        <v>5379</v>
      </c>
      <c r="B418" t="s">
        <v>4856</v>
      </c>
      <c r="C418" t="str">
        <f t="shared" si="12"/>
        <v>lubelskie_lubelski</v>
      </c>
      <c r="D418" t="s">
        <v>2762</v>
      </c>
      <c r="E418" t="str">
        <f t="shared" si="13"/>
        <v>lubelskie_lubelski_Jabłonna</v>
      </c>
      <c r="F418" t="s">
        <v>405</v>
      </c>
    </row>
    <row r="419" spans="1:6" x14ac:dyDescent="0.3">
      <c r="A419" t="s">
        <v>5379</v>
      </c>
      <c r="B419" t="s">
        <v>4856</v>
      </c>
      <c r="C419" t="str">
        <f t="shared" si="12"/>
        <v>lubelskie_lubelski</v>
      </c>
      <c r="D419" t="s">
        <v>2763</v>
      </c>
      <c r="E419" t="str">
        <f t="shared" si="13"/>
        <v>lubelskie_lubelski_Jastków</v>
      </c>
      <c r="F419" t="s">
        <v>406</v>
      </c>
    </row>
    <row r="420" spans="1:6" x14ac:dyDescent="0.3">
      <c r="A420" t="s">
        <v>5379</v>
      </c>
      <c r="B420" t="s">
        <v>4856</v>
      </c>
      <c r="C420" t="str">
        <f t="shared" si="12"/>
        <v>lubelskie_lubelski</v>
      </c>
      <c r="D420" t="s">
        <v>2764</v>
      </c>
      <c r="E420" t="str">
        <f t="shared" si="13"/>
        <v>lubelskie_lubelski_Konopnica</v>
      </c>
      <c r="F420" t="s">
        <v>407</v>
      </c>
    </row>
    <row r="421" spans="1:6" x14ac:dyDescent="0.3">
      <c r="A421" t="s">
        <v>5379</v>
      </c>
      <c r="B421" t="s">
        <v>4856</v>
      </c>
      <c r="C421" t="str">
        <f t="shared" si="12"/>
        <v>lubelskie_lubelski</v>
      </c>
      <c r="D421" t="s">
        <v>2765</v>
      </c>
      <c r="E421" t="str">
        <f t="shared" si="13"/>
        <v>lubelskie_lubelski_Krzczonów</v>
      </c>
      <c r="F421" t="s">
        <v>408</v>
      </c>
    </row>
    <row r="422" spans="1:6" x14ac:dyDescent="0.3">
      <c r="A422" t="s">
        <v>5379</v>
      </c>
      <c r="B422" t="s">
        <v>4856</v>
      </c>
      <c r="C422" t="str">
        <f t="shared" si="12"/>
        <v>lubelskie_lubelski</v>
      </c>
      <c r="D422" t="s">
        <v>2766</v>
      </c>
      <c r="E422" t="str">
        <f t="shared" si="13"/>
        <v>lubelskie_lubelski_Niedrzwica Duża</v>
      </c>
      <c r="F422" t="s">
        <v>409</v>
      </c>
    </row>
    <row r="423" spans="1:6" x14ac:dyDescent="0.3">
      <c r="A423" t="s">
        <v>5379</v>
      </c>
      <c r="B423" t="s">
        <v>4856</v>
      </c>
      <c r="C423" t="str">
        <f t="shared" si="12"/>
        <v>lubelskie_lubelski</v>
      </c>
      <c r="D423" t="s">
        <v>2767</v>
      </c>
      <c r="E423" t="str">
        <f t="shared" si="13"/>
        <v>lubelskie_lubelski_Niemce</v>
      </c>
      <c r="F423" t="s">
        <v>410</v>
      </c>
    </row>
    <row r="424" spans="1:6" x14ac:dyDescent="0.3">
      <c r="A424" t="s">
        <v>5379</v>
      </c>
      <c r="B424" t="s">
        <v>4856</v>
      </c>
      <c r="C424" t="str">
        <f t="shared" si="12"/>
        <v>lubelskie_lubelski</v>
      </c>
      <c r="D424" t="s">
        <v>2768</v>
      </c>
      <c r="E424" t="str">
        <f t="shared" si="13"/>
        <v>lubelskie_lubelski_Strzyżewice</v>
      </c>
      <c r="F424" t="s">
        <v>411</v>
      </c>
    </row>
    <row r="425" spans="1:6" x14ac:dyDescent="0.3">
      <c r="A425" t="s">
        <v>5379</v>
      </c>
      <c r="B425" t="s">
        <v>4856</v>
      </c>
      <c r="C425" t="str">
        <f t="shared" si="12"/>
        <v>lubelskie_lubelski</v>
      </c>
      <c r="D425" t="s">
        <v>2769</v>
      </c>
      <c r="E425" t="str">
        <f t="shared" si="13"/>
        <v>lubelskie_lubelski_Wojciechów</v>
      </c>
      <c r="F425" t="s">
        <v>412</v>
      </c>
    </row>
    <row r="426" spans="1:6" x14ac:dyDescent="0.3">
      <c r="A426" t="s">
        <v>5379</v>
      </c>
      <c r="B426" t="s">
        <v>4856</v>
      </c>
      <c r="C426" t="str">
        <f t="shared" si="12"/>
        <v>lubelskie_lubelski</v>
      </c>
      <c r="D426" t="s">
        <v>2770</v>
      </c>
      <c r="E426" t="str">
        <f t="shared" si="13"/>
        <v>lubelskie_lubelski_Wólka</v>
      </c>
      <c r="F426" t="s">
        <v>413</v>
      </c>
    </row>
    <row r="427" spans="1:6" x14ac:dyDescent="0.3">
      <c r="A427" t="s">
        <v>5379</v>
      </c>
      <c r="B427" t="s">
        <v>4856</v>
      </c>
      <c r="C427" t="str">
        <f t="shared" si="12"/>
        <v>lubelskie_lubelski</v>
      </c>
      <c r="D427" t="s">
        <v>2771</v>
      </c>
      <c r="E427" t="str">
        <f t="shared" si="13"/>
        <v>lubelskie_lubelski_Wysokie</v>
      </c>
      <c r="F427" t="s">
        <v>414</v>
      </c>
    </row>
    <row r="428" spans="1:6" x14ac:dyDescent="0.3">
      <c r="A428" t="s">
        <v>5379</v>
      </c>
      <c r="B428" t="s">
        <v>4856</v>
      </c>
      <c r="C428" t="str">
        <f t="shared" si="12"/>
        <v>lubelskie_lubelski</v>
      </c>
      <c r="D428" t="s">
        <v>2772</v>
      </c>
      <c r="E428" t="str">
        <f t="shared" si="13"/>
        <v>lubelskie_lubelski_Zakrzew</v>
      </c>
      <c r="F428" t="s">
        <v>415</v>
      </c>
    </row>
    <row r="429" spans="1:6" x14ac:dyDescent="0.3">
      <c r="A429" t="s">
        <v>5379</v>
      </c>
      <c r="B429" t="s">
        <v>2857</v>
      </c>
      <c r="C429" t="str">
        <f t="shared" si="12"/>
        <v>lubelskie_Lublin</v>
      </c>
      <c r="D429" t="s">
        <v>2857</v>
      </c>
      <c r="E429" t="str">
        <f t="shared" si="13"/>
        <v>lubelskie_Lublin_Lublin</v>
      </c>
      <c r="F429" t="s">
        <v>512</v>
      </c>
    </row>
    <row r="430" spans="1:6" x14ac:dyDescent="0.3">
      <c r="A430" t="s">
        <v>5379</v>
      </c>
      <c r="B430" t="s">
        <v>4857</v>
      </c>
      <c r="C430" t="str">
        <f t="shared" si="12"/>
        <v>lubelskie_łęczyński</v>
      </c>
      <c r="D430" t="s">
        <v>2773</v>
      </c>
      <c r="E430" t="str">
        <f t="shared" si="13"/>
        <v>lubelskie_łęczyński_Cyców</v>
      </c>
      <c r="F430" t="s">
        <v>416</v>
      </c>
    </row>
    <row r="431" spans="1:6" x14ac:dyDescent="0.3">
      <c r="A431" t="s">
        <v>5379</v>
      </c>
      <c r="B431" t="s">
        <v>4857</v>
      </c>
      <c r="C431" t="str">
        <f t="shared" si="12"/>
        <v>lubelskie_łęczyński</v>
      </c>
      <c r="D431" t="s">
        <v>2774</v>
      </c>
      <c r="E431" t="str">
        <f t="shared" si="13"/>
        <v>lubelskie_łęczyński_Ludwin</v>
      </c>
      <c r="F431" t="s">
        <v>417</v>
      </c>
    </row>
    <row r="432" spans="1:6" x14ac:dyDescent="0.3">
      <c r="A432" t="s">
        <v>5379</v>
      </c>
      <c r="B432" t="s">
        <v>4857</v>
      </c>
      <c r="C432" t="str">
        <f t="shared" si="12"/>
        <v>lubelskie_łęczyński</v>
      </c>
      <c r="D432" t="s">
        <v>2775</v>
      </c>
      <c r="E432" t="str">
        <f t="shared" si="13"/>
        <v>lubelskie_łęczyński_Łęczna</v>
      </c>
      <c r="F432" t="s">
        <v>418</v>
      </c>
    </row>
    <row r="433" spans="1:6" x14ac:dyDescent="0.3">
      <c r="A433" t="s">
        <v>5379</v>
      </c>
      <c r="B433" t="s">
        <v>4857</v>
      </c>
      <c r="C433" t="str">
        <f t="shared" si="12"/>
        <v>lubelskie_łęczyński</v>
      </c>
      <c r="D433" t="s">
        <v>2776</v>
      </c>
      <c r="E433" t="str">
        <f t="shared" si="13"/>
        <v>lubelskie_łęczyński_Milejów</v>
      </c>
      <c r="F433" t="s">
        <v>419</v>
      </c>
    </row>
    <row r="434" spans="1:6" x14ac:dyDescent="0.3">
      <c r="A434" t="s">
        <v>5379</v>
      </c>
      <c r="B434" t="s">
        <v>4857</v>
      </c>
      <c r="C434" t="str">
        <f t="shared" si="12"/>
        <v>lubelskie_łęczyński</v>
      </c>
      <c r="D434" t="s">
        <v>2777</v>
      </c>
      <c r="E434" t="str">
        <f t="shared" si="13"/>
        <v>lubelskie_łęczyński_Puchaczów</v>
      </c>
      <c r="F434" t="s">
        <v>420</v>
      </c>
    </row>
    <row r="435" spans="1:6" x14ac:dyDescent="0.3">
      <c r="A435" t="s">
        <v>5379</v>
      </c>
      <c r="B435" t="s">
        <v>4857</v>
      </c>
      <c r="C435" t="str">
        <f t="shared" si="12"/>
        <v>lubelskie_łęczyński</v>
      </c>
      <c r="D435" t="s">
        <v>2778</v>
      </c>
      <c r="E435" t="str">
        <f t="shared" si="13"/>
        <v>lubelskie_łęczyński_Spiczyn</v>
      </c>
      <c r="F435" t="s">
        <v>421</v>
      </c>
    </row>
    <row r="436" spans="1:6" x14ac:dyDescent="0.3">
      <c r="A436" t="s">
        <v>5379</v>
      </c>
      <c r="B436" t="s">
        <v>4858</v>
      </c>
      <c r="C436" t="str">
        <f t="shared" si="12"/>
        <v>lubelskie_łukowski</v>
      </c>
      <c r="D436" t="s">
        <v>2779</v>
      </c>
      <c r="E436" t="str">
        <f t="shared" si="13"/>
        <v>lubelskie_łukowski_Adamów</v>
      </c>
      <c r="F436" t="s">
        <v>424</v>
      </c>
    </row>
    <row r="437" spans="1:6" x14ac:dyDescent="0.3">
      <c r="A437" t="s">
        <v>5379</v>
      </c>
      <c r="B437" t="s">
        <v>4858</v>
      </c>
      <c r="C437" t="str">
        <f t="shared" si="12"/>
        <v>lubelskie_łukowski</v>
      </c>
      <c r="D437" t="s">
        <v>2780</v>
      </c>
      <c r="E437" t="str">
        <f t="shared" si="13"/>
        <v>lubelskie_łukowski_Krzywda</v>
      </c>
      <c r="F437" t="s">
        <v>425</v>
      </c>
    </row>
    <row r="438" spans="1:6" x14ac:dyDescent="0.3">
      <c r="A438" t="s">
        <v>5379</v>
      </c>
      <c r="B438" t="s">
        <v>4858</v>
      </c>
      <c r="C438" t="str">
        <f t="shared" si="12"/>
        <v>lubelskie_łukowski</v>
      </c>
      <c r="D438" t="s">
        <v>2781</v>
      </c>
      <c r="E438" t="str">
        <f t="shared" si="13"/>
        <v>lubelskie_łukowski_Serokomla</v>
      </c>
      <c r="F438" t="s">
        <v>427</v>
      </c>
    </row>
    <row r="439" spans="1:6" x14ac:dyDescent="0.3">
      <c r="A439" t="s">
        <v>5379</v>
      </c>
      <c r="B439" t="s">
        <v>4858</v>
      </c>
      <c r="C439" t="str">
        <f t="shared" si="12"/>
        <v>lubelskie_łukowski</v>
      </c>
      <c r="D439" t="s">
        <v>2782</v>
      </c>
      <c r="E439" t="str">
        <f t="shared" si="13"/>
        <v>lubelskie_łukowski_Stanin</v>
      </c>
      <c r="F439" t="s">
        <v>428</v>
      </c>
    </row>
    <row r="440" spans="1:6" x14ac:dyDescent="0.3">
      <c r="A440" t="s">
        <v>5379</v>
      </c>
      <c r="B440" t="s">
        <v>4858</v>
      </c>
      <c r="C440" t="str">
        <f t="shared" si="12"/>
        <v>lubelskie_łukowski</v>
      </c>
      <c r="D440" t="s">
        <v>2783</v>
      </c>
      <c r="E440" t="str">
        <f t="shared" si="13"/>
        <v>lubelskie_łukowski_Trzebieszów</v>
      </c>
      <c r="F440" t="s">
        <v>430</v>
      </c>
    </row>
    <row r="441" spans="1:6" x14ac:dyDescent="0.3">
      <c r="A441" t="s">
        <v>5379</v>
      </c>
      <c r="B441" t="s">
        <v>4858</v>
      </c>
      <c r="C441" t="str">
        <f t="shared" si="12"/>
        <v>lubelskie_łukowski</v>
      </c>
      <c r="D441" t="s">
        <v>2784</v>
      </c>
      <c r="E441" t="str">
        <f t="shared" si="13"/>
        <v>lubelskie_łukowski_Wojcieszków</v>
      </c>
      <c r="F441" t="s">
        <v>431</v>
      </c>
    </row>
    <row r="442" spans="1:6" x14ac:dyDescent="0.3">
      <c r="A442" t="s">
        <v>5379</v>
      </c>
      <c r="B442" t="s">
        <v>4858</v>
      </c>
      <c r="C442" t="str">
        <f t="shared" si="12"/>
        <v>lubelskie_łukowski</v>
      </c>
      <c r="D442" t="s">
        <v>2785</v>
      </c>
      <c r="E442" t="str">
        <f t="shared" si="13"/>
        <v>lubelskie_łukowski_Wola Mysłowska</v>
      </c>
      <c r="F442" t="s">
        <v>432</v>
      </c>
    </row>
    <row r="443" spans="1:6" x14ac:dyDescent="0.3">
      <c r="A443" t="s">
        <v>5379</v>
      </c>
      <c r="B443" t="s">
        <v>4858</v>
      </c>
      <c r="C443" t="str">
        <f t="shared" si="12"/>
        <v>lubelskie_łukowski</v>
      </c>
      <c r="D443" t="s">
        <v>4572</v>
      </c>
      <c r="E443" t="str">
        <f t="shared" si="13"/>
        <v>lubelskie_łukowski_Łuków (gm. miejska)</v>
      </c>
      <c r="F443" t="s">
        <v>422</v>
      </c>
    </row>
    <row r="444" spans="1:6" x14ac:dyDescent="0.3">
      <c r="A444" t="s">
        <v>5379</v>
      </c>
      <c r="B444" t="s">
        <v>4858</v>
      </c>
      <c r="C444" t="str">
        <f t="shared" si="12"/>
        <v>lubelskie_łukowski</v>
      </c>
      <c r="D444" t="s">
        <v>5441</v>
      </c>
      <c r="E444" t="str">
        <f t="shared" si="13"/>
        <v>lubelskie_łukowski_Stoczek Łukowski (gm. miejska)</v>
      </c>
      <c r="F444" t="s">
        <v>423</v>
      </c>
    </row>
    <row r="445" spans="1:6" x14ac:dyDescent="0.3">
      <c r="A445" t="s">
        <v>5379</v>
      </c>
      <c r="B445" t="s">
        <v>4858</v>
      </c>
      <c r="C445" t="str">
        <f t="shared" si="12"/>
        <v>lubelskie_łukowski</v>
      </c>
      <c r="D445" t="s">
        <v>4573</v>
      </c>
      <c r="E445" t="str">
        <f t="shared" si="13"/>
        <v>lubelskie_łukowski_Łuków (gm. wiejska)</v>
      </c>
      <c r="F445" t="s">
        <v>426</v>
      </c>
    </row>
    <row r="446" spans="1:6" x14ac:dyDescent="0.3">
      <c r="A446" t="s">
        <v>5379</v>
      </c>
      <c r="B446" t="s">
        <v>4858</v>
      </c>
      <c r="C446" t="str">
        <f t="shared" si="12"/>
        <v>lubelskie_łukowski</v>
      </c>
      <c r="D446" t="s">
        <v>5442</v>
      </c>
      <c r="E446" t="str">
        <f t="shared" si="13"/>
        <v>lubelskie_łukowski_Stoczek Łukowski (gm. wiejska)</v>
      </c>
      <c r="F446" t="s">
        <v>429</v>
      </c>
    </row>
    <row r="447" spans="1:6" x14ac:dyDescent="0.3">
      <c r="A447" t="s">
        <v>5379</v>
      </c>
      <c r="B447" t="s">
        <v>4859</v>
      </c>
      <c r="C447" t="str">
        <f t="shared" si="12"/>
        <v>lubelskie_opolski</v>
      </c>
      <c r="D447" t="s">
        <v>2786</v>
      </c>
      <c r="E447" t="str">
        <f t="shared" si="13"/>
        <v>lubelskie_opolski_Chodel</v>
      </c>
      <c r="F447" t="s">
        <v>433</v>
      </c>
    </row>
    <row r="448" spans="1:6" x14ac:dyDescent="0.3">
      <c r="A448" t="s">
        <v>5379</v>
      </c>
      <c r="B448" t="s">
        <v>4859</v>
      </c>
      <c r="C448" t="str">
        <f t="shared" si="12"/>
        <v>lubelskie_opolski</v>
      </c>
      <c r="D448" t="s">
        <v>2787</v>
      </c>
      <c r="E448" t="str">
        <f t="shared" si="13"/>
        <v>lubelskie_opolski_Józefów nad Wisłą</v>
      </c>
      <c r="F448" t="s">
        <v>5406</v>
      </c>
    </row>
    <row r="449" spans="1:6" x14ac:dyDescent="0.3">
      <c r="A449" t="s">
        <v>5379</v>
      </c>
      <c r="B449" t="s">
        <v>4859</v>
      </c>
      <c r="C449" t="str">
        <f t="shared" ref="C449:C512" si="14">CONCATENATE(A449,"_",B449)</f>
        <v>lubelskie_opolski</v>
      </c>
      <c r="D449" t="s">
        <v>2788</v>
      </c>
      <c r="E449" t="str">
        <f t="shared" ref="E449:E512" si="15">C449&amp;"_"&amp;D449</f>
        <v>lubelskie_opolski_Karczmiska</v>
      </c>
      <c r="F449" t="s">
        <v>434</v>
      </c>
    </row>
    <row r="450" spans="1:6" x14ac:dyDescent="0.3">
      <c r="A450" t="s">
        <v>5379</v>
      </c>
      <c r="B450" t="s">
        <v>4859</v>
      </c>
      <c r="C450" t="str">
        <f t="shared" si="14"/>
        <v>lubelskie_opolski</v>
      </c>
      <c r="D450" t="s">
        <v>2789</v>
      </c>
      <c r="E450" t="str">
        <f t="shared" si="15"/>
        <v>lubelskie_opolski_Łaziska</v>
      </c>
      <c r="F450" t="s">
        <v>435</v>
      </c>
    </row>
    <row r="451" spans="1:6" x14ac:dyDescent="0.3">
      <c r="A451" t="s">
        <v>5379</v>
      </c>
      <c r="B451" t="s">
        <v>4859</v>
      </c>
      <c r="C451" t="str">
        <f t="shared" si="14"/>
        <v>lubelskie_opolski</v>
      </c>
      <c r="D451" t="s">
        <v>2790</v>
      </c>
      <c r="E451" t="str">
        <f t="shared" si="15"/>
        <v>lubelskie_opolski_Opole Lubelskie</v>
      </c>
      <c r="F451" t="s">
        <v>436</v>
      </c>
    </row>
    <row r="452" spans="1:6" x14ac:dyDescent="0.3">
      <c r="A452" t="s">
        <v>5379</v>
      </c>
      <c r="B452" t="s">
        <v>4859</v>
      </c>
      <c r="C452" t="str">
        <f t="shared" si="14"/>
        <v>lubelskie_opolski</v>
      </c>
      <c r="D452" t="s">
        <v>2791</v>
      </c>
      <c r="E452" t="str">
        <f t="shared" si="15"/>
        <v>lubelskie_opolski_Poniatowa</v>
      </c>
      <c r="F452" t="s">
        <v>437</v>
      </c>
    </row>
    <row r="453" spans="1:6" x14ac:dyDescent="0.3">
      <c r="A453" t="s">
        <v>5379</v>
      </c>
      <c r="B453" t="s">
        <v>4859</v>
      </c>
      <c r="C453" t="str">
        <f t="shared" si="14"/>
        <v>lubelskie_opolski</v>
      </c>
      <c r="D453" t="s">
        <v>2792</v>
      </c>
      <c r="E453" t="str">
        <f t="shared" si="15"/>
        <v>lubelskie_opolski_Wilków</v>
      </c>
      <c r="F453" t="s">
        <v>438</v>
      </c>
    </row>
    <row r="454" spans="1:6" x14ac:dyDescent="0.3">
      <c r="A454" t="s">
        <v>5379</v>
      </c>
      <c r="B454" t="s">
        <v>4860</v>
      </c>
      <c r="C454" t="str">
        <f t="shared" si="14"/>
        <v>lubelskie_parczewski</v>
      </c>
      <c r="D454" t="s">
        <v>2793</v>
      </c>
      <c r="E454" t="str">
        <f t="shared" si="15"/>
        <v>lubelskie_parczewski_Dębowa Kłoda</v>
      </c>
      <c r="F454" t="s">
        <v>439</v>
      </c>
    </row>
    <row r="455" spans="1:6" x14ac:dyDescent="0.3">
      <c r="A455" t="s">
        <v>5379</v>
      </c>
      <c r="B455" t="s">
        <v>4860</v>
      </c>
      <c r="C455" t="str">
        <f t="shared" si="14"/>
        <v>lubelskie_parczewski</v>
      </c>
      <c r="D455" t="s">
        <v>2794</v>
      </c>
      <c r="E455" t="str">
        <f t="shared" si="15"/>
        <v>lubelskie_parczewski_Jabłoń</v>
      </c>
      <c r="F455" t="s">
        <v>440</v>
      </c>
    </row>
    <row r="456" spans="1:6" x14ac:dyDescent="0.3">
      <c r="A456" t="s">
        <v>5379</v>
      </c>
      <c r="B456" t="s">
        <v>4860</v>
      </c>
      <c r="C456" t="str">
        <f t="shared" si="14"/>
        <v>lubelskie_parczewski</v>
      </c>
      <c r="D456" t="s">
        <v>2795</v>
      </c>
      <c r="E456" t="str">
        <f t="shared" si="15"/>
        <v>lubelskie_parczewski_Milanów</v>
      </c>
      <c r="F456" t="s">
        <v>441</v>
      </c>
    </row>
    <row r="457" spans="1:6" x14ac:dyDescent="0.3">
      <c r="A457" t="s">
        <v>5379</v>
      </c>
      <c r="B457" t="s">
        <v>4860</v>
      </c>
      <c r="C457" t="str">
        <f t="shared" si="14"/>
        <v>lubelskie_parczewski</v>
      </c>
      <c r="D457" t="s">
        <v>2796</v>
      </c>
      <c r="E457" t="str">
        <f t="shared" si="15"/>
        <v>lubelskie_parczewski_Parczew</v>
      </c>
      <c r="F457" t="s">
        <v>442</v>
      </c>
    </row>
    <row r="458" spans="1:6" x14ac:dyDescent="0.3">
      <c r="A458" t="s">
        <v>5379</v>
      </c>
      <c r="B458" t="s">
        <v>4860</v>
      </c>
      <c r="C458" t="str">
        <f t="shared" si="14"/>
        <v>lubelskie_parczewski</v>
      </c>
      <c r="D458" t="s">
        <v>2797</v>
      </c>
      <c r="E458" t="str">
        <f t="shared" si="15"/>
        <v>lubelskie_parczewski_Podedwórze</v>
      </c>
      <c r="F458" t="s">
        <v>443</v>
      </c>
    </row>
    <row r="459" spans="1:6" x14ac:dyDescent="0.3">
      <c r="A459" t="s">
        <v>5379</v>
      </c>
      <c r="B459" t="s">
        <v>4860</v>
      </c>
      <c r="C459" t="str">
        <f t="shared" si="14"/>
        <v>lubelskie_parczewski</v>
      </c>
      <c r="D459" t="s">
        <v>2798</v>
      </c>
      <c r="E459" t="str">
        <f t="shared" si="15"/>
        <v>lubelskie_parczewski_Siemień</v>
      </c>
      <c r="F459" t="s">
        <v>444</v>
      </c>
    </row>
    <row r="460" spans="1:6" x14ac:dyDescent="0.3">
      <c r="A460" t="s">
        <v>5379</v>
      </c>
      <c r="B460" t="s">
        <v>4860</v>
      </c>
      <c r="C460" t="str">
        <f t="shared" si="14"/>
        <v>lubelskie_parczewski</v>
      </c>
      <c r="D460" t="s">
        <v>2799</v>
      </c>
      <c r="E460" t="str">
        <f t="shared" si="15"/>
        <v>lubelskie_parczewski_Sosnowica</v>
      </c>
      <c r="F460" t="s">
        <v>445</v>
      </c>
    </row>
    <row r="461" spans="1:6" x14ac:dyDescent="0.3">
      <c r="A461" t="s">
        <v>5379</v>
      </c>
      <c r="B461" t="s">
        <v>4861</v>
      </c>
      <c r="C461" t="str">
        <f t="shared" si="14"/>
        <v>lubelskie_puławski</v>
      </c>
      <c r="D461" t="s">
        <v>2800</v>
      </c>
      <c r="E461" t="str">
        <f t="shared" si="15"/>
        <v>lubelskie_puławski_Baranów</v>
      </c>
      <c r="F461" t="s">
        <v>447</v>
      </c>
    </row>
    <row r="462" spans="1:6" x14ac:dyDescent="0.3">
      <c r="A462" t="s">
        <v>5379</v>
      </c>
      <c r="B462" t="s">
        <v>4861</v>
      </c>
      <c r="C462" t="str">
        <f t="shared" si="14"/>
        <v>lubelskie_puławski</v>
      </c>
      <c r="D462" t="s">
        <v>2801</v>
      </c>
      <c r="E462" t="str">
        <f t="shared" si="15"/>
        <v>lubelskie_puławski_Janowiec</v>
      </c>
      <c r="F462" t="s">
        <v>448</v>
      </c>
    </row>
    <row r="463" spans="1:6" x14ac:dyDescent="0.3">
      <c r="A463" t="s">
        <v>5379</v>
      </c>
      <c r="B463" t="s">
        <v>4861</v>
      </c>
      <c r="C463" t="str">
        <f t="shared" si="14"/>
        <v>lubelskie_puławski</v>
      </c>
      <c r="D463" t="s">
        <v>2802</v>
      </c>
      <c r="E463" t="str">
        <f t="shared" si="15"/>
        <v>lubelskie_puławski_Kazimierz Dolny</v>
      </c>
      <c r="F463" t="s">
        <v>449</v>
      </c>
    </row>
    <row r="464" spans="1:6" x14ac:dyDescent="0.3">
      <c r="A464" t="s">
        <v>5379</v>
      </c>
      <c r="B464" t="s">
        <v>4861</v>
      </c>
      <c r="C464" t="str">
        <f t="shared" si="14"/>
        <v>lubelskie_puławski</v>
      </c>
      <c r="D464" t="s">
        <v>2803</v>
      </c>
      <c r="E464" t="str">
        <f t="shared" si="15"/>
        <v>lubelskie_puławski_Końskowola</v>
      </c>
      <c r="F464" t="s">
        <v>5487</v>
      </c>
    </row>
    <row r="465" spans="1:6" x14ac:dyDescent="0.3">
      <c r="A465" t="s">
        <v>5379</v>
      </c>
      <c r="B465" t="s">
        <v>4861</v>
      </c>
      <c r="C465" t="str">
        <f t="shared" si="14"/>
        <v>lubelskie_puławski</v>
      </c>
      <c r="D465" t="s">
        <v>2804</v>
      </c>
      <c r="E465" t="str">
        <f t="shared" si="15"/>
        <v>lubelskie_puławski_Kurów</v>
      </c>
      <c r="F465" t="s">
        <v>5488</v>
      </c>
    </row>
    <row r="466" spans="1:6" x14ac:dyDescent="0.3">
      <c r="A466" t="s">
        <v>5379</v>
      </c>
      <c r="B466" t="s">
        <v>4861</v>
      </c>
      <c r="C466" t="str">
        <f t="shared" si="14"/>
        <v>lubelskie_puławski</v>
      </c>
      <c r="D466" t="s">
        <v>2805</v>
      </c>
      <c r="E466" t="str">
        <f t="shared" si="15"/>
        <v>lubelskie_puławski_Markuszów</v>
      </c>
      <c r="F466" t="s">
        <v>452</v>
      </c>
    </row>
    <row r="467" spans="1:6" x14ac:dyDescent="0.3">
      <c r="A467" t="s">
        <v>5379</v>
      </c>
      <c r="B467" t="s">
        <v>4861</v>
      </c>
      <c r="C467" t="str">
        <f t="shared" si="14"/>
        <v>lubelskie_puławski</v>
      </c>
      <c r="D467" t="s">
        <v>2806</v>
      </c>
      <c r="E467" t="str">
        <f t="shared" si="15"/>
        <v>lubelskie_puławski_Nałęczów</v>
      </c>
      <c r="F467" t="s">
        <v>453</v>
      </c>
    </row>
    <row r="468" spans="1:6" x14ac:dyDescent="0.3">
      <c r="A468" t="s">
        <v>5379</v>
      </c>
      <c r="B468" t="s">
        <v>4861</v>
      </c>
      <c r="C468" t="str">
        <f t="shared" si="14"/>
        <v>lubelskie_puławski</v>
      </c>
      <c r="D468" t="s">
        <v>2807</v>
      </c>
      <c r="E468" t="str">
        <f t="shared" si="15"/>
        <v>lubelskie_puławski_Wąwolnica</v>
      </c>
      <c r="F468" t="s">
        <v>5489</v>
      </c>
    </row>
    <row r="469" spans="1:6" x14ac:dyDescent="0.3">
      <c r="A469" t="s">
        <v>5379</v>
      </c>
      <c r="B469" t="s">
        <v>4861</v>
      </c>
      <c r="C469" t="str">
        <f t="shared" si="14"/>
        <v>lubelskie_puławski</v>
      </c>
      <c r="D469" t="s">
        <v>2808</v>
      </c>
      <c r="E469" t="str">
        <f t="shared" si="15"/>
        <v>lubelskie_puławski_Żyrzyn</v>
      </c>
      <c r="F469" t="s">
        <v>456</v>
      </c>
    </row>
    <row r="470" spans="1:6" x14ac:dyDescent="0.3">
      <c r="A470" t="s">
        <v>5379</v>
      </c>
      <c r="B470" t="s">
        <v>4861</v>
      </c>
      <c r="C470" t="str">
        <f t="shared" si="14"/>
        <v>lubelskie_puławski</v>
      </c>
      <c r="D470" t="s">
        <v>4574</v>
      </c>
      <c r="E470" t="str">
        <f t="shared" si="15"/>
        <v>lubelskie_puławski_Puławy (gm. miejska)</v>
      </c>
      <c r="F470" t="s">
        <v>446</v>
      </c>
    </row>
    <row r="471" spans="1:6" x14ac:dyDescent="0.3">
      <c r="A471" t="s">
        <v>5379</v>
      </c>
      <c r="B471" t="s">
        <v>4861</v>
      </c>
      <c r="C471" t="str">
        <f t="shared" si="14"/>
        <v>lubelskie_puławski</v>
      </c>
      <c r="D471" t="s">
        <v>4575</v>
      </c>
      <c r="E471" t="str">
        <f t="shared" si="15"/>
        <v>lubelskie_puławski_Puławy (gm. wiejska)</v>
      </c>
      <c r="F471" t="s">
        <v>454</v>
      </c>
    </row>
    <row r="472" spans="1:6" x14ac:dyDescent="0.3">
      <c r="A472" t="s">
        <v>5379</v>
      </c>
      <c r="B472" t="s">
        <v>4862</v>
      </c>
      <c r="C472" t="str">
        <f t="shared" si="14"/>
        <v>lubelskie_radzyński</v>
      </c>
      <c r="D472" t="s">
        <v>2809</v>
      </c>
      <c r="E472" t="str">
        <f t="shared" si="15"/>
        <v>lubelskie_radzyński_Borki</v>
      </c>
      <c r="F472" t="s">
        <v>458</v>
      </c>
    </row>
    <row r="473" spans="1:6" x14ac:dyDescent="0.3">
      <c r="A473" t="s">
        <v>5379</v>
      </c>
      <c r="B473" t="s">
        <v>4862</v>
      </c>
      <c r="C473" t="str">
        <f t="shared" si="14"/>
        <v>lubelskie_radzyński</v>
      </c>
      <c r="D473" t="s">
        <v>2810</v>
      </c>
      <c r="E473" t="str">
        <f t="shared" si="15"/>
        <v>lubelskie_radzyński_Czemierniki</v>
      </c>
      <c r="F473" t="s">
        <v>5490</v>
      </c>
    </row>
    <row r="474" spans="1:6" x14ac:dyDescent="0.3">
      <c r="A474" t="s">
        <v>5379</v>
      </c>
      <c r="B474" t="s">
        <v>4862</v>
      </c>
      <c r="C474" t="str">
        <f t="shared" si="14"/>
        <v>lubelskie_radzyński</v>
      </c>
      <c r="D474" t="s">
        <v>2811</v>
      </c>
      <c r="E474" t="str">
        <f t="shared" si="15"/>
        <v>lubelskie_radzyński_Kąkolewnica</v>
      </c>
      <c r="F474" t="s">
        <v>460</v>
      </c>
    </row>
    <row r="475" spans="1:6" x14ac:dyDescent="0.3">
      <c r="A475" t="s">
        <v>5379</v>
      </c>
      <c r="B475" t="s">
        <v>4862</v>
      </c>
      <c r="C475" t="str">
        <f t="shared" si="14"/>
        <v>lubelskie_radzyński</v>
      </c>
      <c r="D475" t="s">
        <v>2812</v>
      </c>
      <c r="E475" t="str">
        <f t="shared" si="15"/>
        <v>lubelskie_radzyński_Komarówka Podlaska</v>
      </c>
      <c r="F475" t="s">
        <v>461</v>
      </c>
    </row>
    <row r="476" spans="1:6" x14ac:dyDescent="0.3">
      <c r="A476" t="s">
        <v>5379</v>
      </c>
      <c r="B476" t="s">
        <v>4862</v>
      </c>
      <c r="C476" t="str">
        <f t="shared" si="14"/>
        <v>lubelskie_radzyński</v>
      </c>
      <c r="D476" t="s">
        <v>2813</v>
      </c>
      <c r="E476" t="str">
        <f t="shared" si="15"/>
        <v>lubelskie_radzyński_Ulan-Majorat</v>
      </c>
      <c r="F476" t="s">
        <v>463</v>
      </c>
    </row>
    <row r="477" spans="1:6" x14ac:dyDescent="0.3">
      <c r="A477" t="s">
        <v>5379</v>
      </c>
      <c r="B477" t="s">
        <v>4862</v>
      </c>
      <c r="C477" t="str">
        <f t="shared" si="14"/>
        <v>lubelskie_radzyński</v>
      </c>
      <c r="D477" t="s">
        <v>2814</v>
      </c>
      <c r="E477" t="str">
        <f t="shared" si="15"/>
        <v>lubelskie_radzyński_Wohyń</v>
      </c>
      <c r="F477" t="s">
        <v>464</v>
      </c>
    </row>
    <row r="478" spans="1:6" x14ac:dyDescent="0.3">
      <c r="A478" t="s">
        <v>5379</v>
      </c>
      <c r="B478" t="s">
        <v>4862</v>
      </c>
      <c r="C478" t="str">
        <f t="shared" si="14"/>
        <v>lubelskie_radzyński</v>
      </c>
      <c r="D478" t="s">
        <v>4576</v>
      </c>
      <c r="E478" t="str">
        <f t="shared" si="15"/>
        <v>lubelskie_radzyński_Radzyń Podlaski (gm. miejska)</v>
      </c>
      <c r="F478" t="s">
        <v>457</v>
      </c>
    </row>
    <row r="479" spans="1:6" x14ac:dyDescent="0.3">
      <c r="A479" t="s">
        <v>5379</v>
      </c>
      <c r="B479" t="s">
        <v>4862</v>
      </c>
      <c r="C479" t="str">
        <f t="shared" si="14"/>
        <v>lubelskie_radzyński</v>
      </c>
      <c r="D479" t="s">
        <v>4577</v>
      </c>
      <c r="E479" t="str">
        <f t="shared" si="15"/>
        <v>lubelskie_radzyński_Radzyń Podlaski (gm. wiejska)</v>
      </c>
      <c r="F479" t="s">
        <v>462</v>
      </c>
    </row>
    <row r="480" spans="1:6" x14ac:dyDescent="0.3">
      <c r="A480" t="s">
        <v>5379</v>
      </c>
      <c r="B480" t="s">
        <v>4863</v>
      </c>
      <c r="C480" t="str">
        <f t="shared" si="14"/>
        <v>lubelskie_rycki</v>
      </c>
      <c r="D480" t="s">
        <v>2815</v>
      </c>
      <c r="E480" t="str">
        <f t="shared" si="15"/>
        <v>lubelskie_rycki_Dęblin</v>
      </c>
      <c r="F480" t="s">
        <v>465</v>
      </c>
    </row>
    <row r="481" spans="1:6" x14ac:dyDescent="0.3">
      <c r="A481" t="s">
        <v>5379</v>
      </c>
      <c r="B481" t="s">
        <v>4863</v>
      </c>
      <c r="C481" t="str">
        <f t="shared" si="14"/>
        <v>lubelskie_rycki</v>
      </c>
      <c r="D481" t="s">
        <v>2816</v>
      </c>
      <c r="E481" t="str">
        <f t="shared" si="15"/>
        <v>lubelskie_rycki_Kłoczew</v>
      </c>
      <c r="F481" t="s">
        <v>466</v>
      </c>
    </row>
    <row r="482" spans="1:6" x14ac:dyDescent="0.3">
      <c r="A482" t="s">
        <v>5379</v>
      </c>
      <c r="B482" t="s">
        <v>4863</v>
      </c>
      <c r="C482" t="str">
        <f t="shared" si="14"/>
        <v>lubelskie_rycki</v>
      </c>
      <c r="D482" t="s">
        <v>2817</v>
      </c>
      <c r="E482" t="str">
        <f t="shared" si="15"/>
        <v>lubelskie_rycki_Nowodwór</v>
      </c>
      <c r="F482" t="s">
        <v>467</v>
      </c>
    </row>
    <row r="483" spans="1:6" x14ac:dyDescent="0.3">
      <c r="A483" t="s">
        <v>5379</v>
      </c>
      <c r="B483" t="s">
        <v>4863</v>
      </c>
      <c r="C483" t="str">
        <f t="shared" si="14"/>
        <v>lubelskie_rycki</v>
      </c>
      <c r="D483" t="s">
        <v>2818</v>
      </c>
      <c r="E483" t="str">
        <f t="shared" si="15"/>
        <v>lubelskie_rycki_Ryki</v>
      </c>
      <c r="F483" t="s">
        <v>468</v>
      </c>
    </row>
    <row r="484" spans="1:6" x14ac:dyDescent="0.3">
      <c r="A484" t="s">
        <v>5379</v>
      </c>
      <c r="B484" t="s">
        <v>4863</v>
      </c>
      <c r="C484" t="str">
        <f t="shared" si="14"/>
        <v>lubelskie_rycki</v>
      </c>
      <c r="D484" t="s">
        <v>2819</v>
      </c>
      <c r="E484" t="str">
        <f t="shared" si="15"/>
        <v>lubelskie_rycki_Stężyca</v>
      </c>
      <c r="F484" t="s">
        <v>469</v>
      </c>
    </row>
    <row r="485" spans="1:6" x14ac:dyDescent="0.3">
      <c r="A485" t="s">
        <v>5379</v>
      </c>
      <c r="B485" t="s">
        <v>4863</v>
      </c>
      <c r="C485" t="str">
        <f t="shared" si="14"/>
        <v>lubelskie_rycki</v>
      </c>
      <c r="D485" t="s">
        <v>2820</v>
      </c>
      <c r="E485" t="str">
        <f t="shared" si="15"/>
        <v>lubelskie_rycki_Ułęż</v>
      </c>
      <c r="F485" t="s">
        <v>470</v>
      </c>
    </row>
    <row r="486" spans="1:6" x14ac:dyDescent="0.3">
      <c r="A486" t="s">
        <v>5379</v>
      </c>
      <c r="B486" t="s">
        <v>4822</v>
      </c>
      <c r="C486" t="str">
        <f t="shared" si="14"/>
        <v>lubelskie_świdnicki</v>
      </c>
      <c r="D486" t="s">
        <v>2822</v>
      </c>
      <c r="E486" t="str">
        <f t="shared" si="15"/>
        <v>lubelskie_świdnicki_Mełgiew</v>
      </c>
      <c r="F486" t="s">
        <v>472</v>
      </c>
    </row>
    <row r="487" spans="1:6" x14ac:dyDescent="0.3">
      <c r="A487" t="s">
        <v>5379</v>
      </c>
      <c r="B487" t="s">
        <v>4822</v>
      </c>
      <c r="C487" t="str">
        <f t="shared" si="14"/>
        <v>lubelskie_świdnicki</v>
      </c>
      <c r="D487" t="s">
        <v>2823</v>
      </c>
      <c r="E487" t="str">
        <f t="shared" si="15"/>
        <v>lubelskie_świdnicki_Piaski</v>
      </c>
      <c r="F487" t="s">
        <v>473</v>
      </c>
    </row>
    <row r="488" spans="1:6" x14ac:dyDescent="0.3">
      <c r="A488" t="s">
        <v>5379</v>
      </c>
      <c r="B488" t="s">
        <v>4822</v>
      </c>
      <c r="C488" t="str">
        <f t="shared" si="14"/>
        <v>lubelskie_świdnicki</v>
      </c>
      <c r="D488" t="s">
        <v>2824</v>
      </c>
      <c r="E488" t="str">
        <f t="shared" si="15"/>
        <v>lubelskie_świdnicki_Rybczewice</v>
      </c>
      <c r="F488" t="s">
        <v>474</v>
      </c>
    </row>
    <row r="489" spans="1:6" x14ac:dyDescent="0.3">
      <c r="A489" t="s">
        <v>5379</v>
      </c>
      <c r="B489" t="s">
        <v>4822</v>
      </c>
      <c r="C489" t="str">
        <f t="shared" si="14"/>
        <v>lubelskie_świdnicki</v>
      </c>
      <c r="D489" t="s">
        <v>2821</v>
      </c>
      <c r="E489" t="str">
        <f t="shared" si="15"/>
        <v>lubelskie_świdnicki_Świdnik</v>
      </c>
      <c r="F489" t="s">
        <v>471</v>
      </c>
    </row>
    <row r="490" spans="1:6" x14ac:dyDescent="0.3">
      <c r="A490" t="s">
        <v>5379</v>
      </c>
      <c r="B490" t="s">
        <v>4822</v>
      </c>
      <c r="C490" t="str">
        <f t="shared" si="14"/>
        <v>lubelskie_świdnicki</v>
      </c>
      <c r="D490" t="s">
        <v>2825</v>
      </c>
      <c r="E490" t="str">
        <f t="shared" si="15"/>
        <v>lubelskie_świdnicki_Trawniki</v>
      </c>
      <c r="F490" t="s">
        <v>475</v>
      </c>
    </row>
    <row r="491" spans="1:6" x14ac:dyDescent="0.3">
      <c r="A491" t="s">
        <v>5379</v>
      </c>
      <c r="B491" t="s">
        <v>4864</v>
      </c>
      <c r="C491" t="str">
        <f t="shared" si="14"/>
        <v>lubelskie_tomaszowski</v>
      </c>
      <c r="D491" t="s">
        <v>2826</v>
      </c>
      <c r="E491" t="str">
        <f t="shared" si="15"/>
        <v>lubelskie_tomaszowski_Bełżec</v>
      </c>
      <c r="F491" t="s">
        <v>477</v>
      </c>
    </row>
    <row r="492" spans="1:6" x14ac:dyDescent="0.3">
      <c r="A492" t="s">
        <v>5379</v>
      </c>
      <c r="B492" t="s">
        <v>4864</v>
      </c>
      <c r="C492" t="str">
        <f t="shared" si="14"/>
        <v>lubelskie_tomaszowski</v>
      </c>
      <c r="D492" t="s">
        <v>2827</v>
      </c>
      <c r="E492" t="str">
        <f t="shared" si="15"/>
        <v>lubelskie_tomaszowski_Jarczów</v>
      </c>
      <c r="F492" t="s">
        <v>478</v>
      </c>
    </row>
    <row r="493" spans="1:6" x14ac:dyDescent="0.3">
      <c r="A493" t="s">
        <v>5379</v>
      </c>
      <c r="B493" t="s">
        <v>4864</v>
      </c>
      <c r="C493" t="str">
        <f t="shared" si="14"/>
        <v>lubelskie_tomaszowski</v>
      </c>
      <c r="D493" t="s">
        <v>2828</v>
      </c>
      <c r="E493" t="str">
        <f t="shared" si="15"/>
        <v>lubelskie_tomaszowski_Krynice</v>
      </c>
      <c r="F493" t="s">
        <v>479</v>
      </c>
    </row>
    <row r="494" spans="1:6" x14ac:dyDescent="0.3">
      <c r="A494" t="s">
        <v>5379</v>
      </c>
      <c r="B494" t="s">
        <v>4864</v>
      </c>
      <c r="C494" t="str">
        <f t="shared" si="14"/>
        <v>lubelskie_tomaszowski</v>
      </c>
      <c r="D494" t="s">
        <v>2829</v>
      </c>
      <c r="E494" t="str">
        <f t="shared" si="15"/>
        <v>lubelskie_tomaszowski_Lubycza Królewska</v>
      </c>
      <c r="F494" t="s">
        <v>5413</v>
      </c>
    </row>
    <row r="495" spans="1:6" x14ac:dyDescent="0.3">
      <c r="A495" t="s">
        <v>5379</v>
      </c>
      <c r="B495" t="s">
        <v>4864</v>
      </c>
      <c r="C495" t="str">
        <f t="shared" si="14"/>
        <v>lubelskie_tomaszowski</v>
      </c>
      <c r="D495" t="s">
        <v>2830</v>
      </c>
      <c r="E495" t="str">
        <f t="shared" si="15"/>
        <v>lubelskie_tomaszowski_Łaszczów</v>
      </c>
      <c r="F495" t="s">
        <v>5163</v>
      </c>
    </row>
    <row r="496" spans="1:6" x14ac:dyDescent="0.3">
      <c r="A496" t="s">
        <v>5379</v>
      </c>
      <c r="B496" t="s">
        <v>4864</v>
      </c>
      <c r="C496" t="str">
        <f t="shared" si="14"/>
        <v>lubelskie_tomaszowski</v>
      </c>
      <c r="D496" t="s">
        <v>2831</v>
      </c>
      <c r="E496" t="str">
        <f t="shared" si="15"/>
        <v>lubelskie_tomaszowski_Rachanie</v>
      </c>
      <c r="F496" t="s">
        <v>480</v>
      </c>
    </row>
    <row r="497" spans="1:6" x14ac:dyDescent="0.3">
      <c r="A497" t="s">
        <v>5379</v>
      </c>
      <c r="B497" t="s">
        <v>4864</v>
      </c>
      <c r="C497" t="str">
        <f t="shared" si="14"/>
        <v>lubelskie_tomaszowski</v>
      </c>
      <c r="D497" t="s">
        <v>2832</v>
      </c>
      <c r="E497" t="str">
        <f t="shared" si="15"/>
        <v>lubelskie_tomaszowski_Susiec</v>
      </c>
      <c r="F497" t="s">
        <v>481</v>
      </c>
    </row>
    <row r="498" spans="1:6" x14ac:dyDescent="0.3">
      <c r="A498" t="s">
        <v>5379</v>
      </c>
      <c r="B498" t="s">
        <v>4864</v>
      </c>
      <c r="C498" t="str">
        <f t="shared" si="14"/>
        <v>lubelskie_tomaszowski</v>
      </c>
      <c r="D498" t="s">
        <v>2833</v>
      </c>
      <c r="E498" t="str">
        <f t="shared" si="15"/>
        <v>lubelskie_tomaszowski_Tarnawatka</v>
      </c>
      <c r="F498" t="s">
        <v>482</v>
      </c>
    </row>
    <row r="499" spans="1:6" x14ac:dyDescent="0.3">
      <c r="A499" t="s">
        <v>5379</v>
      </c>
      <c r="B499" t="s">
        <v>4864</v>
      </c>
      <c r="C499" t="str">
        <f t="shared" si="14"/>
        <v>lubelskie_tomaszowski</v>
      </c>
      <c r="D499" t="s">
        <v>2834</v>
      </c>
      <c r="E499" t="str">
        <f t="shared" si="15"/>
        <v>lubelskie_tomaszowski_Telatyn</v>
      </c>
      <c r="F499" t="s">
        <v>483</v>
      </c>
    </row>
    <row r="500" spans="1:6" x14ac:dyDescent="0.3">
      <c r="A500" t="s">
        <v>5379</v>
      </c>
      <c r="B500" t="s">
        <v>4864</v>
      </c>
      <c r="C500" t="str">
        <f t="shared" si="14"/>
        <v>lubelskie_tomaszowski</v>
      </c>
      <c r="D500" t="s">
        <v>2835</v>
      </c>
      <c r="E500" t="str">
        <f t="shared" si="15"/>
        <v>lubelskie_tomaszowski_Tyszowce</v>
      </c>
      <c r="F500" t="s">
        <v>485</v>
      </c>
    </row>
    <row r="501" spans="1:6" x14ac:dyDescent="0.3">
      <c r="A501" t="s">
        <v>5379</v>
      </c>
      <c r="B501" t="s">
        <v>4864</v>
      </c>
      <c r="C501" t="str">
        <f t="shared" si="14"/>
        <v>lubelskie_tomaszowski</v>
      </c>
      <c r="D501" t="s">
        <v>2836</v>
      </c>
      <c r="E501" t="str">
        <f t="shared" si="15"/>
        <v>lubelskie_tomaszowski_Ulhówek</v>
      </c>
      <c r="F501" t="s">
        <v>486</v>
      </c>
    </row>
    <row r="502" spans="1:6" x14ac:dyDescent="0.3">
      <c r="A502" t="s">
        <v>5379</v>
      </c>
      <c r="B502" t="s">
        <v>4864</v>
      </c>
      <c r="C502" t="str">
        <f t="shared" si="14"/>
        <v>lubelskie_tomaszowski</v>
      </c>
      <c r="D502" t="s">
        <v>4578</v>
      </c>
      <c r="E502" t="str">
        <f t="shared" si="15"/>
        <v>lubelskie_tomaszowski_Tomaszów Lubelski (gm. miejska)</v>
      </c>
      <c r="F502" t="s">
        <v>476</v>
      </c>
    </row>
    <row r="503" spans="1:6" x14ac:dyDescent="0.3">
      <c r="A503" t="s">
        <v>5379</v>
      </c>
      <c r="B503" t="s">
        <v>4864</v>
      </c>
      <c r="C503" t="str">
        <f t="shared" si="14"/>
        <v>lubelskie_tomaszowski</v>
      </c>
      <c r="D503" t="s">
        <v>4579</v>
      </c>
      <c r="E503" t="str">
        <f t="shared" si="15"/>
        <v>lubelskie_tomaszowski_Tomaszów Lubelski (gm. wiejska)</v>
      </c>
      <c r="F503" t="s">
        <v>484</v>
      </c>
    </row>
    <row r="504" spans="1:6" x14ac:dyDescent="0.3">
      <c r="A504" t="s">
        <v>5379</v>
      </c>
      <c r="B504" t="s">
        <v>4865</v>
      </c>
      <c r="C504" t="str">
        <f t="shared" si="14"/>
        <v>lubelskie_włodawski</v>
      </c>
      <c r="D504" t="s">
        <v>2837</v>
      </c>
      <c r="E504" t="str">
        <f t="shared" si="15"/>
        <v>lubelskie_włodawski_Hanna</v>
      </c>
      <c r="F504" t="s">
        <v>488</v>
      </c>
    </row>
    <row r="505" spans="1:6" x14ac:dyDescent="0.3">
      <c r="A505" t="s">
        <v>5379</v>
      </c>
      <c r="B505" t="s">
        <v>4865</v>
      </c>
      <c r="C505" t="str">
        <f t="shared" si="14"/>
        <v>lubelskie_włodawski</v>
      </c>
      <c r="D505" t="s">
        <v>2838</v>
      </c>
      <c r="E505" t="str">
        <f t="shared" si="15"/>
        <v>lubelskie_włodawski_Hańsk</v>
      </c>
      <c r="F505" t="s">
        <v>489</v>
      </c>
    </row>
    <row r="506" spans="1:6" x14ac:dyDescent="0.3">
      <c r="A506" t="s">
        <v>5379</v>
      </c>
      <c r="B506" t="s">
        <v>4865</v>
      </c>
      <c r="C506" t="str">
        <f t="shared" si="14"/>
        <v>lubelskie_włodawski</v>
      </c>
      <c r="D506" t="s">
        <v>2839</v>
      </c>
      <c r="E506" t="str">
        <f t="shared" si="15"/>
        <v>lubelskie_włodawski_Stary Brus</v>
      </c>
      <c r="F506" t="s">
        <v>490</v>
      </c>
    </row>
    <row r="507" spans="1:6" x14ac:dyDescent="0.3">
      <c r="A507" t="s">
        <v>5379</v>
      </c>
      <c r="B507" t="s">
        <v>4865</v>
      </c>
      <c r="C507" t="str">
        <f t="shared" si="14"/>
        <v>lubelskie_włodawski</v>
      </c>
      <c r="D507" t="s">
        <v>2840</v>
      </c>
      <c r="E507" t="str">
        <f t="shared" si="15"/>
        <v>lubelskie_włodawski_Urszulin</v>
      </c>
      <c r="F507" t="s">
        <v>491</v>
      </c>
    </row>
    <row r="508" spans="1:6" x14ac:dyDescent="0.3">
      <c r="A508" t="s">
        <v>5379</v>
      </c>
      <c r="B508" t="s">
        <v>4865</v>
      </c>
      <c r="C508" t="str">
        <f t="shared" si="14"/>
        <v>lubelskie_włodawski</v>
      </c>
      <c r="D508" t="s">
        <v>2841</v>
      </c>
      <c r="E508" t="str">
        <f t="shared" si="15"/>
        <v>lubelskie_włodawski_Wola Uhruska</v>
      </c>
      <c r="F508" t="s">
        <v>493</v>
      </c>
    </row>
    <row r="509" spans="1:6" x14ac:dyDescent="0.3">
      <c r="A509" t="s">
        <v>5379</v>
      </c>
      <c r="B509" t="s">
        <v>4865</v>
      </c>
      <c r="C509" t="str">
        <f t="shared" si="14"/>
        <v>lubelskie_włodawski</v>
      </c>
      <c r="D509" t="s">
        <v>2842</v>
      </c>
      <c r="E509" t="str">
        <f t="shared" si="15"/>
        <v>lubelskie_włodawski_Wyryki</v>
      </c>
      <c r="F509" t="s">
        <v>494</v>
      </c>
    </row>
    <row r="510" spans="1:6" x14ac:dyDescent="0.3">
      <c r="A510" t="s">
        <v>5379</v>
      </c>
      <c r="B510" t="s">
        <v>4865</v>
      </c>
      <c r="C510" t="str">
        <f t="shared" si="14"/>
        <v>lubelskie_włodawski</v>
      </c>
      <c r="D510" t="s">
        <v>4580</v>
      </c>
      <c r="E510" t="str">
        <f t="shared" si="15"/>
        <v>lubelskie_włodawski_Włodawa (gm. miejska)</v>
      </c>
      <c r="F510" t="s">
        <v>487</v>
      </c>
    </row>
    <row r="511" spans="1:6" x14ac:dyDescent="0.3">
      <c r="A511" t="s">
        <v>5379</v>
      </c>
      <c r="B511" t="s">
        <v>4865</v>
      </c>
      <c r="C511" t="str">
        <f t="shared" si="14"/>
        <v>lubelskie_włodawski</v>
      </c>
      <c r="D511" t="s">
        <v>4581</v>
      </c>
      <c r="E511" t="str">
        <f t="shared" si="15"/>
        <v>lubelskie_włodawski_Włodawa (gm. wiejska)</v>
      </c>
      <c r="F511" t="s">
        <v>492</v>
      </c>
    </row>
    <row r="512" spans="1:6" x14ac:dyDescent="0.3">
      <c r="A512" t="s">
        <v>5379</v>
      </c>
      <c r="B512" t="s">
        <v>4866</v>
      </c>
      <c r="C512" t="str">
        <f t="shared" si="14"/>
        <v>lubelskie_zamojski</v>
      </c>
      <c r="D512" t="s">
        <v>2779</v>
      </c>
      <c r="E512" t="str">
        <f t="shared" si="15"/>
        <v>lubelskie_zamojski_Adamów</v>
      </c>
      <c r="F512" t="s">
        <v>495</v>
      </c>
    </row>
    <row r="513" spans="1:6" x14ac:dyDescent="0.3">
      <c r="A513" t="s">
        <v>5379</v>
      </c>
      <c r="B513" t="s">
        <v>4866</v>
      </c>
      <c r="C513" t="str">
        <f t="shared" ref="C513:C576" si="16">CONCATENATE(A513,"_",B513)</f>
        <v>lubelskie_zamojski</v>
      </c>
      <c r="D513" t="s">
        <v>2843</v>
      </c>
      <c r="E513" t="str">
        <f t="shared" ref="E513:E576" si="17">C513&amp;"_"&amp;D513</f>
        <v>lubelskie_zamojski_Grabowiec</v>
      </c>
      <c r="F513" t="s">
        <v>496</v>
      </c>
    </row>
    <row r="514" spans="1:6" x14ac:dyDescent="0.3">
      <c r="A514" t="s">
        <v>5379</v>
      </c>
      <c r="B514" t="s">
        <v>4866</v>
      </c>
      <c r="C514" t="str">
        <f t="shared" si="16"/>
        <v>lubelskie_zamojski</v>
      </c>
      <c r="D514" t="s">
        <v>2844</v>
      </c>
      <c r="E514" t="str">
        <f t="shared" si="17"/>
        <v>lubelskie_zamojski_Komarów-Osada</v>
      </c>
      <c r="F514" t="s">
        <v>497</v>
      </c>
    </row>
    <row r="515" spans="1:6" x14ac:dyDescent="0.3">
      <c r="A515" t="s">
        <v>5379</v>
      </c>
      <c r="B515" t="s">
        <v>4866</v>
      </c>
      <c r="C515" t="str">
        <f t="shared" si="16"/>
        <v>lubelskie_zamojski</v>
      </c>
      <c r="D515" t="s">
        <v>2845</v>
      </c>
      <c r="E515" t="str">
        <f t="shared" si="17"/>
        <v>lubelskie_zamojski_Krasnobród</v>
      </c>
      <c r="F515" t="s">
        <v>498</v>
      </c>
    </row>
    <row r="516" spans="1:6" x14ac:dyDescent="0.3">
      <c r="A516" t="s">
        <v>5379</v>
      </c>
      <c r="B516" t="s">
        <v>4866</v>
      </c>
      <c r="C516" t="str">
        <f t="shared" si="16"/>
        <v>lubelskie_zamojski</v>
      </c>
      <c r="D516" t="s">
        <v>2846</v>
      </c>
      <c r="E516" t="str">
        <f t="shared" si="17"/>
        <v>lubelskie_zamojski_Łabunie</v>
      </c>
      <c r="F516" t="s">
        <v>499</v>
      </c>
    </row>
    <row r="517" spans="1:6" x14ac:dyDescent="0.3">
      <c r="A517" t="s">
        <v>5379</v>
      </c>
      <c r="B517" t="s">
        <v>4866</v>
      </c>
      <c r="C517" t="str">
        <f t="shared" si="16"/>
        <v>lubelskie_zamojski</v>
      </c>
      <c r="D517" t="s">
        <v>2847</v>
      </c>
      <c r="E517" t="str">
        <f t="shared" si="17"/>
        <v>lubelskie_zamojski_Miączyn</v>
      </c>
      <c r="F517" t="s">
        <v>500</v>
      </c>
    </row>
    <row r="518" spans="1:6" x14ac:dyDescent="0.3">
      <c r="A518" t="s">
        <v>5379</v>
      </c>
      <c r="B518" t="s">
        <v>4866</v>
      </c>
      <c r="C518" t="str">
        <f t="shared" si="16"/>
        <v>lubelskie_zamojski</v>
      </c>
      <c r="D518" t="s">
        <v>2848</v>
      </c>
      <c r="E518" t="str">
        <f t="shared" si="17"/>
        <v>lubelskie_zamojski_Nielisz</v>
      </c>
      <c r="F518" t="s">
        <v>501</v>
      </c>
    </row>
    <row r="519" spans="1:6" x14ac:dyDescent="0.3">
      <c r="A519" t="s">
        <v>5379</v>
      </c>
      <c r="B519" t="s">
        <v>4866</v>
      </c>
      <c r="C519" t="str">
        <f t="shared" si="16"/>
        <v>lubelskie_zamojski</v>
      </c>
      <c r="D519" t="s">
        <v>2849</v>
      </c>
      <c r="E519" t="str">
        <f t="shared" si="17"/>
        <v>lubelskie_zamojski_Radecznica</v>
      </c>
      <c r="F519" t="s">
        <v>502</v>
      </c>
    </row>
    <row r="520" spans="1:6" x14ac:dyDescent="0.3">
      <c r="A520" t="s">
        <v>5379</v>
      </c>
      <c r="B520" t="s">
        <v>4866</v>
      </c>
      <c r="C520" t="str">
        <f t="shared" si="16"/>
        <v>lubelskie_zamojski</v>
      </c>
      <c r="D520" t="s">
        <v>2850</v>
      </c>
      <c r="E520" t="str">
        <f t="shared" si="17"/>
        <v>lubelskie_zamojski_Sitno</v>
      </c>
      <c r="F520" t="s">
        <v>503</v>
      </c>
    </row>
    <row r="521" spans="1:6" x14ac:dyDescent="0.3">
      <c r="A521" t="s">
        <v>5379</v>
      </c>
      <c r="B521" t="s">
        <v>4866</v>
      </c>
      <c r="C521" t="str">
        <f t="shared" si="16"/>
        <v>lubelskie_zamojski</v>
      </c>
      <c r="D521" t="s">
        <v>2851</v>
      </c>
      <c r="E521" t="str">
        <f t="shared" si="17"/>
        <v>lubelskie_zamojski_Skierbieszów</v>
      </c>
      <c r="F521" t="s">
        <v>504</v>
      </c>
    </row>
    <row r="522" spans="1:6" x14ac:dyDescent="0.3">
      <c r="A522" t="s">
        <v>5379</v>
      </c>
      <c r="B522" t="s">
        <v>4866</v>
      </c>
      <c r="C522" t="str">
        <f t="shared" si="16"/>
        <v>lubelskie_zamojski</v>
      </c>
      <c r="D522" t="s">
        <v>2852</v>
      </c>
      <c r="E522" t="str">
        <f t="shared" si="17"/>
        <v>lubelskie_zamojski_Stary Zamość</v>
      </c>
      <c r="F522" t="s">
        <v>505</v>
      </c>
    </row>
    <row r="523" spans="1:6" x14ac:dyDescent="0.3">
      <c r="A523" t="s">
        <v>5379</v>
      </c>
      <c r="B523" t="s">
        <v>4866</v>
      </c>
      <c r="C523" t="str">
        <f t="shared" si="16"/>
        <v>lubelskie_zamojski</v>
      </c>
      <c r="D523" t="s">
        <v>2853</v>
      </c>
      <c r="E523" t="str">
        <f t="shared" si="17"/>
        <v>lubelskie_zamojski_Sułów</v>
      </c>
      <c r="F523" t="s">
        <v>506</v>
      </c>
    </row>
    <row r="524" spans="1:6" x14ac:dyDescent="0.3">
      <c r="A524" t="s">
        <v>5379</v>
      </c>
      <c r="B524" t="s">
        <v>4866</v>
      </c>
      <c r="C524" t="str">
        <f t="shared" si="16"/>
        <v>lubelskie_zamojski</v>
      </c>
      <c r="D524" t="s">
        <v>2854</v>
      </c>
      <c r="E524" t="str">
        <f t="shared" si="17"/>
        <v>lubelskie_zamojski_Szczebrzeszyn</v>
      </c>
      <c r="F524" t="s">
        <v>507</v>
      </c>
    </row>
    <row r="525" spans="1:6" x14ac:dyDescent="0.3">
      <c r="A525" t="s">
        <v>5379</v>
      </c>
      <c r="B525" t="s">
        <v>4866</v>
      </c>
      <c r="C525" t="str">
        <f t="shared" si="16"/>
        <v>lubelskie_zamojski</v>
      </c>
      <c r="D525" t="s">
        <v>2855</v>
      </c>
      <c r="E525" t="str">
        <f t="shared" si="17"/>
        <v>lubelskie_zamojski_Zamość</v>
      </c>
      <c r="F525" t="s">
        <v>508</v>
      </c>
    </row>
    <row r="526" spans="1:6" x14ac:dyDescent="0.3">
      <c r="A526" t="s">
        <v>5379</v>
      </c>
      <c r="B526" t="s">
        <v>4866</v>
      </c>
      <c r="C526" t="str">
        <f t="shared" si="16"/>
        <v>lubelskie_zamojski</v>
      </c>
      <c r="D526" t="s">
        <v>2856</v>
      </c>
      <c r="E526" t="str">
        <f t="shared" si="17"/>
        <v>lubelskie_zamojski_Zwierzyniec</v>
      </c>
      <c r="F526" t="s">
        <v>509</v>
      </c>
    </row>
    <row r="527" spans="1:6" x14ac:dyDescent="0.3">
      <c r="A527" t="s">
        <v>5379</v>
      </c>
      <c r="B527" t="s">
        <v>2855</v>
      </c>
      <c r="C527" t="str">
        <f t="shared" si="16"/>
        <v>lubelskie_Zamość</v>
      </c>
      <c r="D527" t="s">
        <v>2855</v>
      </c>
      <c r="E527" t="str">
        <f t="shared" si="17"/>
        <v>lubelskie_Zamość_Zamość</v>
      </c>
      <c r="F527" t="s">
        <v>513</v>
      </c>
    </row>
    <row r="528" spans="1:6" x14ac:dyDescent="0.3">
      <c r="A528" t="s">
        <v>5387</v>
      </c>
      <c r="B528" t="s">
        <v>4867</v>
      </c>
      <c r="C528" t="str">
        <f t="shared" si="16"/>
        <v>lubuskie_gorzowski</v>
      </c>
      <c r="D528" t="s">
        <v>2859</v>
      </c>
      <c r="E528" t="str">
        <f t="shared" si="17"/>
        <v>lubuskie_gorzowski_Bogdaniec</v>
      </c>
      <c r="F528" t="s">
        <v>515</v>
      </c>
    </row>
    <row r="529" spans="1:6" x14ac:dyDescent="0.3">
      <c r="A529" t="s">
        <v>5387</v>
      </c>
      <c r="B529" t="s">
        <v>4867</v>
      </c>
      <c r="C529" t="str">
        <f t="shared" si="16"/>
        <v>lubuskie_gorzowski</v>
      </c>
      <c r="D529" t="s">
        <v>2860</v>
      </c>
      <c r="E529" t="str">
        <f t="shared" si="17"/>
        <v>lubuskie_gorzowski_Deszczno</v>
      </c>
      <c r="F529" t="s">
        <v>516</v>
      </c>
    </row>
    <row r="530" spans="1:6" x14ac:dyDescent="0.3">
      <c r="A530" t="s">
        <v>5387</v>
      </c>
      <c r="B530" t="s">
        <v>4867</v>
      </c>
      <c r="C530" t="str">
        <f t="shared" si="16"/>
        <v>lubuskie_gorzowski</v>
      </c>
      <c r="D530" t="s">
        <v>2861</v>
      </c>
      <c r="E530" t="str">
        <f t="shared" si="17"/>
        <v>lubuskie_gorzowski_Kłodawa</v>
      </c>
      <c r="F530" t="s">
        <v>517</v>
      </c>
    </row>
    <row r="531" spans="1:6" x14ac:dyDescent="0.3">
      <c r="A531" t="s">
        <v>5387</v>
      </c>
      <c r="B531" t="s">
        <v>4867</v>
      </c>
      <c r="C531" t="str">
        <f t="shared" si="16"/>
        <v>lubuskie_gorzowski</v>
      </c>
      <c r="D531" t="s">
        <v>2858</v>
      </c>
      <c r="E531" t="str">
        <f t="shared" si="17"/>
        <v>lubuskie_gorzowski_Kostrzyn nad Odrą</v>
      </c>
      <c r="F531" t="s">
        <v>514</v>
      </c>
    </row>
    <row r="532" spans="1:6" x14ac:dyDescent="0.3">
      <c r="A532" t="s">
        <v>5387</v>
      </c>
      <c r="B532" t="s">
        <v>4867</v>
      </c>
      <c r="C532" t="str">
        <f t="shared" si="16"/>
        <v>lubuskie_gorzowski</v>
      </c>
      <c r="D532" t="s">
        <v>2862</v>
      </c>
      <c r="E532" t="str">
        <f t="shared" si="17"/>
        <v>lubuskie_gorzowski_Lubiszyn</v>
      </c>
      <c r="F532" t="s">
        <v>518</v>
      </c>
    </row>
    <row r="533" spans="1:6" x14ac:dyDescent="0.3">
      <c r="A533" t="s">
        <v>5387</v>
      </c>
      <c r="B533" t="s">
        <v>4867</v>
      </c>
      <c r="C533" t="str">
        <f t="shared" si="16"/>
        <v>lubuskie_gorzowski</v>
      </c>
      <c r="D533" t="s">
        <v>2863</v>
      </c>
      <c r="E533" t="str">
        <f t="shared" si="17"/>
        <v>lubuskie_gorzowski_Santok</v>
      </c>
      <c r="F533" t="s">
        <v>519</v>
      </c>
    </row>
    <row r="534" spans="1:6" x14ac:dyDescent="0.3">
      <c r="A534" t="s">
        <v>5387</v>
      </c>
      <c r="B534" t="s">
        <v>4867</v>
      </c>
      <c r="C534" t="str">
        <f t="shared" si="16"/>
        <v>lubuskie_gorzowski</v>
      </c>
      <c r="D534" t="s">
        <v>2864</v>
      </c>
      <c r="E534" t="str">
        <f t="shared" si="17"/>
        <v>lubuskie_gorzowski_Witnica</v>
      </c>
      <c r="F534" t="s">
        <v>520</v>
      </c>
    </row>
    <row r="535" spans="1:6" x14ac:dyDescent="0.3">
      <c r="A535" t="s">
        <v>5387</v>
      </c>
      <c r="B535" t="s">
        <v>2930</v>
      </c>
      <c r="C535" t="str">
        <f t="shared" si="16"/>
        <v>lubuskie_Gorzów Wielkopolski</v>
      </c>
      <c r="D535" t="s">
        <v>2930</v>
      </c>
      <c r="E535" t="str">
        <f t="shared" si="17"/>
        <v>lubuskie_Gorzów Wielkopolski_Gorzów Wielkopolski</v>
      </c>
      <c r="F535" t="s">
        <v>593</v>
      </c>
    </row>
    <row r="536" spans="1:6" x14ac:dyDescent="0.3">
      <c r="A536" t="s">
        <v>5387</v>
      </c>
      <c r="B536" t="s">
        <v>4868</v>
      </c>
      <c r="C536" t="str">
        <f t="shared" si="16"/>
        <v>lubuskie_krośnieński</v>
      </c>
      <c r="D536" t="s">
        <v>2865</v>
      </c>
      <c r="E536" t="str">
        <f t="shared" si="17"/>
        <v>lubuskie_krośnieński_Bobrowice</v>
      </c>
      <c r="F536" t="s">
        <v>522</v>
      </c>
    </row>
    <row r="537" spans="1:6" x14ac:dyDescent="0.3">
      <c r="A537" t="s">
        <v>5387</v>
      </c>
      <c r="B537" t="s">
        <v>4868</v>
      </c>
      <c r="C537" t="str">
        <f t="shared" si="16"/>
        <v>lubuskie_krośnieński</v>
      </c>
      <c r="D537" t="s">
        <v>2866</v>
      </c>
      <c r="E537" t="str">
        <f t="shared" si="17"/>
        <v>lubuskie_krośnieński_Bytnica</v>
      </c>
      <c r="F537" t="s">
        <v>523</v>
      </c>
    </row>
    <row r="538" spans="1:6" x14ac:dyDescent="0.3">
      <c r="A538" t="s">
        <v>5387</v>
      </c>
      <c r="B538" t="s">
        <v>4868</v>
      </c>
      <c r="C538" t="str">
        <f t="shared" si="16"/>
        <v>lubuskie_krośnieński</v>
      </c>
      <c r="D538" t="s">
        <v>2867</v>
      </c>
      <c r="E538" t="str">
        <f t="shared" si="17"/>
        <v>lubuskie_krośnieński_Dąbie</v>
      </c>
      <c r="F538" s="48" t="s">
        <v>524</v>
      </c>
    </row>
    <row r="539" spans="1:6" x14ac:dyDescent="0.3">
      <c r="A539" t="s">
        <v>5387</v>
      </c>
      <c r="B539" t="s">
        <v>4868</v>
      </c>
      <c r="C539" t="str">
        <f t="shared" si="16"/>
        <v>lubuskie_krośnieński</v>
      </c>
      <c r="D539" t="s">
        <v>2868</v>
      </c>
      <c r="E539" t="str">
        <f t="shared" si="17"/>
        <v>lubuskie_krośnieński_Krosno Odrzańskie</v>
      </c>
      <c r="F539" t="s">
        <v>526</v>
      </c>
    </row>
    <row r="540" spans="1:6" x14ac:dyDescent="0.3">
      <c r="A540" t="s">
        <v>5387</v>
      </c>
      <c r="B540" t="s">
        <v>4868</v>
      </c>
      <c r="C540" t="str">
        <f t="shared" si="16"/>
        <v>lubuskie_krośnieński</v>
      </c>
      <c r="D540" t="s">
        <v>2869</v>
      </c>
      <c r="E540" t="str">
        <f t="shared" si="17"/>
        <v>lubuskie_krośnieński_Maszewo</v>
      </c>
      <c r="F540" t="s">
        <v>527</v>
      </c>
    </row>
    <row r="541" spans="1:6" x14ac:dyDescent="0.3">
      <c r="A541" t="s">
        <v>5387</v>
      </c>
      <c r="B541" t="s">
        <v>4868</v>
      </c>
      <c r="C541" t="str">
        <f t="shared" si="16"/>
        <v>lubuskie_krośnieński</v>
      </c>
      <c r="D541" t="s">
        <v>4582</v>
      </c>
      <c r="E541" t="str">
        <f t="shared" si="17"/>
        <v>lubuskie_krośnieński_Gubin (gm. miejska)</v>
      </c>
      <c r="F541" t="s">
        <v>521</v>
      </c>
    </row>
    <row r="542" spans="1:6" x14ac:dyDescent="0.3">
      <c r="A542" t="s">
        <v>5387</v>
      </c>
      <c r="B542" t="s">
        <v>4868</v>
      </c>
      <c r="C542" t="str">
        <f t="shared" si="16"/>
        <v>lubuskie_krośnieński</v>
      </c>
      <c r="D542" t="s">
        <v>4583</v>
      </c>
      <c r="E542" t="str">
        <f t="shared" si="17"/>
        <v>lubuskie_krośnieński_Gubin (gm. wiejska)</v>
      </c>
      <c r="F542" t="s">
        <v>525</v>
      </c>
    </row>
    <row r="543" spans="1:6" x14ac:dyDescent="0.3">
      <c r="A543" t="s">
        <v>5387</v>
      </c>
      <c r="B543" t="s">
        <v>4869</v>
      </c>
      <c r="C543" t="str">
        <f t="shared" si="16"/>
        <v>lubuskie_międzyrzecki</v>
      </c>
      <c r="D543" t="s">
        <v>2870</v>
      </c>
      <c r="E543" t="str">
        <f t="shared" si="17"/>
        <v>lubuskie_międzyrzecki_Bledzew</v>
      </c>
      <c r="F543" t="s">
        <v>528</v>
      </c>
    </row>
    <row r="544" spans="1:6" x14ac:dyDescent="0.3">
      <c r="A544" t="s">
        <v>5387</v>
      </c>
      <c r="B544" t="s">
        <v>4869</v>
      </c>
      <c r="C544" t="str">
        <f t="shared" si="16"/>
        <v>lubuskie_międzyrzecki</v>
      </c>
      <c r="D544" t="s">
        <v>2871</v>
      </c>
      <c r="E544" t="str">
        <f t="shared" si="17"/>
        <v>lubuskie_międzyrzecki_Międzyrzecz</v>
      </c>
      <c r="F544" t="s">
        <v>529</v>
      </c>
    </row>
    <row r="545" spans="1:6" x14ac:dyDescent="0.3">
      <c r="A545" t="s">
        <v>5387</v>
      </c>
      <c r="B545" t="s">
        <v>4869</v>
      </c>
      <c r="C545" t="str">
        <f t="shared" si="16"/>
        <v>lubuskie_międzyrzecki</v>
      </c>
      <c r="D545" t="s">
        <v>2872</v>
      </c>
      <c r="E545" t="str">
        <f t="shared" si="17"/>
        <v>lubuskie_międzyrzecki_Przytoczna</v>
      </c>
      <c r="F545" t="s">
        <v>530</v>
      </c>
    </row>
    <row r="546" spans="1:6" x14ac:dyDescent="0.3">
      <c r="A546" t="s">
        <v>5387</v>
      </c>
      <c r="B546" t="s">
        <v>4869</v>
      </c>
      <c r="C546" t="str">
        <f t="shared" si="16"/>
        <v>lubuskie_międzyrzecki</v>
      </c>
      <c r="D546" t="s">
        <v>2873</v>
      </c>
      <c r="E546" t="str">
        <f t="shared" si="17"/>
        <v>lubuskie_międzyrzecki_Pszczew</v>
      </c>
      <c r="F546" t="s">
        <v>531</v>
      </c>
    </row>
    <row r="547" spans="1:6" x14ac:dyDescent="0.3">
      <c r="A547" t="s">
        <v>5387</v>
      </c>
      <c r="B547" t="s">
        <v>4869</v>
      </c>
      <c r="C547" t="str">
        <f t="shared" si="16"/>
        <v>lubuskie_międzyrzecki</v>
      </c>
      <c r="D547" t="s">
        <v>2874</v>
      </c>
      <c r="E547" t="str">
        <f t="shared" si="17"/>
        <v>lubuskie_międzyrzecki_Skwierzyna</v>
      </c>
      <c r="F547" t="s">
        <v>532</v>
      </c>
    </row>
    <row r="548" spans="1:6" x14ac:dyDescent="0.3">
      <c r="A548" t="s">
        <v>5387</v>
      </c>
      <c r="B548" t="s">
        <v>4869</v>
      </c>
      <c r="C548" t="str">
        <f t="shared" si="16"/>
        <v>lubuskie_międzyrzecki</v>
      </c>
      <c r="D548" t="s">
        <v>2875</v>
      </c>
      <c r="E548" t="str">
        <f t="shared" si="17"/>
        <v>lubuskie_międzyrzecki_Trzciel</v>
      </c>
      <c r="F548" t="s">
        <v>533</v>
      </c>
    </row>
    <row r="549" spans="1:6" x14ac:dyDescent="0.3">
      <c r="A549" t="s">
        <v>5387</v>
      </c>
      <c r="B549" t="s">
        <v>4870</v>
      </c>
      <c r="C549" t="str">
        <f t="shared" si="16"/>
        <v>lubuskie_nowosolski</v>
      </c>
      <c r="D549" t="s">
        <v>2876</v>
      </c>
      <c r="E549" t="str">
        <f t="shared" si="17"/>
        <v>lubuskie_nowosolski_Bytom Odrzański</v>
      </c>
      <c r="F549" t="s">
        <v>535</v>
      </c>
    </row>
    <row r="550" spans="1:6" x14ac:dyDescent="0.3">
      <c r="A550" t="s">
        <v>5387</v>
      </c>
      <c r="B550" t="s">
        <v>4870</v>
      </c>
      <c r="C550" t="str">
        <f t="shared" si="16"/>
        <v>lubuskie_nowosolski</v>
      </c>
      <c r="D550" t="s">
        <v>2877</v>
      </c>
      <c r="E550" t="str">
        <f t="shared" si="17"/>
        <v>lubuskie_nowosolski_Kolsko</v>
      </c>
      <c r="F550" t="s">
        <v>536</v>
      </c>
    </row>
    <row r="551" spans="1:6" x14ac:dyDescent="0.3">
      <c r="A551" t="s">
        <v>5387</v>
      </c>
      <c r="B551" t="s">
        <v>4870</v>
      </c>
      <c r="C551" t="str">
        <f t="shared" si="16"/>
        <v>lubuskie_nowosolski</v>
      </c>
      <c r="D551" t="s">
        <v>2878</v>
      </c>
      <c r="E551" t="str">
        <f t="shared" si="17"/>
        <v>lubuskie_nowosolski_Kożuchów</v>
      </c>
      <c r="F551" t="s">
        <v>537</v>
      </c>
    </row>
    <row r="552" spans="1:6" x14ac:dyDescent="0.3">
      <c r="A552" t="s">
        <v>5387</v>
      </c>
      <c r="B552" t="s">
        <v>4870</v>
      </c>
      <c r="C552" t="str">
        <f t="shared" si="16"/>
        <v>lubuskie_nowosolski</v>
      </c>
      <c r="D552" t="s">
        <v>2879</v>
      </c>
      <c r="E552" t="str">
        <f t="shared" si="17"/>
        <v>lubuskie_nowosolski_Nowe Miasteczko</v>
      </c>
      <c r="F552" t="s">
        <v>539</v>
      </c>
    </row>
    <row r="553" spans="1:6" x14ac:dyDescent="0.3">
      <c r="A553" t="s">
        <v>5387</v>
      </c>
      <c r="B553" t="s">
        <v>4870</v>
      </c>
      <c r="C553" t="str">
        <f t="shared" si="16"/>
        <v>lubuskie_nowosolski</v>
      </c>
      <c r="D553" t="s">
        <v>2880</v>
      </c>
      <c r="E553" t="str">
        <f t="shared" si="17"/>
        <v>lubuskie_nowosolski_Otyń</v>
      </c>
      <c r="F553" t="s">
        <v>5425</v>
      </c>
    </row>
    <row r="554" spans="1:6" x14ac:dyDescent="0.3">
      <c r="A554" t="s">
        <v>5387</v>
      </c>
      <c r="B554" t="s">
        <v>4870</v>
      </c>
      <c r="C554" t="str">
        <f t="shared" si="16"/>
        <v>lubuskie_nowosolski</v>
      </c>
      <c r="D554" t="s">
        <v>2881</v>
      </c>
      <c r="E554" t="str">
        <f t="shared" si="17"/>
        <v>lubuskie_nowosolski_Siedlisko</v>
      </c>
      <c r="F554" t="s">
        <v>540</v>
      </c>
    </row>
    <row r="555" spans="1:6" x14ac:dyDescent="0.3">
      <c r="A555" t="s">
        <v>5387</v>
      </c>
      <c r="B555" t="s">
        <v>4870</v>
      </c>
      <c r="C555" t="str">
        <f t="shared" si="16"/>
        <v>lubuskie_nowosolski</v>
      </c>
      <c r="D555" t="s">
        <v>4584</v>
      </c>
      <c r="E555" t="str">
        <f t="shared" si="17"/>
        <v>lubuskie_nowosolski_Nowa Sól (gm. miejska)</v>
      </c>
      <c r="F555" t="s">
        <v>534</v>
      </c>
    </row>
    <row r="556" spans="1:6" x14ac:dyDescent="0.3">
      <c r="A556" t="s">
        <v>5387</v>
      </c>
      <c r="B556" t="s">
        <v>4870</v>
      </c>
      <c r="C556" t="str">
        <f t="shared" si="16"/>
        <v>lubuskie_nowosolski</v>
      </c>
      <c r="D556" t="s">
        <v>4585</v>
      </c>
      <c r="E556" t="str">
        <f t="shared" si="17"/>
        <v>lubuskie_nowosolski_Nowa Sól (gm. wiejska)</v>
      </c>
      <c r="F556" t="s">
        <v>538</v>
      </c>
    </row>
    <row r="557" spans="1:6" x14ac:dyDescent="0.3">
      <c r="A557" t="s">
        <v>5387</v>
      </c>
      <c r="B557" t="s">
        <v>4871</v>
      </c>
      <c r="C557" t="str">
        <f t="shared" si="16"/>
        <v>lubuskie_słubicki</v>
      </c>
      <c r="D557" t="s">
        <v>2882</v>
      </c>
      <c r="E557" t="str">
        <f t="shared" si="17"/>
        <v>lubuskie_słubicki_Cybinka</v>
      </c>
      <c r="F557" t="s">
        <v>541</v>
      </c>
    </row>
    <row r="558" spans="1:6" x14ac:dyDescent="0.3">
      <c r="A558" t="s">
        <v>5387</v>
      </c>
      <c r="B558" t="s">
        <v>4871</v>
      </c>
      <c r="C558" t="str">
        <f t="shared" si="16"/>
        <v>lubuskie_słubicki</v>
      </c>
      <c r="D558" t="s">
        <v>2883</v>
      </c>
      <c r="E558" t="str">
        <f t="shared" si="17"/>
        <v>lubuskie_słubicki_Górzyca</v>
      </c>
      <c r="F558" t="s">
        <v>542</v>
      </c>
    </row>
    <row r="559" spans="1:6" x14ac:dyDescent="0.3">
      <c r="A559" t="s">
        <v>5387</v>
      </c>
      <c r="B559" t="s">
        <v>4871</v>
      </c>
      <c r="C559" t="str">
        <f t="shared" si="16"/>
        <v>lubuskie_słubicki</v>
      </c>
      <c r="D559" t="s">
        <v>2884</v>
      </c>
      <c r="E559" t="str">
        <f t="shared" si="17"/>
        <v>lubuskie_słubicki_Ośno Lubuskie</v>
      </c>
      <c r="F559" t="s">
        <v>543</v>
      </c>
    </row>
    <row r="560" spans="1:6" x14ac:dyDescent="0.3">
      <c r="A560" t="s">
        <v>5387</v>
      </c>
      <c r="B560" t="s">
        <v>4871</v>
      </c>
      <c r="C560" t="str">
        <f t="shared" si="16"/>
        <v>lubuskie_słubicki</v>
      </c>
      <c r="D560" t="s">
        <v>2885</v>
      </c>
      <c r="E560" t="str">
        <f t="shared" si="17"/>
        <v>lubuskie_słubicki_Rzepin</v>
      </c>
      <c r="F560" t="s">
        <v>544</v>
      </c>
    </row>
    <row r="561" spans="1:6" x14ac:dyDescent="0.3">
      <c r="A561" t="s">
        <v>5387</v>
      </c>
      <c r="B561" t="s">
        <v>4871</v>
      </c>
      <c r="C561" t="str">
        <f t="shared" si="16"/>
        <v>lubuskie_słubicki</v>
      </c>
      <c r="D561" t="s">
        <v>2886</v>
      </c>
      <c r="E561" t="str">
        <f t="shared" si="17"/>
        <v>lubuskie_słubicki_Słubice</v>
      </c>
      <c r="F561" t="s">
        <v>545</v>
      </c>
    </row>
    <row r="562" spans="1:6" x14ac:dyDescent="0.3">
      <c r="A562" t="s">
        <v>5387</v>
      </c>
      <c r="B562" t="s">
        <v>4872</v>
      </c>
      <c r="C562" t="str">
        <f t="shared" si="16"/>
        <v>lubuskie_strzelecko-drezdenecki</v>
      </c>
      <c r="D562" t="s">
        <v>2887</v>
      </c>
      <c r="E562" t="str">
        <f t="shared" si="17"/>
        <v>lubuskie_strzelecko-drezdenecki_Dobiegniew</v>
      </c>
      <c r="F562" t="s">
        <v>546</v>
      </c>
    </row>
    <row r="563" spans="1:6" x14ac:dyDescent="0.3">
      <c r="A563" t="s">
        <v>5387</v>
      </c>
      <c r="B563" t="s">
        <v>4872</v>
      </c>
      <c r="C563" t="str">
        <f t="shared" si="16"/>
        <v>lubuskie_strzelecko-drezdenecki</v>
      </c>
      <c r="D563" t="s">
        <v>2888</v>
      </c>
      <c r="E563" t="str">
        <f t="shared" si="17"/>
        <v>lubuskie_strzelecko-drezdenecki_Drezdenko</v>
      </c>
      <c r="F563" t="s">
        <v>547</v>
      </c>
    </row>
    <row r="564" spans="1:6" x14ac:dyDescent="0.3">
      <c r="A564" t="s">
        <v>5387</v>
      </c>
      <c r="B564" t="s">
        <v>4872</v>
      </c>
      <c r="C564" t="str">
        <f t="shared" si="16"/>
        <v>lubuskie_strzelecko-drezdenecki</v>
      </c>
      <c r="D564" t="s">
        <v>2889</v>
      </c>
      <c r="E564" t="str">
        <f t="shared" si="17"/>
        <v>lubuskie_strzelecko-drezdenecki_Stare Kurowo</v>
      </c>
      <c r="F564" t="s">
        <v>548</v>
      </c>
    </row>
    <row r="565" spans="1:6" x14ac:dyDescent="0.3">
      <c r="A565" t="s">
        <v>5387</v>
      </c>
      <c r="B565" t="s">
        <v>4872</v>
      </c>
      <c r="C565" t="str">
        <f t="shared" si="16"/>
        <v>lubuskie_strzelecko-drezdenecki</v>
      </c>
      <c r="D565" t="s">
        <v>2890</v>
      </c>
      <c r="E565" t="str">
        <f t="shared" si="17"/>
        <v>lubuskie_strzelecko-drezdenecki_Strzelce Krajeńskie</v>
      </c>
      <c r="F565" t="s">
        <v>549</v>
      </c>
    </row>
    <row r="566" spans="1:6" x14ac:dyDescent="0.3">
      <c r="A566" t="s">
        <v>5387</v>
      </c>
      <c r="B566" t="s">
        <v>4872</v>
      </c>
      <c r="C566" t="str">
        <f t="shared" si="16"/>
        <v>lubuskie_strzelecko-drezdenecki</v>
      </c>
      <c r="D566" t="s">
        <v>2891</v>
      </c>
      <c r="E566" t="str">
        <f t="shared" si="17"/>
        <v>lubuskie_strzelecko-drezdenecki_Zwierzyn</v>
      </c>
      <c r="F566" t="s">
        <v>550</v>
      </c>
    </row>
    <row r="567" spans="1:6" x14ac:dyDescent="0.3">
      <c r="A567" t="s">
        <v>5387</v>
      </c>
      <c r="B567" t="s">
        <v>4873</v>
      </c>
      <c r="C567" t="str">
        <f t="shared" si="16"/>
        <v>lubuskie_sulęciński</v>
      </c>
      <c r="D567" t="s">
        <v>2892</v>
      </c>
      <c r="E567" t="str">
        <f t="shared" si="17"/>
        <v>lubuskie_sulęciński_Krzeszyce</v>
      </c>
      <c r="F567" t="s">
        <v>551</v>
      </c>
    </row>
    <row r="568" spans="1:6" x14ac:dyDescent="0.3">
      <c r="A568" t="s">
        <v>5387</v>
      </c>
      <c r="B568" t="s">
        <v>4873</v>
      </c>
      <c r="C568" t="str">
        <f t="shared" si="16"/>
        <v>lubuskie_sulęciński</v>
      </c>
      <c r="D568" t="s">
        <v>2893</v>
      </c>
      <c r="E568" t="str">
        <f t="shared" si="17"/>
        <v>lubuskie_sulęciński_Lubniewice</v>
      </c>
      <c r="F568" t="s">
        <v>552</v>
      </c>
    </row>
    <row r="569" spans="1:6" x14ac:dyDescent="0.3">
      <c r="A569" t="s">
        <v>5387</v>
      </c>
      <c r="B569" t="s">
        <v>4873</v>
      </c>
      <c r="C569" t="str">
        <f t="shared" si="16"/>
        <v>lubuskie_sulęciński</v>
      </c>
      <c r="D569" t="s">
        <v>2894</v>
      </c>
      <c r="E569" t="str">
        <f t="shared" si="17"/>
        <v>lubuskie_sulęciński_Słońsk</v>
      </c>
      <c r="F569" t="s">
        <v>553</v>
      </c>
    </row>
    <row r="570" spans="1:6" x14ac:dyDescent="0.3">
      <c r="A570" t="s">
        <v>5387</v>
      </c>
      <c r="B570" t="s">
        <v>4873</v>
      </c>
      <c r="C570" t="str">
        <f t="shared" si="16"/>
        <v>lubuskie_sulęciński</v>
      </c>
      <c r="D570" t="s">
        <v>2895</v>
      </c>
      <c r="E570" t="str">
        <f t="shared" si="17"/>
        <v>lubuskie_sulęciński_Sulęcin</v>
      </c>
      <c r="F570" t="s">
        <v>554</v>
      </c>
    </row>
    <row r="571" spans="1:6" x14ac:dyDescent="0.3">
      <c r="A571" t="s">
        <v>5387</v>
      </c>
      <c r="B571" t="s">
        <v>4873</v>
      </c>
      <c r="C571" t="str">
        <f t="shared" si="16"/>
        <v>lubuskie_sulęciński</v>
      </c>
      <c r="D571" t="s">
        <v>2896</v>
      </c>
      <c r="E571" t="str">
        <f t="shared" si="17"/>
        <v>lubuskie_sulęciński_Torzym</v>
      </c>
      <c r="F571" t="s">
        <v>555</v>
      </c>
    </row>
    <row r="572" spans="1:6" x14ac:dyDescent="0.3">
      <c r="A572" t="s">
        <v>5387</v>
      </c>
      <c r="B572" t="s">
        <v>4874</v>
      </c>
      <c r="C572" t="str">
        <f t="shared" si="16"/>
        <v>lubuskie_świebodziński</v>
      </c>
      <c r="D572" t="s">
        <v>2897</v>
      </c>
      <c r="E572" t="str">
        <f t="shared" si="17"/>
        <v>lubuskie_świebodziński_Lubrza</v>
      </c>
      <c r="F572" t="s">
        <v>556</v>
      </c>
    </row>
    <row r="573" spans="1:6" x14ac:dyDescent="0.3">
      <c r="A573" t="s">
        <v>5387</v>
      </c>
      <c r="B573" t="s">
        <v>4874</v>
      </c>
      <c r="C573" t="str">
        <f t="shared" si="16"/>
        <v>lubuskie_świebodziński</v>
      </c>
      <c r="D573" t="s">
        <v>2898</v>
      </c>
      <c r="E573" t="str">
        <f t="shared" si="17"/>
        <v>lubuskie_świebodziński_Łagów</v>
      </c>
      <c r="F573" t="s">
        <v>557</v>
      </c>
    </row>
    <row r="574" spans="1:6" x14ac:dyDescent="0.3">
      <c r="A574" t="s">
        <v>5387</v>
      </c>
      <c r="B574" t="s">
        <v>4874</v>
      </c>
      <c r="C574" t="str">
        <f t="shared" si="16"/>
        <v>lubuskie_świebodziński</v>
      </c>
      <c r="D574" t="s">
        <v>2899</v>
      </c>
      <c r="E574" t="str">
        <f t="shared" si="17"/>
        <v>lubuskie_świebodziński_Skąpe</v>
      </c>
      <c r="F574" t="s">
        <v>558</v>
      </c>
    </row>
    <row r="575" spans="1:6" x14ac:dyDescent="0.3">
      <c r="A575" t="s">
        <v>5387</v>
      </c>
      <c r="B575" t="s">
        <v>4874</v>
      </c>
      <c r="C575" t="str">
        <f t="shared" si="16"/>
        <v>lubuskie_świebodziński</v>
      </c>
      <c r="D575" t="s">
        <v>2900</v>
      </c>
      <c r="E575" t="str">
        <f t="shared" si="17"/>
        <v>lubuskie_świebodziński_Szczaniec</v>
      </c>
      <c r="F575" t="s">
        <v>559</v>
      </c>
    </row>
    <row r="576" spans="1:6" x14ac:dyDescent="0.3">
      <c r="A576" t="s">
        <v>5387</v>
      </c>
      <c r="B576" t="s">
        <v>4874</v>
      </c>
      <c r="C576" t="str">
        <f t="shared" si="16"/>
        <v>lubuskie_świebodziński</v>
      </c>
      <c r="D576" t="s">
        <v>2901</v>
      </c>
      <c r="E576" t="str">
        <f t="shared" si="17"/>
        <v>lubuskie_świebodziński_Świebodzin</v>
      </c>
      <c r="F576" t="s">
        <v>560</v>
      </c>
    </row>
    <row r="577" spans="1:6" x14ac:dyDescent="0.3">
      <c r="A577" t="s">
        <v>5387</v>
      </c>
      <c r="B577" t="s">
        <v>4874</v>
      </c>
      <c r="C577" t="str">
        <f t="shared" ref="C577:C640" si="18">CONCATENATE(A577,"_",B577)</f>
        <v>lubuskie_świebodziński</v>
      </c>
      <c r="D577" t="s">
        <v>2902</v>
      </c>
      <c r="E577" t="str">
        <f t="shared" ref="E577:E640" si="19">C577&amp;"_"&amp;D577</f>
        <v>lubuskie_świebodziński_Zbąszynek</v>
      </c>
      <c r="F577" t="s">
        <v>561</v>
      </c>
    </row>
    <row r="578" spans="1:6" x14ac:dyDescent="0.3">
      <c r="A578" t="s">
        <v>5387</v>
      </c>
      <c r="B578" t="s">
        <v>4878</v>
      </c>
      <c r="C578" t="str">
        <f t="shared" si="18"/>
        <v>lubuskie_wschowski</v>
      </c>
      <c r="D578" t="s">
        <v>2927</v>
      </c>
      <c r="E578" t="str">
        <f t="shared" si="19"/>
        <v>lubuskie_wschowski_Sława</v>
      </c>
      <c r="F578" t="s">
        <v>590</v>
      </c>
    </row>
    <row r="579" spans="1:6" x14ac:dyDescent="0.3">
      <c r="A579" t="s">
        <v>5387</v>
      </c>
      <c r="B579" t="s">
        <v>4878</v>
      </c>
      <c r="C579" t="str">
        <f t="shared" si="18"/>
        <v>lubuskie_wschowski</v>
      </c>
      <c r="D579" t="s">
        <v>2928</v>
      </c>
      <c r="E579" t="str">
        <f t="shared" si="19"/>
        <v>lubuskie_wschowski_Szlichtyngowa</v>
      </c>
      <c r="F579" t="s">
        <v>591</v>
      </c>
    </row>
    <row r="580" spans="1:6" x14ac:dyDescent="0.3">
      <c r="A580" t="s">
        <v>5387</v>
      </c>
      <c r="B580" t="s">
        <v>4878</v>
      </c>
      <c r="C580" t="str">
        <f t="shared" si="18"/>
        <v>lubuskie_wschowski</v>
      </c>
      <c r="D580" t="s">
        <v>2929</v>
      </c>
      <c r="E580" t="str">
        <f t="shared" si="19"/>
        <v>lubuskie_wschowski_Wschowa</v>
      </c>
      <c r="F580" t="s">
        <v>592</v>
      </c>
    </row>
    <row r="581" spans="1:6" x14ac:dyDescent="0.3">
      <c r="A581" t="s">
        <v>5387</v>
      </c>
      <c r="B581" t="s">
        <v>2911</v>
      </c>
      <c r="C581" t="str">
        <f t="shared" si="18"/>
        <v>lubuskie_Zielona Góra</v>
      </c>
      <c r="D581" t="s">
        <v>2911</v>
      </c>
      <c r="E581" t="str">
        <f t="shared" si="19"/>
        <v>lubuskie_Zielona Góra_Zielona Góra</v>
      </c>
      <c r="F581" t="s">
        <v>594</v>
      </c>
    </row>
    <row r="582" spans="1:6" x14ac:dyDescent="0.3">
      <c r="A582" t="s">
        <v>5387</v>
      </c>
      <c r="B582" t="s">
        <v>4875</v>
      </c>
      <c r="C582" t="str">
        <f t="shared" si="18"/>
        <v>lubuskie_zielonogórski</v>
      </c>
      <c r="D582" t="s">
        <v>2903</v>
      </c>
      <c r="E582" t="str">
        <f t="shared" si="19"/>
        <v>lubuskie_zielonogórski_Babimost</v>
      </c>
      <c r="F582" t="s">
        <v>562</v>
      </c>
    </row>
    <row r="583" spans="1:6" x14ac:dyDescent="0.3">
      <c r="A583" t="s">
        <v>5387</v>
      </c>
      <c r="B583" t="s">
        <v>4875</v>
      </c>
      <c r="C583" t="str">
        <f t="shared" si="18"/>
        <v>lubuskie_zielonogórski</v>
      </c>
      <c r="D583" t="s">
        <v>2904</v>
      </c>
      <c r="E583" t="str">
        <f t="shared" si="19"/>
        <v>lubuskie_zielonogórski_Bojadła</v>
      </c>
      <c r="F583" t="s">
        <v>563</v>
      </c>
    </row>
    <row r="584" spans="1:6" x14ac:dyDescent="0.3">
      <c r="A584" t="s">
        <v>5387</v>
      </c>
      <c r="B584" t="s">
        <v>4875</v>
      </c>
      <c r="C584" t="str">
        <f t="shared" si="18"/>
        <v>lubuskie_zielonogórski</v>
      </c>
      <c r="D584" t="s">
        <v>2905</v>
      </c>
      <c r="E584" t="str">
        <f t="shared" si="19"/>
        <v>lubuskie_zielonogórski_Czerwieńsk</v>
      </c>
      <c r="F584" t="s">
        <v>564</v>
      </c>
    </row>
    <row r="585" spans="1:6" x14ac:dyDescent="0.3">
      <c r="A585" t="s">
        <v>5387</v>
      </c>
      <c r="B585" t="s">
        <v>4875</v>
      </c>
      <c r="C585" t="str">
        <f t="shared" si="18"/>
        <v>lubuskie_zielonogórski</v>
      </c>
      <c r="D585" t="s">
        <v>2906</v>
      </c>
      <c r="E585" t="str">
        <f t="shared" si="19"/>
        <v>lubuskie_zielonogórski_Kargowa</v>
      </c>
      <c r="F585" t="s">
        <v>565</v>
      </c>
    </row>
    <row r="586" spans="1:6" x14ac:dyDescent="0.3">
      <c r="A586" t="s">
        <v>5387</v>
      </c>
      <c r="B586" t="s">
        <v>4875</v>
      </c>
      <c r="C586" t="str">
        <f t="shared" si="18"/>
        <v>lubuskie_zielonogórski</v>
      </c>
      <c r="D586" t="s">
        <v>2907</v>
      </c>
      <c r="E586" t="str">
        <f t="shared" si="19"/>
        <v>lubuskie_zielonogórski_Nowogród Bobrzański</v>
      </c>
      <c r="F586" t="s">
        <v>566</v>
      </c>
    </row>
    <row r="587" spans="1:6" x14ac:dyDescent="0.3">
      <c r="A587" t="s">
        <v>5387</v>
      </c>
      <c r="B587" t="s">
        <v>4875</v>
      </c>
      <c r="C587" t="str">
        <f t="shared" si="18"/>
        <v>lubuskie_zielonogórski</v>
      </c>
      <c r="D587" t="s">
        <v>2908</v>
      </c>
      <c r="E587" t="str">
        <f t="shared" si="19"/>
        <v>lubuskie_zielonogórski_Sulechów</v>
      </c>
      <c r="F587" t="s">
        <v>567</v>
      </c>
    </row>
    <row r="588" spans="1:6" x14ac:dyDescent="0.3">
      <c r="A588" t="s">
        <v>5387</v>
      </c>
      <c r="B588" t="s">
        <v>4875</v>
      </c>
      <c r="C588" t="str">
        <f t="shared" si="18"/>
        <v>lubuskie_zielonogórski</v>
      </c>
      <c r="D588" t="s">
        <v>2503</v>
      </c>
      <c r="E588" t="str">
        <f t="shared" si="19"/>
        <v>lubuskie_zielonogórski_Świdnica</v>
      </c>
      <c r="F588" t="s">
        <v>568</v>
      </c>
    </row>
    <row r="589" spans="1:6" x14ac:dyDescent="0.3">
      <c r="A589" t="s">
        <v>5387</v>
      </c>
      <c r="B589" t="s">
        <v>4875</v>
      </c>
      <c r="C589" t="str">
        <f t="shared" si="18"/>
        <v>lubuskie_zielonogórski</v>
      </c>
      <c r="D589" t="s">
        <v>2909</v>
      </c>
      <c r="E589" t="str">
        <f t="shared" si="19"/>
        <v>lubuskie_zielonogórski_Trzebiechów</v>
      </c>
      <c r="F589" t="s">
        <v>569</v>
      </c>
    </row>
    <row r="590" spans="1:6" x14ac:dyDescent="0.3">
      <c r="A590" t="s">
        <v>5387</v>
      </c>
      <c r="B590" t="s">
        <v>4875</v>
      </c>
      <c r="C590" t="str">
        <f t="shared" si="18"/>
        <v>lubuskie_zielonogórski</v>
      </c>
      <c r="D590" t="s">
        <v>2910</v>
      </c>
      <c r="E590" t="str">
        <f t="shared" si="19"/>
        <v>lubuskie_zielonogórski_Zabór</v>
      </c>
      <c r="F590" t="s">
        <v>570</v>
      </c>
    </row>
    <row r="591" spans="1:6" x14ac:dyDescent="0.3">
      <c r="A591" t="s">
        <v>5387</v>
      </c>
      <c r="B591" t="s">
        <v>4876</v>
      </c>
      <c r="C591" t="str">
        <f t="shared" si="18"/>
        <v>lubuskie_żagański</v>
      </c>
      <c r="D591" t="s">
        <v>2913</v>
      </c>
      <c r="E591" t="str">
        <f t="shared" si="19"/>
        <v>lubuskie_żagański_Brzeźnica</v>
      </c>
      <c r="F591" t="s">
        <v>573</v>
      </c>
    </row>
    <row r="592" spans="1:6" x14ac:dyDescent="0.3">
      <c r="A592" t="s">
        <v>5387</v>
      </c>
      <c r="B592" t="s">
        <v>4876</v>
      </c>
      <c r="C592" t="str">
        <f t="shared" si="18"/>
        <v>lubuskie_żagański</v>
      </c>
      <c r="D592" t="s">
        <v>2912</v>
      </c>
      <c r="E592" t="str">
        <f t="shared" si="19"/>
        <v>lubuskie_żagański_Gozdnica</v>
      </c>
      <c r="F592" t="s">
        <v>571</v>
      </c>
    </row>
    <row r="593" spans="1:6" x14ac:dyDescent="0.3">
      <c r="A593" t="s">
        <v>5387</v>
      </c>
      <c r="B593" t="s">
        <v>4876</v>
      </c>
      <c r="C593" t="str">
        <f t="shared" si="18"/>
        <v>lubuskie_żagański</v>
      </c>
      <c r="D593" t="s">
        <v>2914</v>
      </c>
      <c r="E593" t="str">
        <f t="shared" si="19"/>
        <v>lubuskie_żagański_Iłowa</v>
      </c>
      <c r="F593" t="s">
        <v>574</v>
      </c>
    </row>
    <row r="594" spans="1:6" x14ac:dyDescent="0.3">
      <c r="A594" t="s">
        <v>5387</v>
      </c>
      <c r="B594" t="s">
        <v>4876</v>
      </c>
      <c r="C594" t="str">
        <f t="shared" si="18"/>
        <v>lubuskie_żagański</v>
      </c>
      <c r="D594" t="s">
        <v>2915</v>
      </c>
      <c r="E594" t="str">
        <f t="shared" si="19"/>
        <v>lubuskie_żagański_Małomice</v>
      </c>
      <c r="F594" t="s">
        <v>575</v>
      </c>
    </row>
    <row r="595" spans="1:6" x14ac:dyDescent="0.3">
      <c r="A595" t="s">
        <v>5387</v>
      </c>
      <c r="B595" t="s">
        <v>4876</v>
      </c>
      <c r="C595" t="str">
        <f t="shared" si="18"/>
        <v>lubuskie_żagański</v>
      </c>
      <c r="D595" t="s">
        <v>2916</v>
      </c>
      <c r="E595" t="str">
        <f t="shared" si="19"/>
        <v>lubuskie_żagański_Niegosławice</v>
      </c>
      <c r="F595" t="s">
        <v>576</v>
      </c>
    </row>
    <row r="596" spans="1:6" x14ac:dyDescent="0.3">
      <c r="A596" t="s">
        <v>5387</v>
      </c>
      <c r="B596" t="s">
        <v>4876</v>
      </c>
      <c r="C596" t="str">
        <f t="shared" si="18"/>
        <v>lubuskie_żagański</v>
      </c>
      <c r="D596" t="s">
        <v>2917</v>
      </c>
      <c r="E596" t="str">
        <f t="shared" si="19"/>
        <v>lubuskie_żagański_Szprotawa</v>
      </c>
      <c r="F596" t="s">
        <v>577</v>
      </c>
    </row>
    <row r="597" spans="1:6" x14ac:dyDescent="0.3">
      <c r="A597" t="s">
        <v>5387</v>
      </c>
      <c r="B597" t="s">
        <v>4876</v>
      </c>
      <c r="C597" t="str">
        <f t="shared" si="18"/>
        <v>lubuskie_żagański</v>
      </c>
      <c r="D597" t="s">
        <v>2918</v>
      </c>
      <c r="E597" t="str">
        <f t="shared" si="19"/>
        <v>lubuskie_żagański_Wymiarki</v>
      </c>
      <c r="F597" t="s">
        <v>578</v>
      </c>
    </row>
    <row r="598" spans="1:6" x14ac:dyDescent="0.3">
      <c r="A598" t="s">
        <v>5387</v>
      </c>
      <c r="B598" t="s">
        <v>4876</v>
      </c>
      <c r="C598" t="str">
        <f t="shared" si="18"/>
        <v>lubuskie_żagański</v>
      </c>
      <c r="D598" t="s">
        <v>4586</v>
      </c>
      <c r="E598" t="str">
        <f t="shared" si="19"/>
        <v>lubuskie_żagański_Żagań (gm. miejska)</v>
      </c>
      <c r="F598" t="s">
        <v>572</v>
      </c>
    </row>
    <row r="599" spans="1:6" x14ac:dyDescent="0.3">
      <c r="A599" t="s">
        <v>5387</v>
      </c>
      <c r="B599" t="s">
        <v>4876</v>
      </c>
      <c r="C599" t="str">
        <f t="shared" si="18"/>
        <v>lubuskie_żagański</v>
      </c>
      <c r="D599" t="s">
        <v>4587</v>
      </c>
      <c r="E599" t="str">
        <f t="shared" si="19"/>
        <v>lubuskie_żagański_Żagań (gm. wiejska)</v>
      </c>
      <c r="F599" t="s">
        <v>579</v>
      </c>
    </row>
    <row r="600" spans="1:6" x14ac:dyDescent="0.3">
      <c r="A600" t="s">
        <v>5387</v>
      </c>
      <c r="B600" t="s">
        <v>4877</v>
      </c>
      <c r="C600" t="str">
        <f t="shared" si="18"/>
        <v>lubuskie_żarski</v>
      </c>
      <c r="D600" t="s">
        <v>2920</v>
      </c>
      <c r="E600" t="str">
        <f t="shared" si="19"/>
        <v>lubuskie_żarski_Brody</v>
      </c>
      <c r="F600" t="s">
        <v>5491</v>
      </c>
    </row>
    <row r="601" spans="1:6" x14ac:dyDescent="0.3">
      <c r="A601" t="s">
        <v>5387</v>
      </c>
      <c r="B601" t="s">
        <v>4877</v>
      </c>
      <c r="C601" t="str">
        <f t="shared" si="18"/>
        <v>lubuskie_żarski</v>
      </c>
      <c r="D601" t="s">
        <v>2921</v>
      </c>
      <c r="E601" t="str">
        <f t="shared" si="19"/>
        <v>lubuskie_żarski_Jasień</v>
      </c>
      <c r="F601" t="s">
        <v>583</v>
      </c>
    </row>
    <row r="602" spans="1:6" x14ac:dyDescent="0.3">
      <c r="A602" t="s">
        <v>5387</v>
      </c>
      <c r="B602" t="s">
        <v>4877</v>
      </c>
      <c r="C602" t="str">
        <f t="shared" si="18"/>
        <v>lubuskie_żarski</v>
      </c>
      <c r="D602" t="s">
        <v>2922</v>
      </c>
      <c r="E602" t="str">
        <f t="shared" si="19"/>
        <v>lubuskie_żarski_Lipinki Łużyckie</v>
      </c>
      <c r="F602" t="s">
        <v>584</v>
      </c>
    </row>
    <row r="603" spans="1:6" x14ac:dyDescent="0.3">
      <c r="A603" t="s">
        <v>5387</v>
      </c>
      <c r="B603" t="s">
        <v>4877</v>
      </c>
      <c r="C603" t="str">
        <f t="shared" si="18"/>
        <v>lubuskie_żarski</v>
      </c>
      <c r="D603" t="s">
        <v>2923</v>
      </c>
      <c r="E603" t="str">
        <f t="shared" si="19"/>
        <v>lubuskie_żarski_Lubsko</v>
      </c>
      <c r="F603" t="s">
        <v>585</v>
      </c>
    </row>
    <row r="604" spans="1:6" x14ac:dyDescent="0.3">
      <c r="A604" t="s">
        <v>5387</v>
      </c>
      <c r="B604" t="s">
        <v>4877</v>
      </c>
      <c r="C604" t="str">
        <f t="shared" si="18"/>
        <v>lubuskie_żarski</v>
      </c>
      <c r="D604" t="s">
        <v>2919</v>
      </c>
      <c r="E604" t="str">
        <f t="shared" si="19"/>
        <v>lubuskie_żarski_Łęknica</v>
      </c>
      <c r="F604" t="s">
        <v>580</v>
      </c>
    </row>
    <row r="605" spans="1:6" x14ac:dyDescent="0.3">
      <c r="A605" t="s">
        <v>5387</v>
      </c>
      <c r="B605" t="s">
        <v>4877</v>
      </c>
      <c r="C605" t="str">
        <f t="shared" si="18"/>
        <v>lubuskie_żarski</v>
      </c>
      <c r="D605" t="s">
        <v>2924</v>
      </c>
      <c r="E605" t="str">
        <f t="shared" si="19"/>
        <v>lubuskie_żarski_Przewóz</v>
      </c>
      <c r="F605" t="s">
        <v>586</v>
      </c>
    </row>
    <row r="606" spans="1:6" x14ac:dyDescent="0.3">
      <c r="A606" t="s">
        <v>5387</v>
      </c>
      <c r="B606" t="s">
        <v>4877</v>
      </c>
      <c r="C606" t="str">
        <f t="shared" si="18"/>
        <v>lubuskie_żarski</v>
      </c>
      <c r="D606" t="s">
        <v>2925</v>
      </c>
      <c r="E606" t="str">
        <f t="shared" si="19"/>
        <v>lubuskie_żarski_Trzebiel</v>
      </c>
      <c r="F606" t="s">
        <v>587</v>
      </c>
    </row>
    <row r="607" spans="1:6" x14ac:dyDescent="0.3">
      <c r="A607" t="s">
        <v>5387</v>
      </c>
      <c r="B607" t="s">
        <v>4877</v>
      </c>
      <c r="C607" t="str">
        <f t="shared" si="18"/>
        <v>lubuskie_żarski</v>
      </c>
      <c r="D607" t="s">
        <v>2926</v>
      </c>
      <c r="E607" t="str">
        <f t="shared" si="19"/>
        <v>lubuskie_żarski_Tuplice</v>
      </c>
      <c r="F607" t="s">
        <v>588</v>
      </c>
    </row>
    <row r="608" spans="1:6" x14ac:dyDescent="0.3">
      <c r="A608" t="s">
        <v>5387</v>
      </c>
      <c r="B608" t="s">
        <v>4877</v>
      </c>
      <c r="C608" t="str">
        <f t="shared" si="18"/>
        <v>lubuskie_żarski</v>
      </c>
      <c r="D608" t="s">
        <v>4588</v>
      </c>
      <c r="E608" t="str">
        <f t="shared" si="19"/>
        <v>lubuskie_żarski_Żary (gm. miejska)</v>
      </c>
      <c r="F608" t="s">
        <v>581</v>
      </c>
    </row>
    <row r="609" spans="1:6" x14ac:dyDescent="0.3">
      <c r="A609" t="s">
        <v>5387</v>
      </c>
      <c r="B609" t="s">
        <v>4877</v>
      </c>
      <c r="C609" t="str">
        <f t="shared" si="18"/>
        <v>lubuskie_żarski</v>
      </c>
      <c r="D609" t="s">
        <v>4589</v>
      </c>
      <c r="E609" t="str">
        <f t="shared" si="19"/>
        <v>lubuskie_żarski_Żary (gm. wiejska)</v>
      </c>
      <c r="F609" t="s">
        <v>589</v>
      </c>
    </row>
    <row r="610" spans="1:6" x14ac:dyDescent="0.3">
      <c r="A610" t="s">
        <v>5381</v>
      </c>
      <c r="B610" t="s">
        <v>4879</v>
      </c>
      <c r="C610" t="str">
        <f t="shared" si="18"/>
        <v>łódzkie_bełchatowski</v>
      </c>
      <c r="D610" t="s">
        <v>2931</v>
      </c>
      <c r="E610" t="str">
        <f t="shared" si="19"/>
        <v>łódzkie_bełchatowski_Drużbice</v>
      </c>
      <c r="F610" t="s">
        <v>597</v>
      </c>
    </row>
    <row r="611" spans="1:6" x14ac:dyDescent="0.3">
      <c r="A611" t="s">
        <v>5381</v>
      </c>
      <c r="B611" t="s">
        <v>4879</v>
      </c>
      <c r="C611" t="str">
        <f t="shared" si="18"/>
        <v>łódzkie_bełchatowski</v>
      </c>
      <c r="D611" t="s">
        <v>2932</v>
      </c>
      <c r="E611" t="str">
        <f t="shared" si="19"/>
        <v>łódzkie_bełchatowski_Kleszczów</v>
      </c>
      <c r="F611" t="s">
        <v>598</v>
      </c>
    </row>
    <row r="612" spans="1:6" x14ac:dyDescent="0.3">
      <c r="A612" t="s">
        <v>5381</v>
      </c>
      <c r="B612" t="s">
        <v>4879</v>
      </c>
      <c r="C612" t="str">
        <f t="shared" si="18"/>
        <v>łódzkie_bełchatowski</v>
      </c>
      <c r="D612" t="s">
        <v>2933</v>
      </c>
      <c r="E612" t="str">
        <f t="shared" si="19"/>
        <v>łódzkie_bełchatowski_Kluki</v>
      </c>
      <c r="F612" t="s">
        <v>599</v>
      </c>
    </row>
    <row r="613" spans="1:6" x14ac:dyDescent="0.3">
      <c r="A613" t="s">
        <v>5381</v>
      </c>
      <c r="B613" t="s">
        <v>4879</v>
      </c>
      <c r="C613" t="str">
        <f t="shared" si="18"/>
        <v>łódzkie_bełchatowski</v>
      </c>
      <c r="D613" t="s">
        <v>2934</v>
      </c>
      <c r="E613" t="str">
        <f t="shared" si="19"/>
        <v>łódzkie_bełchatowski_Rusiec</v>
      </c>
      <c r="F613" t="s">
        <v>600</v>
      </c>
    </row>
    <row r="614" spans="1:6" x14ac:dyDescent="0.3">
      <c r="A614" t="s">
        <v>5381</v>
      </c>
      <c r="B614" t="s">
        <v>4879</v>
      </c>
      <c r="C614" t="str">
        <f t="shared" si="18"/>
        <v>łódzkie_bełchatowski</v>
      </c>
      <c r="D614" t="s">
        <v>2935</v>
      </c>
      <c r="E614" t="str">
        <f t="shared" si="19"/>
        <v>łódzkie_bełchatowski_Szczerców</v>
      </c>
      <c r="F614" t="s">
        <v>601</v>
      </c>
    </row>
    <row r="615" spans="1:6" x14ac:dyDescent="0.3">
      <c r="A615" t="s">
        <v>5381</v>
      </c>
      <c r="B615" t="s">
        <v>4879</v>
      </c>
      <c r="C615" t="str">
        <f t="shared" si="18"/>
        <v>łódzkie_bełchatowski</v>
      </c>
      <c r="D615" t="s">
        <v>2936</v>
      </c>
      <c r="E615" t="str">
        <f t="shared" si="19"/>
        <v>łódzkie_bełchatowski_Zelów</v>
      </c>
      <c r="F615" t="s">
        <v>602</v>
      </c>
    </row>
    <row r="616" spans="1:6" x14ac:dyDescent="0.3">
      <c r="A616" t="s">
        <v>5381</v>
      </c>
      <c r="B616" t="s">
        <v>4879</v>
      </c>
      <c r="C616" t="str">
        <f t="shared" si="18"/>
        <v>łódzkie_bełchatowski</v>
      </c>
      <c r="D616" t="s">
        <v>4590</v>
      </c>
      <c r="E616" t="str">
        <f t="shared" si="19"/>
        <v>łódzkie_bełchatowski_Bełchatów (gm. miejska)</v>
      </c>
      <c r="F616" t="s">
        <v>595</v>
      </c>
    </row>
    <row r="617" spans="1:6" x14ac:dyDescent="0.3">
      <c r="A617" t="s">
        <v>5381</v>
      </c>
      <c r="B617" t="s">
        <v>4879</v>
      </c>
      <c r="C617" t="str">
        <f t="shared" si="18"/>
        <v>łódzkie_bełchatowski</v>
      </c>
      <c r="D617" t="s">
        <v>4591</v>
      </c>
      <c r="E617" t="str">
        <f t="shared" si="19"/>
        <v>łódzkie_bełchatowski_Bełchatów (gm. wiejska)</v>
      </c>
      <c r="F617" t="s">
        <v>596</v>
      </c>
    </row>
    <row r="618" spans="1:6" x14ac:dyDescent="0.3">
      <c r="A618" t="s">
        <v>5381</v>
      </c>
      <c r="B618" t="s">
        <v>4898</v>
      </c>
      <c r="C618" t="str">
        <f t="shared" si="18"/>
        <v>łódzkie_brzeziński</v>
      </c>
      <c r="D618" t="s">
        <v>3071</v>
      </c>
      <c r="E618" t="str">
        <f t="shared" si="19"/>
        <v>łódzkie_brzeziński_Dmosin</v>
      </c>
      <c r="F618" t="s">
        <v>763</v>
      </c>
    </row>
    <row r="619" spans="1:6" x14ac:dyDescent="0.3">
      <c r="A619" t="s">
        <v>5381</v>
      </c>
      <c r="B619" t="s">
        <v>4898</v>
      </c>
      <c r="C619" t="str">
        <f t="shared" si="18"/>
        <v>łódzkie_brzeziński</v>
      </c>
      <c r="D619" t="s">
        <v>3072</v>
      </c>
      <c r="E619" t="str">
        <f t="shared" si="19"/>
        <v>łódzkie_brzeziński_Jeżów</v>
      </c>
      <c r="F619" t="s">
        <v>5502</v>
      </c>
    </row>
    <row r="620" spans="1:6" x14ac:dyDescent="0.3">
      <c r="A620" t="s">
        <v>5381</v>
      </c>
      <c r="B620" t="s">
        <v>4898</v>
      </c>
      <c r="C620" t="str">
        <f t="shared" si="18"/>
        <v>łódzkie_brzeziński</v>
      </c>
      <c r="D620" t="s">
        <v>3073</v>
      </c>
      <c r="E620" t="str">
        <f t="shared" si="19"/>
        <v>łódzkie_brzeziński_Rogów</v>
      </c>
      <c r="F620" t="s">
        <v>765</v>
      </c>
    </row>
    <row r="621" spans="1:6" x14ac:dyDescent="0.3">
      <c r="A621" t="s">
        <v>5381</v>
      </c>
      <c r="B621" t="s">
        <v>4898</v>
      </c>
      <c r="C621" t="str">
        <f t="shared" si="18"/>
        <v>łódzkie_brzeziński</v>
      </c>
      <c r="D621" t="s">
        <v>5395</v>
      </c>
      <c r="E621" t="str">
        <f t="shared" si="19"/>
        <v>łódzkie_brzeziński_Brzeziny (gm. miejska)</v>
      </c>
      <c r="F621" t="s">
        <v>761</v>
      </c>
    </row>
    <row r="622" spans="1:6" x14ac:dyDescent="0.3">
      <c r="A622" t="s">
        <v>5381</v>
      </c>
      <c r="B622" t="s">
        <v>4898</v>
      </c>
      <c r="C622" t="str">
        <f t="shared" si="18"/>
        <v>łódzkie_brzeziński</v>
      </c>
      <c r="D622" t="s">
        <v>5396</v>
      </c>
      <c r="E622" t="str">
        <f t="shared" si="19"/>
        <v>łódzkie_brzeziński_Brzeziny (gm. wiejska)</v>
      </c>
      <c r="F622" t="s">
        <v>762</v>
      </c>
    </row>
    <row r="623" spans="1:6" x14ac:dyDescent="0.3">
      <c r="A623" t="s">
        <v>5381</v>
      </c>
      <c r="B623" t="s">
        <v>4880</v>
      </c>
      <c r="C623" t="str">
        <f t="shared" si="18"/>
        <v>łódzkie_kutnowski</v>
      </c>
      <c r="D623" t="s">
        <v>2937</v>
      </c>
      <c r="E623" t="str">
        <f t="shared" si="19"/>
        <v>łódzkie_kutnowski_Bedlno</v>
      </c>
      <c r="F623" t="s">
        <v>604</v>
      </c>
    </row>
    <row r="624" spans="1:6" x14ac:dyDescent="0.3">
      <c r="A624" t="s">
        <v>5381</v>
      </c>
      <c r="B624" t="s">
        <v>4880</v>
      </c>
      <c r="C624" t="str">
        <f t="shared" si="18"/>
        <v>łódzkie_kutnowski</v>
      </c>
      <c r="D624" t="s">
        <v>2938</v>
      </c>
      <c r="E624" t="str">
        <f t="shared" si="19"/>
        <v>łódzkie_kutnowski_Dąbrowice</v>
      </c>
      <c r="F624" t="s">
        <v>5492</v>
      </c>
    </row>
    <row r="625" spans="1:6" x14ac:dyDescent="0.3">
      <c r="A625" t="s">
        <v>5381</v>
      </c>
      <c r="B625" t="s">
        <v>4880</v>
      </c>
      <c r="C625" t="str">
        <f t="shared" si="18"/>
        <v>łódzkie_kutnowski</v>
      </c>
      <c r="D625" t="s">
        <v>2939</v>
      </c>
      <c r="E625" t="str">
        <f t="shared" si="19"/>
        <v>łódzkie_kutnowski_Krośniewice</v>
      </c>
      <c r="F625" t="s">
        <v>606</v>
      </c>
    </row>
    <row r="626" spans="1:6" x14ac:dyDescent="0.3">
      <c r="A626" t="s">
        <v>5381</v>
      </c>
      <c r="B626" t="s">
        <v>4880</v>
      </c>
      <c r="C626" t="str">
        <f t="shared" si="18"/>
        <v>łódzkie_kutnowski</v>
      </c>
      <c r="D626" t="s">
        <v>2940</v>
      </c>
      <c r="E626" t="str">
        <f t="shared" si="19"/>
        <v>łódzkie_kutnowski_Krzyżanów</v>
      </c>
      <c r="F626" t="s">
        <v>607</v>
      </c>
    </row>
    <row r="627" spans="1:6" x14ac:dyDescent="0.3">
      <c r="A627" t="s">
        <v>5381</v>
      </c>
      <c r="B627" t="s">
        <v>4880</v>
      </c>
      <c r="C627" t="str">
        <f t="shared" si="18"/>
        <v>łódzkie_kutnowski</v>
      </c>
      <c r="D627" t="s">
        <v>2941</v>
      </c>
      <c r="E627" t="str">
        <f t="shared" si="19"/>
        <v>łódzkie_kutnowski_Łanięta</v>
      </c>
      <c r="F627" t="s">
        <v>609</v>
      </c>
    </row>
    <row r="628" spans="1:6" x14ac:dyDescent="0.3">
      <c r="A628" t="s">
        <v>5381</v>
      </c>
      <c r="B628" t="s">
        <v>4880</v>
      </c>
      <c r="C628" t="str">
        <f t="shared" si="18"/>
        <v>łódzkie_kutnowski</v>
      </c>
      <c r="D628" t="s">
        <v>2942</v>
      </c>
      <c r="E628" t="str">
        <f t="shared" si="19"/>
        <v>łódzkie_kutnowski_Nowe Ostrowy</v>
      </c>
      <c r="F628" t="s">
        <v>610</v>
      </c>
    </row>
    <row r="629" spans="1:6" x14ac:dyDescent="0.3">
      <c r="A629" t="s">
        <v>5381</v>
      </c>
      <c r="B629" t="s">
        <v>4880</v>
      </c>
      <c r="C629" t="str">
        <f t="shared" si="18"/>
        <v>łódzkie_kutnowski</v>
      </c>
      <c r="D629" t="s">
        <v>2943</v>
      </c>
      <c r="E629" t="str">
        <f t="shared" si="19"/>
        <v>łódzkie_kutnowski_Oporów</v>
      </c>
      <c r="F629" t="s">
        <v>611</v>
      </c>
    </row>
    <row r="630" spans="1:6" x14ac:dyDescent="0.3">
      <c r="A630" t="s">
        <v>5381</v>
      </c>
      <c r="B630" t="s">
        <v>4880</v>
      </c>
      <c r="C630" t="str">
        <f t="shared" si="18"/>
        <v>łódzkie_kutnowski</v>
      </c>
      <c r="D630" t="s">
        <v>2944</v>
      </c>
      <c r="E630" t="str">
        <f t="shared" si="19"/>
        <v>łódzkie_kutnowski_Strzelce</v>
      </c>
      <c r="F630" t="s">
        <v>612</v>
      </c>
    </row>
    <row r="631" spans="1:6" x14ac:dyDescent="0.3">
      <c r="A631" t="s">
        <v>5381</v>
      </c>
      <c r="B631" t="s">
        <v>4880</v>
      </c>
      <c r="C631" t="str">
        <f t="shared" si="18"/>
        <v>łódzkie_kutnowski</v>
      </c>
      <c r="D631" t="s">
        <v>2945</v>
      </c>
      <c r="E631" t="str">
        <f t="shared" si="19"/>
        <v>łódzkie_kutnowski_Żychlin</v>
      </c>
      <c r="F631" t="s">
        <v>613</v>
      </c>
    </row>
    <row r="632" spans="1:6" x14ac:dyDescent="0.3">
      <c r="A632" t="s">
        <v>5381</v>
      </c>
      <c r="B632" t="s">
        <v>4880</v>
      </c>
      <c r="C632" t="str">
        <f t="shared" si="18"/>
        <v>łódzkie_kutnowski</v>
      </c>
      <c r="D632" t="s">
        <v>4592</v>
      </c>
      <c r="E632" t="str">
        <f t="shared" si="19"/>
        <v>łódzkie_kutnowski_Kutno (gm. miejska)</v>
      </c>
      <c r="F632" t="s">
        <v>603</v>
      </c>
    </row>
    <row r="633" spans="1:6" x14ac:dyDescent="0.3">
      <c r="A633" t="s">
        <v>5381</v>
      </c>
      <c r="B633" t="s">
        <v>4880</v>
      </c>
      <c r="C633" t="str">
        <f t="shared" si="18"/>
        <v>łódzkie_kutnowski</v>
      </c>
      <c r="D633" t="s">
        <v>4593</v>
      </c>
      <c r="E633" t="str">
        <f t="shared" si="19"/>
        <v>łódzkie_kutnowski_Kutno (gm. wiejska)</v>
      </c>
      <c r="F633" t="s">
        <v>608</v>
      </c>
    </row>
    <row r="634" spans="1:6" x14ac:dyDescent="0.3">
      <c r="A634" t="s">
        <v>5381</v>
      </c>
      <c r="B634" t="s">
        <v>4881</v>
      </c>
      <c r="C634" t="str">
        <f t="shared" si="18"/>
        <v>łódzkie_łaski</v>
      </c>
      <c r="D634" t="s">
        <v>2946</v>
      </c>
      <c r="E634" t="str">
        <f t="shared" si="19"/>
        <v>łódzkie_łaski_Buczek</v>
      </c>
      <c r="F634" t="s">
        <v>614</v>
      </c>
    </row>
    <row r="635" spans="1:6" x14ac:dyDescent="0.3">
      <c r="A635" t="s">
        <v>5381</v>
      </c>
      <c r="B635" t="s">
        <v>4881</v>
      </c>
      <c r="C635" t="str">
        <f t="shared" si="18"/>
        <v>łódzkie_łaski</v>
      </c>
      <c r="D635" t="s">
        <v>2947</v>
      </c>
      <c r="E635" t="str">
        <f t="shared" si="19"/>
        <v>łódzkie_łaski_Łask</v>
      </c>
      <c r="F635" t="s">
        <v>615</v>
      </c>
    </row>
    <row r="636" spans="1:6" x14ac:dyDescent="0.3">
      <c r="A636" t="s">
        <v>5381</v>
      </c>
      <c r="B636" t="s">
        <v>4881</v>
      </c>
      <c r="C636" t="str">
        <f t="shared" si="18"/>
        <v>łódzkie_łaski</v>
      </c>
      <c r="D636" t="s">
        <v>2948</v>
      </c>
      <c r="E636" t="str">
        <f t="shared" si="19"/>
        <v>łódzkie_łaski_Sędziejowice</v>
      </c>
      <c r="F636" t="s">
        <v>616</v>
      </c>
    </row>
    <row r="637" spans="1:6" x14ac:dyDescent="0.3">
      <c r="A637" t="s">
        <v>5381</v>
      </c>
      <c r="B637" t="s">
        <v>4881</v>
      </c>
      <c r="C637" t="str">
        <f t="shared" si="18"/>
        <v>łódzkie_łaski</v>
      </c>
      <c r="D637" t="s">
        <v>2949</v>
      </c>
      <c r="E637" t="str">
        <f t="shared" si="19"/>
        <v>łódzkie_łaski_Widawa</v>
      </c>
      <c r="F637" t="s">
        <v>617</v>
      </c>
    </row>
    <row r="638" spans="1:6" x14ac:dyDescent="0.3">
      <c r="A638" t="s">
        <v>5381</v>
      </c>
      <c r="B638" t="s">
        <v>4881</v>
      </c>
      <c r="C638" t="str">
        <f t="shared" si="18"/>
        <v>łódzkie_łaski</v>
      </c>
      <c r="D638" t="s">
        <v>2950</v>
      </c>
      <c r="E638" t="str">
        <f t="shared" si="19"/>
        <v>łódzkie_łaski_Wodzierady</v>
      </c>
      <c r="F638" t="s">
        <v>618</v>
      </c>
    </row>
    <row r="639" spans="1:6" x14ac:dyDescent="0.3">
      <c r="A639" t="s">
        <v>5381</v>
      </c>
      <c r="B639" t="s">
        <v>4882</v>
      </c>
      <c r="C639" t="str">
        <f t="shared" si="18"/>
        <v>łódzkie_łęczycki</v>
      </c>
      <c r="D639" t="s">
        <v>2954</v>
      </c>
      <c r="E639" t="str">
        <f t="shared" si="19"/>
        <v>łódzkie_łęczycki_Piątek</v>
      </c>
      <c r="F639" t="s">
        <v>5427</v>
      </c>
    </row>
    <row r="640" spans="1:6" x14ac:dyDescent="0.3">
      <c r="A640" t="s">
        <v>5381</v>
      </c>
      <c r="B640" t="s">
        <v>4882</v>
      </c>
      <c r="C640" t="str">
        <f t="shared" si="18"/>
        <v>łódzkie_łęczycki</v>
      </c>
      <c r="D640" t="s">
        <v>2951</v>
      </c>
      <c r="E640" t="str">
        <f t="shared" si="19"/>
        <v>łódzkie_łęczycki_Daszyna</v>
      </c>
      <c r="F640" t="s">
        <v>620</v>
      </c>
    </row>
    <row r="641" spans="1:6" x14ac:dyDescent="0.3">
      <c r="A641" t="s">
        <v>5381</v>
      </c>
      <c r="B641" t="s">
        <v>4882</v>
      </c>
      <c r="C641" t="str">
        <f t="shared" ref="C641:C704" si="20">CONCATENATE(A641,"_",B641)</f>
        <v>łódzkie_łęczycki</v>
      </c>
      <c r="D641" t="s">
        <v>2952</v>
      </c>
      <c r="E641" t="str">
        <f t="shared" ref="E641:E704" si="21">C641&amp;"_"&amp;D641</f>
        <v>łódzkie_łęczycki_Góra Świętej Małgorzaty</v>
      </c>
      <c r="F641" t="s">
        <v>621</v>
      </c>
    </row>
    <row r="642" spans="1:6" x14ac:dyDescent="0.3">
      <c r="A642" t="s">
        <v>5381</v>
      </c>
      <c r="B642" t="s">
        <v>4882</v>
      </c>
      <c r="C642" t="str">
        <f t="shared" si="20"/>
        <v>łódzkie_łęczycki</v>
      </c>
      <c r="D642" t="s">
        <v>2953</v>
      </c>
      <c r="E642" t="str">
        <f t="shared" si="21"/>
        <v>łódzkie_łęczycki_Grabów</v>
      </c>
      <c r="F642" t="s">
        <v>5493</v>
      </c>
    </row>
    <row r="643" spans="1:6" x14ac:dyDescent="0.3">
      <c r="A643" t="s">
        <v>5381</v>
      </c>
      <c r="B643" t="s">
        <v>4882</v>
      </c>
      <c r="C643" t="str">
        <f t="shared" si="20"/>
        <v>łódzkie_łęczycki</v>
      </c>
      <c r="D643" t="s">
        <v>2955</v>
      </c>
      <c r="E643" t="str">
        <f t="shared" si="21"/>
        <v>łódzkie_łęczycki_Świnice Warckie</v>
      </c>
      <c r="F643" t="s">
        <v>624</v>
      </c>
    </row>
    <row r="644" spans="1:6" x14ac:dyDescent="0.3">
      <c r="A644" t="s">
        <v>5381</v>
      </c>
      <c r="B644" t="s">
        <v>4882</v>
      </c>
      <c r="C644" t="str">
        <f t="shared" si="20"/>
        <v>łódzkie_łęczycki</v>
      </c>
      <c r="D644" t="s">
        <v>2956</v>
      </c>
      <c r="E644" t="str">
        <f t="shared" si="21"/>
        <v>łódzkie_łęczycki_Witonia</v>
      </c>
      <c r="F644" t="s">
        <v>625</v>
      </c>
    </row>
    <row r="645" spans="1:6" x14ac:dyDescent="0.3">
      <c r="A645" t="s">
        <v>5381</v>
      </c>
      <c r="B645" t="s">
        <v>4882</v>
      </c>
      <c r="C645" t="str">
        <f t="shared" si="20"/>
        <v>łódzkie_łęczycki</v>
      </c>
      <c r="D645" t="s">
        <v>4594</v>
      </c>
      <c r="E645" t="str">
        <f t="shared" si="21"/>
        <v>łódzkie_łęczycki_Łęczyca (gm. miejska)</v>
      </c>
      <c r="F645" t="s">
        <v>619</v>
      </c>
    </row>
    <row r="646" spans="1:6" x14ac:dyDescent="0.3">
      <c r="A646" t="s">
        <v>5381</v>
      </c>
      <c r="B646" t="s">
        <v>4882</v>
      </c>
      <c r="C646" t="str">
        <f t="shared" si="20"/>
        <v>łódzkie_łęczycki</v>
      </c>
      <c r="D646" t="s">
        <v>4595</v>
      </c>
      <c r="E646" t="str">
        <f t="shared" si="21"/>
        <v>łódzkie_łęczycki_Łęczyca (gm. wiejska)</v>
      </c>
      <c r="F646" t="s">
        <v>623</v>
      </c>
    </row>
    <row r="647" spans="1:6" x14ac:dyDescent="0.3">
      <c r="A647" t="s">
        <v>5381</v>
      </c>
      <c r="B647" t="s">
        <v>4883</v>
      </c>
      <c r="C647" t="str">
        <f t="shared" si="20"/>
        <v>łódzkie_łowicki</v>
      </c>
      <c r="D647" t="s">
        <v>2957</v>
      </c>
      <c r="E647" t="str">
        <f t="shared" si="21"/>
        <v>łódzkie_łowicki_Bielawy</v>
      </c>
      <c r="F647" t="s">
        <v>627</v>
      </c>
    </row>
    <row r="648" spans="1:6" x14ac:dyDescent="0.3">
      <c r="A648" t="s">
        <v>5381</v>
      </c>
      <c r="B648" t="s">
        <v>4883</v>
      </c>
      <c r="C648" t="str">
        <f t="shared" si="20"/>
        <v>łódzkie_łowicki</v>
      </c>
      <c r="D648" t="s">
        <v>2958</v>
      </c>
      <c r="E648" t="str">
        <f t="shared" si="21"/>
        <v>łódzkie_łowicki_Chąśno</v>
      </c>
      <c r="F648" t="s">
        <v>628</v>
      </c>
    </row>
    <row r="649" spans="1:6" x14ac:dyDescent="0.3">
      <c r="A649" t="s">
        <v>5381</v>
      </c>
      <c r="B649" t="s">
        <v>4883</v>
      </c>
      <c r="C649" t="str">
        <f t="shared" si="20"/>
        <v>łódzkie_łowicki</v>
      </c>
      <c r="D649" t="s">
        <v>2959</v>
      </c>
      <c r="E649" t="str">
        <f t="shared" si="21"/>
        <v>łódzkie_łowicki_Domaniewice</v>
      </c>
      <c r="F649" t="s">
        <v>629</v>
      </c>
    </row>
    <row r="650" spans="1:6" x14ac:dyDescent="0.3">
      <c r="A650" t="s">
        <v>5381</v>
      </c>
      <c r="B650" t="s">
        <v>4883</v>
      </c>
      <c r="C650" t="str">
        <f t="shared" si="20"/>
        <v>łódzkie_łowicki</v>
      </c>
      <c r="D650" t="s">
        <v>2960</v>
      </c>
      <c r="E650" t="str">
        <f t="shared" si="21"/>
        <v>łódzkie_łowicki_Kiernozia</v>
      </c>
      <c r="F650" t="s">
        <v>5494</v>
      </c>
    </row>
    <row r="651" spans="1:6" x14ac:dyDescent="0.3">
      <c r="A651" t="s">
        <v>5381</v>
      </c>
      <c r="B651" t="s">
        <v>4883</v>
      </c>
      <c r="C651" t="str">
        <f t="shared" si="20"/>
        <v>łódzkie_łowicki</v>
      </c>
      <c r="D651" t="s">
        <v>2961</v>
      </c>
      <c r="E651" t="str">
        <f t="shared" si="21"/>
        <v>łódzkie_łowicki_Kocierzew Południowy</v>
      </c>
      <c r="F651" t="s">
        <v>631</v>
      </c>
    </row>
    <row r="652" spans="1:6" x14ac:dyDescent="0.3">
      <c r="A652" t="s">
        <v>5381</v>
      </c>
      <c r="B652" t="s">
        <v>4883</v>
      </c>
      <c r="C652" t="str">
        <f t="shared" si="20"/>
        <v>łódzkie_łowicki</v>
      </c>
      <c r="D652" t="s">
        <v>2962</v>
      </c>
      <c r="E652" t="str">
        <f t="shared" si="21"/>
        <v>łódzkie_łowicki_Łyszkowice</v>
      </c>
      <c r="F652" t="s">
        <v>633</v>
      </c>
    </row>
    <row r="653" spans="1:6" x14ac:dyDescent="0.3">
      <c r="A653" t="s">
        <v>5381</v>
      </c>
      <c r="B653" t="s">
        <v>4883</v>
      </c>
      <c r="C653" t="str">
        <f t="shared" si="20"/>
        <v>łódzkie_łowicki</v>
      </c>
      <c r="D653" t="s">
        <v>2963</v>
      </c>
      <c r="E653" t="str">
        <f t="shared" si="21"/>
        <v>łódzkie_łowicki_Nieborów</v>
      </c>
      <c r="F653" t="s">
        <v>634</v>
      </c>
    </row>
    <row r="654" spans="1:6" x14ac:dyDescent="0.3">
      <c r="A654" t="s">
        <v>5381</v>
      </c>
      <c r="B654" t="s">
        <v>4883</v>
      </c>
      <c r="C654" t="str">
        <f t="shared" si="20"/>
        <v>łódzkie_łowicki</v>
      </c>
      <c r="D654" t="s">
        <v>2964</v>
      </c>
      <c r="E654" t="str">
        <f t="shared" si="21"/>
        <v>łódzkie_łowicki_Zduny</v>
      </c>
      <c r="F654" t="s">
        <v>635</v>
      </c>
    </row>
    <row r="655" spans="1:6" x14ac:dyDescent="0.3">
      <c r="A655" t="s">
        <v>5381</v>
      </c>
      <c r="B655" t="s">
        <v>4883</v>
      </c>
      <c r="C655" t="str">
        <f t="shared" si="20"/>
        <v>łódzkie_łowicki</v>
      </c>
      <c r="D655" t="s">
        <v>4596</v>
      </c>
      <c r="E655" t="str">
        <f t="shared" si="21"/>
        <v>łódzkie_łowicki_Łowicz (gm. miejska)</v>
      </c>
      <c r="F655" t="s">
        <v>626</v>
      </c>
    </row>
    <row r="656" spans="1:6" x14ac:dyDescent="0.3">
      <c r="A656" t="s">
        <v>5381</v>
      </c>
      <c r="B656" t="s">
        <v>4883</v>
      </c>
      <c r="C656" t="str">
        <f t="shared" si="20"/>
        <v>łódzkie_łowicki</v>
      </c>
      <c r="D656" t="s">
        <v>4597</v>
      </c>
      <c r="E656" t="str">
        <f t="shared" si="21"/>
        <v>łódzkie_łowicki_Łowicz (gm. wiejska)</v>
      </c>
      <c r="F656" t="s">
        <v>632</v>
      </c>
    </row>
    <row r="657" spans="1:6" x14ac:dyDescent="0.3">
      <c r="A657" t="s">
        <v>5381</v>
      </c>
      <c r="B657" t="s">
        <v>4884</v>
      </c>
      <c r="C657" t="str">
        <f t="shared" si="20"/>
        <v>łódzkie_łódzki wschodni</v>
      </c>
      <c r="D657" t="s">
        <v>2965</v>
      </c>
      <c r="E657" t="str">
        <f t="shared" si="21"/>
        <v>łódzkie_łódzki wschodni_Andrespol</v>
      </c>
      <c r="F657" t="s">
        <v>636</v>
      </c>
    </row>
    <row r="658" spans="1:6" x14ac:dyDescent="0.3">
      <c r="A658" t="s">
        <v>5381</v>
      </c>
      <c r="B658" t="s">
        <v>4884</v>
      </c>
      <c r="C658" t="str">
        <f t="shared" si="20"/>
        <v>łódzkie_łódzki wschodni</v>
      </c>
      <c r="D658" t="s">
        <v>2966</v>
      </c>
      <c r="E658" t="str">
        <f t="shared" si="21"/>
        <v>łódzkie_łódzki wschodni_Brójce</v>
      </c>
      <c r="F658" t="s">
        <v>637</v>
      </c>
    </row>
    <row r="659" spans="1:6" x14ac:dyDescent="0.3">
      <c r="A659" t="s">
        <v>5381</v>
      </c>
      <c r="B659" t="s">
        <v>4884</v>
      </c>
      <c r="C659" t="str">
        <f t="shared" si="20"/>
        <v>łódzkie_łódzki wschodni</v>
      </c>
      <c r="D659" t="s">
        <v>2967</v>
      </c>
      <c r="E659" t="str">
        <f t="shared" si="21"/>
        <v>łódzkie_łódzki wschodni_Koluszki</v>
      </c>
      <c r="F659" t="s">
        <v>638</v>
      </c>
    </row>
    <row r="660" spans="1:6" x14ac:dyDescent="0.3">
      <c r="A660" t="s">
        <v>5381</v>
      </c>
      <c r="B660" t="s">
        <v>4884</v>
      </c>
      <c r="C660" t="str">
        <f t="shared" si="20"/>
        <v>łódzkie_łódzki wschodni</v>
      </c>
      <c r="D660" t="s">
        <v>2968</v>
      </c>
      <c r="E660" t="str">
        <f t="shared" si="21"/>
        <v>łódzkie_łódzki wschodni_Nowosolna</v>
      </c>
      <c r="F660" t="s">
        <v>639</v>
      </c>
    </row>
    <row r="661" spans="1:6" x14ac:dyDescent="0.3">
      <c r="A661" t="s">
        <v>5381</v>
      </c>
      <c r="B661" t="s">
        <v>4884</v>
      </c>
      <c r="C661" t="str">
        <f t="shared" si="20"/>
        <v>łódzkie_łódzki wschodni</v>
      </c>
      <c r="D661" t="s">
        <v>2969</v>
      </c>
      <c r="E661" t="str">
        <f t="shared" si="21"/>
        <v>łódzkie_łódzki wschodni_Rzgów</v>
      </c>
      <c r="F661" t="s">
        <v>640</v>
      </c>
    </row>
    <row r="662" spans="1:6" x14ac:dyDescent="0.3">
      <c r="A662" t="s">
        <v>5381</v>
      </c>
      <c r="B662" t="s">
        <v>4884</v>
      </c>
      <c r="C662" t="str">
        <f t="shared" si="20"/>
        <v>łódzkie_łódzki wschodni</v>
      </c>
      <c r="D662" t="s">
        <v>2970</v>
      </c>
      <c r="E662" t="str">
        <f t="shared" si="21"/>
        <v>łódzkie_łódzki wschodni_Tuszyn</v>
      </c>
      <c r="F662" t="s">
        <v>641</v>
      </c>
    </row>
    <row r="663" spans="1:6" x14ac:dyDescent="0.3">
      <c r="A663" t="s">
        <v>5381</v>
      </c>
      <c r="B663" t="s">
        <v>3074</v>
      </c>
      <c r="C663" t="str">
        <f t="shared" si="20"/>
        <v>łódzkie_Łódź</v>
      </c>
      <c r="D663" t="s">
        <v>3074</v>
      </c>
      <c r="E663" t="str">
        <f t="shared" si="21"/>
        <v>łódzkie_Łódź_Łódź</v>
      </c>
      <c r="F663" t="s">
        <v>766</v>
      </c>
    </row>
    <row r="664" spans="1:6" x14ac:dyDescent="0.3">
      <c r="A664" t="s">
        <v>5381</v>
      </c>
      <c r="B664" t="s">
        <v>4885</v>
      </c>
      <c r="C664" t="str">
        <f t="shared" si="20"/>
        <v>łódzkie_opoczyński</v>
      </c>
      <c r="D664" t="s">
        <v>2971</v>
      </c>
      <c r="E664" t="str">
        <f t="shared" si="21"/>
        <v>łódzkie_opoczyński_Białaczów</v>
      </c>
      <c r="F664" t="s">
        <v>5495</v>
      </c>
    </row>
    <row r="665" spans="1:6" x14ac:dyDescent="0.3">
      <c r="A665" t="s">
        <v>5381</v>
      </c>
      <c r="B665" t="s">
        <v>4885</v>
      </c>
      <c r="C665" t="str">
        <f t="shared" si="20"/>
        <v>łódzkie_opoczyński</v>
      </c>
      <c r="D665" t="s">
        <v>2972</v>
      </c>
      <c r="E665" t="str">
        <f t="shared" si="21"/>
        <v>łódzkie_opoczyński_Drzewica</v>
      </c>
      <c r="F665" t="s">
        <v>643</v>
      </c>
    </row>
    <row r="666" spans="1:6" x14ac:dyDescent="0.3">
      <c r="A666" t="s">
        <v>5381</v>
      </c>
      <c r="B666" t="s">
        <v>4885</v>
      </c>
      <c r="C666" t="str">
        <f t="shared" si="20"/>
        <v>łódzkie_opoczyński</v>
      </c>
      <c r="D666" t="s">
        <v>2973</v>
      </c>
      <c r="E666" t="str">
        <f t="shared" si="21"/>
        <v>łódzkie_opoczyński_Mniszków</v>
      </c>
      <c r="F666" t="s">
        <v>644</v>
      </c>
    </row>
    <row r="667" spans="1:6" x14ac:dyDescent="0.3">
      <c r="A667" t="s">
        <v>5381</v>
      </c>
      <c r="B667" t="s">
        <v>4885</v>
      </c>
      <c r="C667" t="str">
        <f t="shared" si="20"/>
        <v>łódzkie_opoczyński</v>
      </c>
      <c r="D667" t="s">
        <v>2974</v>
      </c>
      <c r="E667" t="str">
        <f t="shared" si="21"/>
        <v>łódzkie_opoczyński_Opoczno</v>
      </c>
      <c r="F667" t="s">
        <v>645</v>
      </c>
    </row>
    <row r="668" spans="1:6" x14ac:dyDescent="0.3">
      <c r="A668" t="s">
        <v>5381</v>
      </c>
      <c r="B668" t="s">
        <v>4885</v>
      </c>
      <c r="C668" t="str">
        <f t="shared" si="20"/>
        <v>łódzkie_opoczyński</v>
      </c>
      <c r="D668" t="s">
        <v>2975</v>
      </c>
      <c r="E668" t="str">
        <f t="shared" si="21"/>
        <v>łódzkie_opoczyński_Paradyż</v>
      </c>
      <c r="F668" t="s">
        <v>646</v>
      </c>
    </row>
    <row r="669" spans="1:6" x14ac:dyDescent="0.3">
      <c r="A669" t="s">
        <v>5381</v>
      </c>
      <c r="B669" t="s">
        <v>4885</v>
      </c>
      <c r="C669" t="str">
        <f t="shared" si="20"/>
        <v>łódzkie_opoczyński</v>
      </c>
      <c r="D669" t="s">
        <v>2976</v>
      </c>
      <c r="E669" t="str">
        <f t="shared" si="21"/>
        <v>łódzkie_opoczyński_Poświętne</v>
      </c>
      <c r="F669" t="s">
        <v>647</v>
      </c>
    </row>
    <row r="670" spans="1:6" x14ac:dyDescent="0.3">
      <c r="A670" t="s">
        <v>5381</v>
      </c>
      <c r="B670" t="s">
        <v>4885</v>
      </c>
      <c r="C670" t="str">
        <f t="shared" si="20"/>
        <v>łódzkie_opoczyński</v>
      </c>
      <c r="D670" t="s">
        <v>2977</v>
      </c>
      <c r="E670" t="str">
        <f t="shared" si="21"/>
        <v>łódzkie_opoczyński_Sławno</v>
      </c>
      <c r="F670" t="s">
        <v>648</v>
      </c>
    </row>
    <row r="671" spans="1:6" x14ac:dyDescent="0.3">
      <c r="A671" t="s">
        <v>5381</v>
      </c>
      <c r="B671" t="s">
        <v>4885</v>
      </c>
      <c r="C671" t="str">
        <f t="shared" si="20"/>
        <v>łódzkie_opoczyński</v>
      </c>
      <c r="D671" t="s">
        <v>2978</v>
      </c>
      <c r="E671" t="str">
        <f t="shared" si="21"/>
        <v>łódzkie_opoczyński_Żarnów</v>
      </c>
      <c r="F671" t="s">
        <v>5496</v>
      </c>
    </row>
    <row r="672" spans="1:6" x14ac:dyDescent="0.3">
      <c r="A672" t="s">
        <v>5381</v>
      </c>
      <c r="B672" t="s">
        <v>4886</v>
      </c>
      <c r="C672" t="str">
        <f t="shared" si="20"/>
        <v>łódzkie_pabianicki</v>
      </c>
      <c r="D672" t="s">
        <v>2980</v>
      </c>
      <c r="E672" t="str">
        <f t="shared" si="21"/>
        <v>łódzkie_pabianicki_Dłutów</v>
      </c>
      <c r="F672" t="s">
        <v>652</v>
      </c>
    </row>
    <row r="673" spans="1:6" x14ac:dyDescent="0.3">
      <c r="A673" t="s">
        <v>5381</v>
      </c>
      <c r="B673" t="s">
        <v>4886</v>
      </c>
      <c r="C673" t="str">
        <f t="shared" si="20"/>
        <v>łódzkie_pabianicki</v>
      </c>
      <c r="D673" t="s">
        <v>2981</v>
      </c>
      <c r="E673" t="str">
        <f t="shared" si="21"/>
        <v>łódzkie_pabianicki_Dobroń</v>
      </c>
      <c r="F673" t="s">
        <v>653</v>
      </c>
    </row>
    <row r="674" spans="1:6" x14ac:dyDescent="0.3">
      <c r="A674" t="s">
        <v>5381</v>
      </c>
      <c r="B674" t="s">
        <v>4886</v>
      </c>
      <c r="C674" t="str">
        <f t="shared" si="20"/>
        <v>łódzkie_pabianicki</v>
      </c>
      <c r="D674" t="s">
        <v>2979</v>
      </c>
      <c r="E674" t="str">
        <f t="shared" si="21"/>
        <v>łódzkie_pabianicki_Konstantynów Łódzki</v>
      </c>
      <c r="F674" t="s">
        <v>650</v>
      </c>
    </row>
    <row r="675" spans="1:6" x14ac:dyDescent="0.3">
      <c r="A675" t="s">
        <v>5381</v>
      </c>
      <c r="B675" t="s">
        <v>4886</v>
      </c>
      <c r="C675" t="str">
        <f t="shared" si="20"/>
        <v>łódzkie_pabianicki</v>
      </c>
      <c r="D675" t="s">
        <v>2982</v>
      </c>
      <c r="E675" t="str">
        <f t="shared" si="21"/>
        <v>łódzkie_pabianicki_Ksawerów</v>
      </c>
      <c r="F675" t="s">
        <v>654</v>
      </c>
    </row>
    <row r="676" spans="1:6" x14ac:dyDescent="0.3">
      <c r="A676" t="s">
        <v>5381</v>
      </c>
      <c r="B676" t="s">
        <v>4886</v>
      </c>
      <c r="C676" t="str">
        <f t="shared" si="20"/>
        <v>łódzkie_pabianicki</v>
      </c>
      <c r="D676" t="s">
        <v>2983</v>
      </c>
      <c r="E676" t="str">
        <f t="shared" si="21"/>
        <v>łódzkie_pabianicki_Lutomiersk</v>
      </c>
      <c r="F676" t="s">
        <v>5471</v>
      </c>
    </row>
    <row r="677" spans="1:6" x14ac:dyDescent="0.3">
      <c r="A677" t="s">
        <v>5381</v>
      </c>
      <c r="B677" t="s">
        <v>4886</v>
      </c>
      <c r="C677" t="str">
        <f t="shared" si="20"/>
        <v>łódzkie_pabianicki</v>
      </c>
      <c r="D677" t="s">
        <v>4598</v>
      </c>
      <c r="E677" t="str">
        <f t="shared" si="21"/>
        <v>łódzkie_pabianicki_Pabianice (gm. miejska)</v>
      </c>
      <c r="F677" t="s">
        <v>651</v>
      </c>
    </row>
    <row r="678" spans="1:6" x14ac:dyDescent="0.3">
      <c r="A678" t="s">
        <v>5381</v>
      </c>
      <c r="B678" t="s">
        <v>4886</v>
      </c>
      <c r="C678" t="str">
        <f t="shared" si="20"/>
        <v>łódzkie_pabianicki</v>
      </c>
      <c r="D678" t="s">
        <v>4599</v>
      </c>
      <c r="E678" t="str">
        <f t="shared" si="21"/>
        <v>łódzkie_pabianicki_Pabianice (gm. wiejska)</v>
      </c>
      <c r="F678" t="s">
        <v>656</v>
      </c>
    </row>
    <row r="679" spans="1:6" x14ac:dyDescent="0.3">
      <c r="A679" t="s">
        <v>5381</v>
      </c>
      <c r="B679" t="s">
        <v>4887</v>
      </c>
      <c r="C679" t="str">
        <f t="shared" si="20"/>
        <v>łódzkie_pajęczański</v>
      </c>
      <c r="D679" t="s">
        <v>2984</v>
      </c>
      <c r="E679" t="str">
        <f t="shared" si="21"/>
        <v>łódzkie_pajęczański_Działoszyn</v>
      </c>
      <c r="F679" t="s">
        <v>657</v>
      </c>
    </row>
    <row r="680" spans="1:6" x14ac:dyDescent="0.3">
      <c r="A680" t="s">
        <v>5381</v>
      </c>
      <c r="B680" t="s">
        <v>4887</v>
      </c>
      <c r="C680" t="str">
        <f t="shared" si="20"/>
        <v>łódzkie_pajęczański</v>
      </c>
      <c r="D680" t="s">
        <v>2985</v>
      </c>
      <c r="E680" t="str">
        <f t="shared" si="21"/>
        <v>łódzkie_pajęczański_Kiełczygłów</v>
      </c>
      <c r="F680" t="s">
        <v>658</v>
      </c>
    </row>
    <row r="681" spans="1:6" x14ac:dyDescent="0.3">
      <c r="A681" t="s">
        <v>5381</v>
      </c>
      <c r="B681" t="s">
        <v>4887</v>
      </c>
      <c r="C681" t="str">
        <f t="shared" si="20"/>
        <v>łódzkie_pajęczański</v>
      </c>
      <c r="D681" t="s">
        <v>2986</v>
      </c>
      <c r="E681" t="str">
        <f t="shared" si="21"/>
        <v>łódzkie_pajęczański_Nowa Brzeźnica</v>
      </c>
      <c r="F681" s="48" t="s">
        <v>659</v>
      </c>
    </row>
    <row r="682" spans="1:6" x14ac:dyDescent="0.3">
      <c r="A682" t="s">
        <v>5381</v>
      </c>
      <c r="B682" t="s">
        <v>4887</v>
      </c>
      <c r="C682" t="str">
        <f t="shared" si="20"/>
        <v>łódzkie_pajęczański</v>
      </c>
      <c r="D682" t="s">
        <v>2987</v>
      </c>
      <c r="E682" t="str">
        <f t="shared" si="21"/>
        <v>łódzkie_pajęczański_Pajęczno</v>
      </c>
      <c r="F682" t="s">
        <v>660</v>
      </c>
    </row>
    <row r="683" spans="1:6" x14ac:dyDescent="0.3">
      <c r="A683" t="s">
        <v>5381</v>
      </c>
      <c r="B683" t="s">
        <v>4887</v>
      </c>
      <c r="C683" t="str">
        <f t="shared" si="20"/>
        <v>łódzkie_pajęczański</v>
      </c>
      <c r="D683" t="s">
        <v>2988</v>
      </c>
      <c r="E683" t="str">
        <f t="shared" si="21"/>
        <v>łódzkie_pajęczański_Rząśnia</v>
      </c>
      <c r="F683" t="s">
        <v>661</v>
      </c>
    </row>
    <row r="684" spans="1:6" x14ac:dyDescent="0.3">
      <c r="A684" t="s">
        <v>5381</v>
      </c>
      <c r="B684" t="s">
        <v>4887</v>
      </c>
      <c r="C684" t="str">
        <f t="shared" si="20"/>
        <v>łódzkie_pajęczański</v>
      </c>
      <c r="D684" t="s">
        <v>2989</v>
      </c>
      <c r="E684" t="str">
        <f t="shared" si="21"/>
        <v>łódzkie_pajęczański_Siemkowice</v>
      </c>
      <c r="F684" t="s">
        <v>662</v>
      </c>
    </row>
    <row r="685" spans="1:6" x14ac:dyDescent="0.3">
      <c r="A685" t="s">
        <v>5381</v>
      </c>
      <c r="B685" t="s">
        <v>4887</v>
      </c>
      <c r="C685" t="str">
        <f t="shared" si="20"/>
        <v>łódzkie_pajęczański</v>
      </c>
      <c r="D685" t="s">
        <v>2990</v>
      </c>
      <c r="E685" t="str">
        <f t="shared" si="21"/>
        <v>łódzkie_pajęczański_Strzelce Wielkie</v>
      </c>
      <c r="F685" t="s">
        <v>663</v>
      </c>
    </row>
    <row r="686" spans="1:6" x14ac:dyDescent="0.3">
      <c r="A686" t="s">
        <v>5381</v>
      </c>
      <c r="B686" t="s">
        <v>4887</v>
      </c>
      <c r="C686" t="str">
        <f t="shared" si="20"/>
        <v>łódzkie_pajęczański</v>
      </c>
      <c r="D686" t="s">
        <v>2991</v>
      </c>
      <c r="E686" t="str">
        <f t="shared" si="21"/>
        <v>łódzkie_pajęczański_Sulmierzyce</v>
      </c>
      <c r="F686" t="s">
        <v>664</v>
      </c>
    </row>
    <row r="687" spans="1:6" x14ac:dyDescent="0.3">
      <c r="A687" t="s">
        <v>5381</v>
      </c>
      <c r="B687" t="s">
        <v>4888</v>
      </c>
      <c r="C687" t="str">
        <f t="shared" si="20"/>
        <v>łódzkie_piotrkowski</v>
      </c>
      <c r="D687" t="s">
        <v>2692</v>
      </c>
      <c r="E687" t="str">
        <f t="shared" si="21"/>
        <v>łódzkie_piotrkowski_Aleksandrów</v>
      </c>
      <c r="F687" t="s">
        <v>665</v>
      </c>
    </row>
    <row r="688" spans="1:6" x14ac:dyDescent="0.3">
      <c r="A688" t="s">
        <v>5381</v>
      </c>
      <c r="B688" t="s">
        <v>4888</v>
      </c>
      <c r="C688" t="str">
        <f t="shared" si="20"/>
        <v>łódzkie_piotrkowski</v>
      </c>
      <c r="D688" t="s">
        <v>2992</v>
      </c>
      <c r="E688" t="str">
        <f t="shared" si="21"/>
        <v>łódzkie_piotrkowski_Czarnocin</v>
      </c>
      <c r="F688" t="s">
        <v>666</v>
      </c>
    </row>
    <row r="689" spans="1:6" x14ac:dyDescent="0.3">
      <c r="A689" t="s">
        <v>5381</v>
      </c>
      <c r="B689" t="s">
        <v>4888</v>
      </c>
      <c r="C689" t="str">
        <f t="shared" si="20"/>
        <v>łódzkie_piotrkowski</v>
      </c>
      <c r="D689" t="s">
        <v>2993</v>
      </c>
      <c r="E689" t="str">
        <f t="shared" si="21"/>
        <v>łódzkie_piotrkowski_Gorzkowice</v>
      </c>
      <c r="F689" t="s">
        <v>667</v>
      </c>
    </row>
    <row r="690" spans="1:6" x14ac:dyDescent="0.3">
      <c r="A690" t="s">
        <v>5381</v>
      </c>
      <c r="B690" t="s">
        <v>4888</v>
      </c>
      <c r="C690" t="str">
        <f t="shared" si="20"/>
        <v>łódzkie_piotrkowski</v>
      </c>
      <c r="D690" t="s">
        <v>2994</v>
      </c>
      <c r="E690" t="str">
        <f t="shared" si="21"/>
        <v>łódzkie_piotrkowski_Grabica</v>
      </c>
      <c r="F690" t="s">
        <v>668</v>
      </c>
    </row>
    <row r="691" spans="1:6" x14ac:dyDescent="0.3">
      <c r="A691" t="s">
        <v>5381</v>
      </c>
      <c r="B691" t="s">
        <v>4888</v>
      </c>
      <c r="C691" t="str">
        <f t="shared" si="20"/>
        <v>łódzkie_piotrkowski</v>
      </c>
      <c r="D691" t="s">
        <v>2995</v>
      </c>
      <c r="E691" t="str">
        <f t="shared" si="21"/>
        <v>łódzkie_piotrkowski_Łęki Szlacheckie</v>
      </c>
      <c r="F691" t="s">
        <v>669</v>
      </c>
    </row>
    <row r="692" spans="1:6" x14ac:dyDescent="0.3">
      <c r="A692" t="s">
        <v>5381</v>
      </c>
      <c r="B692" t="s">
        <v>4888</v>
      </c>
      <c r="C692" t="str">
        <f t="shared" si="20"/>
        <v>łódzkie_piotrkowski</v>
      </c>
      <c r="D692" t="s">
        <v>2996</v>
      </c>
      <c r="E692" t="str">
        <f t="shared" si="21"/>
        <v>łódzkie_piotrkowski_Moszczenica</v>
      </c>
      <c r="F692" t="s">
        <v>670</v>
      </c>
    </row>
    <row r="693" spans="1:6" x14ac:dyDescent="0.3">
      <c r="A693" t="s">
        <v>5381</v>
      </c>
      <c r="B693" t="s">
        <v>4888</v>
      </c>
      <c r="C693" t="str">
        <f t="shared" si="20"/>
        <v>łódzkie_piotrkowski</v>
      </c>
      <c r="D693" t="s">
        <v>2997</v>
      </c>
      <c r="E693" t="str">
        <f t="shared" si="21"/>
        <v>łódzkie_piotrkowski_Ręczno</v>
      </c>
      <c r="F693" t="s">
        <v>671</v>
      </c>
    </row>
    <row r="694" spans="1:6" x14ac:dyDescent="0.3">
      <c r="A694" t="s">
        <v>5381</v>
      </c>
      <c r="B694" t="s">
        <v>4888</v>
      </c>
      <c r="C694" t="str">
        <f t="shared" si="20"/>
        <v>łódzkie_piotrkowski</v>
      </c>
      <c r="D694" t="s">
        <v>2998</v>
      </c>
      <c r="E694" t="str">
        <f t="shared" si="21"/>
        <v>łódzkie_piotrkowski_Rozprza</v>
      </c>
      <c r="F694" t="s">
        <v>5497</v>
      </c>
    </row>
    <row r="695" spans="1:6" x14ac:dyDescent="0.3">
      <c r="A695" t="s">
        <v>5381</v>
      </c>
      <c r="B695" t="s">
        <v>4888</v>
      </c>
      <c r="C695" t="str">
        <f t="shared" si="20"/>
        <v>łódzkie_piotrkowski</v>
      </c>
      <c r="D695" t="s">
        <v>2999</v>
      </c>
      <c r="E695" t="str">
        <f t="shared" si="21"/>
        <v>łódzkie_piotrkowski_Sulejów</v>
      </c>
      <c r="F695" t="s">
        <v>673</v>
      </c>
    </row>
    <row r="696" spans="1:6" x14ac:dyDescent="0.3">
      <c r="A696" t="s">
        <v>5381</v>
      </c>
      <c r="B696" t="s">
        <v>4888</v>
      </c>
      <c r="C696" t="str">
        <f t="shared" si="20"/>
        <v>łódzkie_piotrkowski</v>
      </c>
      <c r="D696" t="s">
        <v>3000</v>
      </c>
      <c r="E696" t="str">
        <f t="shared" si="21"/>
        <v>łódzkie_piotrkowski_Wola Krzysztoporska</v>
      </c>
      <c r="F696" t="s">
        <v>674</v>
      </c>
    </row>
    <row r="697" spans="1:6" x14ac:dyDescent="0.3">
      <c r="A697" t="s">
        <v>5381</v>
      </c>
      <c r="B697" t="s">
        <v>4888</v>
      </c>
      <c r="C697" t="str">
        <f t="shared" si="20"/>
        <v>łódzkie_piotrkowski</v>
      </c>
      <c r="D697" t="s">
        <v>3001</v>
      </c>
      <c r="E697" t="str">
        <f t="shared" si="21"/>
        <v>łódzkie_piotrkowski_Wolbórz</v>
      </c>
      <c r="F697" s="48" t="s">
        <v>5164</v>
      </c>
    </row>
    <row r="698" spans="1:6" x14ac:dyDescent="0.3">
      <c r="A698" t="s">
        <v>5381</v>
      </c>
      <c r="B698" t="s">
        <v>3075</v>
      </c>
      <c r="C698" t="str">
        <f t="shared" si="20"/>
        <v>łódzkie_Piotrków Trybunalski</v>
      </c>
      <c r="D698" t="s">
        <v>3075</v>
      </c>
      <c r="E698" t="str">
        <f t="shared" si="21"/>
        <v>łódzkie_Piotrków Trybunalski_Piotrków Trybunalski</v>
      </c>
      <c r="F698" t="s">
        <v>767</v>
      </c>
    </row>
    <row r="699" spans="1:6" x14ac:dyDescent="0.3">
      <c r="A699" t="s">
        <v>5381</v>
      </c>
      <c r="B699" t="s">
        <v>4889</v>
      </c>
      <c r="C699" t="str">
        <f t="shared" si="20"/>
        <v>łódzkie_poddębicki</v>
      </c>
      <c r="D699" t="s">
        <v>3002</v>
      </c>
      <c r="E699" t="str">
        <f t="shared" si="21"/>
        <v>łódzkie_poddębicki_Dalików</v>
      </c>
      <c r="F699" t="s">
        <v>675</v>
      </c>
    </row>
    <row r="700" spans="1:6" x14ac:dyDescent="0.3">
      <c r="A700" t="s">
        <v>5381</v>
      </c>
      <c r="B700" t="s">
        <v>4889</v>
      </c>
      <c r="C700" t="str">
        <f t="shared" si="20"/>
        <v>łódzkie_poddębicki</v>
      </c>
      <c r="D700" t="s">
        <v>3003</v>
      </c>
      <c r="E700" t="str">
        <f t="shared" si="21"/>
        <v>łódzkie_poddębicki_Pęczniew</v>
      </c>
      <c r="F700" t="s">
        <v>676</v>
      </c>
    </row>
    <row r="701" spans="1:6" x14ac:dyDescent="0.3">
      <c r="A701" t="s">
        <v>5381</v>
      </c>
      <c r="B701" t="s">
        <v>4889</v>
      </c>
      <c r="C701" t="str">
        <f t="shared" si="20"/>
        <v>łódzkie_poddębicki</v>
      </c>
      <c r="D701" t="s">
        <v>3004</v>
      </c>
      <c r="E701" t="str">
        <f t="shared" si="21"/>
        <v>łódzkie_poddębicki_Poddębice</v>
      </c>
      <c r="F701" t="s">
        <v>677</v>
      </c>
    </row>
    <row r="702" spans="1:6" x14ac:dyDescent="0.3">
      <c r="A702" t="s">
        <v>5381</v>
      </c>
      <c r="B702" t="s">
        <v>4889</v>
      </c>
      <c r="C702" t="str">
        <f t="shared" si="20"/>
        <v>łódzkie_poddębicki</v>
      </c>
      <c r="D702" t="s">
        <v>3005</v>
      </c>
      <c r="E702" t="str">
        <f t="shared" si="21"/>
        <v>łódzkie_poddębicki_Uniejów</v>
      </c>
      <c r="F702" t="s">
        <v>678</v>
      </c>
    </row>
    <row r="703" spans="1:6" x14ac:dyDescent="0.3">
      <c r="A703" t="s">
        <v>5381</v>
      </c>
      <c r="B703" t="s">
        <v>4889</v>
      </c>
      <c r="C703" t="str">
        <f t="shared" si="20"/>
        <v>łódzkie_poddębicki</v>
      </c>
      <c r="D703" t="s">
        <v>3006</v>
      </c>
      <c r="E703" t="str">
        <f t="shared" si="21"/>
        <v>łódzkie_poddębicki_Wartkowice</v>
      </c>
      <c r="F703" t="s">
        <v>679</v>
      </c>
    </row>
    <row r="704" spans="1:6" x14ac:dyDescent="0.3">
      <c r="A704" t="s">
        <v>5381</v>
      </c>
      <c r="B704" t="s">
        <v>4889</v>
      </c>
      <c r="C704" t="str">
        <f t="shared" si="20"/>
        <v>łódzkie_poddębicki</v>
      </c>
      <c r="D704" t="s">
        <v>3007</v>
      </c>
      <c r="E704" t="str">
        <f t="shared" si="21"/>
        <v>łódzkie_poddębicki_Zadzim</v>
      </c>
      <c r="F704" t="s">
        <v>680</v>
      </c>
    </row>
    <row r="705" spans="1:6" x14ac:dyDescent="0.3">
      <c r="A705" t="s">
        <v>5381</v>
      </c>
      <c r="B705" t="s">
        <v>4890</v>
      </c>
      <c r="C705" t="str">
        <f t="shared" ref="C705:C768" si="22">CONCATENATE(A705,"_",B705)</f>
        <v>łódzkie_radomszczański</v>
      </c>
      <c r="D705" t="s">
        <v>3008</v>
      </c>
      <c r="E705" t="str">
        <f t="shared" ref="E705:E768" si="23">C705&amp;"_"&amp;D705</f>
        <v>łódzkie_radomszczański_Dobryszyce</v>
      </c>
      <c r="F705" t="s">
        <v>682</v>
      </c>
    </row>
    <row r="706" spans="1:6" x14ac:dyDescent="0.3">
      <c r="A706" t="s">
        <v>5381</v>
      </c>
      <c r="B706" t="s">
        <v>4890</v>
      </c>
      <c r="C706" t="str">
        <f t="shared" si="22"/>
        <v>łódzkie_radomszczański</v>
      </c>
      <c r="D706" t="s">
        <v>3009</v>
      </c>
      <c r="E706" t="str">
        <f t="shared" si="23"/>
        <v>łódzkie_radomszczański_Gidle</v>
      </c>
      <c r="F706" t="s">
        <v>683</v>
      </c>
    </row>
    <row r="707" spans="1:6" x14ac:dyDescent="0.3">
      <c r="A707" t="s">
        <v>5381</v>
      </c>
      <c r="B707" t="s">
        <v>4890</v>
      </c>
      <c r="C707" t="str">
        <f t="shared" si="22"/>
        <v>łódzkie_radomszczański</v>
      </c>
      <c r="D707" t="s">
        <v>3010</v>
      </c>
      <c r="E707" t="str">
        <f t="shared" si="23"/>
        <v>łódzkie_radomszczański_Gomunice</v>
      </c>
      <c r="F707" t="s">
        <v>684</v>
      </c>
    </row>
    <row r="708" spans="1:6" x14ac:dyDescent="0.3">
      <c r="A708" t="s">
        <v>5381</v>
      </c>
      <c r="B708" t="s">
        <v>4890</v>
      </c>
      <c r="C708" t="str">
        <f t="shared" si="22"/>
        <v>łódzkie_radomszczański</v>
      </c>
      <c r="D708" t="s">
        <v>3011</v>
      </c>
      <c r="E708" t="str">
        <f t="shared" si="23"/>
        <v>łódzkie_radomszczański_Kamieńsk</v>
      </c>
      <c r="F708" t="s">
        <v>685</v>
      </c>
    </row>
    <row r="709" spans="1:6" x14ac:dyDescent="0.3">
      <c r="A709" t="s">
        <v>5381</v>
      </c>
      <c r="B709" t="s">
        <v>4890</v>
      </c>
      <c r="C709" t="str">
        <f t="shared" si="22"/>
        <v>łódzkie_radomszczański</v>
      </c>
      <c r="D709" t="s">
        <v>3012</v>
      </c>
      <c r="E709" t="str">
        <f t="shared" si="23"/>
        <v>łódzkie_radomszczański_Kobiele Wielkie</v>
      </c>
      <c r="F709" t="s">
        <v>686</v>
      </c>
    </row>
    <row r="710" spans="1:6" x14ac:dyDescent="0.3">
      <c r="A710" t="s">
        <v>5381</v>
      </c>
      <c r="B710" t="s">
        <v>4890</v>
      </c>
      <c r="C710" t="str">
        <f t="shared" si="22"/>
        <v>łódzkie_radomszczański</v>
      </c>
      <c r="D710" t="s">
        <v>3013</v>
      </c>
      <c r="E710" t="str">
        <f t="shared" si="23"/>
        <v>łódzkie_radomszczański_Kodrąb</v>
      </c>
      <c r="F710" t="s">
        <v>687</v>
      </c>
    </row>
    <row r="711" spans="1:6" x14ac:dyDescent="0.3">
      <c r="A711" t="s">
        <v>5381</v>
      </c>
      <c r="B711" t="s">
        <v>4890</v>
      </c>
      <c r="C711" t="str">
        <f t="shared" si="22"/>
        <v>łódzkie_radomszczański</v>
      </c>
      <c r="D711" t="s">
        <v>3014</v>
      </c>
      <c r="E711" t="str">
        <f t="shared" si="23"/>
        <v>łódzkie_radomszczański_Lgota Wielka</v>
      </c>
      <c r="F711" t="s">
        <v>688</v>
      </c>
    </row>
    <row r="712" spans="1:6" x14ac:dyDescent="0.3">
      <c r="A712" t="s">
        <v>5381</v>
      </c>
      <c r="B712" t="s">
        <v>4890</v>
      </c>
      <c r="C712" t="str">
        <f t="shared" si="22"/>
        <v>łódzkie_radomszczański</v>
      </c>
      <c r="D712" t="s">
        <v>3015</v>
      </c>
      <c r="E712" t="str">
        <f t="shared" si="23"/>
        <v>łódzkie_radomszczański_Ładzice</v>
      </c>
      <c r="F712" t="s">
        <v>689</v>
      </c>
    </row>
    <row r="713" spans="1:6" x14ac:dyDescent="0.3">
      <c r="A713" t="s">
        <v>5381</v>
      </c>
      <c r="B713" t="s">
        <v>4890</v>
      </c>
      <c r="C713" t="str">
        <f t="shared" si="22"/>
        <v>łódzkie_radomszczański</v>
      </c>
      <c r="D713" t="s">
        <v>3016</v>
      </c>
      <c r="E713" t="str">
        <f t="shared" si="23"/>
        <v>łódzkie_radomszczański_Masłowice</v>
      </c>
      <c r="F713" t="s">
        <v>690</v>
      </c>
    </row>
    <row r="714" spans="1:6" x14ac:dyDescent="0.3">
      <c r="A714" t="s">
        <v>5381</v>
      </c>
      <c r="B714" t="s">
        <v>4890</v>
      </c>
      <c r="C714" t="str">
        <f t="shared" si="22"/>
        <v>łódzkie_radomszczański</v>
      </c>
      <c r="D714" t="s">
        <v>3017</v>
      </c>
      <c r="E714" t="str">
        <f t="shared" si="23"/>
        <v>łódzkie_radomszczański_Przedbórz</v>
      </c>
      <c r="F714" t="s">
        <v>691</v>
      </c>
    </row>
    <row r="715" spans="1:6" x14ac:dyDescent="0.3">
      <c r="A715" t="s">
        <v>5381</v>
      </c>
      <c r="B715" t="s">
        <v>4890</v>
      </c>
      <c r="C715" t="str">
        <f t="shared" si="22"/>
        <v>łódzkie_radomszczański</v>
      </c>
      <c r="D715" t="s">
        <v>3018</v>
      </c>
      <c r="E715" t="str">
        <f t="shared" si="23"/>
        <v>łódzkie_radomszczański_Wielgomłyny</v>
      </c>
      <c r="F715" t="s">
        <v>693</v>
      </c>
    </row>
    <row r="716" spans="1:6" x14ac:dyDescent="0.3">
      <c r="A716" t="s">
        <v>5381</v>
      </c>
      <c r="B716" t="s">
        <v>4890</v>
      </c>
      <c r="C716" t="str">
        <f t="shared" si="22"/>
        <v>łódzkie_radomszczański</v>
      </c>
      <c r="D716" t="s">
        <v>3019</v>
      </c>
      <c r="E716" t="str">
        <f t="shared" si="23"/>
        <v>łódzkie_radomszczański_Żytno</v>
      </c>
      <c r="F716" t="s">
        <v>694</v>
      </c>
    </row>
    <row r="717" spans="1:6" x14ac:dyDescent="0.3">
      <c r="A717" t="s">
        <v>5381</v>
      </c>
      <c r="B717" t="s">
        <v>4890</v>
      </c>
      <c r="C717" t="str">
        <f t="shared" si="22"/>
        <v>łódzkie_radomszczański</v>
      </c>
      <c r="D717" t="s">
        <v>4600</v>
      </c>
      <c r="E717" t="str">
        <f t="shared" si="23"/>
        <v>łódzkie_radomszczański_Radomsko (gm. miejska)</v>
      </c>
      <c r="F717" t="s">
        <v>681</v>
      </c>
    </row>
    <row r="718" spans="1:6" x14ac:dyDescent="0.3">
      <c r="A718" t="s">
        <v>5381</v>
      </c>
      <c r="B718" t="s">
        <v>4890</v>
      </c>
      <c r="C718" t="str">
        <f t="shared" si="22"/>
        <v>łódzkie_radomszczański</v>
      </c>
      <c r="D718" t="s">
        <v>4601</v>
      </c>
      <c r="E718" t="str">
        <f t="shared" si="23"/>
        <v>łódzkie_radomszczański_Radomsko (gm. wiejska)</v>
      </c>
      <c r="F718" t="s">
        <v>692</v>
      </c>
    </row>
    <row r="719" spans="1:6" x14ac:dyDescent="0.3">
      <c r="A719" t="s">
        <v>5381</v>
      </c>
      <c r="B719" t="s">
        <v>4891</v>
      </c>
      <c r="C719" t="str">
        <f t="shared" si="22"/>
        <v>łódzkie_rawski</v>
      </c>
      <c r="D719" t="s">
        <v>3020</v>
      </c>
      <c r="E719" t="str">
        <f t="shared" si="23"/>
        <v>łódzkie_rawski_Biała Rawska</v>
      </c>
      <c r="F719" t="s">
        <v>696</v>
      </c>
    </row>
    <row r="720" spans="1:6" x14ac:dyDescent="0.3">
      <c r="A720" t="s">
        <v>5381</v>
      </c>
      <c r="B720" t="s">
        <v>4891</v>
      </c>
      <c r="C720" t="str">
        <f t="shared" si="22"/>
        <v>łódzkie_rawski</v>
      </c>
      <c r="D720" t="s">
        <v>3021</v>
      </c>
      <c r="E720" t="str">
        <f t="shared" si="23"/>
        <v>łódzkie_rawski_Cielądz</v>
      </c>
      <c r="F720" t="s">
        <v>697</v>
      </c>
    </row>
    <row r="721" spans="1:6" x14ac:dyDescent="0.3">
      <c r="A721" t="s">
        <v>5381</v>
      </c>
      <c r="B721" t="s">
        <v>4891</v>
      </c>
      <c r="C721" t="str">
        <f t="shared" si="22"/>
        <v>łódzkie_rawski</v>
      </c>
      <c r="D721" t="s">
        <v>3022</v>
      </c>
      <c r="E721" t="str">
        <f t="shared" si="23"/>
        <v>łódzkie_rawski_Regnów</v>
      </c>
      <c r="F721" t="s">
        <v>699</v>
      </c>
    </row>
    <row r="722" spans="1:6" x14ac:dyDescent="0.3">
      <c r="A722" t="s">
        <v>5381</v>
      </c>
      <c r="B722" t="s">
        <v>4891</v>
      </c>
      <c r="C722" t="str">
        <f t="shared" si="22"/>
        <v>łódzkie_rawski</v>
      </c>
      <c r="D722" t="s">
        <v>3023</v>
      </c>
      <c r="E722" t="str">
        <f t="shared" si="23"/>
        <v>łódzkie_rawski_Sadkowice</v>
      </c>
      <c r="F722" t="s">
        <v>700</v>
      </c>
    </row>
    <row r="723" spans="1:6" x14ac:dyDescent="0.3">
      <c r="A723" t="s">
        <v>5381</v>
      </c>
      <c r="B723" t="s">
        <v>4891</v>
      </c>
      <c r="C723" t="str">
        <f t="shared" si="22"/>
        <v>łódzkie_rawski</v>
      </c>
      <c r="D723" t="s">
        <v>4602</v>
      </c>
      <c r="E723" t="str">
        <f t="shared" si="23"/>
        <v>łódzkie_rawski_Rawa Mazowiecka (gm. miejska)</v>
      </c>
      <c r="F723" t="s">
        <v>695</v>
      </c>
    </row>
    <row r="724" spans="1:6" x14ac:dyDescent="0.3">
      <c r="A724" t="s">
        <v>5381</v>
      </c>
      <c r="B724" t="s">
        <v>4891</v>
      </c>
      <c r="C724" t="str">
        <f t="shared" si="22"/>
        <v>łódzkie_rawski</v>
      </c>
      <c r="D724" t="s">
        <v>4603</v>
      </c>
      <c r="E724" t="str">
        <f t="shared" si="23"/>
        <v>łódzkie_rawski_Rawa Mazowiecka (gm. wiejska)</v>
      </c>
      <c r="F724" t="s">
        <v>698</v>
      </c>
    </row>
    <row r="725" spans="1:6" x14ac:dyDescent="0.3">
      <c r="A725" t="s">
        <v>5381</v>
      </c>
      <c r="B725" t="s">
        <v>4892</v>
      </c>
      <c r="C725" t="str">
        <f t="shared" si="22"/>
        <v>łódzkie_sieradzki</v>
      </c>
      <c r="D725" t="s">
        <v>3024</v>
      </c>
      <c r="E725" t="str">
        <f t="shared" si="23"/>
        <v>łódzkie_sieradzki_Błaszki</v>
      </c>
      <c r="F725" t="s">
        <v>702</v>
      </c>
    </row>
    <row r="726" spans="1:6" x14ac:dyDescent="0.3">
      <c r="A726" t="s">
        <v>5381</v>
      </c>
      <c r="B726" t="s">
        <v>4892</v>
      </c>
      <c r="C726" t="str">
        <f t="shared" si="22"/>
        <v>łódzkie_sieradzki</v>
      </c>
      <c r="D726" t="s">
        <v>3025</v>
      </c>
      <c r="E726" t="str">
        <f t="shared" si="23"/>
        <v>łódzkie_sieradzki_Brąszewice</v>
      </c>
      <c r="F726" t="s">
        <v>703</v>
      </c>
    </row>
    <row r="727" spans="1:6" x14ac:dyDescent="0.3">
      <c r="A727" t="s">
        <v>5381</v>
      </c>
      <c r="B727" t="s">
        <v>4892</v>
      </c>
      <c r="C727" t="str">
        <f t="shared" si="22"/>
        <v>łódzkie_sieradzki</v>
      </c>
      <c r="D727" t="s">
        <v>3026</v>
      </c>
      <c r="E727" t="str">
        <f t="shared" si="23"/>
        <v>łódzkie_sieradzki_Brzeźnio</v>
      </c>
      <c r="F727" t="s">
        <v>704</v>
      </c>
    </row>
    <row r="728" spans="1:6" x14ac:dyDescent="0.3">
      <c r="A728" t="s">
        <v>5381</v>
      </c>
      <c r="B728" t="s">
        <v>4892</v>
      </c>
      <c r="C728" t="str">
        <f t="shared" si="22"/>
        <v>łódzkie_sieradzki</v>
      </c>
      <c r="D728" t="s">
        <v>3027</v>
      </c>
      <c r="E728" t="str">
        <f t="shared" si="23"/>
        <v>łódzkie_sieradzki_Burzenin</v>
      </c>
      <c r="F728" t="s">
        <v>705</v>
      </c>
    </row>
    <row r="729" spans="1:6" x14ac:dyDescent="0.3">
      <c r="A729" t="s">
        <v>5381</v>
      </c>
      <c r="B729" t="s">
        <v>4892</v>
      </c>
      <c r="C729" t="str">
        <f t="shared" si="22"/>
        <v>łódzkie_sieradzki</v>
      </c>
      <c r="D729" t="s">
        <v>3028</v>
      </c>
      <c r="E729" t="str">
        <f t="shared" si="23"/>
        <v>łódzkie_sieradzki_Goszczanów</v>
      </c>
      <c r="F729" t="s">
        <v>706</v>
      </c>
    </row>
    <row r="730" spans="1:6" x14ac:dyDescent="0.3">
      <c r="A730" t="s">
        <v>5381</v>
      </c>
      <c r="B730" t="s">
        <v>4892</v>
      </c>
      <c r="C730" t="str">
        <f t="shared" si="22"/>
        <v>łódzkie_sieradzki</v>
      </c>
      <c r="D730" t="s">
        <v>3029</v>
      </c>
      <c r="E730" t="str">
        <f t="shared" si="23"/>
        <v>łódzkie_sieradzki_Klonowa</v>
      </c>
      <c r="F730" t="s">
        <v>707</v>
      </c>
    </row>
    <row r="731" spans="1:6" x14ac:dyDescent="0.3">
      <c r="A731" t="s">
        <v>5381</v>
      </c>
      <c r="B731" t="s">
        <v>4892</v>
      </c>
      <c r="C731" t="str">
        <f t="shared" si="22"/>
        <v>łódzkie_sieradzki</v>
      </c>
      <c r="D731" t="s">
        <v>3030</v>
      </c>
      <c r="E731" t="str">
        <f t="shared" si="23"/>
        <v>łódzkie_sieradzki_Warta</v>
      </c>
      <c r="F731" t="s">
        <v>709</v>
      </c>
    </row>
    <row r="732" spans="1:6" x14ac:dyDescent="0.3">
      <c r="A732" t="s">
        <v>5381</v>
      </c>
      <c r="B732" t="s">
        <v>4892</v>
      </c>
      <c r="C732" t="str">
        <f t="shared" si="22"/>
        <v>łódzkie_sieradzki</v>
      </c>
      <c r="D732" t="s">
        <v>3031</v>
      </c>
      <c r="E732" t="str">
        <f t="shared" si="23"/>
        <v>łódzkie_sieradzki_Wróblew</v>
      </c>
      <c r="F732" t="s">
        <v>710</v>
      </c>
    </row>
    <row r="733" spans="1:6" x14ac:dyDescent="0.3">
      <c r="A733" t="s">
        <v>5381</v>
      </c>
      <c r="B733" t="s">
        <v>4892</v>
      </c>
      <c r="C733" t="str">
        <f t="shared" si="22"/>
        <v>łódzkie_sieradzki</v>
      </c>
      <c r="D733" t="s">
        <v>3032</v>
      </c>
      <c r="E733" t="str">
        <f t="shared" si="23"/>
        <v>łódzkie_sieradzki_Złoczew</v>
      </c>
      <c r="F733" t="s">
        <v>711</v>
      </c>
    </row>
    <row r="734" spans="1:6" x14ac:dyDescent="0.3">
      <c r="A734" t="s">
        <v>5381</v>
      </c>
      <c r="B734" t="s">
        <v>4892</v>
      </c>
      <c r="C734" t="str">
        <f t="shared" si="22"/>
        <v>łódzkie_sieradzki</v>
      </c>
      <c r="D734" t="s">
        <v>4604</v>
      </c>
      <c r="E734" t="str">
        <f t="shared" si="23"/>
        <v>łódzkie_sieradzki_Sieradz (gm. miejska)</v>
      </c>
      <c r="F734" t="s">
        <v>701</v>
      </c>
    </row>
    <row r="735" spans="1:6" x14ac:dyDescent="0.3">
      <c r="A735" t="s">
        <v>5381</v>
      </c>
      <c r="B735" t="s">
        <v>4892</v>
      </c>
      <c r="C735" t="str">
        <f t="shared" si="22"/>
        <v>łódzkie_sieradzki</v>
      </c>
      <c r="D735" t="s">
        <v>4605</v>
      </c>
      <c r="E735" t="str">
        <f t="shared" si="23"/>
        <v>łódzkie_sieradzki_Sieradz (gm. wiejska)</v>
      </c>
      <c r="F735" t="s">
        <v>708</v>
      </c>
    </row>
    <row r="736" spans="1:6" x14ac:dyDescent="0.3">
      <c r="A736" t="s">
        <v>5381</v>
      </c>
      <c r="B736" t="s">
        <v>3040</v>
      </c>
      <c r="C736" t="str">
        <f t="shared" si="22"/>
        <v>łódzkie_Skierniewice</v>
      </c>
      <c r="D736" t="s">
        <v>3040</v>
      </c>
      <c r="E736" t="str">
        <f t="shared" si="23"/>
        <v>łódzkie_Skierniewice_Skierniewice</v>
      </c>
      <c r="F736" t="s">
        <v>768</v>
      </c>
    </row>
    <row r="737" spans="1:6" x14ac:dyDescent="0.3">
      <c r="A737" t="s">
        <v>5381</v>
      </c>
      <c r="B737" t="s">
        <v>4893</v>
      </c>
      <c r="C737" t="str">
        <f t="shared" si="22"/>
        <v>łódzkie_skierniewicki</v>
      </c>
      <c r="D737" t="s">
        <v>3033</v>
      </c>
      <c r="E737" t="str">
        <f t="shared" si="23"/>
        <v>łódzkie_skierniewicki_Bolimów</v>
      </c>
      <c r="F737" t="s">
        <v>5465</v>
      </c>
    </row>
    <row r="738" spans="1:6" x14ac:dyDescent="0.3">
      <c r="A738" t="s">
        <v>5381</v>
      </c>
      <c r="B738" t="s">
        <v>4893</v>
      </c>
      <c r="C738" t="str">
        <f t="shared" si="22"/>
        <v>łódzkie_skierniewicki</v>
      </c>
      <c r="D738" t="s">
        <v>3034</v>
      </c>
      <c r="E738" t="str">
        <f t="shared" si="23"/>
        <v>łódzkie_skierniewicki_Głuchów</v>
      </c>
      <c r="F738" t="s">
        <v>713</v>
      </c>
    </row>
    <row r="739" spans="1:6" x14ac:dyDescent="0.3">
      <c r="A739" t="s">
        <v>5381</v>
      </c>
      <c r="B739" t="s">
        <v>4893</v>
      </c>
      <c r="C739" t="str">
        <f t="shared" si="22"/>
        <v>łódzkie_skierniewicki</v>
      </c>
      <c r="D739" t="s">
        <v>3035</v>
      </c>
      <c r="E739" t="str">
        <f t="shared" si="23"/>
        <v>łódzkie_skierniewicki_Godzianów</v>
      </c>
      <c r="F739" t="s">
        <v>714</v>
      </c>
    </row>
    <row r="740" spans="1:6" x14ac:dyDescent="0.3">
      <c r="A740" t="s">
        <v>5381</v>
      </c>
      <c r="B740" t="s">
        <v>4893</v>
      </c>
      <c r="C740" t="str">
        <f t="shared" si="22"/>
        <v>łódzkie_skierniewicki</v>
      </c>
      <c r="D740" t="s">
        <v>3036</v>
      </c>
      <c r="E740" t="str">
        <f t="shared" si="23"/>
        <v>łódzkie_skierniewicki_Kowiesy</v>
      </c>
      <c r="F740" t="s">
        <v>715</v>
      </c>
    </row>
    <row r="741" spans="1:6" x14ac:dyDescent="0.3">
      <c r="A741" t="s">
        <v>5381</v>
      </c>
      <c r="B741" t="s">
        <v>4893</v>
      </c>
      <c r="C741" t="str">
        <f t="shared" si="22"/>
        <v>łódzkie_skierniewicki</v>
      </c>
      <c r="D741" t="s">
        <v>3037</v>
      </c>
      <c r="E741" t="str">
        <f t="shared" si="23"/>
        <v>łódzkie_skierniewicki_Lipce Reymontowskie</v>
      </c>
      <c r="F741" t="s">
        <v>716</v>
      </c>
    </row>
    <row r="742" spans="1:6" x14ac:dyDescent="0.3">
      <c r="A742" t="s">
        <v>5381</v>
      </c>
      <c r="B742" t="s">
        <v>4893</v>
      </c>
      <c r="C742" t="str">
        <f t="shared" si="22"/>
        <v>łódzkie_skierniewicki</v>
      </c>
      <c r="D742" t="s">
        <v>3038</v>
      </c>
      <c r="E742" t="str">
        <f t="shared" si="23"/>
        <v>łódzkie_skierniewicki_Maków</v>
      </c>
      <c r="F742" t="s">
        <v>717</v>
      </c>
    </row>
    <row r="743" spans="1:6" x14ac:dyDescent="0.3">
      <c r="A743" t="s">
        <v>5381</v>
      </c>
      <c r="B743" t="s">
        <v>4893</v>
      </c>
      <c r="C743" t="str">
        <f t="shared" si="22"/>
        <v>łódzkie_skierniewicki</v>
      </c>
      <c r="D743" t="s">
        <v>3039</v>
      </c>
      <c r="E743" t="str">
        <f t="shared" si="23"/>
        <v>łódzkie_skierniewicki_Nowy Kawęczyn</v>
      </c>
      <c r="F743" t="s">
        <v>718</v>
      </c>
    </row>
    <row r="744" spans="1:6" x14ac:dyDescent="0.3">
      <c r="A744" t="s">
        <v>5381</v>
      </c>
      <c r="B744" t="s">
        <v>4893</v>
      </c>
      <c r="C744" t="str">
        <f t="shared" si="22"/>
        <v>łódzkie_skierniewicki</v>
      </c>
      <c r="D744" t="s">
        <v>3040</v>
      </c>
      <c r="E744" t="str">
        <f t="shared" si="23"/>
        <v>łódzkie_skierniewicki_Skierniewice</v>
      </c>
      <c r="F744" t="s">
        <v>719</v>
      </c>
    </row>
    <row r="745" spans="1:6" x14ac:dyDescent="0.3">
      <c r="A745" t="s">
        <v>5381</v>
      </c>
      <c r="B745" t="s">
        <v>4893</v>
      </c>
      <c r="C745" t="str">
        <f t="shared" si="22"/>
        <v>łódzkie_skierniewicki</v>
      </c>
      <c r="D745" t="s">
        <v>3041</v>
      </c>
      <c r="E745" t="str">
        <f t="shared" si="23"/>
        <v>łódzkie_skierniewicki_Słupia</v>
      </c>
      <c r="F745" t="s">
        <v>720</v>
      </c>
    </row>
    <row r="746" spans="1:6" x14ac:dyDescent="0.3">
      <c r="A746" t="s">
        <v>5381</v>
      </c>
      <c r="B746" t="s">
        <v>4864</v>
      </c>
      <c r="C746" t="str">
        <f t="shared" si="22"/>
        <v>łódzkie_tomaszowski</v>
      </c>
      <c r="D746" t="s">
        <v>3042</v>
      </c>
      <c r="E746" t="str">
        <f t="shared" si="23"/>
        <v>łódzkie_tomaszowski_Będków</v>
      </c>
      <c r="F746" t="s">
        <v>722</v>
      </c>
    </row>
    <row r="747" spans="1:6" x14ac:dyDescent="0.3">
      <c r="A747" t="s">
        <v>5381</v>
      </c>
      <c r="B747" t="s">
        <v>4864</v>
      </c>
      <c r="C747" t="str">
        <f t="shared" si="22"/>
        <v>łódzkie_tomaszowski</v>
      </c>
      <c r="D747" t="s">
        <v>3043</v>
      </c>
      <c r="E747" t="str">
        <f t="shared" si="23"/>
        <v>łódzkie_tomaszowski_Budziszewice</v>
      </c>
      <c r="F747" t="s">
        <v>723</v>
      </c>
    </row>
    <row r="748" spans="1:6" x14ac:dyDescent="0.3">
      <c r="A748" t="s">
        <v>5381</v>
      </c>
      <c r="B748" t="s">
        <v>4864</v>
      </c>
      <c r="C748" t="str">
        <f t="shared" si="22"/>
        <v>łódzkie_tomaszowski</v>
      </c>
      <c r="D748" t="s">
        <v>3044</v>
      </c>
      <c r="E748" t="str">
        <f t="shared" si="23"/>
        <v>łódzkie_tomaszowski_Czerniewice</v>
      </c>
      <c r="F748" t="s">
        <v>724</v>
      </c>
    </row>
    <row r="749" spans="1:6" x14ac:dyDescent="0.3">
      <c r="A749" t="s">
        <v>5381</v>
      </c>
      <c r="B749" t="s">
        <v>4864</v>
      </c>
      <c r="C749" t="str">
        <f t="shared" si="22"/>
        <v>łódzkie_tomaszowski</v>
      </c>
      <c r="D749" t="s">
        <v>3045</v>
      </c>
      <c r="E749" t="str">
        <f t="shared" si="23"/>
        <v>łódzkie_tomaszowski_Inowłódz</v>
      </c>
      <c r="F749" t="s">
        <v>5498</v>
      </c>
    </row>
    <row r="750" spans="1:6" x14ac:dyDescent="0.3">
      <c r="A750" t="s">
        <v>5381</v>
      </c>
      <c r="B750" t="s">
        <v>4864</v>
      </c>
      <c r="C750" t="str">
        <f t="shared" si="22"/>
        <v>łódzkie_tomaszowski</v>
      </c>
      <c r="D750" t="s">
        <v>3046</v>
      </c>
      <c r="E750" t="str">
        <f t="shared" si="23"/>
        <v>łódzkie_tomaszowski_Lubochnia</v>
      </c>
      <c r="F750" t="s">
        <v>726</v>
      </c>
    </row>
    <row r="751" spans="1:6" x14ac:dyDescent="0.3">
      <c r="A751" t="s">
        <v>5381</v>
      </c>
      <c r="B751" t="s">
        <v>4864</v>
      </c>
      <c r="C751" t="str">
        <f t="shared" si="22"/>
        <v>łódzkie_tomaszowski</v>
      </c>
      <c r="D751" t="s">
        <v>3047</v>
      </c>
      <c r="E751" t="str">
        <f t="shared" si="23"/>
        <v>łódzkie_tomaszowski_Rokiciny</v>
      </c>
      <c r="F751" t="s">
        <v>727</v>
      </c>
    </row>
    <row r="752" spans="1:6" x14ac:dyDescent="0.3">
      <c r="A752" t="s">
        <v>5381</v>
      </c>
      <c r="B752" t="s">
        <v>4864</v>
      </c>
      <c r="C752" t="str">
        <f t="shared" si="22"/>
        <v>łódzkie_tomaszowski</v>
      </c>
      <c r="D752" t="s">
        <v>3048</v>
      </c>
      <c r="E752" t="str">
        <f t="shared" si="23"/>
        <v>łódzkie_tomaszowski_Rzeczyca</v>
      </c>
      <c r="F752" t="s">
        <v>728</v>
      </c>
    </row>
    <row r="753" spans="1:6" x14ac:dyDescent="0.3">
      <c r="A753" t="s">
        <v>5381</v>
      </c>
      <c r="B753" t="s">
        <v>4864</v>
      </c>
      <c r="C753" t="str">
        <f t="shared" si="22"/>
        <v>łódzkie_tomaszowski</v>
      </c>
      <c r="D753" t="s">
        <v>3049</v>
      </c>
      <c r="E753" t="str">
        <f t="shared" si="23"/>
        <v>łódzkie_tomaszowski_Ujazd</v>
      </c>
      <c r="F753" t="s">
        <v>5499</v>
      </c>
    </row>
    <row r="754" spans="1:6" x14ac:dyDescent="0.3">
      <c r="A754" t="s">
        <v>5381</v>
      </c>
      <c r="B754" t="s">
        <v>4864</v>
      </c>
      <c r="C754" t="str">
        <f t="shared" si="22"/>
        <v>łódzkie_tomaszowski</v>
      </c>
      <c r="D754" t="s">
        <v>3050</v>
      </c>
      <c r="E754" t="str">
        <f t="shared" si="23"/>
        <v>łódzkie_tomaszowski_Żelechlinek</v>
      </c>
      <c r="F754" t="s">
        <v>731</v>
      </c>
    </row>
    <row r="755" spans="1:6" x14ac:dyDescent="0.3">
      <c r="A755" t="s">
        <v>5381</v>
      </c>
      <c r="B755" t="s">
        <v>4864</v>
      </c>
      <c r="C755" t="str">
        <f t="shared" si="22"/>
        <v>łódzkie_tomaszowski</v>
      </c>
      <c r="D755" t="s">
        <v>4606</v>
      </c>
      <c r="E755" t="str">
        <f t="shared" si="23"/>
        <v>łódzkie_tomaszowski_Tomaszów Mazowiecki (gm. miejska)</v>
      </c>
      <c r="F755" t="s">
        <v>721</v>
      </c>
    </row>
    <row r="756" spans="1:6" x14ac:dyDescent="0.3">
      <c r="A756" t="s">
        <v>5381</v>
      </c>
      <c r="B756" t="s">
        <v>4864</v>
      </c>
      <c r="C756" t="str">
        <f t="shared" si="22"/>
        <v>łódzkie_tomaszowski</v>
      </c>
      <c r="D756" t="s">
        <v>4607</v>
      </c>
      <c r="E756" t="str">
        <f t="shared" si="23"/>
        <v>łódzkie_tomaszowski_Tomaszów Mazowiecki (gm. wiejska)</v>
      </c>
      <c r="F756" t="s">
        <v>729</v>
      </c>
    </row>
    <row r="757" spans="1:6" x14ac:dyDescent="0.3">
      <c r="A757" t="s">
        <v>5381</v>
      </c>
      <c r="B757" t="s">
        <v>4894</v>
      </c>
      <c r="C757" t="str">
        <f t="shared" si="22"/>
        <v>łódzkie_wieluński</v>
      </c>
      <c r="D757" t="s">
        <v>3051</v>
      </c>
      <c r="E757" t="str">
        <f t="shared" si="23"/>
        <v>łódzkie_wieluński_Biała</v>
      </c>
      <c r="F757" t="s">
        <v>732</v>
      </c>
    </row>
    <row r="758" spans="1:6" x14ac:dyDescent="0.3">
      <c r="A758" t="s">
        <v>5381</v>
      </c>
      <c r="B758" t="s">
        <v>4894</v>
      </c>
      <c r="C758" t="str">
        <f t="shared" si="22"/>
        <v>łódzkie_wieluński</v>
      </c>
      <c r="D758" t="s">
        <v>3052</v>
      </c>
      <c r="E758" t="str">
        <f t="shared" si="23"/>
        <v>łódzkie_wieluński_Czarnożyły</v>
      </c>
      <c r="F758" t="s">
        <v>733</v>
      </c>
    </row>
    <row r="759" spans="1:6" x14ac:dyDescent="0.3">
      <c r="A759" t="s">
        <v>5381</v>
      </c>
      <c r="B759" t="s">
        <v>4894</v>
      </c>
      <c r="C759" t="str">
        <f t="shared" si="22"/>
        <v>łódzkie_wieluński</v>
      </c>
      <c r="D759" t="s">
        <v>2764</v>
      </c>
      <c r="E759" t="str">
        <f t="shared" si="23"/>
        <v>łódzkie_wieluński_Konopnica</v>
      </c>
      <c r="F759" t="s">
        <v>734</v>
      </c>
    </row>
    <row r="760" spans="1:6" x14ac:dyDescent="0.3">
      <c r="A760" t="s">
        <v>5381</v>
      </c>
      <c r="B760" t="s">
        <v>4894</v>
      </c>
      <c r="C760" t="str">
        <f t="shared" si="22"/>
        <v>łódzkie_wieluński</v>
      </c>
      <c r="D760" t="s">
        <v>3053</v>
      </c>
      <c r="E760" t="str">
        <f t="shared" si="23"/>
        <v>łódzkie_wieluński_Mokrsko</v>
      </c>
      <c r="F760" t="s">
        <v>735</v>
      </c>
    </row>
    <row r="761" spans="1:6" x14ac:dyDescent="0.3">
      <c r="A761" t="s">
        <v>5381</v>
      </c>
      <c r="B761" t="s">
        <v>4894</v>
      </c>
      <c r="C761" t="str">
        <f t="shared" si="22"/>
        <v>łódzkie_wieluński</v>
      </c>
      <c r="D761" t="s">
        <v>3054</v>
      </c>
      <c r="E761" t="str">
        <f t="shared" si="23"/>
        <v>łódzkie_wieluński_Osjaków</v>
      </c>
      <c r="F761" t="s">
        <v>5500</v>
      </c>
    </row>
    <row r="762" spans="1:6" x14ac:dyDescent="0.3">
      <c r="A762" t="s">
        <v>5381</v>
      </c>
      <c r="B762" t="s">
        <v>4894</v>
      </c>
      <c r="C762" t="str">
        <f t="shared" si="22"/>
        <v>łódzkie_wieluński</v>
      </c>
      <c r="D762" t="s">
        <v>2754</v>
      </c>
      <c r="E762" t="str">
        <f t="shared" si="23"/>
        <v>łódzkie_wieluński_Ostrówek</v>
      </c>
      <c r="F762" t="s">
        <v>737</v>
      </c>
    </row>
    <row r="763" spans="1:6" x14ac:dyDescent="0.3">
      <c r="A763" t="s">
        <v>5381</v>
      </c>
      <c r="B763" t="s">
        <v>4894</v>
      </c>
      <c r="C763" t="str">
        <f t="shared" si="22"/>
        <v>łódzkie_wieluński</v>
      </c>
      <c r="D763" t="s">
        <v>3055</v>
      </c>
      <c r="E763" t="str">
        <f t="shared" si="23"/>
        <v>łódzkie_wieluński_Pątnów</v>
      </c>
      <c r="F763" s="48" t="s">
        <v>738</v>
      </c>
    </row>
    <row r="764" spans="1:6" x14ac:dyDescent="0.3">
      <c r="A764" t="s">
        <v>5381</v>
      </c>
      <c r="B764" t="s">
        <v>4894</v>
      </c>
      <c r="C764" t="str">
        <f t="shared" si="22"/>
        <v>łódzkie_wieluński</v>
      </c>
      <c r="D764" t="s">
        <v>3056</v>
      </c>
      <c r="E764" t="str">
        <f t="shared" si="23"/>
        <v>łódzkie_wieluński_Skomlin</v>
      </c>
      <c r="F764" t="s">
        <v>739</v>
      </c>
    </row>
    <row r="765" spans="1:6" x14ac:dyDescent="0.3">
      <c r="A765" t="s">
        <v>5381</v>
      </c>
      <c r="B765" t="s">
        <v>4894</v>
      </c>
      <c r="C765" t="str">
        <f t="shared" si="22"/>
        <v>łódzkie_wieluński</v>
      </c>
      <c r="D765" t="s">
        <v>3057</v>
      </c>
      <c r="E765" t="str">
        <f t="shared" si="23"/>
        <v>łódzkie_wieluński_Wieluń</v>
      </c>
      <c r="F765" t="s">
        <v>740</v>
      </c>
    </row>
    <row r="766" spans="1:6" x14ac:dyDescent="0.3">
      <c r="A766" t="s">
        <v>5381</v>
      </c>
      <c r="B766" t="s">
        <v>4894</v>
      </c>
      <c r="C766" t="str">
        <f t="shared" si="22"/>
        <v>łódzkie_wieluński</v>
      </c>
      <c r="D766" t="s">
        <v>3058</v>
      </c>
      <c r="E766" t="str">
        <f t="shared" si="23"/>
        <v>łódzkie_wieluński_Wierzchlas</v>
      </c>
      <c r="F766" t="s">
        <v>741</v>
      </c>
    </row>
    <row r="767" spans="1:6" x14ac:dyDescent="0.3">
      <c r="A767" t="s">
        <v>5381</v>
      </c>
      <c r="B767" t="s">
        <v>4895</v>
      </c>
      <c r="C767" t="str">
        <f t="shared" si="22"/>
        <v>łódzkie_wieruszowski</v>
      </c>
      <c r="D767" t="s">
        <v>3059</v>
      </c>
      <c r="E767" t="str">
        <f t="shared" si="23"/>
        <v>łódzkie_wieruszowski_Bolesławiec</v>
      </c>
      <c r="F767" t="s">
        <v>5484</v>
      </c>
    </row>
    <row r="768" spans="1:6" x14ac:dyDescent="0.3">
      <c r="A768" t="s">
        <v>5381</v>
      </c>
      <c r="B768" t="s">
        <v>4895</v>
      </c>
      <c r="C768" t="str">
        <f t="shared" si="22"/>
        <v>łódzkie_wieruszowski</v>
      </c>
      <c r="D768" t="s">
        <v>3060</v>
      </c>
      <c r="E768" t="str">
        <f t="shared" si="23"/>
        <v>łódzkie_wieruszowski_Czastary</v>
      </c>
      <c r="F768" t="s">
        <v>743</v>
      </c>
    </row>
    <row r="769" spans="1:6" x14ac:dyDescent="0.3">
      <c r="A769" t="s">
        <v>5381</v>
      </c>
      <c r="B769" t="s">
        <v>4895</v>
      </c>
      <c r="C769" t="str">
        <f t="shared" ref="C769:C832" si="24">CONCATENATE(A769,"_",B769)</f>
        <v>łódzkie_wieruszowski</v>
      </c>
      <c r="D769" t="s">
        <v>3061</v>
      </c>
      <c r="E769" t="str">
        <f t="shared" ref="E769:E832" si="25">C769&amp;"_"&amp;D769</f>
        <v>łódzkie_wieruszowski_Galewice</v>
      </c>
      <c r="F769" t="s">
        <v>744</v>
      </c>
    </row>
    <row r="770" spans="1:6" x14ac:dyDescent="0.3">
      <c r="A770" t="s">
        <v>5381</v>
      </c>
      <c r="B770" t="s">
        <v>4895</v>
      </c>
      <c r="C770" t="str">
        <f t="shared" si="24"/>
        <v>łódzkie_wieruszowski</v>
      </c>
      <c r="D770" t="s">
        <v>3062</v>
      </c>
      <c r="E770" t="str">
        <f t="shared" si="25"/>
        <v>łódzkie_wieruszowski_Lututów</v>
      </c>
      <c r="F770" t="s">
        <v>5414</v>
      </c>
    </row>
    <row r="771" spans="1:6" x14ac:dyDescent="0.3">
      <c r="A771" t="s">
        <v>5381</v>
      </c>
      <c r="B771" t="s">
        <v>4895</v>
      </c>
      <c r="C771" t="str">
        <f t="shared" si="24"/>
        <v>łódzkie_wieruszowski</v>
      </c>
      <c r="D771" t="s">
        <v>3063</v>
      </c>
      <c r="E771" t="str">
        <f t="shared" si="25"/>
        <v>łódzkie_wieruszowski_Łubnice</v>
      </c>
      <c r="F771" t="s">
        <v>745</v>
      </c>
    </row>
    <row r="772" spans="1:6" x14ac:dyDescent="0.3">
      <c r="A772" t="s">
        <v>5381</v>
      </c>
      <c r="B772" t="s">
        <v>4895</v>
      </c>
      <c r="C772" t="str">
        <f t="shared" si="24"/>
        <v>łódzkie_wieruszowski</v>
      </c>
      <c r="D772" t="s">
        <v>3064</v>
      </c>
      <c r="E772" t="str">
        <f t="shared" si="25"/>
        <v>łódzkie_wieruszowski_Sokolniki</v>
      </c>
      <c r="F772" t="s">
        <v>746</v>
      </c>
    </row>
    <row r="773" spans="1:6" x14ac:dyDescent="0.3">
      <c r="A773" t="s">
        <v>5381</v>
      </c>
      <c r="B773" t="s">
        <v>4895</v>
      </c>
      <c r="C773" t="str">
        <f t="shared" si="24"/>
        <v>łódzkie_wieruszowski</v>
      </c>
      <c r="D773" t="s">
        <v>3065</v>
      </c>
      <c r="E773" t="str">
        <f t="shared" si="25"/>
        <v>łódzkie_wieruszowski_Wieruszów</v>
      </c>
      <c r="F773" t="s">
        <v>747</v>
      </c>
    </row>
    <row r="774" spans="1:6" x14ac:dyDescent="0.3">
      <c r="A774" t="s">
        <v>5381</v>
      </c>
      <c r="B774" t="s">
        <v>4896</v>
      </c>
      <c r="C774" t="str">
        <f t="shared" si="24"/>
        <v>łódzkie_zduńskowolski</v>
      </c>
      <c r="D774" t="s">
        <v>3066</v>
      </c>
      <c r="E774" t="str">
        <f t="shared" si="25"/>
        <v>łódzkie_zduńskowolski_Szadek</v>
      </c>
      <c r="F774" t="s">
        <v>749</v>
      </c>
    </row>
    <row r="775" spans="1:6" x14ac:dyDescent="0.3">
      <c r="A775" t="s">
        <v>5381</v>
      </c>
      <c r="B775" t="s">
        <v>4896</v>
      </c>
      <c r="C775" t="str">
        <f t="shared" si="24"/>
        <v>łódzkie_zduńskowolski</v>
      </c>
      <c r="D775" t="s">
        <v>3067</v>
      </c>
      <c r="E775" t="str">
        <f t="shared" si="25"/>
        <v>łódzkie_zduńskowolski_Zapolice</v>
      </c>
      <c r="F775" t="s">
        <v>750</v>
      </c>
    </row>
    <row r="776" spans="1:6" x14ac:dyDescent="0.3">
      <c r="A776" t="s">
        <v>5381</v>
      </c>
      <c r="B776" t="s">
        <v>4896</v>
      </c>
      <c r="C776" t="str">
        <f t="shared" si="24"/>
        <v>łódzkie_zduńskowolski</v>
      </c>
      <c r="D776" t="s">
        <v>4608</v>
      </c>
      <c r="E776" t="str">
        <f t="shared" si="25"/>
        <v>łódzkie_zduńskowolski_Zduńska Wola (gm. miejska)</v>
      </c>
      <c r="F776" t="s">
        <v>748</v>
      </c>
    </row>
    <row r="777" spans="1:6" x14ac:dyDescent="0.3">
      <c r="A777" t="s">
        <v>5381</v>
      </c>
      <c r="B777" t="s">
        <v>4896</v>
      </c>
      <c r="C777" t="str">
        <f t="shared" si="24"/>
        <v>łódzkie_zduńskowolski</v>
      </c>
      <c r="D777" t="s">
        <v>4609</v>
      </c>
      <c r="E777" t="str">
        <f t="shared" si="25"/>
        <v>łódzkie_zduńskowolski_Zduńska Wola (gm. wiejska)</v>
      </c>
      <c r="F777" t="s">
        <v>751</v>
      </c>
    </row>
    <row r="778" spans="1:6" x14ac:dyDescent="0.3">
      <c r="A778" t="s">
        <v>5381</v>
      </c>
      <c r="B778" t="s">
        <v>4897</v>
      </c>
      <c r="C778" t="str">
        <f t="shared" si="24"/>
        <v>łódzkie_zgierski</v>
      </c>
      <c r="D778" t="s">
        <v>3068</v>
      </c>
      <c r="E778" t="str">
        <f t="shared" si="25"/>
        <v>łódzkie_zgierski_Aleksandrów Łódzki</v>
      </c>
      <c r="F778" t="s">
        <v>755</v>
      </c>
    </row>
    <row r="779" spans="1:6" x14ac:dyDescent="0.3">
      <c r="A779" t="s">
        <v>5381</v>
      </c>
      <c r="B779" t="s">
        <v>4897</v>
      </c>
      <c r="C779" t="str">
        <f t="shared" si="24"/>
        <v>łódzkie_zgierski</v>
      </c>
      <c r="D779" t="s">
        <v>3069</v>
      </c>
      <c r="E779" t="str">
        <f t="shared" si="25"/>
        <v>łódzkie_zgierski_Parzęczew</v>
      </c>
      <c r="F779" t="s">
        <v>5501</v>
      </c>
    </row>
    <row r="780" spans="1:6" x14ac:dyDescent="0.3">
      <c r="A780" t="s">
        <v>5381</v>
      </c>
      <c r="B780" t="s">
        <v>4897</v>
      </c>
      <c r="C780" t="str">
        <f t="shared" si="24"/>
        <v>łódzkie_zgierski</v>
      </c>
      <c r="D780" t="s">
        <v>3070</v>
      </c>
      <c r="E780" t="str">
        <f t="shared" si="25"/>
        <v>łódzkie_zgierski_Stryków</v>
      </c>
      <c r="F780" s="48" t="s">
        <v>759</v>
      </c>
    </row>
    <row r="781" spans="1:6" x14ac:dyDescent="0.3">
      <c r="A781" t="s">
        <v>5381</v>
      </c>
      <c r="B781" t="s">
        <v>4897</v>
      </c>
      <c r="C781" t="str">
        <f t="shared" si="24"/>
        <v>łódzkie_zgierski</v>
      </c>
      <c r="D781" t="s">
        <v>4610</v>
      </c>
      <c r="E781" t="str">
        <f t="shared" si="25"/>
        <v>łódzkie_zgierski_Głowno (gm. miejska)</v>
      </c>
      <c r="F781" t="s">
        <v>752</v>
      </c>
    </row>
    <row r="782" spans="1:6" x14ac:dyDescent="0.3">
      <c r="A782" t="s">
        <v>5381</v>
      </c>
      <c r="B782" t="s">
        <v>4897</v>
      </c>
      <c r="C782" t="str">
        <f t="shared" si="24"/>
        <v>łódzkie_zgierski</v>
      </c>
      <c r="D782" t="s">
        <v>4611</v>
      </c>
      <c r="E782" t="str">
        <f t="shared" si="25"/>
        <v>łódzkie_zgierski_Ozorków (gm. miejska)</v>
      </c>
      <c r="F782" s="48" t="s">
        <v>753</v>
      </c>
    </row>
    <row r="783" spans="1:6" x14ac:dyDescent="0.3">
      <c r="A783" t="s">
        <v>5381</v>
      </c>
      <c r="B783" t="s">
        <v>4897</v>
      </c>
      <c r="C783" t="str">
        <f t="shared" si="24"/>
        <v>łódzkie_zgierski</v>
      </c>
      <c r="D783" t="s">
        <v>4612</v>
      </c>
      <c r="E783" t="str">
        <f t="shared" si="25"/>
        <v>łódzkie_zgierski_Zgierz (gm. miejska)</v>
      </c>
      <c r="F783" t="s">
        <v>754</v>
      </c>
    </row>
    <row r="784" spans="1:6" x14ac:dyDescent="0.3">
      <c r="A784" t="s">
        <v>5381</v>
      </c>
      <c r="B784" t="s">
        <v>4897</v>
      </c>
      <c r="C784" t="str">
        <f t="shared" si="24"/>
        <v>łódzkie_zgierski</v>
      </c>
      <c r="D784" t="s">
        <v>4613</v>
      </c>
      <c r="E784" t="str">
        <f t="shared" si="25"/>
        <v>łódzkie_zgierski_Głowno (gm. wiejska)</v>
      </c>
      <c r="F784" s="48" t="s">
        <v>756</v>
      </c>
    </row>
    <row r="785" spans="1:6" x14ac:dyDescent="0.3">
      <c r="A785" t="s">
        <v>5381</v>
      </c>
      <c r="B785" t="s">
        <v>4897</v>
      </c>
      <c r="C785" t="str">
        <f t="shared" si="24"/>
        <v>łódzkie_zgierski</v>
      </c>
      <c r="D785" t="s">
        <v>4614</v>
      </c>
      <c r="E785" t="str">
        <f t="shared" si="25"/>
        <v>łódzkie_zgierski_Ozorków (gm. wiejska)</v>
      </c>
      <c r="F785" t="s">
        <v>757</v>
      </c>
    </row>
    <row r="786" spans="1:6" x14ac:dyDescent="0.3">
      <c r="A786" t="s">
        <v>5381</v>
      </c>
      <c r="B786" t="s">
        <v>4897</v>
      </c>
      <c r="C786" t="str">
        <f t="shared" si="24"/>
        <v>łódzkie_zgierski</v>
      </c>
      <c r="D786" t="s">
        <v>4615</v>
      </c>
      <c r="E786" t="str">
        <f t="shared" si="25"/>
        <v>łódzkie_zgierski_Zgierz (gm. wiejska)</v>
      </c>
      <c r="F786" t="s">
        <v>760</v>
      </c>
    </row>
    <row r="787" spans="1:6" x14ac:dyDescent="0.3">
      <c r="A787" t="s">
        <v>5383</v>
      </c>
      <c r="B787" t="s">
        <v>4899</v>
      </c>
      <c r="C787" t="str">
        <f t="shared" si="24"/>
        <v>małopolskie_bocheński</v>
      </c>
      <c r="D787" t="s">
        <v>3076</v>
      </c>
      <c r="E787" t="str">
        <f t="shared" si="25"/>
        <v>małopolskie_bocheński_Drwinia</v>
      </c>
      <c r="F787" t="s">
        <v>771</v>
      </c>
    </row>
    <row r="788" spans="1:6" x14ac:dyDescent="0.3">
      <c r="A788" t="s">
        <v>5383</v>
      </c>
      <c r="B788" t="s">
        <v>4899</v>
      </c>
      <c r="C788" t="str">
        <f t="shared" si="24"/>
        <v>małopolskie_bocheński</v>
      </c>
      <c r="D788" t="s">
        <v>3077</v>
      </c>
      <c r="E788" t="str">
        <f t="shared" si="25"/>
        <v>małopolskie_bocheński_Lipnica Murowana</v>
      </c>
      <c r="F788" t="s">
        <v>772</v>
      </c>
    </row>
    <row r="789" spans="1:6" x14ac:dyDescent="0.3">
      <c r="A789" t="s">
        <v>5383</v>
      </c>
      <c r="B789" t="s">
        <v>4899</v>
      </c>
      <c r="C789" t="str">
        <f t="shared" si="24"/>
        <v>małopolskie_bocheński</v>
      </c>
      <c r="D789" t="s">
        <v>3078</v>
      </c>
      <c r="E789" t="str">
        <f t="shared" si="25"/>
        <v>małopolskie_bocheński_Łapanów</v>
      </c>
      <c r="F789" t="s">
        <v>773</v>
      </c>
    </row>
    <row r="790" spans="1:6" x14ac:dyDescent="0.3">
      <c r="A790" t="s">
        <v>5383</v>
      </c>
      <c r="B790" t="s">
        <v>4899</v>
      </c>
      <c r="C790" t="str">
        <f t="shared" si="24"/>
        <v>małopolskie_bocheński</v>
      </c>
      <c r="D790" t="s">
        <v>3079</v>
      </c>
      <c r="E790" t="str">
        <f t="shared" si="25"/>
        <v>małopolskie_bocheński_Nowy Wiśnicz</v>
      </c>
      <c r="F790" t="s">
        <v>774</v>
      </c>
    </row>
    <row r="791" spans="1:6" x14ac:dyDescent="0.3">
      <c r="A791" t="s">
        <v>5383</v>
      </c>
      <c r="B791" t="s">
        <v>4899</v>
      </c>
      <c r="C791" t="str">
        <f t="shared" si="24"/>
        <v>małopolskie_bocheński</v>
      </c>
      <c r="D791" t="s">
        <v>3080</v>
      </c>
      <c r="E791" t="str">
        <f t="shared" si="25"/>
        <v>małopolskie_bocheński_Rzezawa</v>
      </c>
      <c r="F791" t="s">
        <v>775</v>
      </c>
    </row>
    <row r="792" spans="1:6" x14ac:dyDescent="0.3">
      <c r="A792" t="s">
        <v>5383</v>
      </c>
      <c r="B792" t="s">
        <v>4899</v>
      </c>
      <c r="C792" t="str">
        <f t="shared" si="24"/>
        <v>małopolskie_bocheński</v>
      </c>
      <c r="D792" t="s">
        <v>3081</v>
      </c>
      <c r="E792" t="str">
        <f t="shared" si="25"/>
        <v>małopolskie_bocheński_Trzciana</v>
      </c>
      <c r="F792" t="s">
        <v>776</v>
      </c>
    </row>
    <row r="793" spans="1:6" x14ac:dyDescent="0.3">
      <c r="A793" t="s">
        <v>5383</v>
      </c>
      <c r="B793" t="s">
        <v>4899</v>
      </c>
      <c r="C793" t="str">
        <f t="shared" si="24"/>
        <v>małopolskie_bocheński</v>
      </c>
      <c r="D793" t="s">
        <v>3082</v>
      </c>
      <c r="E793" t="str">
        <f t="shared" si="25"/>
        <v>małopolskie_bocheński_Żegocina</v>
      </c>
      <c r="F793" t="s">
        <v>777</v>
      </c>
    </row>
    <row r="794" spans="1:6" x14ac:dyDescent="0.3">
      <c r="A794" t="s">
        <v>5383</v>
      </c>
      <c r="B794" t="s">
        <v>4899</v>
      </c>
      <c r="C794" t="str">
        <f t="shared" si="24"/>
        <v>małopolskie_bocheński</v>
      </c>
      <c r="D794" t="s">
        <v>4616</v>
      </c>
      <c r="E794" t="str">
        <f t="shared" si="25"/>
        <v>małopolskie_bocheński_Bochnia (gm. miejska)</v>
      </c>
      <c r="F794" t="s">
        <v>769</v>
      </c>
    </row>
    <row r="795" spans="1:6" x14ac:dyDescent="0.3">
      <c r="A795" t="s">
        <v>5383</v>
      </c>
      <c r="B795" t="s">
        <v>4899</v>
      </c>
      <c r="C795" t="str">
        <f t="shared" si="24"/>
        <v>małopolskie_bocheński</v>
      </c>
      <c r="D795" t="s">
        <v>4617</v>
      </c>
      <c r="E795" t="str">
        <f t="shared" si="25"/>
        <v>małopolskie_bocheński_Bochnia (gm. wiejska)</v>
      </c>
      <c r="F795" t="s">
        <v>770</v>
      </c>
    </row>
    <row r="796" spans="1:6" x14ac:dyDescent="0.3">
      <c r="A796" t="s">
        <v>5383</v>
      </c>
      <c r="B796" t="s">
        <v>4900</v>
      </c>
      <c r="C796" t="str">
        <f t="shared" si="24"/>
        <v>małopolskie_brzeski</v>
      </c>
      <c r="D796" t="s">
        <v>3083</v>
      </c>
      <c r="E796" t="str">
        <f t="shared" si="25"/>
        <v>małopolskie_brzeski_Borzęcin</v>
      </c>
      <c r="F796" t="s">
        <v>778</v>
      </c>
    </row>
    <row r="797" spans="1:6" x14ac:dyDescent="0.3">
      <c r="A797" t="s">
        <v>5383</v>
      </c>
      <c r="B797" t="s">
        <v>4900</v>
      </c>
      <c r="C797" t="str">
        <f t="shared" si="24"/>
        <v>małopolskie_brzeski</v>
      </c>
      <c r="D797" t="s">
        <v>3084</v>
      </c>
      <c r="E797" t="str">
        <f t="shared" si="25"/>
        <v>małopolskie_brzeski_Brzesko</v>
      </c>
      <c r="F797" t="s">
        <v>779</v>
      </c>
    </row>
    <row r="798" spans="1:6" x14ac:dyDescent="0.3">
      <c r="A798" t="s">
        <v>5383</v>
      </c>
      <c r="B798" t="s">
        <v>4900</v>
      </c>
      <c r="C798" t="str">
        <f t="shared" si="24"/>
        <v>małopolskie_brzeski</v>
      </c>
      <c r="D798" t="s">
        <v>3085</v>
      </c>
      <c r="E798" t="str">
        <f t="shared" si="25"/>
        <v>małopolskie_brzeski_Czchów</v>
      </c>
      <c r="F798" t="s">
        <v>780</v>
      </c>
    </row>
    <row r="799" spans="1:6" x14ac:dyDescent="0.3">
      <c r="A799" t="s">
        <v>5383</v>
      </c>
      <c r="B799" t="s">
        <v>4900</v>
      </c>
      <c r="C799" t="str">
        <f t="shared" si="24"/>
        <v>małopolskie_brzeski</v>
      </c>
      <c r="D799" t="s">
        <v>3086</v>
      </c>
      <c r="E799" t="str">
        <f t="shared" si="25"/>
        <v>małopolskie_brzeski_Dębno</v>
      </c>
      <c r="F799" t="s">
        <v>781</v>
      </c>
    </row>
    <row r="800" spans="1:6" x14ac:dyDescent="0.3">
      <c r="A800" t="s">
        <v>5383</v>
      </c>
      <c r="B800" t="s">
        <v>4900</v>
      </c>
      <c r="C800" t="str">
        <f t="shared" si="24"/>
        <v>małopolskie_brzeski</v>
      </c>
      <c r="D800" t="s">
        <v>3087</v>
      </c>
      <c r="E800" t="str">
        <f t="shared" si="25"/>
        <v>małopolskie_brzeski_Gnojnik</v>
      </c>
      <c r="F800" t="s">
        <v>782</v>
      </c>
    </row>
    <row r="801" spans="1:6" x14ac:dyDescent="0.3">
      <c r="A801" t="s">
        <v>5383</v>
      </c>
      <c r="B801" t="s">
        <v>4900</v>
      </c>
      <c r="C801" t="str">
        <f t="shared" si="24"/>
        <v>małopolskie_brzeski</v>
      </c>
      <c r="D801" t="s">
        <v>3088</v>
      </c>
      <c r="E801" t="str">
        <f t="shared" si="25"/>
        <v>małopolskie_brzeski_Iwkowa</v>
      </c>
      <c r="F801" t="s">
        <v>783</v>
      </c>
    </row>
    <row r="802" spans="1:6" x14ac:dyDescent="0.3">
      <c r="A802" t="s">
        <v>5383</v>
      </c>
      <c r="B802" t="s">
        <v>4900</v>
      </c>
      <c r="C802" t="str">
        <f t="shared" si="24"/>
        <v>małopolskie_brzeski</v>
      </c>
      <c r="D802" t="s">
        <v>3089</v>
      </c>
      <c r="E802" t="str">
        <f t="shared" si="25"/>
        <v>małopolskie_brzeski_Szczurowa</v>
      </c>
      <c r="F802" t="s">
        <v>784</v>
      </c>
    </row>
    <row r="803" spans="1:6" x14ac:dyDescent="0.3">
      <c r="A803" t="s">
        <v>5383</v>
      </c>
      <c r="B803" t="s">
        <v>4901</v>
      </c>
      <c r="C803" t="str">
        <f t="shared" si="24"/>
        <v>małopolskie_chrzanowski</v>
      </c>
      <c r="D803" t="s">
        <v>3090</v>
      </c>
      <c r="E803" t="str">
        <f t="shared" si="25"/>
        <v>małopolskie_chrzanowski_Alwernia</v>
      </c>
      <c r="F803" t="s">
        <v>785</v>
      </c>
    </row>
    <row r="804" spans="1:6" x14ac:dyDescent="0.3">
      <c r="A804" t="s">
        <v>5383</v>
      </c>
      <c r="B804" t="s">
        <v>4901</v>
      </c>
      <c r="C804" t="str">
        <f t="shared" si="24"/>
        <v>małopolskie_chrzanowski</v>
      </c>
      <c r="D804" t="s">
        <v>3091</v>
      </c>
      <c r="E804" t="str">
        <f t="shared" si="25"/>
        <v>małopolskie_chrzanowski_Babice</v>
      </c>
      <c r="F804" t="s">
        <v>786</v>
      </c>
    </row>
    <row r="805" spans="1:6" x14ac:dyDescent="0.3">
      <c r="A805" t="s">
        <v>5383</v>
      </c>
      <c r="B805" t="s">
        <v>4901</v>
      </c>
      <c r="C805" t="str">
        <f t="shared" si="24"/>
        <v>małopolskie_chrzanowski</v>
      </c>
      <c r="D805" t="s">
        <v>2724</v>
      </c>
      <c r="E805" t="str">
        <f t="shared" si="25"/>
        <v>małopolskie_chrzanowski_Chrzanów</v>
      </c>
      <c r="F805" t="s">
        <v>787</v>
      </c>
    </row>
    <row r="806" spans="1:6" x14ac:dyDescent="0.3">
      <c r="A806" t="s">
        <v>5383</v>
      </c>
      <c r="B806" t="s">
        <v>4901</v>
      </c>
      <c r="C806" t="str">
        <f t="shared" si="24"/>
        <v>małopolskie_chrzanowski</v>
      </c>
      <c r="D806" t="s">
        <v>3092</v>
      </c>
      <c r="E806" t="str">
        <f t="shared" si="25"/>
        <v>małopolskie_chrzanowski_Libiąż</v>
      </c>
      <c r="F806" t="s">
        <v>788</v>
      </c>
    </row>
    <row r="807" spans="1:6" x14ac:dyDescent="0.3">
      <c r="A807" t="s">
        <v>5383</v>
      </c>
      <c r="B807" t="s">
        <v>4901</v>
      </c>
      <c r="C807" t="str">
        <f t="shared" si="24"/>
        <v>małopolskie_chrzanowski</v>
      </c>
      <c r="D807" t="s">
        <v>3093</v>
      </c>
      <c r="E807" t="str">
        <f t="shared" si="25"/>
        <v>małopolskie_chrzanowski_Trzebinia</v>
      </c>
      <c r="F807" t="s">
        <v>789</v>
      </c>
    </row>
    <row r="808" spans="1:6" x14ac:dyDescent="0.3">
      <c r="A808" t="s">
        <v>5383</v>
      </c>
      <c r="B808" t="s">
        <v>4902</v>
      </c>
      <c r="C808" t="str">
        <f t="shared" si="24"/>
        <v>małopolskie_dąbrowski</v>
      </c>
      <c r="D808" t="s">
        <v>3094</v>
      </c>
      <c r="E808" t="str">
        <f t="shared" si="25"/>
        <v>małopolskie_dąbrowski_Bolesław</v>
      </c>
      <c r="F808" t="s">
        <v>790</v>
      </c>
    </row>
    <row r="809" spans="1:6" x14ac:dyDescent="0.3">
      <c r="A809" t="s">
        <v>5383</v>
      </c>
      <c r="B809" t="s">
        <v>4902</v>
      </c>
      <c r="C809" t="str">
        <f t="shared" si="24"/>
        <v>małopolskie_dąbrowski</v>
      </c>
      <c r="D809" t="s">
        <v>3095</v>
      </c>
      <c r="E809" t="str">
        <f t="shared" si="25"/>
        <v>małopolskie_dąbrowski_Dąbrowa Tarnowska</v>
      </c>
      <c r="F809" t="s">
        <v>791</v>
      </c>
    </row>
    <row r="810" spans="1:6" x14ac:dyDescent="0.3">
      <c r="A810" t="s">
        <v>5383</v>
      </c>
      <c r="B810" t="s">
        <v>4902</v>
      </c>
      <c r="C810" t="str">
        <f t="shared" si="24"/>
        <v>małopolskie_dąbrowski</v>
      </c>
      <c r="D810" t="s">
        <v>3096</v>
      </c>
      <c r="E810" t="str">
        <f t="shared" si="25"/>
        <v>małopolskie_dąbrowski_Gręboszów</v>
      </c>
      <c r="F810" t="s">
        <v>792</v>
      </c>
    </row>
    <row r="811" spans="1:6" x14ac:dyDescent="0.3">
      <c r="A811" t="s">
        <v>5383</v>
      </c>
      <c r="B811" t="s">
        <v>4902</v>
      </c>
      <c r="C811" t="str">
        <f t="shared" si="24"/>
        <v>małopolskie_dąbrowski</v>
      </c>
      <c r="D811" t="s">
        <v>3097</v>
      </c>
      <c r="E811" t="str">
        <f t="shared" si="25"/>
        <v>małopolskie_dąbrowski_Mędrzechów</v>
      </c>
      <c r="F811" t="s">
        <v>793</v>
      </c>
    </row>
    <row r="812" spans="1:6" x14ac:dyDescent="0.3">
      <c r="A812" t="s">
        <v>5383</v>
      </c>
      <c r="B812" t="s">
        <v>4902</v>
      </c>
      <c r="C812" t="str">
        <f t="shared" si="24"/>
        <v>małopolskie_dąbrowski</v>
      </c>
      <c r="D812" t="s">
        <v>3098</v>
      </c>
      <c r="E812" t="str">
        <f t="shared" si="25"/>
        <v>małopolskie_dąbrowski_Olesno</v>
      </c>
      <c r="F812" t="s">
        <v>794</v>
      </c>
    </row>
    <row r="813" spans="1:6" x14ac:dyDescent="0.3">
      <c r="A813" t="s">
        <v>5383</v>
      </c>
      <c r="B813" t="s">
        <v>4902</v>
      </c>
      <c r="C813" t="str">
        <f t="shared" si="24"/>
        <v>małopolskie_dąbrowski</v>
      </c>
      <c r="D813" t="s">
        <v>3099</v>
      </c>
      <c r="E813" t="str">
        <f t="shared" si="25"/>
        <v>małopolskie_dąbrowski_Radgoszcz</v>
      </c>
      <c r="F813" t="s">
        <v>795</v>
      </c>
    </row>
    <row r="814" spans="1:6" x14ac:dyDescent="0.3">
      <c r="A814" t="s">
        <v>5383</v>
      </c>
      <c r="B814" t="s">
        <v>4902</v>
      </c>
      <c r="C814" t="str">
        <f t="shared" si="24"/>
        <v>małopolskie_dąbrowski</v>
      </c>
      <c r="D814" t="s">
        <v>3100</v>
      </c>
      <c r="E814" t="str">
        <f t="shared" si="25"/>
        <v>małopolskie_dąbrowski_Szczucin</v>
      </c>
      <c r="F814" t="s">
        <v>796</v>
      </c>
    </row>
    <row r="815" spans="1:6" x14ac:dyDescent="0.3">
      <c r="A815" t="s">
        <v>5383</v>
      </c>
      <c r="B815" t="s">
        <v>4903</v>
      </c>
      <c r="C815" t="str">
        <f t="shared" si="24"/>
        <v>małopolskie_gorlicki</v>
      </c>
      <c r="D815" t="s">
        <v>3101</v>
      </c>
      <c r="E815" t="str">
        <f t="shared" si="25"/>
        <v>małopolskie_gorlicki_Biecz</v>
      </c>
      <c r="F815" t="s">
        <v>798</v>
      </c>
    </row>
    <row r="816" spans="1:6" x14ac:dyDescent="0.3">
      <c r="A816" t="s">
        <v>5383</v>
      </c>
      <c r="B816" t="s">
        <v>4903</v>
      </c>
      <c r="C816" t="str">
        <f t="shared" si="24"/>
        <v>małopolskie_gorlicki</v>
      </c>
      <c r="D816" t="s">
        <v>3102</v>
      </c>
      <c r="E816" t="str">
        <f t="shared" si="25"/>
        <v>małopolskie_gorlicki_Bobowa</v>
      </c>
      <c r="F816" t="s">
        <v>799</v>
      </c>
    </row>
    <row r="817" spans="1:6" x14ac:dyDescent="0.3">
      <c r="A817" t="s">
        <v>5383</v>
      </c>
      <c r="B817" t="s">
        <v>4903</v>
      </c>
      <c r="C817" t="str">
        <f t="shared" si="24"/>
        <v>małopolskie_gorlicki</v>
      </c>
      <c r="D817" t="s">
        <v>3103</v>
      </c>
      <c r="E817" t="str">
        <f t="shared" si="25"/>
        <v>małopolskie_gorlicki_Lipinki</v>
      </c>
      <c r="F817" t="s">
        <v>801</v>
      </c>
    </row>
    <row r="818" spans="1:6" x14ac:dyDescent="0.3">
      <c r="A818" t="s">
        <v>5383</v>
      </c>
      <c r="B818" t="s">
        <v>4903</v>
      </c>
      <c r="C818" t="str">
        <f t="shared" si="24"/>
        <v>małopolskie_gorlicki</v>
      </c>
      <c r="D818" t="s">
        <v>3104</v>
      </c>
      <c r="E818" t="str">
        <f t="shared" si="25"/>
        <v>małopolskie_gorlicki_Łużna</v>
      </c>
      <c r="F818" t="s">
        <v>802</v>
      </c>
    </row>
    <row r="819" spans="1:6" x14ac:dyDescent="0.3">
      <c r="A819" t="s">
        <v>5383</v>
      </c>
      <c r="B819" t="s">
        <v>4903</v>
      </c>
      <c r="C819" t="str">
        <f t="shared" si="24"/>
        <v>małopolskie_gorlicki</v>
      </c>
      <c r="D819" t="s">
        <v>2996</v>
      </c>
      <c r="E819" t="str">
        <f t="shared" si="25"/>
        <v>małopolskie_gorlicki_Moszczenica</v>
      </c>
      <c r="F819" t="s">
        <v>803</v>
      </c>
    </row>
    <row r="820" spans="1:6" x14ac:dyDescent="0.3">
      <c r="A820" t="s">
        <v>5383</v>
      </c>
      <c r="B820" t="s">
        <v>4903</v>
      </c>
      <c r="C820" t="str">
        <f t="shared" si="24"/>
        <v>małopolskie_gorlicki</v>
      </c>
      <c r="D820" t="s">
        <v>3105</v>
      </c>
      <c r="E820" t="str">
        <f t="shared" si="25"/>
        <v>małopolskie_gorlicki_Ropa</v>
      </c>
      <c r="F820" t="s">
        <v>804</v>
      </c>
    </row>
    <row r="821" spans="1:6" x14ac:dyDescent="0.3">
      <c r="A821" t="s">
        <v>5383</v>
      </c>
      <c r="B821" t="s">
        <v>4903</v>
      </c>
      <c r="C821" t="str">
        <f t="shared" si="24"/>
        <v>małopolskie_gorlicki</v>
      </c>
      <c r="D821" t="s">
        <v>3106</v>
      </c>
      <c r="E821" t="str">
        <f t="shared" si="25"/>
        <v>małopolskie_gorlicki_Sękowa</v>
      </c>
      <c r="F821" t="s">
        <v>805</v>
      </c>
    </row>
    <row r="822" spans="1:6" x14ac:dyDescent="0.3">
      <c r="A822" t="s">
        <v>5383</v>
      </c>
      <c r="B822" t="s">
        <v>4903</v>
      </c>
      <c r="C822" t="str">
        <f t="shared" si="24"/>
        <v>małopolskie_gorlicki</v>
      </c>
      <c r="D822" t="s">
        <v>3107</v>
      </c>
      <c r="E822" t="str">
        <f t="shared" si="25"/>
        <v>małopolskie_gorlicki_Uście Gorlickie</v>
      </c>
      <c r="F822" t="s">
        <v>806</v>
      </c>
    </row>
    <row r="823" spans="1:6" x14ac:dyDescent="0.3">
      <c r="A823" t="s">
        <v>5383</v>
      </c>
      <c r="B823" t="s">
        <v>4903</v>
      </c>
      <c r="C823" t="str">
        <f t="shared" si="24"/>
        <v>małopolskie_gorlicki</v>
      </c>
      <c r="D823" t="s">
        <v>4618</v>
      </c>
      <c r="E823" t="str">
        <f t="shared" si="25"/>
        <v>małopolskie_gorlicki_Gorlice (gm. miejska)</v>
      </c>
      <c r="F823" t="s">
        <v>797</v>
      </c>
    </row>
    <row r="824" spans="1:6" x14ac:dyDescent="0.3">
      <c r="A824" t="s">
        <v>5383</v>
      </c>
      <c r="B824" t="s">
        <v>4903</v>
      </c>
      <c r="C824" t="str">
        <f t="shared" si="24"/>
        <v>małopolskie_gorlicki</v>
      </c>
      <c r="D824" t="s">
        <v>4619</v>
      </c>
      <c r="E824" t="str">
        <f t="shared" si="25"/>
        <v>małopolskie_gorlicki_Gorlice (gm. wiejska)</v>
      </c>
      <c r="F824" t="s">
        <v>800</v>
      </c>
    </row>
    <row r="825" spans="1:6" x14ac:dyDescent="0.3">
      <c r="A825" t="s">
        <v>5383</v>
      </c>
      <c r="B825" t="s">
        <v>4904</v>
      </c>
      <c r="C825" t="str">
        <f t="shared" si="24"/>
        <v>małopolskie_krakowski</v>
      </c>
      <c r="D825" t="s">
        <v>3108</v>
      </c>
      <c r="E825" t="str">
        <f t="shared" si="25"/>
        <v>małopolskie_krakowski_Czernichów</v>
      </c>
      <c r="F825" t="s">
        <v>807</v>
      </c>
    </row>
    <row r="826" spans="1:6" x14ac:dyDescent="0.3">
      <c r="A826" t="s">
        <v>5383</v>
      </c>
      <c r="B826" t="s">
        <v>4904</v>
      </c>
      <c r="C826" t="str">
        <f t="shared" si="24"/>
        <v>małopolskie_krakowski</v>
      </c>
      <c r="D826" t="s">
        <v>3109</v>
      </c>
      <c r="E826" t="str">
        <f t="shared" si="25"/>
        <v>małopolskie_krakowski_Igołomia-Wawrzeńczyce</v>
      </c>
      <c r="F826" t="s">
        <v>808</v>
      </c>
    </row>
    <row r="827" spans="1:6" x14ac:dyDescent="0.3">
      <c r="A827" t="s">
        <v>5383</v>
      </c>
      <c r="B827" t="s">
        <v>4904</v>
      </c>
      <c r="C827" t="str">
        <f t="shared" si="24"/>
        <v>małopolskie_krakowski</v>
      </c>
      <c r="D827" t="s">
        <v>3110</v>
      </c>
      <c r="E827" t="str">
        <f t="shared" si="25"/>
        <v>małopolskie_krakowski_Iwanowice</v>
      </c>
      <c r="F827" t="s">
        <v>809</v>
      </c>
    </row>
    <row r="828" spans="1:6" x14ac:dyDescent="0.3">
      <c r="A828" t="s">
        <v>5383</v>
      </c>
      <c r="B828" t="s">
        <v>4904</v>
      </c>
      <c r="C828" t="str">
        <f t="shared" si="24"/>
        <v>małopolskie_krakowski</v>
      </c>
      <c r="D828" t="s">
        <v>3111</v>
      </c>
      <c r="E828" t="str">
        <f t="shared" si="25"/>
        <v>małopolskie_krakowski_Jerzmanowice-Przeginia</v>
      </c>
      <c r="F828" t="s">
        <v>810</v>
      </c>
    </row>
    <row r="829" spans="1:6" x14ac:dyDescent="0.3">
      <c r="A829" t="s">
        <v>5383</v>
      </c>
      <c r="B829" t="s">
        <v>4904</v>
      </c>
      <c r="C829" t="str">
        <f t="shared" si="24"/>
        <v>małopolskie_krakowski</v>
      </c>
      <c r="D829" t="s">
        <v>3112</v>
      </c>
      <c r="E829" t="str">
        <f t="shared" si="25"/>
        <v>małopolskie_krakowski_Kocmyrzów-Luborzyca</v>
      </c>
      <c r="F829" t="s">
        <v>811</v>
      </c>
    </row>
    <row r="830" spans="1:6" x14ac:dyDescent="0.3">
      <c r="A830" t="s">
        <v>5383</v>
      </c>
      <c r="B830" t="s">
        <v>4904</v>
      </c>
      <c r="C830" t="str">
        <f t="shared" si="24"/>
        <v>małopolskie_krakowski</v>
      </c>
      <c r="D830" t="s">
        <v>3113</v>
      </c>
      <c r="E830" t="str">
        <f t="shared" si="25"/>
        <v>małopolskie_krakowski_Krzeszowice</v>
      </c>
      <c r="F830" t="s">
        <v>812</v>
      </c>
    </row>
    <row r="831" spans="1:6" x14ac:dyDescent="0.3">
      <c r="A831" t="s">
        <v>5383</v>
      </c>
      <c r="B831" t="s">
        <v>4904</v>
      </c>
      <c r="C831" t="str">
        <f t="shared" si="24"/>
        <v>małopolskie_krakowski</v>
      </c>
      <c r="D831" t="s">
        <v>3114</v>
      </c>
      <c r="E831" t="str">
        <f t="shared" si="25"/>
        <v>małopolskie_krakowski_Liszki</v>
      </c>
      <c r="F831" t="s">
        <v>813</v>
      </c>
    </row>
    <row r="832" spans="1:6" x14ac:dyDescent="0.3">
      <c r="A832" t="s">
        <v>5383</v>
      </c>
      <c r="B832" t="s">
        <v>4904</v>
      </c>
      <c r="C832" t="str">
        <f t="shared" si="24"/>
        <v>małopolskie_krakowski</v>
      </c>
      <c r="D832" t="s">
        <v>3115</v>
      </c>
      <c r="E832" t="str">
        <f t="shared" si="25"/>
        <v>małopolskie_krakowski_Michałowice</v>
      </c>
      <c r="F832" t="s">
        <v>814</v>
      </c>
    </row>
    <row r="833" spans="1:6" x14ac:dyDescent="0.3">
      <c r="A833" t="s">
        <v>5383</v>
      </c>
      <c r="B833" t="s">
        <v>4904</v>
      </c>
      <c r="C833" t="str">
        <f t="shared" ref="C833:C896" si="26">CONCATENATE(A833,"_",B833)</f>
        <v>małopolskie_krakowski</v>
      </c>
      <c r="D833" t="s">
        <v>3116</v>
      </c>
      <c r="E833" t="str">
        <f t="shared" ref="E833:E896" si="27">C833&amp;"_"&amp;D833</f>
        <v>małopolskie_krakowski_Mogilany</v>
      </c>
      <c r="F833" t="s">
        <v>815</v>
      </c>
    </row>
    <row r="834" spans="1:6" x14ac:dyDescent="0.3">
      <c r="A834" t="s">
        <v>5383</v>
      </c>
      <c r="B834" t="s">
        <v>4904</v>
      </c>
      <c r="C834" t="str">
        <f t="shared" si="26"/>
        <v>małopolskie_krakowski</v>
      </c>
      <c r="D834" t="s">
        <v>3117</v>
      </c>
      <c r="E834" t="str">
        <f t="shared" si="27"/>
        <v>małopolskie_krakowski_Skała</v>
      </c>
      <c r="F834" t="s">
        <v>816</v>
      </c>
    </row>
    <row r="835" spans="1:6" x14ac:dyDescent="0.3">
      <c r="A835" t="s">
        <v>5383</v>
      </c>
      <c r="B835" t="s">
        <v>4904</v>
      </c>
      <c r="C835" t="str">
        <f t="shared" si="26"/>
        <v>małopolskie_krakowski</v>
      </c>
      <c r="D835" t="s">
        <v>3118</v>
      </c>
      <c r="E835" t="str">
        <f t="shared" si="27"/>
        <v>małopolskie_krakowski_Skawina</v>
      </c>
      <c r="F835" t="s">
        <v>817</v>
      </c>
    </row>
    <row r="836" spans="1:6" x14ac:dyDescent="0.3">
      <c r="A836" t="s">
        <v>5383</v>
      </c>
      <c r="B836" t="s">
        <v>4904</v>
      </c>
      <c r="C836" t="str">
        <f t="shared" si="26"/>
        <v>małopolskie_krakowski</v>
      </c>
      <c r="D836" t="s">
        <v>3119</v>
      </c>
      <c r="E836" t="str">
        <f t="shared" si="27"/>
        <v>małopolskie_krakowski_Słomniki</v>
      </c>
      <c r="F836" t="s">
        <v>818</v>
      </c>
    </row>
    <row r="837" spans="1:6" x14ac:dyDescent="0.3">
      <c r="A837" t="s">
        <v>5383</v>
      </c>
      <c r="B837" t="s">
        <v>4904</v>
      </c>
      <c r="C837" t="str">
        <f t="shared" si="26"/>
        <v>małopolskie_krakowski</v>
      </c>
      <c r="D837" t="s">
        <v>3120</v>
      </c>
      <c r="E837" t="str">
        <f t="shared" si="27"/>
        <v>małopolskie_krakowski_Sułoszowa</v>
      </c>
      <c r="F837" t="s">
        <v>819</v>
      </c>
    </row>
    <row r="838" spans="1:6" x14ac:dyDescent="0.3">
      <c r="A838" t="s">
        <v>5383</v>
      </c>
      <c r="B838" t="s">
        <v>4904</v>
      </c>
      <c r="C838" t="str">
        <f t="shared" si="26"/>
        <v>małopolskie_krakowski</v>
      </c>
      <c r="D838" t="s">
        <v>3121</v>
      </c>
      <c r="E838" t="str">
        <f t="shared" si="27"/>
        <v>małopolskie_krakowski_Świątniki Górne</v>
      </c>
      <c r="F838" t="s">
        <v>820</v>
      </c>
    </row>
    <row r="839" spans="1:6" x14ac:dyDescent="0.3">
      <c r="A839" t="s">
        <v>5383</v>
      </c>
      <c r="B839" t="s">
        <v>4904</v>
      </c>
      <c r="C839" t="str">
        <f t="shared" si="26"/>
        <v>małopolskie_krakowski</v>
      </c>
      <c r="D839" t="s">
        <v>3122</v>
      </c>
      <c r="E839" t="str">
        <f t="shared" si="27"/>
        <v>małopolskie_krakowski_Wielka Wieś</v>
      </c>
      <c r="F839" t="s">
        <v>821</v>
      </c>
    </row>
    <row r="840" spans="1:6" x14ac:dyDescent="0.3">
      <c r="A840" t="s">
        <v>5383</v>
      </c>
      <c r="B840" t="s">
        <v>4904</v>
      </c>
      <c r="C840" t="str">
        <f t="shared" si="26"/>
        <v>małopolskie_krakowski</v>
      </c>
      <c r="D840" t="s">
        <v>3123</v>
      </c>
      <c r="E840" t="str">
        <f t="shared" si="27"/>
        <v>małopolskie_krakowski_Zabierzów</v>
      </c>
      <c r="F840" t="s">
        <v>822</v>
      </c>
    </row>
    <row r="841" spans="1:6" x14ac:dyDescent="0.3">
      <c r="A841" t="s">
        <v>5383</v>
      </c>
      <c r="B841" t="s">
        <v>4904</v>
      </c>
      <c r="C841" t="str">
        <f t="shared" si="26"/>
        <v>małopolskie_krakowski</v>
      </c>
      <c r="D841" t="s">
        <v>3124</v>
      </c>
      <c r="E841" t="str">
        <f t="shared" si="27"/>
        <v>małopolskie_krakowski_Zielonki</v>
      </c>
      <c r="F841" t="s">
        <v>823</v>
      </c>
    </row>
    <row r="842" spans="1:6" x14ac:dyDescent="0.3">
      <c r="A842" t="s">
        <v>5383</v>
      </c>
      <c r="B842" t="s">
        <v>3233</v>
      </c>
      <c r="C842" t="str">
        <f t="shared" si="26"/>
        <v>małopolskie_Kraków</v>
      </c>
      <c r="D842" t="s">
        <v>3233</v>
      </c>
      <c r="E842" t="str">
        <f t="shared" si="27"/>
        <v>małopolskie_Kraków_Kraków</v>
      </c>
      <c r="F842" t="s">
        <v>945</v>
      </c>
    </row>
    <row r="843" spans="1:6" x14ac:dyDescent="0.3">
      <c r="A843" t="s">
        <v>5383</v>
      </c>
      <c r="B843" t="s">
        <v>4905</v>
      </c>
      <c r="C843" t="str">
        <f t="shared" si="26"/>
        <v>małopolskie_limanowski</v>
      </c>
      <c r="D843" t="s">
        <v>3125</v>
      </c>
      <c r="E843" t="str">
        <f t="shared" si="27"/>
        <v>małopolskie_limanowski_Dobra</v>
      </c>
      <c r="F843" t="s">
        <v>826</v>
      </c>
    </row>
    <row r="844" spans="1:6" x14ac:dyDescent="0.3">
      <c r="A844" t="s">
        <v>5383</v>
      </c>
      <c r="B844" t="s">
        <v>4905</v>
      </c>
      <c r="C844" t="str">
        <f t="shared" si="26"/>
        <v>małopolskie_limanowski</v>
      </c>
      <c r="D844" t="s">
        <v>3126</v>
      </c>
      <c r="E844" t="str">
        <f t="shared" si="27"/>
        <v>małopolskie_limanowski_Jodłownik</v>
      </c>
      <c r="F844" t="s">
        <v>827</v>
      </c>
    </row>
    <row r="845" spans="1:6" x14ac:dyDescent="0.3">
      <c r="A845" t="s">
        <v>5383</v>
      </c>
      <c r="B845" t="s">
        <v>4905</v>
      </c>
      <c r="C845" t="str">
        <f t="shared" si="26"/>
        <v>małopolskie_limanowski</v>
      </c>
      <c r="D845" t="s">
        <v>3127</v>
      </c>
      <c r="E845" t="str">
        <f t="shared" si="27"/>
        <v>małopolskie_limanowski_Kamienica</v>
      </c>
      <c r="F845" t="s">
        <v>828</v>
      </c>
    </row>
    <row r="846" spans="1:6" x14ac:dyDescent="0.3">
      <c r="A846" t="s">
        <v>5383</v>
      </c>
      <c r="B846" t="s">
        <v>4905</v>
      </c>
      <c r="C846" t="str">
        <f t="shared" si="26"/>
        <v>małopolskie_limanowski</v>
      </c>
      <c r="D846" t="s">
        <v>3128</v>
      </c>
      <c r="E846" t="str">
        <f t="shared" si="27"/>
        <v>małopolskie_limanowski_Laskowa</v>
      </c>
      <c r="F846" t="s">
        <v>829</v>
      </c>
    </row>
    <row r="847" spans="1:6" x14ac:dyDescent="0.3">
      <c r="A847" t="s">
        <v>5383</v>
      </c>
      <c r="B847" t="s">
        <v>4905</v>
      </c>
      <c r="C847" t="str">
        <f t="shared" si="26"/>
        <v>małopolskie_limanowski</v>
      </c>
      <c r="D847" t="s">
        <v>3129</v>
      </c>
      <c r="E847" t="str">
        <f t="shared" si="27"/>
        <v>małopolskie_limanowski_Łukowica</v>
      </c>
      <c r="F847" t="s">
        <v>831</v>
      </c>
    </row>
    <row r="848" spans="1:6" x14ac:dyDescent="0.3">
      <c r="A848" t="s">
        <v>5383</v>
      </c>
      <c r="B848" t="s">
        <v>4905</v>
      </c>
      <c r="C848" t="str">
        <f t="shared" si="26"/>
        <v>małopolskie_limanowski</v>
      </c>
      <c r="D848" t="s">
        <v>3130</v>
      </c>
      <c r="E848" t="str">
        <f t="shared" si="27"/>
        <v>małopolskie_limanowski_Niedźwiedź</v>
      </c>
      <c r="F848" t="s">
        <v>833</v>
      </c>
    </row>
    <row r="849" spans="1:6" x14ac:dyDescent="0.3">
      <c r="A849" t="s">
        <v>5383</v>
      </c>
      <c r="B849" t="s">
        <v>4905</v>
      </c>
      <c r="C849" t="str">
        <f t="shared" si="26"/>
        <v>małopolskie_limanowski</v>
      </c>
      <c r="D849" t="s">
        <v>3131</v>
      </c>
      <c r="E849" t="str">
        <f t="shared" si="27"/>
        <v>małopolskie_limanowski_Słopnice</v>
      </c>
      <c r="F849" t="s">
        <v>834</v>
      </c>
    </row>
    <row r="850" spans="1:6" x14ac:dyDescent="0.3">
      <c r="A850" t="s">
        <v>5383</v>
      </c>
      <c r="B850" t="s">
        <v>4905</v>
      </c>
      <c r="C850" t="str">
        <f t="shared" si="26"/>
        <v>małopolskie_limanowski</v>
      </c>
      <c r="D850" t="s">
        <v>5542</v>
      </c>
      <c r="E850" t="str">
        <f t="shared" si="27"/>
        <v>małopolskie_limanowski_Szczawa</v>
      </c>
      <c r="F850" t="s">
        <v>5544</v>
      </c>
    </row>
    <row r="851" spans="1:6" x14ac:dyDescent="0.3">
      <c r="A851" t="s">
        <v>5383</v>
      </c>
      <c r="B851" t="s">
        <v>4905</v>
      </c>
      <c r="C851" t="str">
        <f t="shared" si="26"/>
        <v>małopolskie_limanowski</v>
      </c>
      <c r="D851" t="s">
        <v>3132</v>
      </c>
      <c r="E851" t="str">
        <f t="shared" si="27"/>
        <v>małopolskie_limanowski_Tymbark</v>
      </c>
      <c r="F851" t="s">
        <v>835</v>
      </c>
    </row>
    <row r="852" spans="1:6" x14ac:dyDescent="0.3">
      <c r="A852" t="s">
        <v>5383</v>
      </c>
      <c r="B852" t="s">
        <v>4905</v>
      </c>
      <c r="C852" t="str">
        <f t="shared" si="26"/>
        <v>małopolskie_limanowski</v>
      </c>
      <c r="D852" t="s">
        <v>4620</v>
      </c>
      <c r="E852" t="str">
        <f t="shared" si="27"/>
        <v>małopolskie_limanowski_Limanowa (gm. miejska)</v>
      </c>
      <c r="F852" t="s">
        <v>824</v>
      </c>
    </row>
    <row r="853" spans="1:6" x14ac:dyDescent="0.3">
      <c r="A853" t="s">
        <v>5383</v>
      </c>
      <c r="B853" t="s">
        <v>4905</v>
      </c>
      <c r="C853" t="str">
        <f t="shared" si="26"/>
        <v>małopolskie_limanowski</v>
      </c>
      <c r="D853" t="s">
        <v>4621</v>
      </c>
      <c r="E853" t="str">
        <f t="shared" si="27"/>
        <v>małopolskie_limanowski_Mszana Dolna (gm. miejska)</v>
      </c>
      <c r="F853" t="s">
        <v>825</v>
      </c>
    </row>
    <row r="854" spans="1:6" x14ac:dyDescent="0.3">
      <c r="A854" t="s">
        <v>5383</v>
      </c>
      <c r="B854" t="s">
        <v>4905</v>
      </c>
      <c r="C854" t="str">
        <f t="shared" si="26"/>
        <v>małopolskie_limanowski</v>
      </c>
      <c r="D854" t="s">
        <v>4622</v>
      </c>
      <c r="E854" t="str">
        <f t="shared" si="27"/>
        <v>małopolskie_limanowski_Limanowa (gm. wiejska)</v>
      </c>
      <c r="F854" t="s">
        <v>830</v>
      </c>
    </row>
    <row r="855" spans="1:6" x14ac:dyDescent="0.3">
      <c r="A855" t="s">
        <v>5383</v>
      </c>
      <c r="B855" t="s">
        <v>4905</v>
      </c>
      <c r="C855" t="str">
        <f t="shared" si="26"/>
        <v>małopolskie_limanowski</v>
      </c>
      <c r="D855" t="s">
        <v>4623</v>
      </c>
      <c r="E855" t="str">
        <f t="shared" si="27"/>
        <v>małopolskie_limanowski_Mszana Dolna (gm. wiejska)</v>
      </c>
      <c r="F855" t="s">
        <v>832</v>
      </c>
    </row>
    <row r="856" spans="1:6" x14ac:dyDescent="0.3">
      <c r="A856" t="s">
        <v>5383</v>
      </c>
      <c r="B856" t="s">
        <v>4906</v>
      </c>
      <c r="C856" t="str">
        <f t="shared" si="26"/>
        <v>małopolskie_miechowski</v>
      </c>
      <c r="D856" t="s">
        <v>3133</v>
      </c>
      <c r="E856" t="str">
        <f t="shared" si="27"/>
        <v>małopolskie_miechowski_Charsznica</v>
      </c>
      <c r="F856" t="s">
        <v>836</v>
      </c>
    </row>
    <row r="857" spans="1:6" x14ac:dyDescent="0.3">
      <c r="A857" t="s">
        <v>5383</v>
      </c>
      <c r="B857" t="s">
        <v>4906</v>
      </c>
      <c r="C857" t="str">
        <f t="shared" si="26"/>
        <v>małopolskie_miechowski</v>
      </c>
      <c r="D857" t="s">
        <v>3134</v>
      </c>
      <c r="E857" t="str">
        <f t="shared" si="27"/>
        <v>małopolskie_miechowski_Gołcza</v>
      </c>
      <c r="F857" t="s">
        <v>837</v>
      </c>
    </row>
    <row r="858" spans="1:6" x14ac:dyDescent="0.3">
      <c r="A858" t="s">
        <v>5383</v>
      </c>
      <c r="B858" t="s">
        <v>4906</v>
      </c>
      <c r="C858" t="str">
        <f t="shared" si="26"/>
        <v>małopolskie_miechowski</v>
      </c>
      <c r="D858" t="s">
        <v>3135</v>
      </c>
      <c r="E858" t="str">
        <f t="shared" si="27"/>
        <v>małopolskie_miechowski_Kozłów</v>
      </c>
      <c r="F858" t="s">
        <v>838</v>
      </c>
    </row>
    <row r="859" spans="1:6" x14ac:dyDescent="0.3">
      <c r="A859" t="s">
        <v>5383</v>
      </c>
      <c r="B859" t="s">
        <v>4906</v>
      </c>
      <c r="C859" t="str">
        <f t="shared" si="26"/>
        <v>małopolskie_miechowski</v>
      </c>
      <c r="D859" t="s">
        <v>3136</v>
      </c>
      <c r="E859" t="str">
        <f t="shared" si="27"/>
        <v>małopolskie_miechowski_Książ Wielki</v>
      </c>
      <c r="F859" t="s">
        <v>5503</v>
      </c>
    </row>
    <row r="860" spans="1:6" x14ac:dyDescent="0.3">
      <c r="A860" t="s">
        <v>5383</v>
      </c>
      <c r="B860" t="s">
        <v>4906</v>
      </c>
      <c r="C860" t="str">
        <f t="shared" si="26"/>
        <v>małopolskie_miechowski</v>
      </c>
      <c r="D860" t="s">
        <v>3137</v>
      </c>
      <c r="E860" t="str">
        <f t="shared" si="27"/>
        <v>małopolskie_miechowski_Miechów</v>
      </c>
      <c r="F860" t="s">
        <v>840</v>
      </c>
    </row>
    <row r="861" spans="1:6" x14ac:dyDescent="0.3">
      <c r="A861" t="s">
        <v>5383</v>
      </c>
      <c r="B861" t="s">
        <v>4906</v>
      </c>
      <c r="C861" t="str">
        <f t="shared" si="26"/>
        <v>małopolskie_miechowski</v>
      </c>
      <c r="D861" t="s">
        <v>3138</v>
      </c>
      <c r="E861" t="str">
        <f t="shared" si="27"/>
        <v>małopolskie_miechowski_Racławice</v>
      </c>
      <c r="F861" t="s">
        <v>841</v>
      </c>
    </row>
    <row r="862" spans="1:6" x14ac:dyDescent="0.3">
      <c r="A862" t="s">
        <v>5383</v>
      </c>
      <c r="B862" t="s">
        <v>4906</v>
      </c>
      <c r="C862" t="str">
        <f t="shared" si="26"/>
        <v>małopolskie_miechowski</v>
      </c>
      <c r="D862" t="s">
        <v>3139</v>
      </c>
      <c r="E862" t="str">
        <f t="shared" si="27"/>
        <v>małopolskie_miechowski_Słaboszów</v>
      </c>
      <c r="F862" t="s">
        <v>842</v>
      </c>
    </row>
    <row r="863" spans="1:6" x14ac:dyDescent="0.3">
      <c r="A863" t="s">
        <v>5383</v>
      </c>
      <c r="B863" t="s">
        <v>4907</v>
      </c>
      <c r="C863" t="str">
        <f t="shared" si="26"/>
        <v>małopolskie_myślenicki</v>
      </c>
      <c r="D863" t="s">
        <v>3140</v>
      </c>
      <c r="E863" t="str">
        <f t="shared" si="27"/>
        <v>małopolskie_myślenicki_Dobczyce</v>
      </c>
      <c r="F863" t="s">
        <v>843</v>
      </c>
    </row>
    <row r="864" spans="1:6" x14ac:dyDescent="0.3">
      <c r="A864" t="s">
        <v>5383</v>
      </c>
      <c r="B864" t="s">
        <v>4907</v>
      </c>
      <c r="C864" t="str">
        <f t="shared" si="26"/>
        <v>małopolskie_myślenicki</v>
      </c>
      <c r="D864" t="s">
        <v>3141</v>
      </c>
      <c r="E864" t="str">
        <f t="shared" si="27"/>
        <v>małopolskie_myślenicki_Lubień</v>
      </c>
      <c r="F864" t="s">
        <v>844</v>
      </c>
    </row>
    <row r="865" spans="1:6" x14ac:dyDescent="0.3">
      <c r="A865" t="s">
        <v>5383</v>
      </c>
      <c r="B865" t="s">
        <v>4907</v>
      </c>
      <c r="C865" t="str">
        <f t="shared" si="26"/>
        <v>małopolskie_myślenicki</v>
      </c>
      <c r="D865" t="s">
        <v>3142</v>
      </c>
      <c r="E865" t="str">
        <f t="shared" si="27"/>
        <v>małopolskie_myślenicki_Myślenice</v>
      </c>
      <c r="F865" t="s">
        <v>845</v>
      </c>
    </row>
    <row r="866" spans="1:6" x14ac:dyDescent="0.3">
      <c r="A866" t="s">
        <v>5383</v>
      </c>
      <c r="B866" t="s">
        <v>4907</v>
      </c>
      <c r="C866" t="str">
        <f t="shared" si="26"/>
        <v>małopolskie_myślenicki</v>
      </c>
      <c r="D866" t="s">
        <v>3143</v>
      </c>
      <c r="E866" t="str">
        <f t="shared" si="27"/>
        <v>małopolskie_myślenicki_Pcim</v>
      </c>
      <c r="F866" t="s">
        <v>846</v>
      </c>
    </row>
    <row r="867" spans="1:6" x14ac:dyDescent="0.3">
      <c r="A867" t="s">
        <v>5383</v>
      </c>
      <c r="B867" t="s">
        <v>4907</v>
      </c>
      <c r="C867" t="str">
        <f t="shared" si="26"/>
        <v>małopolskie_myślenicki</v>
      </c>
      <c r="D867" t="s">
        <v>3144</v>
      </c>
      <c r="E867" t="str">
        <f t="shared" si="27"/>
        <v>małopolskie_myślenicki_Raciechowice</v>
      </c>
      <c r="F867" t="s">
        <v>847</v>
      </c>
    </row>
    <row r="868" spans="1:6" x14ac:dyDescent="0.3">
      <c r="A868" t="s">
        <v>5383</v>
      </c>
      <c r="B868" t="s">
        <v>4907</v>
      </c>
      <c r="C868" t="str">
        <f t="shared" si="26"/>
        <v>małopolskie_myślenicki</v>
      </c>
      <c r="D868" t="s">
        <v>3145</v>
      </c>
      <c r="E868" t="str">
        <f t="shared" si="27"/>
        <v>małopolskie_myślenicki_Siepraw</v>
      </c>
      <c r="F868" t="s">
        <v>848</v>
      </c>
    </row>
    <row r="869" spans="1:6" x14ac:dyDescent="0.3">
      <c r="A869" t="s">
        <v>5383</v>
      </c>
      <c r="B869" t="s">
        <v>4907</v>
      </c>
      <c r="C869" t="str">
        <f t="shared" si="26"/>
        <v>małopolskie_myślenicki</v>
      </c>
      <c r="D869" t="s">
        <v>3146</v>
      </c>
      <c r="E869" t="str">
        <f t="shared" si="27"/>
        <v>małopolskie_myślenicki_Sułkowice</v>
      </c>
      <c r="F869" t="s">
        <v>849</v>
      </c>
    </row>
    <row r="870" spans="1:6" x14ac:dyDescent="0.3">
      <c r="A870" t="s">
        <v>5383</v>
      </c>
      <c r="B870" t="s">
        <v>4907</v>
      </c>
      <c r="C870" t="str">
        <f t="shared" si="26"/>
        <v>małopolskie_myślenicki</v>
      </c>
      <c r="D870" t="s">
        <v>3147</v>
      </c>
      <c r="E870" t="str">
        <f t="shared" si="27"/>
        <v>małopolskie_myślenicki_Tokarnia</v>
      </c>
      <c r="F870" t="s">
        <v>850</v>
      </c>
    </row>
    <row r="871" spans="1:6" x14ac:dyDescent="0.3">
      <c r="A871" t="s">
        <v>5383</v>
      </c>
      <c r="B871" t="s">
        <v>4907</v>
      </c>
      <c r="C871" t="str">
        <f t="shared" si="26"/>
        <v>małopolskie_myślenicki</v>
      </c>
      <c r="D871" t="s">
        <v>3148</v>
      </c>
      <c r="E871" t="str">
        <f t="shared" si="27"/>
        <v>małopolskie_myślenicki_Wiśniowa</v>
      </c>
      <c r="F871" t="s">
        <v>851</v>
      </c>
    </row>
    <row r="872" spans="1:6" x14ac:dyDescent="0.3">
      <c r="A872" t="s">
        <v>5383</v>
      </c>
      <c r="B872" t="s">
        <v>4908</v>
      </c>
      <c r="C872" t="str">
        <f t="shared" si="26"/>
        <v>małopolskie_nowosądecki</v>
      </c>
      <c r="D872" t="s">
        <v>3149</v>
      </c>
      <c r="E872" t="str">
        <f t="shared" si="27"/>
        <v>małopolskie_nowosądecki_Chełmiec</v>
      </c>
      <c r="F872" t="s">
        <v>853</v>
      </c>
    </row>
    <row r="873" spans="1:6" x14ac:dyDescent="0.3">
      <c r="A873" t="s">
        <v>5383</v>
      </c>
      <c r="B873" t="s">
        <v>4908</v>
      </c>
      <c r="C873" t="str">
        <f t="shared" si="26"/>
        <v>małopolskie_nowosądecki</v>
      </c>
      <c r="D873" t="s">
        <v>3150</v>
      </c>
      <c r="E873" t="str">
        <f t="shared" si="27"/>
        <v>małopolskie_nowosądecki_Gródek nad Dunajcem</v>
      </c>
      <c r="F873" t="s">
        <v>854</v>
      </c>
    </row>
    <row r="874" spans="1:6" x14ac:dyDescent="0.3">
      <c r="A874" t="s">
        <v>5383</v>
      </c>
      <c r="B874" t="s">
        <v>4908</v>
      </c>
      <c r="C874" t="str">
        <f t="shared" si="26"/>
        <v>małopolskie_nowosądecki</v>
      </c>
      <c r="D874" t="s">
        <v>3151</v>
      </c>
      <c r="E874" t="str">
        <f t="shared" si="27"/>
        <v>małopolskie_nowosądecki_Kamionka Wielka</v>
      </c>
      <c r="F874" t="s">
        <v>856</v>
      </c>
    </row>
    <row r="875" spans="1:6" x14ac:dyDescent="0.3">
      <c r="A875" t="s">
        <v>5383</v>
      </c>
      <c r="B875" t="s">
        <v>4908</v>
      </c>
      <c r="C875" t="str">
        <f t="shared" si="26"/>
        <v>małopolskie_nowosądecki</v>
      </c>
      <c r="D875" t="s">
        <v>3152</v>
      </c>
      <c r="E875" t="str">
        <f t="shared" si="27"/>
        <v>małopolskie_nowosądecki_Korzenna</v>
      </c>
      <c r="F875" t="s">
        <v>857</v>
      </c>
    </row>
    <row r="876" spans="1:6" x14ac:dyDescent="0.3">
      <c r="A876" t="s">
        <v>5383</v>
      </c>
      <c r="B876" t="s">
        <v>4908</v>
      </c>
      <c r="C876" t="str">
        <f t="shared" si="26"/>
        <v>małopolskie_nowosądecki</v>
      </c>
      <c r="D876" t="s">
        <v>3153</v>
      </c>
      <c r="E876" t="str">
        <f t="shared" si="27"/>
        <v>małopolskie_nowosądecki_Krynica-Zdrój</v>
      </c>
      <c r="F876" t="s">
        <v>858</v>
      </c>
    </row>
    <row r="877" spans="1:6" x14ac:dyDescent="0.3">
      <c r="A877" t="s">
        <v>5383</v>
      </c>
      <c r="B877" t="s">
        <v>4908</v>
      </c>
      <c r="C877" t="str">
        <f t="shared" si="26"/>
        <v>małopolskie_nowosądecki</v>
      </c>
      <c r="D877" t="s">
        <v>3154</v>
      </c>
      <c r="E877" t="str">
        <f t="shared" si="27"/>
        <v>małopolskie_nowosądecki_Łabowa</v>
      </c>
      <c r="F877" t="s">
        <v>859</v>
      </c>
    </row>
    <row r="878" spans="1:6" x14ac:dyDescent="0.3">
      <c r="A878" t="s">
        <v>5383</v>
      </c>
      <c r="B878" t="s">
        <v>4908</v>
      </c>
      <c r="C878" t="str">
        <f t="shared" si="26"/>
        <v>małopolskie_nowosądecki</v>
      </c>
      <c r="D878" t="s">
        <v>3155</v>
      </c>
      <c r="E878" t="str">
        <f t="shared" si="27"/>
        <v>małopolskie_nowosądecki_Łącko</v>
      </c>
      <c r="F878" t="s">
        <v>860</v>
      </c>
    </row>
    <row r="879" spans="1:6" x14ac:dyDescent="0.3">
      <c r="A879" t="s">
        <v>5383</v>
      </c>
      <c r="B879" t="s">
        <v>4908</v>
      </c>
      <c r="C879" t="str">
        <f t="shared" si="26"/>
        <v>małopolskie_nowosądecki</v>
      </c>
      <c r="D879" t="s">
        <v>3156</v>
      </c>
      <c r="E879" t="str">
        <f t="shared" si="27"/>
        <v>małopolskie_nowosądecki_Łososina Dolna</v>
      </c>
      <c r="F879" t="s">
        <v>861</v>
      </c>
    </row>
    <row r="880" spans="1:6" x14ac:dyDescent="0.3">
      <c r="A880" t="s">
        <v>5383</v>
      </c>
      <c r="B880" t="s">
        <v>4908</v>
      </c>
      <c r="C880" t="str">
        <f t="shared" si="26"/>
        <v>małopolskie_nowosądecki</v>
      </c>
      <c r="D880" t="s">
        <v>3157</v>
      </c>
      <c r="E880" t="str">
        <f t="shared" si="27"/>
        <v>małopolskie_nowosądecki_Muszyna</v>
      </c>
      <c r="F880" t="s">
        <v>862</v>
      </c>
    </row>
    <row r="881" spans="1:6" x14ac:dyDescent="0.3">
      <c r="A881" t="s">
        <v>5383</v>
      </c>
      <c r="B881" t="s">
        <v>4908</v>
      </c>
      <c r="C881" t="str">
        <f t="shared" si="26"/>
        <v>małopolskie_nowosądecki</v>
      </c>
      <c r="D881" t="s">
        <v>3158</v>
      </c>
      <c r="E881" t="str">
        <f t="shared" si="27"/>
        <v>małopolskie_nowosądecki_Nawojowa</v>
      </c>
      <c r="F881" t="s">
        <v>863</v>
      </c>
    </row>
    <row r="882" spans="1:6" x14ac:dyDescent="0.3">
      <c r="A882" t="s">
        <v>5383</v>
      </c>
      <c r="B882" t="s">
        <v>4908</v>
      </c>
      <c r="C882" t="str">
        <f t="shared" si="26"/>
        <v>małopolskie_nowosądecki</v>
      </c>
      <c r="D882" t="s">
        <v>3159</v>
      </c>
      <c r="E882" t="str">
        <f t="shared" si="27"/>
        <v>małopolskie_nowosądecki_Piwniczna-Zdrój</v>
      </c>
      <c r="F882" t="s">
        <v>864</v>
      </c>
    </row>
    <row r="883" spans="1:6" x14ac:dyDescent="0.3">
      <c r="A883" t="s">
        <v>5383</v>
      </c>
      <c r="B883" t="s">
        <v>4908</v>
      </c>
      <c r="C883" t="str">
        <f t="shared" si="26"/>
        <v>małopolskie_nowosądecki</v>
      </c>
      <c r="D883" t="s">
        <v>3160</v>
      </c>
      <c r="E883" t="str">
        <f t="shared" si="27"/>
        <v>małopolskie_nowosądecki_Podegrodzie</v>
      </c>
      <c r="F883" t="s">
        <v>865</v>
      </c>
    </row>
    <row r="884" spans="1:6" x14ac:dyDescent="0.3">
      <c r="A884" t="s">
        <v>5383</v>
      </c>
      <c r="B884" t="s">
        <v>4908</v>
      </c>
      <c r="C884" t="str">
        <f t="shared" si="26"/>
        <v>małopolskie_nowosądecki</v>
      </c>
      <c r="D884" t="s">
        <v>3161</v>
      </c>
      <c r="E884" t="str">
        <f t="shared" si="27"/>
        <v>małopolskie_nowosądecki_Rytro</v>
      </c>
      <c r="F884" t="s">
        <v>866</v>
      </c>
    </row>
    <row r="885" spans="1:6" x14ac:dyDescent="0.3">
      <c r="A885" t="s">
        <v>5383</v>
      </c>
      <c r="B885" t="s">
        <v>4908</v>
      </c>
      <c r="C885" t="str">
        <f t="shared" si="26"/>
        <v>małopolskie_nowosądecki</v>
      </c>
      <c r="D885" t="s">
        <v>3162</v>
      </c>
      <c r="E885" t="str">
        <f t="shared" si="27"/>
        <v>małopolskie_nowosądecki_Stary Sącz</v>
      </c>
      <c r="F885" t="s">
        <v>867</v>
      </c>
    </row>
    <row r="886" spans="1:6" x14ac:dyDescent="0.3">
      <c r="A886" t="s">
        <v>5383</v>
      </c>
      <c r="B886" t="s">
        <v>4908</v>
      </c>
      <c r="C886" t="str">
        <f t="shared" si="26"/>
        <v>małopolskie_nowosądecki</v>
      </c>
      <c r="D886" t="s">
        <v>4624</v>
      </c>
      <c r="E886" t="str">
        <f t="shared" si="27"/>
        <v>małopolskie_nowosądecki_Grybów (gm. miejska)</v>
      </c>
      <c r="F886" t="s">
        <v>852</v>
      </c>
    </row>
    <row r="887" spans="1:6" x14ac:dyDescent="0.3">
      <c r="A887" t="s">
        <v>5383</v>
      </c>
      <c r="B887" t="s">
        <v>4908</v>
      </c>
      <c r="C887" t="str">
        <f t="shared" si="26"/>
        <v>małopolskie_nowosądecki</v>
      </c>
      <c r="D887" t="s">
        <v>4625</v>
      </c>
      <c r="E887" t="str">
        <f t="shared" si="27"/>
        <v>małopolskie_nowosądecki_Grybów (gm. wiejska)</v>
      </c>
      <c r="F887" t="s">
        <v>855</v>
      </c>
    </row>
    <row r="888" spans="1:6" x14ac:dyDescent="0.3">
      <c r="A888" t="s">
        <v>5383</v>
      </c>
      <c r="B888" t="s">
        <v>4909</v>
      </c>
      <c r="C888" t="str">
        <f t="shared" si="26"/>
        <v>małopolskie_nowotarski</v>
      </c>
      <c r="D888" t="s">
        <v>3164</v>
      </c>
      <c r="E888" t="str">
        <f t="shared" si="27"/>
        <v>małopolskie_nowotarski_Czarny Dunajec</v>
      </c>
      <c r="F888" t="s">
        <v>5504</v>
      </c>
    </row>
    <row r="889" spans="1:6" x14ac:dyDescent="0.3">
      <c r="A889" t="s">
        <v>5383</v>
      </c>
      <c r="B889" t="s">
        <v>4909</v>
      </c>
      <c r="C889" t="str">
        <f t="shared" si="26"/>
        <v>małopolskie_nowotarski</v>
      </c>
      <c r="D889" t="s">
        <v>3165</v>
      </c>
      <c r="E889" t="str">
        <f t="shared" si="27"/>
        <v>małopolskie_nowotarski_Czorsztyn</v>
      </c>
      <c r="F889" t="s">
        <v>871</v>
      </c>
    </row>
    <row r="890" spans="1:6" x14ac:dyDescent="0.3">
      <c r="A890" t="s">
        <v>5383</v>
      </c>
      <c r="B890" t="s">
        <v>4909</v>
      </c>
      <c r="C890" t="str">
        <f t="shared" si="26"/>
        <v>małopolskie_nowotarski</v>
      </c>
      <c r="D890" t="s">
        <v>3166</v>
      </c>
      <c r="E890" t="str">
        <f t="shared" si="27"/>
        <v>małopolskie_nowotarski_Jabłonka</v>
      </c>
      <c r="F890" t="s">
        <v>872</v>
      </c>
    </row>
    <row r="891" spans="1:6" x14ac:dyDescent="0.3">
      <c r="A891" t="s">
        <v>5383</v>
      </c>
      <c r="B891" t="s">
        <v>4909</v>
      </c>
      <c r="C891" t="str">
        <f t="shared" si="26"/>
        <v>małopolskie_nowotarski</v>
      </c>
      <c r="D891" t="s">
        <v>3167</v>
      </c>
      <c r="E891" t="str">
        <f t="shared" si="27"/>
        <v>małopolskie_nowotarski_Krościenko nad Dunajcem</v>
      </c>
      <c r="F891" t="s">
        <v>873</v>
      </c>
    </row>
    <row r="892" spans="1:6" x14ac:dyDescent="0.3">
      <c r="A892" t="s">
        <v>5383</v>
      </c>
      <c r="B892" t="s">
        <v>4909</v>
      </c>
      <c r="C892" t="str">
        <f t="shared" si="26"/>
        <v>małopolskie_nowotarski</v>
      </c>
      <c r="D892" t="s">
        <v>3168</v>
      </c>
      <c r="E892" t="str">
        <f t="shared" si="27"/>
        <v>małopolskie_nowotarski_Lipnica Wielka</v>
      </c>
      <c r="F892" t="s">
        <v>874</v>
      </c>
    </row>
    <row r="893" spans="1:6" x14ac:dyDescent="0.3">
      <c r="A893" t="s">
        <v>5383</v>
      </c>
      <c r="B893" t="s">
        <v>4909</v>
      </c>
      <c r="C893" t="str">
        <f t="shared" si="26"/>
        <v>małopolskie_nowotarski</v>
      </c>
      <c r="D893" t="s">
        <v>3169</v>
      </c>
      <c r="E893" t="str">
        <f t="shared" si="27"/>
        <v>małopolskie_nowotarski_Łapsze Niżne</v>
      </c>
      <c r="F893" t="s">
        <v>875</v>
      </c>
    </row>
    <row r="894" spans="1:6" x14ac:dyDescent="0.3">
      <c r="A894" t="s">
        <v>5383</v>
      </c>
      <c r="B894" t="s">
        <v>4909</v>
      </c>
      <c r="C894" t="str">
        <f t="shared" si="26"/>
        <v>małopolskie_nowotarski</v>
      </c>
      <c r="D894" t="s">
        <v>3170</v>
      </c>
      <c r="E894" t="str">
        <f t="shared" si="27"/>
        <v>małopolskie_nowotarski_Ochotnica Dolna</v>
      </c>
      <c r="F894" t="s">
        <v>877</v>
      </c>
    </row>
    <row r="895" spans="1:6" x14ac:dyDescent="0.3">
      <c r="A895" t="s">
        <v>5383</v>
      </c>
      <c r="B895" t="s">
        <v>4909</v>
      </c>
      <c r="C895" t="str">
        <f t="shared" si="26"/>
        <v>małopolskie_nowotarski</v>
      </c>
      <c r="D895" t="s">
        <v>3171</v>
      </c>
      <c r="E895" t="str">
        <f t="shared" si="27"/>
        <v>małopolskie_nowotarski_Raba Wyżna</v>
      </c>
      <c r="F895" t="s">
        <v>878</v>
      </c>
    </row>
    <row r="896" spans="1:6" x14ac:dyDescent="0.3">
      <c r="A896" t="s">
        <v>5383</v>
      </c>
      <c r="B896" t="s">
        <v>4909</v>
      </c>
      <c r="C896" t="str">
        <f t="shared" si="26"/>
        <v>małopolskie_nowotarski</v>
      </c>
      <c r="D896" t="s">
        <v>3172</v>
      </c>
      <c r="E896" t="str">
        <f t="shared" si="27"/>
        <v>małopolskie_nowotarski_Rabka-Zdrój</v>
      </c>
      <c r="F896" t="s">
        <v>879</v>
      </c>
    </row>
    <row r="897" spans="1:6" x14ac:dyDescent="0.3">
      <c r="A897" t="s">
        <v>5383</v>
      </c>
      <c r="B897" t="s">
        <v>4909</v>
      </c>
      <c r="C897" t="str">
        <f t="shared" ref="C897:C960" si="28">CONCATENATE(A897,"_",B897)</f>
        <v>małopolskie_nowotarski</v>
      </c>
      <c r="D897" t="s">
        <v>3173</v>
      </c>
      <c r="E897" t="str">
        <f t="shared" ref="E897:E960" si="29">C897&amp;"_"&amp;D897</f>
        <v>małopolskie_nowotarski_Spytkowice</v>
      </c>
      <c r="F897" t="s">
        <v>880</v>
      </c>
    </row>
    <row r="898" spans="1:6" x14ac:dyDescent="0.3">
      <c r="A898" t="s">
        <v>5383</v>
      </c>
      <c r="B898" t="s">
        <v>4909</v>
      </c>
      <c r="C898" t="str">
        <f t="shared" si="28"/>
        <v>małopolskie_nowotarski</v>
      </c>
      <c r="D898" t="s">
        <v>3174</v>
      </c>
      <c r="E898" t="str">
        <f t="shared" si="29"/>
        <v>małopolskie_nowotarski_Szaflary</v>
      </c>
      <c r="F898" t="s">
        <v>881</v>
      </c>
    </row>
    <row r="899" spans="1:6" x14ac:dyDescent="0.3">
      <c r="A899" t="s">
        <v>5383</v>
      </c>
      <c r="B899" t="s">
        <v>4909</v>
      </c>
      <c r="C899" t="str">
        <f t="shared" si="28"/>
        <v>małopolskie_nowotarski</v>
      </c>
      <c r="D899" t="s">
        <v>3163</v>
      </c>
      <c r="E899" t="str">
        <f t="shared" si="29"/>
        <v>małopolskie_nowotarski_Szczawnica</v>
      </c>
      <c r="F899" t="s">
        <v>869</v>
      </c>
    </row>
    <row r="900" spans="1:6" x14ac:dyDescent="0.3">
      <c r="A900" t="s">
        <v>5383</v>
      </c>
      <c r="B900" t="s">
        <v>4909</v>
      </c>
      <c r="C900" t="str">
        <f t="shared" si="28"/>
        <v>małopolskie_nowotarski</v>
      </c>
      <c r="D900" t="s">
        <v>4626</v>
      </c>
      <c r="E900" t="str">
        <f t="shared" si="29"/>
        <v>małopolskie_nowotarski_Nowy Targ (gm. miejska)</v>
      </c>
      <c r="F900" t="s">
        <v>868</v>
      </c>
    </row>
    <row r="901" spans="1:6" x14ac:dyDescent="0.3">
      <c r="A901" t="s">
        <v>5383</v>
      </c>
      <c r="B901" t="s">
        <v>4909</v>
      </c>
      <c r="C901" t="str">
        <f t="shared" si="28"/>
        <v>małopolskie_nowotarski</v>
      </c>
      <c r="D901" t="s">
        <v>4627</v>
      </c>
      <c r="E901" t="str">
        <f t="shared" si="29"/>
        <v>małopolskie_nowotarski_Nowy Targ (gm. wiejska)</v>
      </c>
      <c r="F901" t="s">
        <v>876</v>
      </c>
    </row>
    <row r="902" spans="1:6" x14ac:dyDescent="0.3">
      <c r="A902" t="s">
        <v>5383</v>
      </c>
      <c r="B902" t="s">
        <v>3234</v>
      </c>
      <c r="C902" t="str">
        <f t="shared" si="28"/>
        <v>małopolskie_Nowy Sącz</v>
      </c>
      <c r="D902" t="s">
        <v>3234</v>
      </c>
      <c r="E902" t="str">
        <f t="shared" si="29"/>
        <v>małopolskie_Nowy Sącz_Nowy Sącz</v>
      </c>
      <c r="F902" t="s">
        <v>946</v>
      </c>
    </row>
    <row r="903" spans="1:6" x14ac:dyDescent="0.3">
      <c r="A903" t="s">
        <v>5383</v>
      </c>
      <c r="B903" t="s">
        <v>4910</v>
      </c>
      <c r="C903" t="str">
        <f t="shared" si="28"/>
        <v>małopolskie_olkuski</v>
      </c>
      <c r="D903" t="s">
        <v>3094</v>
      </c>
      <c r="E903" t="str">
        <f t="shared" si="29"/>
        <v>małopolskie_olkuski_Bolesław</v>
      </c>
      <c r="F903" t="s">
        <v>883</v>
      </c>
    </row>
    <row r="904" spans="1:6" x14ac:dyDescent="0.3">
      <c r="A904" t="s">
        <v>5383</v>
      </c>
      <c r="B904" t="s">
        <v>4910</v>
      </c>
      <c r="C904" t="str">
        <f t="shared" si="28"/>
        <v>małopolskie_olkuski</v>
      </c>
      <c r="D904" t="s">
        <v>3175</v>
      </c>
      <c r="E904" t="str">
        <f t="shared" si="29"/>
        <v>małopolskie_olkuski_Bukowno</v>
      </c>
      <c r="F904" t="s">
        <v>882</v>
      </c>
    </row>
    <row r="905" spans="1:6" x14ac:dyDescent="0.3">
      <c r="A905" t="s">
        <v>5383</v>
      </c>
      <c r="B905" t="s">
        <v>4910</v>
      </c>
      <c r="C905" t="str">
        <f t="shared" si="28"/>
        <v>małopolskie_olkuski</v>
      </c>
      <c r="D905" t="s">
        <v>3176</v>
      </c>
      <c r="E905" t="str">
        <f t="shared" si="29"/>
        <v>małopolskie_olkuski_Klucze</v>
      </c>
      <c r="F905" t="s">
        <v>884</v>
      </c>
    </row>
    <row r="906" spans="1:6" x14ac:dyDescent="0.3">
      <c r="A906" t="s">
        <v>5383</v>
      </c>
      <c r="B906" t="s">
        <v>4910</v>
      </c>
      <c r="C906" t="str">
        <f t="shared" si="28"/>
        <v>małopolskie_olkuski</v>
      </c>
      <c r="D906" t="s">
        <v>3177</v>
      </c>
      <c r="E906" t="str">
        <f t="shared" si="29"/>
        <v>małopolskie_olkuski_Olkusz</v>
      </c>
      <c r="F906" t="s">
        <v>885</v>
      </c>
    </row>
    <row r="907" spans="1:6" x14ac:dyDescent="0.3">
      <c r="A907" t="s">
        <v>5383</v>
      </c>
      <c r="B907" t="s">
        <v>4910</v>
      </c>
      <c r="C907" t="str">
        <f t="shared" si="28"/>
        <v>małopolskie_olkuski</v>
      </c>
      <c r="D907" t="s">
        <v>3178</v>
      </c>
      <c r="E907" t="str">
        <f t="shared" si="29"/>
        <v>małopolskie_olkuski_Trzyciąż</v>
      </c>
      <c r="F907" t="s">
        <v>886</v>
      </c>
    </row>
    <row r="908" spans="1:6" x14ac:dyDescent="0.3">
      <c r="A908" t="s">
        <v>5383</v>
      </c>
      <c r="B908" t="s">
        <v>4910</v>
      </c>
      <c r="C908" t="str">
        <f t="shared" si="28"/>
        <v>małopolskie_olkuski</v>
      </c>
      <c r="D908" t="s">
        <v>3179</v>
      </c>
      <c r="E908" t="str">
        <f t="shared" si="29"/>
        <v>małopolskie_olkuski_Wolbrom</v>
      </c>
      <c r="F908" t="s">
        <v>887</v>
      </c>
    </row>
    <row r="909" spans="1:6" x14ac:dyDescent="0.3">
      <c r="A909" t="s">
        <v>5383</v>
      </c>
      <c r="B909" t="s">
        <v>4911</v>
      </c>
      <c r="C909" t="str">
        <f t="shared" si="28"/>
        <v>małopolskie_oświęcimski</v>
      </c>
      <c r="D909" t="s">
        <v>3180</v>
      </c>
      <c r="E909" t="str">
        <f t="shared" si="29"/>
        <v>małopolskie_oświęcimski_Brzeszcze</v>
      </c>
      <c r="F909" t="s">
        <v>889</v>
      </c>
    </row>
    <row r="910" spans="1:6" x14ac:dyDescent="0.3">
      <c r="A910" t="s">
        <v>5383</v>
      </c>
      <c r="B910" t="s">
        <v>4911</v>
      </c>
      <c r="C910" t="str">
        <f t="shared" si="28"/>
        <v>małopolskie_oświęcimski</v>
      </c>
      <c r="D910" t="s">
        <v>3181</v>
      </c>
      <c r="E910" t="str">
        <f t="shared" si="29"/>
        <v>małopolskie_oświęcimski_Chełmek</v>
      </c>
      <c r="F910" t="s">
        <v>890</v>
      </c>
    </row>
    <row r="911" spans="1:6" x14ac:dyDescent="0.3">
      <c r="A911" t="s">
        <v>5383</v>
      </c>
      <c r="B911" t="s">
        <v>4911</v>
      </c>
      <c r="C911" t="str">
        <f t="shared" si="28"/>
        <v>małopolskie_oświęcimski</v>
      </c>
      <c r="D911" t="s">
        <v>3182</v>
      </c>
      <c r="E911" t="str">
        <f t="shared" si="29"/>
        <v>małopolskie_oświęcimski_Kęty</v>
      </c>
      <c r="F911" t="s">
        <v>891</v>
      </c>
    </row>
    <row r="912" spans="1:6" x14ac:dyDescent="0.3">
      <c r="A912" t="s">
        <v>5383</v>
      </c>
      <c r="B912" t="s">
        <v>4911</v>
      </c>
      <c r="C912" t="str">
        <f t="shared" si="28"/>
        <v>małopolskie_oświęcimski</v>
      </c>
      <c r="D912" t="s">
        <v>2569</v>
      </c>
      <c r="E912" t="str">
        <f t="shared" si="29"/>
        <v>małopolskie_oświęcimski_Osiek</v>
      </c>
      <c r="F912" t="s">
        <v>892</v>
      </c>
    </row>
    <row r="913" spans="1:6" x14ac:dyDescent="0.3">
      <c r="A913" t="s">
        <v>5383</v>
      </c>
      <c r="B913" t="s">
        <v>4911</v>
      </c>
      <c r="C913" t="str">
        <f t="shared" si="28"/>
        <v>małopolskie_oświęcimski</v>
      </c>
      <c r="D913" t="s">
        <v>3183</v>
      </c>
      <c r="E913" t="str">
        <f t="shared" si="29"/>
        <v>małopolskie_oświęcimski_Polanka Wielka</v>
      </c>
      <c r="F913" t="s">
        <v>894</v>
      </c>
    </row>
    <row r="914" spans="1:6" x14ac:dyDescent="0.3">
      <c r="A914" t="s">
        <v>5383</v>
      </c>
      <c r="B914" t="s">
        <v>4911</v>
      </c>
      <c r="C914" t="str">
        <f t="shared" si="28"/>
        <v>małopolskie_oświęcimski</v>
      </c>
      <c r="D914" t="s">
        <v>3184</v>
      </c>
      <c r="E914" t="str">
        <f t="shared" si="29"/>
        <v>małopolskie_oświęcimski_Przeciszów</v>
      </c>
      <c r="F914" t="s">
        <v>895</v>
      </c>
    </row>
    <row r="915" spans="1:6" x14ac:dyDescent="0.3">
      <c r="A915" t="s">
        <v>5383</v>
      </c>
      <c r="B915" t="s">
        <v>4911</v>
      </c>
      <c r="C915" t="str">
        <f t="shared" si="28"/>
        <v>małopolskie_oświęcimski</v>
      </c>
      <c r="D915" t="s">
        <v>3185</v>
      </c>
      <c r="E915" t="str">
        <f t="shared" si="29"/>
        <v>małopolskie_oświęcimski_Zator</v>
      </c>
      <c r="F915" t="s">
        <v>896</v>
      </c>
    </row>
    <row r="916" spans="1:6" x14ac:dyDescent="0.3">
      <c r="A916" t="s">
        <v>5383</v>
      </c>
      <c r="B916" t="s">
        <v>4911</v>
      </c>
      <c r="C916" t="str">
        <f t="shared" si="28"/>
        <v>małopolskie_oświęcimski</v>
      </c>
      <c r="D916" t="s">
        <v>4628</v>
      </c>
      <c r="E916" t="str">
        <f t="shared" si="29"/>
        <v>małopolskie_oświęcimski_Oświęcim (gm. miejska)</v>
      </c>
      <c r="F916" t="s">
        <v>888</v>
      </c>
    </row>
    <row r="917" spans="1:6" x14ac:dyDescent="0.3">
      <c r="A917" t="s">
        <v>5383</v>
      </c>
      <c r="B917" t="s">
        <v>4911</v>
      </c>
      <c r="C917" t="str">
        <f t="shared" si="28"/>
        <v>małopolskie_oświęcimski</v>
      </c>
      <c r="D917" t="s">
        <v>4629</v>
      </c>
      <c r="E917" t="str">
        <f t="shared" si="29"/>
        <v>małopolskie_oświęcimski_Oświęcim (gm. wiejska)</v>
      </c>
      <c r="F917" t="s">
        <v>893</v>
      </c>
    </row>
    <row r="918" spans="1:6" x14ac:dyDescent="0.3">
      <c r="A918" t="s">
        <v>5383</v>
      </c>
      <c r="B918" t="s">
        <v>4912</v>
      </c>
      <c r="C918" t="str">
        <f t="shared" si="28"/>
        <v>małopolskie_proszowicki</v>
      </c>
      <c r="D918" t="s">
        <v>3186</v>
      </c>
      <c r="E918" t="str">
        <f t="shared" si="29"/>
        <v>małopolskie_proszowicki_Koniusza</v>
      </c>
      <c r="F918" t="s">
        <v>897</v>
      </c>
    </row>
    <row r="919" spans="1:6" x14ac:dyDescent="0.3">
      <c r="A919" t="s">
        <v>5383</v>
      </c>
      <c r="B919" t="s">
        <v>4912</v>
      </c>
      <c r="C919" t="str">
        <f t="shared" si="28"/>
        <v>małopolskie_proszowicki</v>
      </c>
      <c r="D919" t="s">
        <v>3187</v>
      </c>
      <c r="E919" t="str">
        <f t="shared" si="29"/>
        <v>małopolskie_proszowicki_Koszyce</v>
      </c>
      <c r="F919" t="s">
        <v>5410</v>
      </c>
    </row>
    <row r="920" spans="1:6" x14ac:dyDescent="0.3">
      <c r="A920" t="s">
        <v>5383</v>
      </c>
      <c r="B920" t="s">
        <v>4912</v>
      </c>
      <c r="C920" t="str">
        <f t="shared" si="28"/>
        <v>małopolskie_proszowicki</v>
      </c>
      <c r="D920" t="s">
        <v>3188</v>
      </c>
      <c r="E920" t="str">
        <f t="shared" si="29"/>
        <v>małopolskie_proszowicki_Nowe Brzesko</v>
      </c>
      <c r="F920" t="s">
        <v>5165</v>
      </c>
    </row>
    <row r="921" spans="1:6" x14ac:dyDescent="0.3">
      <c r="A921" t="s">
        <v>5383</v>
      </c>
      <c r="B921" t="s">
        <v>4912</v>
      </c>
      <c r="C921" t="str">
        <f t="shared" si="28"/>
        <v>małopolskie_proszowicki</v>
      </c>
      <c r="D921" t="s">
        <v>3189</v>
      </c>
      <c r="E921" t="str">
        <f t="shared" si="29"/>
        <v>małopolskie_proszowicki_Pałecznica</v>
      </c>
      <c r="F921" t="s">
        <v>898</v>
      </c>
    </row>
    <row r="922" spans="1:6" x14ac:dyDescent="0.3">
      <c r="A922" t="s">
        <v>5383</v>
      </c>
      <c r="B922" t="s">
        <v>4912</v>
      </c>
      <c r="C922" t="str">
        <f t="shared" si="28"/>
        <v>małopolskie_proszowicki</v>
      </c>
      <c r="D922" t="s">
        <v>3190</v>
      </c>
      <c r="E922" t="str">
        <f t="shared" si="29"/>
        <v>małopolskie_proszowicki_Proszowice</v>
      </c>
      <c r="F922" t="s">
        <v>899</v>
      </c>
    </row>
    <row r="923" spans="1:6" x14ac:dyDescent="0.3">
      <c r="A923" t="s">
        <v>5383</v>
      </c>
      <c r="B923" t="s">
        <v>4912</v>
      </c>
      <c r="C923" t="str">
        <f t="shared" si="28"/>
        <v>małopolskie_proszowicki</v>
      </c>
      <c r="D923" t="s">
        <v>3191</v>
      </c>
      <c r="E923" t="str">
        <f t="shared" si="29"/>
        <v>małopolskie_proszowicki_Radziemice</v>
      </c>
      <c r="F923" t="s">
        <v>900</v>
      </c>
    </row>
    <row r="924" spans="1:6" x14ac:dyDescent="0.3">
      <c r="A924" t="s">
        <v>5383</v>
      </c>
      <c r="B924" t="s">
        <v>4913</v>
      </c>
      <c r="C924" t="str">
        <f t="shared" si="28"/>
        <v>małopolskie_suski</v>
      </c>
      <c r="D924" t="s">
        <v>3193</v>
      </c>
      <c r="E924" t="str">
        <f t="shared" si="29"/>
        <v>małopolskie_suski_Budzów</v>
      </c>
      <c r="F924" t="s">
        <v>903</v>
      </c>
    </row>
    <row r="925" spans="1:6" x14ac:dyDescent="0.3">
      <c r="A925" t="s">
        <v>5383</v>
      </c>
      <c r="B925" t="s">
        <v>4913</v>
      </c>
      <c r="C925" t="str">
        <f t="shared" si="28"/>
        <v>małopolskie_suski</v>
      </c>
      <c r="D925" t="s">
        <v>3194</v>
      </c>
      <c r="E925" t="str">
        <f t="shared" si="29"/>
        <v>małopolskie_suski_Bystra-Sidzina</v>
      </c>
      <c r="F925" t="s">
        <v>904</v>
      </c>
    </row>
    <row r="926" spans="1:6" x14ac:dyDescent="0.3">
      <c r="A926" t="s">
        <v>5383</v>
      </c>
      <c r="B926" t="s">
        <v>4913</v>
      </c>
      <c r="C926" t="str">
        <f t="shared" si="28"/>
        <v>małopolskie_suski</v>
      </c>
      <c r="D926" t="s">
        <v>3195</v>
      </c>
      <c r="E926" t="str">
        <f t="shared" si="29"/>
        <v>małopolskie_suski_Maków Podhalański</v>
      </c>
      <c r="F926" t="s">
        <v>906</v>
      </c>
    </row>
    <row r="927" spans="1:6" x14ac:dyDescent="0.3">
      <c r="A927" t="s">
        <v>5383</v>
      </c>
      <c r="B927" t="s">
        <v>4913</v>
      </c>
      <c r="C927" t="str">
        <f t="shared" si="28"/>
        <v>małopolskie_suski</v>
      </c>
      <c r="D927" t="s">
        <v>3196</v>
      </c>
      <c r="E927" t="str">
        <f t="shared" si="29"/>
        <v>małopolskie_suski_Stryszawa</v>
      </c>
      <c r="F927" t="s">
        <v>907</v>
      </c>
    </row>
    <row r="928" spans="1:6" x14ac:dyDescent="0.3">
      <c r="A928" t="s">
        <v>5383</v>
      </c>
      <c r="B928" t="s">
        <v>4913</v>
      </c>
      <c r="C928" t="str">
        <f t="shared" si="28"/>
        <v>małopolskie_suski</v>
      </c>
      <c r="D928" t="s">
        <v>3192</v>
      </c>
      <c r="E928" t="str">
        <f t="shared" si="29"/>
        <v>małopolskie_suski_Sucha Beskidzka</v>
      </c>
      <c r="F928" t="s">
        <v>902</v>
      </c>
    </row>
    <row r="929" spans="1:6" x14ac:dyDescent="0.3">
      <c r="A929" t="s">
        <v>5383</v>
      </c>
      <c r="B929" t="s">
        <v>4913</v>
      </c>
      <c r="C929" t="str">
        <f t="shared" si="28"/>
        <v>małopolskie_suski</v>
      </c>
      <c r="D929" t="s">
        <v>3197</v>
      </c>
      <c r="E929" t="str">
        <f t="shared" si="29"/>
        <v>małopolskie_suski_Zawoja</v>
      </c>
      <c r="F929" t="s">
        <v>908</v>
      </c>
    </row>
    <row r="930" spans="1:6" x14ac:dyDescent="0.3">
      <c r="A930" t="s">
        <v>5383</v>
      </c>
      <c r="B930" t="s">
        <v>4913</v>
      </c>
      <c r="C930" t="str">
        <f t="shared" si="28"/>
        <v>małopolskie_suski</v>
      </c>
      <c r="D930" t="s">
        <v>3198</v>
      </c>
      <c r="E930" t="str">
        <f t="shared" si="29"/>
        <v>małopolskie_suski_Zembrzyce</v>
      </c>
      <c r="F930" t="s">
        <v>909</v>
      </c>
    </row>
    <row r="931" spans="1:6" x14ac:dyDescent="0.3">
      <c r="A931" t="s">
        <v>5383</v>
      </c>
      <c r="B931" t="s">
        <v>4913</v>
      </c>
      <c r="C931" t="str">
        <f t="shared" si="28"/>
        <v>małopolskie_suski</v>
      </c>
      <c r="D931" t="s">
        <v>4630</v>
      </c>
      <c r="E931" t="str">
        <f t="shared" si="29"/>
        <v>małopolskie_suski_Jordanów (gm. miejska)</v>
      </c>
      <c r="F931" t="s">
        <v>901</v>
      </c>
    </row>
    <row r="932" spans="1:6" x14ac:dyDescent="0.3">
      <c r="A932" t="s">
        <v>5383</v>
      </c>
      <c r="B932" t="s">
        <v>4913</v>
      </c>
      <c r="C932" t="str">
        <f t="shared" si="28"/>
        <v>małopolskie_suski</v>
      </c>
      <c r="D932" t="s">
        <v>4631</v>
      </c>
      <c r="E932" t="str">
        <f t="shared" si="29"/>
        <v>małopolskie_suski_Jordanów (gm. wiejska)</v>
      </c>
      <c r="F932" t="s">
        <v>905</v>
      </c>
    </row>
    <row r="933" spans="1:6" x14ac:dyDescent="0.3">
      <c r="A933" t="s">
        <v>5383</v>
      </c>
      <c r="B933" t="s">
        <v>4914</v>
      </c>
      <c r="C933" t="str">
        <f t="shared" si="28"/>
        <v>małopolskie_tarnowski</v>
      </c>
      <c r="D933" t="s">
        <v>3199</v>
      </c>
      <c r="E933" t="str">
        <f t="shared" si="29"/>
        <v>małopolskie_tarnowski_Ciężkowice</v>
      </c>
      <c r="F933" t="s">
        <v>910</v>
      </c>
    </row>
    <row r="934" spans="1:6" x14ac:dyDescent="0.3">
      <c r="A934" t="s">
        <v>5383</v>
      </c>
      <c r="B934" t="s">
        <v>4914</v>
      </c>
      <c r="C934" t="str">
        <f t="shared" si="28"/>
        <v>małopolskie_tarnowski</v>
      </c>
      <c r="D934" t="s">
        <v>3200</v>
      </c>
      <c r="E934" t="str">
        <f t="shared" si="29"/>
        <v>małopolskie_tarnowski_Gromnik</v>
      </c>
      <c r="F934" t="s">
        <v>911</v>
      </c>
    </row>
    <row r="935" spans="1:6" x14ac:dyDescent="0.3">
      <c r="A935" t="s">
        <v>5383</v>
      </c>
      <c r="B935" t="s">
        <v>4914</v>
      </c>
      <c r="C935" t="str">
        <f t="shared" si="28"/>
        <v>małopolskie_tarnowski</v>
      </c>
      <c r="D935" t="s">
        <v>3201</v>
      </c>
      <c r="E935" t="str">
        <f t="shared" si="29"/>
        <v>małopolskie_tarnowski_Lisia Góra</v>
      </c>
      <c r="F935" t="s">
        <v>912</v>
      </c>
    </row>
    <row r="936" spans="1:6" x14ac:dyDescent="0.3">
      <c r="A936" t="s">
        <v>5383</v>
      </c>
      <c r="B936" t="s">
        <v>4914</v>
      </c>
      <c r="C936" t="str">
        <f t="shared" si="28"/>
        <v>małopolskie_tarnowski</v>
      </c>
      <c r="D936" t="s">
        <v>3202</v>
      </c>
      <c r="E936" t="str">
        <f t="shared" si="29"/>
        <v>małopolskie_tarnowski_Pleśna</v>
      </c>
      <c r="F936" t="s">
        <v>913</v>
      </c>
    </row>
    <row r="937" spans="1:6" x14ac:dyDescent="0.3">
      <c r="A937" t="s">
        <v>5383</v>
      </c>
      <c r="B937" t="s">
        <v>4914</v>
      </c>
      <c r="C937" t="str">
        <f t="shared" si="28"/>
        <v>małopolskie_tarnowski</v>
      </c>
      <c r="D937" t="s">
        <v>3203</v>
      </c>
      <c r="E937" t="str">
        <f t="shared" si="29"/>
        <v>małopolskie_tarnowski_Radłów</v>
      </c>
      <c r="F937" t="s">
        <v>5166</v>
      </c>
    </row>
    <row r="938" spans="1:6" x14ac:dyDescent="0.3">
      <c r="A938" t="s">
        <v>5383</v>
      </c>
      <c r="B938" t="s">
        <v>4914</v>
      </c>
      <c r="C938" t="str">
        <f t="shared" si="28"/>
        <v>małopolskie_tarnowski</v>
      </c>
      <c r="D938" t="s">
        <v>3204</v>
      </c>
      <c r="E938" t="str">
        <f t="shared" si="29"/>
        <v>małopolskie_tarnowski_Ryglice</v>
      </c>
      <c r="F938" t="s">
        <v>914</v>
      </c>
    </row>
    <row r="939" spans="1:6" x14ac:dyDescent="0.3">
      <c r="A939" t="s">
        <v>5383</v>
      </c>
      <c r="B939" t="s">
        <v>4914</v>
      </c>
      <c r="C939" t="str">
        <f t="shared" si="28"/>
        <v>małopolskie_tarnowski</v>
      </c>
      <c r="D939" t="s">
        <v>3205</v>
      </c>
      <c r="E939" t="str">
        <f t="shared" si="29"/>
        <v>małopolskie_tarnowski_Rzepiennik Strzyżewski</v>
      </c>
      <c r="F939" t="s">
        <v>915</v>
      </c>
    </row>
    <row r="940" spans="1:6" x14ac:dyDescent="0.3">
      <c r="A940" t="s">
        <v>5383</v>
      </c>
      <c r="B940" t="s">
        <v>4914</v>
      </c>
      <c r="C940" t="str">
        <f t="shared" si="28"/>
        <v>małopolskie_tarnowski</v>
      </c>
      <c r="D940" t="s">
        <v>3206</v>
      </c>
      <c r="E940" t="str">
        <f t="shared" si="29"/>
        <v>małopolskie_tarnowski_Skrzyszów</v>
      </c>
      <c r="F940" t="s">
        <v>916</v>
      </c>
    </row>
    <row r="941" spans="1:6" x14ac:dyDescent="0.3">
      <c r="A941" t="s">
        <v>5383</v>
      </c>
      <c r="B941" t="s">
        <v>4914</v>
      </c>
      <c r="C941" t="str">
        <f t="shared" si="28"/>
        <v>małopolskie_tarnowski</v>
      </c>
      <c r="D941" t="s">
        <v>3214</v>
      </c>
      <c r="E941" t="str">
        <f t="shared" si="29"/>
        <v>małopolskie_tarnowski_Szerzyny</v>
      </c>
      <c r="F941" t="s">
        <v>924</v>
      </c>
    </row>
    <row r="942" spans="1:6" x14ac:dyDescent="0.3">
      <c r="A942" t="s">
        <v>5383</v>
      </c>
      <c r="B942" t="s">
        <v>4914</v>
      </c>
      <c r="C942" t="str">
        <f t="shared" si="28"/>
        <v>małopolskie_tarnowski</v>
      </c>
      <c r="D942" t="s">
        <v>3207</v>
      </c>
      <c r="E942" t="str">
        <f t="shared" si="29"/>
        <v>małopolskie_tarnowski_Tarnów</v>
      </c>
      <c r="F942" t="s">
        <v>917</v>
      </c>
    </row>
    <row r="943" spans="1:6" x14ac:dyDescent="0.3">
      <c r="A943" t="s">
        <v>5383</v>
      </c>
      <c r="B943" t="s">
        <v>4914</v>
      </c>
      <c r="C943" t="str">
        <f t="shared" si="28"/>
        <v>małopolskie_tarnowski</v>
      </c>
      <c r="D943" t="s">
        <v>3208</v>
      </c>
      <c r="E943" t="str">
        <f t="shared" si="29"/>
        <v>małopolskie_tarnowski_Tuchów</v>
      </c>
      <c r="F943" t="s">
        <v>918</v>
      </c>
    </row>
    <row r="944" spans="1:6" x14ac:dyDescent="0.3">
      <c r="A944" t="s">
        <v>5383</v>
      </c>
      <c r="B944" t="s">
        <v>4914</v>
      </c>
      <c r="C944" t="str">
        <f t="shared" si="28"/>
        <v>małopolskie_tarnowski</v>
      </c>
      <c r="D944" t="s">
        <v>3209</v>
      </c>
      <c r="E944" t="str">
        <f t="shared" si="29"/>
        <v>małopolskie_tarnowski_Wierzchosławice</v>
      </c>
      <c r="F944" t="s">
        <v>919</v>
      </c>
    </row>
    <row r="945" spans="1:6" x14ac:dyDescent="0.3">
      <c r="A945" t="s">
        <v>5383</v>
      </c>
      <c r="B945" t="s">
        <v>4914</v>
      </c>
      <c r="C945" t="str">
        <f t="shared" si="28"/>
        <v>małopolskie_tarnowski</v>
      </c>
      <c r="D945" t="s">
        <v>3210</v>
      </c>
      <c r="E945" t="str">
        <f t="shared" si="29"/>
        <v>małopolskie_tarnowski_Wietrzychowice</v>
      </c>
      <c r="F945" t="s">
        <v>920</v>
      </c>
    </row>
    <row r="946" spans="1:6" x14ac:dyDescent="0.3">
      <c r="A946" t="s">
        <v>5383</v>
      </c>
      <c r="B946" t="s">
        <v>4914</v>
      </c>
      <c r="C946" t="str">
        <f t="shared" si="28"/>
        <v>małopolskie_tarnowski</v>
      </c>
      <c r="D946" t="s">
        <v>3211</v>
      </c>
      <c r="E946" t="str">
        <f t="shared" si="29"/>
        <v>małopolskie_tarnowski_Wojnicz</v>
      </c>
      <c r="F946" t="s">
        <v>921</v>
      </c>
    </row>
    <row r="947" spans="1:6" x14ac:dyDescent="0.3">
      <c r="A947" t="s">
        <v>5383</v>
      </c>
      <c r="B947" t="s">
        <v>4914</v>
      </c>
      <c r="C947" t="str">
        <f t="shared" si="28"/>
        <v>małopolskie_tarnowski</v>
      </c>
      <c r="D947" t="s">
        <v>3212</v>
      </c>
      <c r="E947" t="str">
        <f t="shared" si="29"/>
        <v>małopolskie_tarnowski_Zakliczyn</v>
      </c>
      <c r="F947" t="s">
        <v>922</v>
      </c>
    </row>
    <row r="948" spans="1:6" x14ac:dyDescent="0.3">
      <c r="A948" t="s">
        <v>5383</v>
      </c>
      <c r="B948" t="s">
        <v>4914</v>
      </c>
      <c r="C948" t="str">
        <f t="shared" si="28"/>
        <v>małopolskie_tarnowski</v>
      </c>
      <c r="D948" t="s">
        <v>3213</v>
      </c>
      <c r="E948" t="str">
        <f t="shared" si="29"/>
        <v>małopolskie_tarnowski_Żabno</v>
      </c>
      <c r="F948" t="s">
        <v>923</v>
      </c>
    </row>
    <row r="949" spans="1:6" x14ac:dyDescent="0.3">
      <c r="A949" t="s">
        <v>5383</v>
      </c>
      <c r="B949" t="s">
        <v>3207</v>
      </c>
      <c r="C949" t="str">
        <f t="shared" si="28"/>
        <v>małopolskie_Tarnów</v>
      </c>
      <c r="D949" t="s">
        <v>3207</v>
      </c>
      <c r="E949" t="str">
        <f t="shared" si="29"/>
        <v>małopolskie_Tarnów_Tarnów</v>
      </c>
      <c r="F949" t="s">
        <v>947</v>
      </c>
    </row>
    <row r="950" spans="1:6" x14ac:dyDescent="0.3">
      <c r="A950" t="s">
        <v>5383</v>
      </c>
      <c r="B950" t="s">
        <v>4915</v>
      </c>
      <c r="C950" t="str">
        <f t="shared" si="28"/>
        <v>małopolskie_tatrzański</v>
      </c>
      <c r="D950" t="s">
        <v>3216</v>
      </c>
      <c r="E950" t="str">
        <f t="shared" si="29"/>
        <v>małopolskie_tatrzański_Biały Dunajec</v>
      </c>
      <c r="F950" t="s">
        <v>926</v>
      </c>
    </row>
    <row r="951" spans="1:6" x14ac:dyDescent="0.3">
      <c r="A951" t="s">
        <v>5383</v>
      </c>
      <c r="B951" t="s">
        <v>4915</v>
      </c>
      <c r="C951" t="str">
        <f t="shared" si="28"/>
        <v>małopolskie_tatrzański</v>
      </c>
      <c r="D951" t="s">
        <v>3217</v>
      </c>
      <c r="E951" t="str">
        <f t="shared" si="29"/>
        <v>małopolskie_tatrzański_Bukowina Tatrzańska</v>
      </c>
      <c r="F951" t="s">
        <v>927</v>
      </c>
    </row>
    <row r="952" spans="1:6" x14ac:dyDescent="0.3">
      <c r="A952" t="s">
        <v>5383</v>
      </c>
      <c r="B952" t="s">
        <v>4915</v>
      </c>
      <c r="C952" t="str">
        <f t="shared" si="28"/>
        <v>małopolskie_tatrzański</v>
      </c>
      <c r="D952" t="s">
        <v>3218</v>
      </c>
      <c r="E952" t="str">
        <f t="shared" si="29"/>
        <v>małopolskie_tatrzański_Kościelisko</v>
      </c>
      <c r="F952" t="s">
        <v>928</v>
      </c>
    </row>
    <row r="953" spans="1:6" x14ac:dyDescent="0.3">
      <c r="A953" t="s">
        <v>5383</v>
      </c>
      <c r="B953" t="s">
        <v>4915</v>
      </c>
      <c r="C953" t="str">
        <f t="shared" si="28"/>
        <v>małopolskie_tatrzański</v>
      </c>
      <c r="D953" t="s">
        <v>3219</v>
      </c>
      <c r="E953" t="str">
        <f t="shared" si="29"/>
        <v>małopolskie_tatrzański_Poronin</v>
      </c>
      <c r="F953" t="s">
        <v>929</v>
      </c>
    </row>
    <row r="954" spans="1:6" x14ac:dyDescent="0.3">
      <c r="A954" t="s">
        <v>5383</v>
      </c>
      <c r="B954" t="s">
        <v>4915</v>
      </c>
      <c r="C954" t="str">
        <f t="shared" si="28"/>
        <v>małopolskie_tatrzański</v>
      </c>
      <c r="D954" t="s">
        <v>3215</v>
      </c>
      <c r="E954" t="str">
        <f t="shared" si="29"/>
        <v>małopolskie_tatrzański_Zakopane</v>
      </c>
      <c r="F954" t="s">
        <v>925</v>
      </c>
    </row>
    <row r="955" spans="1:6" x14ac:dyDescent="0.3">
      <c r="A955" t="s">
        <v>5383</v>
      </c>
      <c r="B955" t="s">
        <v>4916</v>
      </c>
      <c r="C955" t="str">
        <f t="shared" si="28"/>
        <v>małopolskie_wadowicki</v>
      </c>
      <c r="D955" t="s">
        <v>3220</v>
      </c>
      <c r="E955" t="str">
        <f t="shared" si="29"/>
        <v>małopolskie_wadowicki_Andrychów</v>
      </c>
      <c r="F955" t="s">
        <v>930</v>
      </c>
    </row>
    <row r="956" spans="1:6" x14ac:dyDescent="0.3">
      <c r="A956" t="s">
        <v>5383</v>
      </c>
      <c r="B956" t="s">
        <v>4916</v>
      </c>
      <c r="C956" t="str">
        <f t="shared" si="28"/>
        <v>małopolskie_wadowicki</v>
      </c>
      <c r="D956" t="s">
        <v>2913</v>
      </c>
      <c r="E956" t="str">
        <f t="shared" si="29"/>
        <v>małopolskie_wadowicki_Brzeźnica</v>
      </c>
      <c r="F956" t="s">
        <v>931</v>
      </c>
    </row>
    <row r="957" spans="1:6" x14ac:dyDescent="0.3">
      <c r="A957" t="s">
        <v>5383</v>
      </c>
      <c r="B957" t="s">
        <v>4916</v>
      </c>
      <c r="C957" t="str">
        <f t="shared" si="28"/>
        <v>małopolskie_wadowicki</v>
      </c>
      <c r="D957" t="s">
        <v>3221</v>
      </c>
      <c r="E957" t="str">
        <f t="shared" si="29"/>
        <v>małopolskie_wadowicki_Kalwaria Zebrzydowska</v>
      </c>
      <c r="F957" t="s">
        <v>932</v>
      </c>
    </row>
    <row r="958" spans="1:6" x14ac:dyDescent="0.3">
      <c r="A958" t="s">
        <v>5383</v>
      </c>
      <c r="B958" t="s">
        <v>4916</v>
      </c>
      <c r="C958" t="str">
        <f t="shared" si="28"/>
        <v>małopolskie_wadowicki</v>
      </c>
      <c r="D958" t="s">
        <v>3222</v>
      </c>
      <c r="E958" t="str">
        <f t="shared" si="29"/>
        <v>małopolskie_wadowicki_Lanckorona</v>
      </c>
      <c r="F958" t="s">
        <v>933</v>
      </c>
    </row>
    <row r="959" spans="1:6" x14ac:dyDescent="0.3">
      <c r="A959" t="s">
        <v>5383</v>
      </c>
      <c r="B959" t="s">
        <v>4916</v>
      </c>
      <c r="C959" t="str">
        <f t="shared" si="28"/>
        <v>małopolskie_wadowicki</v>
      </c>
      <c r="D959" t="s">
        <v>3223</v>
      </c>
      <c r="E959" t="str">
        <f t="shared" si="29"/>
        <v>małopolskie_wadowicki_Mucharz</v>
      </c>
      <c r="F959" t="s">
        <v>934</v>
      </c>
    </row>
    <row r="960" spans="1:6" x14ac:dyDescent="0.3">
      <c r="A960" t="s">
        <v>5383</v>
      </c>
      <c r="B960" t="s">
        <v>4916</v>
      </c>
      <c r="C960" t="str">
        <f t="shared" si="28"/>
        <v>małopolskie_wadowicki</v>
      </c>
      <c r="D960" t="s">
        <v>3173</v>
      </c>
      <c r="E960" t="str">
        <f t="shared" si="29"/>
        <v>małopolskie_wadowicki_Spytkowice</v>
      </c>
      <c r="F960" t="s">
        <v>935</v>
      </c>
    </row>
    <row r="961" spans="1:6" x14ac:dyDescent="0.3">
      <c r="A961" t="s">
        <v>5383</v>
      </c>
      <c r="B961" t="s">
        <v>4916</v>
      </c>
      <c r="C961" t="str">
        <f t="shared" ref="C961:C1024" si="30">CONCATENATE(A961,"_",B961)</f>
        <v>małopolskie_wadowicki</v>
      </c>
      <c r="D961" t="s">
        <v>3224</v>
      </c>
      <c r="E961" t="str">
        <f t="shared" ref="E961:E1024" si="31">C961&amp;"_"&amp;D961</f>
        <v>małopolskie_wadowicki_Stryszów</v>
      </c>
      <c r="F961" t="s">
        <v>936</v>
      </c>
    </row>
    <row r="962" spans="1:6" x14ac:dyDescent="0.3">
      <c r="A962" t="s">
        <v>5383</v>
      </c>
      <c r="B962" t="s">
        <v>4916</v>
      </c>
      <c r="C962" t="str">
        <f t="shared" si="30"/>
        <v>małopolskie_wadowicki</v>
      </c>
      <c r="D962" t="s">
        <v>3225</v>
      </c>
      <c r="E962" t="str">
        <f t="shared" si="31"/>
        <v>małopolskie_wadowicki_Tomice</v>
      </c>
      <c r="F962" t="s">
        <v>937</v>
      </c>
    </row>
    <row r="963" spans="1:6" x14ac:dyDescent="0.3">
      <c r="A963" t="s">
        <v>5383</v>
      </c>
      <c r="B963" t="s">
        <v>4916</v>
      </c>
      <c r="C963" t="str">
        <f t="shared" si="30"/>
        <v>małopolskie_wadowicki</v>
      </c>
      <c r="D963" t="s">
        <v>3226</v>
      </c>
      <c r="E963" t="str">
        <f t="shared" si="31"/>
        <v>małopolskie_wadowicki_Wadowice</v>
      </c>
      <c r="F963" t="s">
        <v>938</v>
      </c>
    </row>
    <row r="964" spans="1:6" x14ac:dyDescent="0.3">
      <c r="A964" t="s">
        <v>5383</v>
      </c>
      <c r="B964" t="s">
        <v>4916</v>
      </c>
      <c r="C964" t="str">
        <f t="shared" si="30"/>
        <v>małopolskie_wadowicki</v>
      </c>
      <c r="D964" s="2" t="s">
        <v>3227</v>
      </c>
      <c r="E964" t="str">
        <f t="shared" si="31"/>
        <v>małopolskie_wadowicki_Wieprz</v>
      </c>
      <c r="F964" s="2" t="s">
        <v>939</v>
      </c>
    </row>
    <row r="965" spans="1:6" x14ac:dyDescent="0.3">
      <c r="A965" t="s">
        <v>5383</v>
      </c>
      <c r="B965" t="s">
        <v>4917</v>
      </c>
      <c r="C965" t="str">
        <f t="shared" si="30"/>
        <v>małopolskie_wielicki</v>
      </c>
      <c r="D965" t="s">
        <v>3228</v>
      </c>
      <c r="E965" t="str">
        <f t="shared" si="31"/>
        <v>małopolskie_wielicki_Biskupice</v>
      </c>
      <c r="F965" t="s">
        <v>940</v>
      </c>
    </row>
    <row r="966" spans="1:6" x14ac:dyDescent="0.3">
      <c r="A966" t="s">
        <v>5383</v>
      </c>
      <c r="B966" t="s">
        <v>4917</v>
      </c>
      <c r="C966" t="str">
        <f t="shared" si="30"/>
        <v>małopolskie_wielicki</v>
      </c>
      <c r="D966" t="s">
        <v>3229</v>
      </c>
      <c r="E966" t="str">
        <f t="shared" si="31"/>
        <v>małopolskie_wielicki_Gdów</v>
      </c>
      <c r="F966" t="s">
        <v>941</v>
      </c>
    </row>
    <row r="967" spans="1:6" x14ac:dyDescent="0.3">
      <c r="A967" t="s">
        <v>5383</v>
      </c>
      <c r="B967" t="s">
        <v>4917</v>
      </c>
      <c r="C967" t="str">
        <f t="shared" si="30"/>
        <v>małopolskie_wielicki</v>
      </c>
      <c r="D967" t="s">
        <v>3230</v>
      </c>
      <c r="E967" t="str">
        <f t="shared" si="31"/>
        <v>małopolskie_wielicki_Kłaj</v>
      </c>
      <c r="F967" t="s">
        <v>942</v>
      </c>
    </row>
    <row r="968" spans="1:6" x14ac:dyDescent="0.3">
      <c r="A968" t="s">
        <v>5383</v>
      </c>
      <c r="B968" t="s">
        <v>4917</v>
      </c>
      <c r="C968" t="str">
        <f t="shared" si="30"/>
        <v>małopolskie_wielicki</v>
      </c>
      <c r="D968" t="s">
        <v>3231</v>
      </c>
      <c r="E968" t="str">
        <f t="shared" si="31"/>
        <v>małopolskie_wielicki_Niepołomice</v>
      </c>
      <c r="F968" t="s">
        <v>943</v>
      </c>
    </row>
    <row r="969" spans="1:6" x14ac:dyDescent="0.3">
      <c r="A969" t="s">
        <v>5383</v>
      </c>
      <c r="B969" t="s">
        <v>4917</v>
      </c>
      <c r="C969" t="str">
        <f t="shared" si="30"/>
        <v>małopolskie_wielicki</v>
      </c>
      <c r="D969" t="s">
        <v>3232</v>
      </c>
      <c r="E969" t="str">
        <f t="shared" si="31"/>
        <v>małopolskie_wielicki_Wieliczka</v>
      </c>
      <c r="F969" t="s">
        <v>944</v>
      </c>
    </row>
    <row r="970" spans="1:6" x14ac:dyDescent="0.3">
      <c r="A970" t="s">
        <v>5384</v>
      </c>
      <c r="B970" t="s">
        <v>4918</v>
      </c>
      <c r="C970" t="str">
        <f t="shared" si="30"/>
        <v>mazowieckie_białobrzeski</v>
      </c>
      <c r="D970" t="s">
        <v>3235</v>
      </c>
      <c r="E970" t="str">
        <f t="shared" si="31"/>
        <v>mazowieckie_białobrzeski_Białobrzegi</v>
      </c>
      <c r="F970" t="s">
        <v>948</v>
      </c>
    </row>
    <row r="971" spans="1:6" x14ac:dyDescent="0.3">
      <c r="A971" t="s">
        <v>5384</v>
      </c>
      <c r="B971" t="s">
        <v>4918</v>
      </c>
      <c r="C971" t="str">
        <f t="shared" si="30"/>
        <v>mazowieckie_białobrzeski</v>
      </c>
      <c r="D971" t="s">
        <v>3236</v>
      </c>
      <c r="E971" t="str">
        <f t="shared" si="31"/>
        <v>mazowieckie_białobrzeski_Promna</v>
      </c>
      <c r="F971" t="s">
        <v>949</v>
      </c>
    </row>
    <row r="972" spans="1:6" x14ac:dyDescent="0.3">
      <c r="A972" t="s">
        <v>5384</v>
      </c>
      <c r="B972" t="s">
        <v>4918</v>
      </c>
      <c r="C972" t="str">
        <f t="shared" si="30"/>
        <v>mazowieckie_białobrzeski</v>
      </c>
      <c r="D972" t="s">
        <v>3237</v>
      </c>
      <c r="E972" t="str">
        <f t="shared" si="31"/>
        <v>mazowieckie_białobrzeski_Radzanów</v>
      </c>
      <c r="F972" t="s">
        <v>950</v>
      </c>
    </row>
    <row r="973" spans="1:6" x14ac:dyDescent="0.3">
      <c r="A973" t="s">
        <v>5384</v>
      </c>
      <c r="B973" t="s">
        <v>4918</v>
      </c>
      <c r="C973" t="str">
        <f t="shared" si="30"/>
        <v>mazowieckie_białobrzeski</v>
      </c>
      <c r="D973" t="s">
        <v>3238</v>
      </c>
      <c r="E973" t="str">
        <f t="shared" si="31"/>
        <v>mazowieckie_białobrzeski_Stara Błotnica</v>
      </c>
      <c r="F973" t="s">
        <v>951</v>
      </c>
    </row>
    <row r="974" spans="1:6" x14ac:dyDescent="0.3">
      <c r="A974" t="s">
        <v>5384</v>
      </c>
      <c r="B974" t="s">
        <v>4918</v>
      </c>
      <c r="C974" t="str">
        <f t="shared" si="30"/>
        <v>mazowieckie_białobrzeski</v>
      </c>
      <c r="D974" t="s">
        <v>3239</v>
      </c>
      <c r="E974" t="str">
        <f t="shared" si="31"/>
        <v>mazowieckie_białobrzeski_Stromiec</v>
      </c>
      <c r="F974" t="s">
        <v>952</v>
      </c>
    </row>
    <row r="975" spans="1:6" x14ac:dyDescent="0.3">
      <c r="A975" t="s">
        <v>5384</v>
      </c>
      <c r="B975" t="s">
        <v>4918</v>
      </c>
      <c r="C975" t="str">
        <f t="shared" si="30"/>
        <v>mazowieckie_białobrzeski</v>
      </c>
      <c r="D975" t="s">
        <v>3240</v>
      </c>
      <c r="E975" t="str">
        <f t="shared" si="31"/>
        <v>mazowieckie_białobrzeski_Wyśmierzyce</v>
      </c>
      <c r="F975" t="s">
        <v>953</v>
      </c>
    </row>
    <row r="976" spans="1:6" x14ac:dyDescent="0.3">
      <c r="A976" t="s">
        <v>5384</v>
      </c>
      <c r="B976" t="s">
        <v>4919</v>
      </c>
      <c r="C976" t="str">
        <f t="shared" si="30"/>
        <v>mazowieckie_ciechanowski</v>
      </c>
      <c r="D976" t="s">
        <v>3241</v>
      </c>
      <c r="E976" t="str">
        <f t="shared" si="31"/>
        <v>mazowieckie_ciechanowski_Glinojeck</v>
      </c>
      <c r="F976" t="s">
        <v>956</v>
      </c>
    </row>
    <row r="977" spans="1:6" x14ac:dyDescent="0.3">
      <c r="A977" t="s">
        <v>5384</v>
      </c>
      <c r="B977" t="s">
        <v>4919</v>
      </c>
      <c r="C977" t="str">
        <f t="shared" si="30"/>
        <v>mazowieckie_ciechanowski</v>
      </c>
      <c r="D977" t="s">
        <v>3242</v>
      </c>
      <c r="E977" t="str">
        <f t="shared" si="31"/>
        <v>mazowieckie_ciechanowski_Gołymin-Ośrodek</v>
      </c>
      <c r="F977" t="s">
        <v>957</v>
      </c>
    </row>
    <row r="978" spans="1:6" x14ac:dyDescent="0.3">
      <c r="A978" t="s">
        <v>5384</v>
      </c>
      <c r="B978" t="s">
        <v>4919</v>
      </c>
      <c r="C978" t="str">
        <f t="shared" si="30"/>
        <v>mazowieckie_ciechanowski</v>
      </c>
      <c r="D978" t="s">
        <v>3243</v>
      </c>
      <c r="E978" t="str">
        <f t="shared" si="31"/>
        <v>mazowieckie_ciechanowski_Grudusk</v>
      </c>
      <c r="F978" t="s">
        <v>958</v>
      </c>
    </row>
    <row r="979" spans="1:6" x14ac:dyDescent="0.3">
      <c r="A979" t="s">
        <v>5384</v>
      </c>
      <c r="B979" t="s">
        <v>4919</v>
      </c>
      <c r="C979" t="str">
        <f t="shared" si="30"/>
        <v>mazowieckie_ciechanowski</v>
      </c>
      <c r="D979" t="s">
        <v>3244</v>
      </c>
      <c r="E979" t="str">
        <f t="shared" si="31"/>
        <v>mazowieckie_ciechanowski_Ojrzeń</v>
      </c>
      <c r="F979" t="s">
        <v>959</v>
      </c>
    </row>
    <row r="980" spans="1:6" x14ac:dyDescent="0.3">
      <c r="A980" t="s">
        <v>5384</v>
      </c>
      <c r="B980" t="s">
        <v>4919</v>
      </c>
      <c r="C980" t="str">
        <f t="shared" si="30"/>
        <v>mazowieckie_ciechanowski</v>
      </c>
      <c r="D980" t="s">
        <v>3245</v>
      </c>
      <c r="E980" t="str">
        <f t="shared" si="31"/>
        <v>mazowieckie_ciechanowski_Opinogóra Górna</v>
      </c>
      <c r="F980" t="s">
        <v>960</v>
      </c>
    </row>
    <row r="981" spans="1:6" x14ac:dyDescent="0.3">
      <c r="A981" t="s">
        <v>5384</v>
      </c>
      <c r="B981" t="s">
        <v>4919</v>
      </c>
      <c r="C981" t="str">
        <f t="shared" si="30"/>
        <v>mazowieckie_ciechanowski</v>
      </c>
      <c r="D981" t="s">
        <v>3246</v>
      </c>
      <c r="E981" t="str">
        <f t="shared" si="31"/>
        <v>mazowieckie_ciechanowski_Regimin</v>
      </c>
      <c r="F981" t="s">
        <v>961</v>
      </c>
    </row>
    <row r="982" spans="1:6" x14ac:dyDescent="0.3">
      <c r="A982" t="s">
        <v>5384</v>
      </c>
      <c r="B982" t="s">
        <v>4919</v>
      </c>
      <c r="C982" t="str">
        <f t="shared" si="30"/>
        <v>mazowieckie_ciechanowski</v>
      </c>
      <c r="D982" t="s">
        <v>3247</v>
      </c>
      <c r="E982" t="str">
        <f t="shared" si="31"/>
        <v>mazowieckie_ciechanowski_Sońsk</v>
      </c>
      <c r="F982" t="s">
        <v>962</v>
      </c>
    </row>
    <row r="983" spans="1:6" x14ac:dyDescent="0.3">
      <c r="A983" t="s">
        <v>5384</v>
      </c>
      <c r="B983" t="s">
        <v>4919</v>
      </c>
      <c r="C983" t="str">
        <f t="shared" si="30"/>
        <v>mazowieckie_ciechanowski</v>
      </c>
      <c r="D983" t="s">
        <v>4632</v>
      </c>
      <c r="E983" t="str">
        <f t="shared" si="31"/>
        <v>mazowieckie_ciechanowski_Ciechanów (gm. miejska)</v>
      </c>
      <c r="F983" t="s">
        <v>954</v>
      </c>
    </row>
    <row r="984" spans="1:6" x14ac:dyDescent="0.3">
      <c r="A984" t="s">
        <v>5384</v>
      </c>
      <c r="B984" t="s">
        <v>4919</v>
      </c>
      <c r="C984" t="str">
        <f t="shared" si="30"/>
        <v>mazowieckie_ciechanowski</v>
      </c>
      <c r="D984" t="s">
        <v>4633</v>
      </c>
      <c r="E984" t="str">
        <f t="shared" si="31"/>
        <v>mazowieckie_ciechanowski_Ciechanów (gm. wiejska)</v>
      </c>
      <c r="F984" t="s">
        <v>955</v>
      </c>
    </row>
    <row r="985" spans="1:6" x14ac:dyDescent="0.3">
      <c r="A985" t="s">
        <v>5384</v>
      </c>
      <c r="B985" t="s">
        <v>4920</v>
      </c>
      <c r="C985" t="str">
        <f t="shared" si="30"/>
        <v>mazowieckie_garwoliński</v>
      </c>
      <c r="D985" t="s">
        <v>3248</v>
      </c>
      <c r="E985" t="str">
        <f t="shared" si="31"/>
        <v>mazowieckie_garwoliński_Borowie</v>
      </c>
      <c r="F985" t="s">
        <v>965</v>
      </c>
    </row>
    <row r="986" spans="1:6" x14ac:dyDescent="0.3">
      <c r="A986" t="s">
        <v>5384</v>
      </c>
      <c r="B986" t="s">
        <v>4920</v>
      </c>
      <c r="C986" t="str">
        <f t="shared" si="30"/>
        <v>mazowieckie_garwoliński</v>
      </c>
      <c r="D986" t="s">
        <v>2566</v>
      </c>
      <c r="E986" t="str">
        <f t="shared" si="31"/>
        <v>mazowieckie_garwoliński_Górzno</v>
      </c>
      <c r="F986" t="s">
        <v>967</v>
      </c>
    </row>
    <row r="987" spans="1:6" x14ac:dyDescent="0.3">
      <c r="A987" t="s">
        <v>5384</v>
      </c>
      <c r="B987" t="s">
        <v>4920</v>
      </c>
      <c r="C987" t="str">
        <f t="shared" si="30"/>
        <v>mazowieckie_garwoliński</v>
      </c>
      <c r="D987" t="s">
        <v>3249</v>
      </c>
      <c r="E987" t="str">
        <f t="shared" si="31"/>
        <v>mazowieckie_garwoliński_Maciejowice</v>
      </c>
      <c r="F987" t="s">
        <v>5505</v>
      </c>
    </row>
    <row r="988" spans="1:6" x14ac:dyDescent="0.3">
      <c r="A988" t="s">
        <v>5384</v>
      </c>
      <c r="B988" t="s">
        <v>4920</v>
      </c>
      <c r="C988" t="str">
        <f t="shared" si="30"/>
        <v>mazowieckie_garwoliński</v>
      </c>
      <c r="D988" t="s">
        <v>3250</v>
      </c>
      <c r="E988" t="str">
        <f t="shared" si="31"/>
        <v>mazowieckie_garwoliński_Miastków Kościelny</v>
      </c>
      <c r="F988" t="s">
        <v>970</v>
      </c>
    </row>
    <row r="989" spans="1:6" x14ac:dyDescent="0.3">
      <c r="A989" t="s">
        <v>5384</v>
      </c>
      <c r="B989" t="s">
        <v>4920</v>
      </c>
      <c r="C989" t="str">
        <f t="shared" si="30"/>
        <v>mazowieckie_garwoliński</v>
      </c>
      <c r="D989" t="s">
        <v>3251</v>
      </c>
      <c r="E989" t="str">
        <f t="shared" si="31"/>
        <v>mazowieckie_garwoliński_Parysów</v>
      </c>
      <c r="F989" t="s">
        <v>971</v>
      </c>
    </row>
    <row r="990" spans="1:6" x14ac:dyDescent="0.3">
      <c r="A990" t="s">
        <v>5384</v>
      </c>
      <c r="B990" t="s">
        <v>4920</v>
      </c>
      <c r="C990" t="str">
        <f t="shared" si="30"/>
        <v>mazowieckie_garwoliński</v>
      </c>
      <c r="D990" t="s">
        <v>3252</v>
      </c>
      <c r="E990" t="str">
        <f t="shared" si="31"/>
        <v>mazowieckie_garwoliński_Pilawa</v>
      </c>
      <c r="F990" t="s">
        <v>972</v>
      </c>
    </row>
    <row r="991" spans="1:6" x14ac:dyDescent="0.3">
      <c r="A991" t="s">
        <v>5384</v>
      </c>
      <c r="B991" t="s">
        <v>4920</v>
      </c>
      <c r="C991" t="str">
        <f t="shared" si="30"/>
        <v>mazowieckie_garwoliński</v>
      </c>
      <c r="D991" t="s">
        <v>3253</v>
      </c>
      <c r="E991" t="str">
        <f t="shared" si="31"/>
        <v>mazowieckie_garwoliński_Sobolew</v>
      </c>
      <c r="F991" t="s">
        <v>973</v>
      </c>
    </row>
    <row r="992" spans="1:6" x14ac:dyDescent="0.3">
      <c r="A992" t="s">
        <v>5384</v>
      </c>
      <c r="B992" t="s">
        <v>4920</v>
      </c>
      <c r="C992" t="str">
        <f t="shared" si="30"/>
        <v>mazowieckie_garwoliński</v>
      </c>
      <c r="D992" t="s">
        <v>3254</v>
      </c>
      <c r="E992" t="str">
        <f t="shared" si="31"/>
        <v>mazowieckie_garwoliński_Trojanów</v>
      </c>
      <c r="F992" t="s">
        <v>974</v>
      </c>
    </row>
    <row r="993" spans="1:6" x14ac:dyDescent="0.3">
      <c r="A993" t="s">
        <v>5384</v>
      </c>
      <c r="B993" t="s">
        <v>4920</v>
      </c>
      <c r="C993" t="str">
        <f t="shared" si="30"/>
        <v>mazowieckie_garwoliński</v>
      </c>
      <c r="D993" t="s">
        <v>3255</v>
      </c>
      <c r="E993" t="str">
        <f t="shared" si="31"/>
        <v>mazowieckie_garwoliński_Wilga</v>
      </c>
      <c r="F993" t="s">
        <v>975</v>
      </c>
    </row>
    <row r="994" spans="1:6" x14ac:dyDescent="0.3">
      <c r="A994" t="s">
        <v>5384</v>
      </c>
      <c r="B994" t="s">
        <v>4920</v>
      </c>
      <c r="C994" t="str">
        <f t="shared" si="30"/>
        <v>mazowieckie_garwoliński</v>
      </c>
      <c r="D994" t="s">
        <v>3256</v>
      </c>
      <c r="E994" t="str">
        <f t="shared" si="31"/>
        <v>mazowieckie_garwoliński_Żelechów</v>
      </c>
      <c r="F994" t="s">
        <v>976</v>
      </c>
    </row>
    <row r="995" spans="1:6" x14ac:dyDescent="0.3">
      <c r="A995" t="s">
        <v>5384</v>
      </c>
      <c r="B995" t="s">
        <v>4920</v>
      </c>
      <c r="C995" t="str">
        <f t="shared" si="30"/>
        <v>mazowieckie_garwoliński</v>
      </c>
      <c r="D995" t="s">
        <v>4634</v>
      </c>
      <c r="E995" t="str">
        <f t="shared" si="31"/>
        <v>mazowieckie_garwoliński_Garwolin (gm. miejska)</v>
      </c>
      <c r="F995" t="s">
        <v>963</v>
      </c>
    </row>
    <row r="996" spans="1:6" x14ac:dyDescent="0.3">
      <c r="A996" t="s">
        <v>5384</v>
      </c>
      <c r="B996" t="s">
        <v>4920</v>
      </c>
      <c r="C996" t="str">
        <f t="shared" si="30"/>
        <v>mazowieckie_garwoliński</v>
      </c>
      <c r="D996" t="s">
        <v>4635</v>
      </c>
      <c r="E996" t="str">
        <f t="shared" si="31"/>
        <v>mazowieckie_garwoliński_Łaskarzew (gm. miejska)</v>
      </c>
      <c r="F996" t="s">
        <v>964</v>
      </c>
    </row>
    <row r="997" spans="1:6" x14ac:dyDescent="0.3">
      <c r="A997" t="s">
        <v>5384</v>
      </c>
      <c r="B997" t="s">
        <v>4920</v>
      </c>
      <c r="C997" t="str">
        <f t="shared" si="30"/>
        <v>mazowieckie_garwoliński</v>
      </c>
      <c r="D997" t="s">
        <v>4636</v>
      </c>
      <c r="E997" t="str">
        <f t="shared" si="31"/>
        <v>mazowieckie_garwoliński_Garwolin (gm. wiejska)</v>
      </c>
      <c r="F997" t="s">
        <v>966</v>
      </c>
    </row>
    <row r="998" spans="1:6" x14ac:dyDescent="0.3">
      <c r="A998" t="s">
        <v>5384</v>
      </c>
      <c r="B998" t="s">
        <v>4920</v>
      </c>
      <c r="C998" t="str">
        <f t="shared" si="30"/>
        <v>mazowieckie_garwoliński</v>
      </c>
      <c r="D998" t="s">
        <v>4637</v>
      </c>
      <c r="E998" t="str">
        <f t="shared" si="31"/>
        <v>mazowieckie_garwoliński_Łaskarzew (gm. wiejska)</v>
      </c>
      <c r="F998" t="s">
        <v>968</v>
      </c>
    </row>
    <row r="999" spans="1:6" x14ac:dyDescent="0.3">
      <c r="A999" t="s">
        <v>5384</v>
      </c>
      <c r="B999" t="s">
        <v>4921</v>
      </c>
      <c r="C999" t="str">
        <f t="shared" si="30"/>
        <v>mazowieckie_gostyniński</v>
      </c>
      <c r="D999" t="s">
        <v>3257</v>
      </c>
      <c r="E999" t="str">
        <f t="shared" si="31"/>
        <v>mazowieckie_gostyniński_Pacyna</v>
      </c>
      <c r="F999" t="s">
        <v>979</v>
      </c>
    </row>
    <row r="1000" spans="1:6" x14ac:dyDescent="0.3">
      <c r="A1000" t="s">
        <v>5384</v>
      </c>
      <c r="B1000" t="s">
        <v>4921</v>
      </c>
      <c r="C1000" t="str">
        <f t="shared" si="30"/>
        <v>mazowieckie_gostyniński</v>
      </c>
      <c r="D1000" t="s">
        <v>3258</v>
      </c>
      <c r="E1000" t="str">
        <f t="shared" si="31"/>
        <v>mazowieckie_gostyniński_Sanniki</v>
      </c>
      <c r="F1000" t="s">
        <v>5433</v>
      </c>
    </row>
    <row r="1001" spans="1:6" x14ac:dyDescent="0.3">
      <c r="A1001" t="s">
        <v>5384</v>
      </c>
      <c r="B1001" t="s">
        <v>4921</v>
      </c>
      <c r="C1001" t="str">
        <f t="shared" si="30"/>
        <v>mazowieckie_gostyniński</v>
      </c>
      <c r="D1001" t="s">
        <v>3259</v>
      </c>
      <c r="E1001" t="str">
        <f t="shared" si="31"/>
        <v>mazowieckie_gostyniński_Szczawin Kościelny</v>
      </c>
      <c r="F1001" t="s">
        <v>980</v>
      </c>
    </row>
    <row r="1002" spans="1:6" x14ac:dyDescent="0.3">
      <c r="A1002" t="s">
        <v>5384</v>
      </c>
      <c r="B1002" t="s">
        <v>4921</v>
      </c>
      <c r="C1002" t="str">
        <f t="shared" si="30"/>
        <v>mazowieckie_gostyniński</v>
      </c>
      <c r="D1002" t="s">
        <v>4638</v>
      </c>
      <c r="E1002" t="str">
        <f t="shared" si="31"/>
        <v>mazowieckie_gostyniński_Gostynin (gm. miejska)</v>
      </c>
      <c r="F1002" t="s">
        <v>977</v>
      </c>
    </row>
    <row r="1003" spans="1:6" x14ac:dyDescent="0.3">
      <c r="A1003" t="s">
        <v>5384</v>
      </c>
      <c r="B1003" t="s">
        <v>4921</v>
      </c>
      <c r="C1003" t="str">
        <f t="shared" si="30"/>
        <v>mazowieckie_gostyniński</v>
      </c>
      <c r="D1003" t="s">
        <v>4639</v>
      </c>
      <c r="E1003" t="str">
        <f t="shared" si="31"/>
        <v>mazowieckie_gostyniński_Gostynin (gm. wiejska)</v>
      </c>
      <c r="F1003" t="s">
        <v>978</v>
      </c>
    </row>
    <row r="1004" spans="1:6" x14ac:dyDescent="0.3">
      <c r="A1004" t="s">
        <v>5384</v>
      </c>
      <c r="B1004" t="s">
        <v>4922</v>
      </c>
      <c r="C1004" t="str">
        <f t="shared" si="30"/>
        <v>mazowieckie_grodziski</v>
      </c>
      <c r="D1004" t="s">
        <v>2800</v>
      </c>
      <c r="E1004" t="str">
        <f t="shared" si="31"/>
        <v>mazowieckie_grodziski_Baranów</v>
      </c>
      <c r="F1004" t="s">
        <v>983</v>
      </c>
    </row>
    <row r="1005" spans="1:6" x14ac:dyDescent="0.3">
      <c r="A1005" t="s">
        <v>5384</v>
      </c>
      <c r="B1005" t="s">
        <v>4922</v>
      </c>
      <c r="C1005" t="str">
        <f t="shared" si="30"/>
        <v>mazowieckie_grodziski</v>
      </c>
      <c r="D1005" t="s">
        <v>3262</v>
      </c>
      <c r="E1005" t="str">
        <f t="shared" si="31"/>
        <v>mazowieckie_grodziski_Grodzisk Mazowiecki</v>
      </c>
      <c r="F1005" t="s">
        <v>984</v>
      </c>
    </row>
    <row r="1006" spans="1:6" x14ac:dyDescent="0.3">
      <c r="A1006" t="s">
        <v>5384</v>
      </c>
      <c r="B1006" t="s">
        <v>4922</v>
      </c>
      <c r="C1006" t="str">
        <f t="shared" si="30"/>
        <v>mazowieckie_grodziski</v>
      </c>
      <c r="D1006" t="s">
        <v>3263</v>
      </c>
      <c r="E1006" t="str">
        <f t="shared" si="31"/>
        <v>mazowieckie_grodziski_Jaktorów</v>
      </c>
      <c r="F1006" t="s">
        <v>985</v>
      </c>
    </row>
    <row r="1007" spans="1:6" x14ac:dyDescent="0.3">
      <c r="A1007" t="s">
        <v>5384</v>
      </c>
      <c r="B1007" t="s">
        <v>4922</v>
      </c>
      <c r="C1007" t="str">
        <f t="shared" si="30"/>
        <v>mazowieckie_grodziski</v>
      </c>
      <c r="D1007" t="s">
        <v>3260</v>
      </c>
      <c r="E1007" t="str">
        <f t="shared" si="31"/>
        <v>mazowieckie_grodziski_Milanówek</v>
      </c>
      <c r="F1007" t="s">
        <v>981</v>
      </c>
    </row>
    <row r="1008" spans="1:6" x14ac:dyDescent="0.3">
      <c r="A1008" t="s">
        <v>5384</v>
      </c>
      <c r="B1008" t="s">
        <v>4922</v>
      </c>
      <c r="C1008" t="str">
        <f t="shared" si="30"/>
        <v>mazowieckie_grodziski</v>
      </c>
      <c r="D1008" t="s">
        <v>3261</v>
      </c>
      <c r="E1008" t="str">
        <f t="shared" si="31"/>
        <v>mazowieckie_grodziski_Podkowa Leśna</v>
      </c>
      <c r="F1008" t="s">
        <v>982</v>
      </c>
    </row>
    <row r="1009" spans="1:6" x14ac:dyDescent="0.3">
      <c r="A1009" t="s">
        <v>5384</v>
      </c>
      <c r="B1009" t="s">
        <v>4922</v>
      </c>
      <c r="C1009" t="str">
        <f t="shared" si="30"/>
        <v>mazowieckie_grodziski</v>
      </c>
      <c r="D1009" t="s">
        <v>3264</v>
      </c>
      <c r="E1009" t="str">
        <f t="shared" si="31"/>
        <v>mazowieckie_grodziski_Żabia Wola</v>
      </c>
      <c r="F1009" t="s">
        <v>986</v>
      </c>
    </row>
    <row r="1010" spans="1:6" x14ac:dyDescent="0.3">
      <c r="A1010" t="s">
        <v>5384</v>
      </c>
      <c r="B1010" t="s">
        <v>4923</v>
      </c>
      <c r="C1010" t="str">
        <f t="shared" si="30"/>
        <v>mazowieckie_grójecki</v>
      </c>
      <c r="D1010" t="s">
        <v>3265</v>
      </c>
      <c r="E1010" t="str">
        <f t="shared" si="31"/>
        <v>mazowieckie_grójecki_Belsk Duży</v>
      </c>
      <c r="F1010" t="s">
        <v>987</v>
      </c>
    </row>
    <row r="1011" spans="1:6" x14ac:dyDescent="0.3">
      <c r="A1011" t="s">
        <v>5384</v>
      </c>
      <c r="B1011" t="s">
        <v>4923</v>
      </c>
      <c r="C1011" t="str">
        <f t="shared" si="30"/>
        <v>mazowieckie_grójecki</v>
      </c>
      <c r="D1011" t="s">
        <v>3266</v>
      </c>
      <c r="E1011" t="str">
        <f t="shared" si="31"/>
        <v>mazowieckie_grójecki_Błędów</v>
      </c>
      <c r="F1011" t="s">
        <v>988</v>
      </c>
    </row>
    <row r="1012" spans="1:6" x14ac:dyDescent="0.3">
      <c r="A1012" t="s">
        <v>5384</v>
      </c>
      <c r="B1012" t="s">
        <v>4923</v>
      </c>
      <c r="C1012" t="str">
        <f t="shared" si="30"/>
        <v>mazowieckie_grójecki</v>
      </c>
      <c r="D1012" t="s">
        <v>3267</v>
      </c>
      <c r="E1012" t="str">
        <f t="shared" si="31"/>
        <v>mazowieckie_grójecki_Chynów</v>
      </c>
      <c r="F1012" t="s">
        <v>989</v>
      </c>
    </row>
    <row r="1013" spans="1:6" x14ac:dyDescent="0.3">
      <c r="A1013" t="s">
        <v>5384</v>
      </c>
      <c r="B1013" t="s">
        <v>4923</v>
      </c>
      <c r="C1013" t="str">
        <f t="shared" si="30"/>
        <v>mazowieckie_grójecki</v>
      </c>
      <c r="D1013" t="s">
        <v>3268</v>
      </c>
      <c r="E1013" t="str">
        <f t="shared" si="31"/>
        <v>mazowieckie_grójecki_Goszczyn</v>
      </c>
      <c r="F1013" t="s">
        <v>990</v>
      </c>
    </row>
    <row r="1014" spans="1:6" x14ac:dyDescent="0.3">
      <c r="A1014" t="s">
        <v>5384</v>
      </c>
      <c r="B1014" t="s">
        <v>4923</v>
      </c>
      <c r="C1014" t="str">
        <f t="shared" si="30"/>
        <v>mazowieckie_grójecki</v>
      </c>
      <c r="D1014" t="s">
        <v>3269</v>
      </c>
      <c r="E1014" t="str">
        <f t="shared" si="31"/>
        <v>mazowieckie_grójecki_Grójec</v>
      </c>
      <c r="F1014" t="s">
        <v>991</v>
      </c>
    </row>
    <row r="1015" spans="1:6" x14ac:dyDescent="0.3">
      <c r="A1015" t="s">
        <v>5384</v>
      </c>
      <c r="B1015" t="s">
        <v>4923</v>
      </c>
      <c r="C1015" t="str">
        <f t="shared" si="30"/>
        <v>mazowieckie_grójecki</v>
      </c>
      <c r="D1015" t="s">
        <v>3270</v>
      </c>
      <c r="E1015" t="str">
        <f t="shared" si="31"/>
        <v>mazowieckie_grójecki_Jasieniec</v>
      </c>
      <c r="F1015" t="s">
        <v>992</v>
      </c>
    </row>
    <row r="1016" spans="1:6" x14ac:dyDescent="0.3">
      <c r="A1016" t="s">
        <v>5384</v>
      </c>
      <c r="B1016" t="s">
        <v>4923</v>
      </c>
      <c r="C1016" t="str">
        <f t="shared" si="30"/>
        <v>mazowieckie_grójecki</v>
      </c>
      <c r="D1016" t="s">
        <v>3271</v>
      </c>
      <c r="E1016" t="str">
        <f t="shared" si="31"/>
        <v>mazowieckie_grójecki_Mogielnica</v>
      </c>
      <c r="F1016" t="s">
        <v>993</v>
      </c>
    </row>
    <row r="1017" spans="1:6" x14ac:dyDescent="0.3">
      <c r="A1017" t="s">
        <v>5384</v>
      </c>
      <c r="B1017" t="s">
        <v>4923</v>
      </c>
      <c r="C1017" t="str">
        <f t="shared" si="30"/>
        <v>mazowieckie_grójecki</v>
      </c>
      <c r="D1017" t="s">
        <v>3272</v>
      </c>
      <c r="E1017" t="str">
        <f t="shared" si="31"/>
        <v>mazowieckie_grójecki_Nowe Miasto nad Pilicą</v>
      </c>
      <c r="F1017" t="s">
        <v>994</v>
      </c>
    </row>
    <row r="1018" spans="1:6" x14ac:dyDescent="0.3">
      <c r="A1018" t="s">
        <v>5384</v>
      </c>
      <c r="B1018" t="s">
        <v>4923</v>
      </c>
      <c r="C1018" t="str">
        <f t="shared" si="30"/>
        <v>mazowieckie_grójecki</v>
      </c>
      <c r="D1018" t="s">
        <v>3273</v>
      </c>
      <c r="E1018" t="str">
        <f t="shared" si="31"/>
        <v>mazowieckie_grójecki_Pniewy</v>
      </c>
      <c r="F1018" t="s">
        <v>995</v>
      </c>
    </row>
    <row r="1019" spans="1:6" x14ac:dyDescent="0.3">
      <c r="A1019" t="s">
        <v>5384</v>
      </c>
      <c r="B1019" t="s">
        <v>4923</v>
      </c>
      <c r="C1019" t="str">
        <f t="shared" si="30"/>
        <v>mazowieckie_grójecki</v>
      </c>
      <c r="D1019" t="s">
        <v>3274</v>
      </c>
      <c r="E1019" t="str">
        <f t="shared" si="31"/>
        <v>mazowieckie_grójecki_Warka</v>
      </c>
      <c r="F1019" t="s">
        <v>996</v>
      </c>
    </row>
    <row r="1020" spans="1:6" x14ac:dyDescent="0.3">
      <c r="A1020" t="s">
        <v>5384</v>
      </c>
      <c r="B1020" t="s">
        <v>4924</v>
      </c>
      <c r="C1020" t="str">
        <f t="shared" si="30"/>
        <v>mazowieckie_kozienicki</v>
      </c>
      <c r="D1020" t="s">
        <v>3275</v>
      </c>
      <c r="E1020" t="str">
        <f t="shared" si="31"/>
        <v>mazowieckie_kozienicki_Garbatka-Letnisko</v>
      </c>
      <c r="F1020" t="s">
        <v>997</v>
      </c>
    </row>
    <row r="1021" spans="1:6" x14ac:dyDescent="0.3">
      <c r="A1021" t="s">
        <v>5384</v>
      </c>
      <c r="B1021" t="s">
        <v>4924</v>
      </c>
      <c r="C1021" t="str">
        <f t="shared" si="30"/>
        <v>mazowieckie_kozienicki</v>
      </c>
      <c r="D1021" t="s">
        <v>3276</v>
      </c>
      <c r="E1021" t="str">
        <f t="shared" si="31"/>
        <v>mazowieckie_kozienicki_Głowaczów</v>
      </c>
      <c r="F1021" t="s">
        <v>5506</v>
      </c>
    </row>
    <row r="1022" spans="1:6" x14ac:dyDescent="0.3">
      <c r="A1022" t="s">
        <v>5384</v>
      </c>
      <c r="B1022" t="s">
        <v>4924</v>
      </c>
      <c r="C1022" t="str">
        <f t="shared" si="30"/>
        <v>mazowieckie_kozienicki</v>
      </c>
      <c r="D1022" t="s">
        <v>3277</v>
      </c>
      <c r="E1022" t="str">
        <f t="shared" si="31"/>
        <v>mazowieckie_kozienicki_Gniewoszów</v>
      </c>
      <c r="F1022" t="s">
        <v>999</v>
      </c>
    </row>
    <row r="1023" spans="1:6" x14ac:dyDescent="0.3">
      <c r="A1023" t="s">
        <v>5384</v>
      </c>
      <c r="B1023" t="s">
        <v>4924</v>
      </c>
      <c r="C1023" t="str">
        <f t="shared" si="30"/>
        <v>mazowieckie_kozienicki</v>
      </c>
      <c r="D1023" t="s">
        <v>3278</v>
      </c>
      <c r="E1023" t="str">
        <f t="shared" si="31"/>
        <v>mazowieckie_kozienicki_Grabów nad Pilicą</v>
      </c>
      <c r="F1023" t="s">
        <v>1000</v>
      </c>
    </row>
    <row r="1024" spans="1:6" x14ac:dyDescent="0.3">
      <c r="A1024" t="s">
        <v>5384</v>
      </c>
      <c r="B1024" t="s">
        <v>4924</v>
      </c>
      <c r="C1024" t="str">
        <f t="shared" si="30"/>
        <v>mazowieckie_kozienicki</v>
      </c>
      <c r="D1024" t="s">
        <v>3279</v>
      </c>
      <c r="E1024" t="str">
        <f t="shared" si="31"/>
        <v>mazowieckie_kozienicki_Kozienice</v>
      </c>
      <c r="F1024" t="s">
        <v>1001</v>
      </c>
    </row>
    <row r="1025" spans="1:6" x14ac:dyDescent="0.3">
      <c r="A1025" t="s">
        <v>5384</v>
      </c>
      <c r="B1025" t="s">
        <v>4924</v>
      </c>
      <c r="C1025" t="str">
        <f t="shared" ref="C1025:C1088" si="32">CONCATENATE(A1025,"_",B1025)</f>
        <v>mazowieckie_kozienicki</v>
      </c>
      <c r="D1025" t="s">
        <v>3280</v>
      </c>
      <c r="E1025" t="str">
        <f t="shared" ref="E1025:E1088" si="33">C1025&amp;"_"&amp;D1025</f>
        <v>mazowieckie_kozienicki_Magnuszew</v>
      </c>
      <c r="F1025" t="s">
        <v>5507</v>
      </c>
    </row>
    <row r="1026" spans="1:6" x14ac:dyDescent="0.3">
      <c r="A1026" t="s">
        <v>5384</v>
      </c>
      <c r="B1026" t="s">
        <v>4924</v>
      </c>
      <c r="C1026" t="str">
        <f t="shared" si="32"/>
        <v>mazowieckie_kozienicki</v>
      </c>
      <c r="D1026" t="s">
        <v>3281</v>
      </c>
      <c r="E1026" t="str">
        <f t="shared" si="33"/>
        <v>mazowieckie_kozienicki_Sieciechów</v>
      </c>
      <c r="F1026" t="s">
        <v>1003</v>
      </c>
    </row>
    <row r="1027" spans="1:6" x14ac:dyDescent="0.3">
      <c r="A1027" t="s">
        <v>5384</v>
      </c>
      <c r="B1027" t="s">
        <v>4925</v>
      </c>
      <c r="C1027" t="str">
        <f t="shared" si="32"/>
        <v>mazowieckie_legionowski</v>
      </c>
      <c r="D1027" t="s">
        <v>2762</v>
      </c>
      <c r="E1027" t="str">
        <f t="shared" si="33"/>
        <v>mazowieckie_legionowski_Jabłonna</v>
      </c>
      <c r="F1027" t="s">
        <v>1005</v>
      </c>
    </row>
    <row r="1028" spans="1:6" x14ac:dyDescent="0.3">
      <c r="A1028" t="s">
        <v>5384</v>
      </c>
      <c r="B1028" t="s">
        <v>4925</v>
      </c>
      <c r="C1028" t="str">
        <f t="shared" si="32"/>
        <v>mazowieckie_legionowski</v>
      </c>
      <c r="D1028" t="s">
        <v>3282</v>
      </c>
      <c r="E1028" t="str">
        <f t="shared" si="33"/>
        <v>mazowieckie_legionowski_Legionowo</v>
      </c>
      <c r="F1028" t="s">
        <v>1004</v>
      </c>
    </row>
    <row r="1029" spans="1:6" x14ac:dyDescent="0.3">
      <c r="A1029" t="s">
        <v>5384</v>
      </c>
      <c r="B1029" t="s">
        <v>4925</v>
      </c>
      <c r="C1029" t="str">
        <f t="shared" si="32"/>
        <v>mazowieckie_legionowski</v>
      </c>
      <c r="D1029" t="s">
        <v>3283</v>
      </c>
      <c r="E1029" t="str">
        <f t="shared" si="33"/>
        <v>mazowieckie_legionowski_Nieporęt</v>
      </c>
      <c r="F1029" t="s">
        <v>1006</v>
      </c>
    </row>
    <row r="1030" spans="1:6" x14ac:dyDescent="0.3">
      <c r="A1030" t="s">
        <v>5384</v>
      </c>
      <c r="B1030" t="s">
        <v>4925</v>
      </c>
      <c r="C1030" t="str">
        <f t="shared" si="32"/>
        <v>mazowieckie_legionowski</v>
      </c>
      <c r="D1030" t="s">
        <v>3284</v>
      </c>
      <c r="E1030" t="str">
        <f t="shared" si="33"/>
        <v>mazowieckie_legionowski_Serock</v>
      </c>
      <c r="F1030" t="s">
        <v>1007</v>
      </c>
    </row>
    <row r="1031" spans="1:6" x14ac:dyDescent="0.3">
      <c r="A1031" t="s">
        <v>5384</v>
      </c>
      <c r="B1031" t="s">
        <v>4925</v>
      </c>
      <c r="C1031" t="str">
        <f t="shared" si="32"/>
        <v>mazowieckie_legionowski</v>
      </c>
      <c r="D1031" t="s">
        <v>3285</v>
      </c>
      <c r="E1031" t="str">
        <f t="shared" si="33"/>
        <v>mazowieckie_legionowski_Wieliszew</v>
      </c>
      <c r="F1031" t="s">
        <v>1008</v>
      </c>
    </row>
    <row r="1032" spans="1:6" x14ac:dyDescent="0.3">
      <c r="A1032" t="s">
        <v>5384</v>
      </c>
      <c r="B1032" t="s">
        <v>4926</v>
      </c>
      <c r="C1032" t="str">
        <f t="shared" si="32"/>
        <v>mazowieckie_lipski</v>
      </c>
      <c r="D1032" t="s">
        <v>3286</v>
      </c>
      <c r="E1032" t="str">
        <f t="shared" si="33"/>
        <v>mazowieckie_lipski_Chotcza</v>
      </c>
      <c r="F1032" t="s">
        <v>1009</v>
      </c>
    </row>
    <row r="1033" spans="1:6" x14ac:dyDescent="0.3">
      <c r="A1033" t="s">
        <v>5384</v>
      </c>
      <c r="B1033" t="s">
        <v>4926</v>
      </c>
      <c r="C1033" t="str">
        <f t="shared" si="32"/>
        <v>mazowieckie_lipski</v>
      </c>
      <c r="D1033" t="s">
        <v>3287</v>
      </c>
      <c r="E1033" t="str">
        <f t="shared" si="33"/>
        <v>mazowieckie_lipski_Ciepielów</v>
      </c>
      <c r="F1033" t="s">
        <v>5508</v>
      </c>
    </row>
    <row r="1034" spans="1:6" x14ac:dyDescent="0.3">
      <c r="A1034" t="s">
        <v>5384</v>
      </c>
      <c r="B1034" t="s">
        <v>4926</v>
      </c>
      <c r="C1034" t="str">
        <f t="shared" si="32"/>
        <v>mazowieckie_lipski</v>
      </c>
      <c r="D1034" t="s">
        <v>3288</v>
      </c>
      <c r="E1034" t="str">
        <f t="shared" si="33"/>
        <v>mazowieckie_lipski_Lipsko</v>
      </c>
      <c r="F1034" t="s">
        <v>1011</v>
      </c>
    </row>
    <row r="1035" spans="1:6" x14ac:dyDescent="0.3">
      <c r="A1035" t="s">
        <v>5384</v>
      </c>
      <c r="B1035" t="s">
        <v>4926</v>
      </c>
      <c r="C1035" t="str">
        <f t="shared" si="32"/>
        <v>mazowieckie_lipski</v>
      </c>
      <c r="D1035" t="s">
        <v>3289</v>
      </c>
      <c r="E1035" t="str">
        <f t="shared" si="33"/>
        <v>mazowieckie_lipski_Rzeczniów</v>
      </c>
      <c r="F1035" t="s">
        <v>1012</v>
      </c>
    </row>
    <row r="1036" spans="1:6" x14ac:dyDescent="0.3">
      <c r="A1036" t="s">
        <v>5384</v>
      </c>
      <c r="B1036" t="s">
        <v>4926</v>
      </c>
      <c r="C1036" t="str">
        <f t="shared" si="32"/>
        <v>mazowieckie_lipski</v>
      </c>
      <c r="D1036" t="s">
        <v>3290</v>
      </c>
      <c r="E1036" t="str">
        <f t="shared" si="33"/>
        <v>mazowieckie_lipski_Sienno</v>
      </c>
      <c r="F1036" t="s">
        <v>5509</v>
      </c>
    </row>
    <row r="1037" spans="1:6" x14ac:dyDescent="0.3">
      <c r="A1037" t="s">
        <v>5384</v>
      </c>
      <c r="B1037" t="s">
        <v>4926</v>
      </c>
      <c r="C1037" t="str">
        <f t="shared" si="32"/>
        <v>mazowieckie_lipski</v>
      </c>
      <c r="D1037" t="s">
        <v>3291</v>
      </c>
      <c r="E1037" t="str">
        <f t="shared" si="33"/>
        <v>mazowieckie_lipski_Solec nad Wisłą</v>
      </c>
      <c r="F1037" t="s">
        <v>5438</v>
      </c>
    </row>
    <row r="1038" spans="1:6" x14ac:dyDescent="0.3">
      <c r="A1038" t="s">
        <v>5384</v>
      </c>
      <c r="B1038" t="s">
        <v>4927</v>
      </c>
      <c r="C1038" t="str">
        <f t="shared" si="32"/>
        <v>mazowieckie_łosicki</v>
      </c>
      <c r="D1038" t="s">
        <v>3292</v>
      </c>
      <c r="E1038" t="str">
        <f t="shared" si="33"/>
        <v>mazowieckie_łosicki_Huszlew</v>
      </c>
      <c r="F1038" t="s">
        <v>1014</v>
      </c>
    </row>
    <row r="1039" spans="1:6" x14ac:dyDescent="0.3">
      <c r="A1039" t="s">
        <v>5384</v>
      </c>
      <c r="B1039" t="s">
        <v>4927</v>
      </c>
      <c r="C1039" t="str">
        <f t="shared" si="32"/>
        <v>mazowieckie_łosicki</v>
      </c>
      <c r="D1039" t="s">
        <v>3293</v>
      </c>
      <c r="E1039" t="str">
        <f t="shared" si="33"/>
        <v>mazowieckie_łosicki_Łosice</v>
      </c>
      <c r="F1039" t="s">
        <v>1015</v>
      </c>
    </row>
    <row r="1040" spans="1:6" x14ac:dyDescent="0.3">
      <c r="A1040" t="s">
        <v>5384</v>
      </c>
      <c r="B1040" t="s">
        <v>4927</v>
      </c>
      <c r="C1040" t="str">
        <f t="shared" si="32"/>
        <v>mazowieckie_łosicki</v>
      </c>
      <c r="D1040" t="s">
        <v>3294</v>
      </c>
      <c r="E1040" t="str">
        <f t="shared" si="33"/>
        <v>mazowieckie_łosicki_Olszanka</v>
      </c>
      <c r="F1040" t="s">
        <v>1016</v>
      </c>
    </row>
    <row r="1041" spans="1:6" x14ac:dyDescent="0.3">
      <c r="A1041" t="s">
        <v>5384</v>
      </c>
      <c r="B1041" t="s">
        <v>4927</v>
      </c>
      <c r="C1041" t="str">
        <f t="shared" si="32"/>
        <v>mazowieckie_łosicki</v>
      </c>
      <c r="D1041" t="s">
        <v>3295</v>
      </c>
      <c r="E1041" t="str">
        <f t="shared" si="33"/>
        <v>mazowieckie_łosicki_Platerów</v>
      </c>
      <c r="F1041" t="s">
        <v>1017</v>
      </c>
    </row>
    <row r="1042" spans="1:6" x14ac:dyDescent="0.3">
      <c r="A1042" t="s">
        <v>5384</v>
      </c>
      <c r="B1042" t="s">
        <v>4927</v>
      </c>
      <c r="C1042" t="str">
        <f t="shared" si="32"/>
        <v>mazowieckie_łosicki</v>
      </c>
      <c r="D1042" t="s">
        <v>3296</v>
      </c>
      <c r="E1042" t="str">
        <f t="shared" si="33"/>
        <v>mazowieckie_łosicki_Sarnaki</v>
      </c>
      <c r="F1042" t="s">
        <v>1018</v>
      </c>
    </row>
    <row r="1043" spans="1:6" x14ac:dyDescent="0.3">
      <c r="A1043" t="s">
        <v>5384</v>
      </c>
      <c r="B1043" t="s">
        <v>4927</v>
      </c>
      <c r="C1043" t="str">
        <f t="shared" si="32"/>
        <v>mazowieckie_łosicki</v>
      </c>
      <c r="D1043" t="s">
        <v>3297</v>
      </c>
      <c r="E1043" t="str">
        <f t="shared" si="33"/>
        <v>mazowieckie_łosicki_Stara Kornica</v>
      </c>
      <c r="F1043" t="s">
        <v>1019</v>
      </c>
    </row>
    <row r="1044" spans="1:6" x14ac:dyDescent="0.3">
      <c r="A1044" t="s">
        <v>5384</v>
      </c>
      <c r="B1044" t="s">
        <v>4928</v>
      </c>
      <c r="C1044" t="str">
        <f t="shared" si="32"/>
        <v>mazowieckie_makowski</v>
      </c>
      <c r="D1044" t="s">
        <v>3299</v>
      </c>
      <c r="E1044" t="str">
        <f t="shared" si="33"/>
        <v>mazowieckie_makowski_Czerwonka</v>
      </c>
      <c r="F1044" t="s">
        <v>1021</v>
      </c>
    </row>
    <row r="1045" spans="1:6" x14ac:dyDescent="0.3">
      <c r="A1045" t="s">
        <v>5384</v>
      </c>
      <c r="B1045" t="s">
        <v>4928</v>
      </c>
      <c r="C1045" t="str">
        <f t="shared" si="32"/>
        <v>mazowieckie_makowski</v>
      </c>
      <c r="D1045" t="s">
        <v>3300</v>
      </c>
      <c r="E1045" t="str">
        <f t="shared" si="33"/>
        <v>mazowieckie_makowski_Karniewo</v>
      </c>
      <c r="F1045" t="s">
        <v>1022</v>
      </c>
    </row>
    <row r="1046" spans="1:6" x14ac:dyDescent="0.3">
      <c r="A1046" t="s">
        <v>5384</v>
      </c>
      <c r="B1046" t="s">
        <v>4928</v>
      </c>
      <c r="C1046" t="str">
        <f t="shared" si="32"/>
        <v>mazowieckie_makowski</v>
      </c>
      <c r="D1046" t="s">
        <v>3301</v>
      </c>
      <c r="E1046" t="str">
        <f t="shared" si="33"/>
        <v>mazowieckie_makowski_Krasnosielc</v>
      </c>
      <c r="F1046" t="s">
        <v>1023</v>
      </c>
    </row>
    <row r="1047" spans="1:6" x14ac:dyDescent="0.3">
      <c r="A1047" t="s">
        <v>5384</v>
      </c>
      <c r="B1047" t="s">
        <v>4928</v>
      </c>
      <c r="C1047" t="str">
        <f t="shared" si="32"/>
        <v>mazowieckie_makowski</v>
      </c>
      <c r="D1047" t="s">
        <v>3298</v>
      </c>
      <c r="E1047" t="str">
        <f t="shared" si="33"/>
        <v>mazowieckie_makowski_Maków Mazowiecki</v>
      </c>
      <c r="F1047" t="s">
        <v>1020</v>
      </c>
    </row>
    <row r="1048" spans="1:6" x14ac:dyDescent="0.3">
      <c r="A1048" t="s">
        <v>5384</v>
      </c>
      <c r="B1048" t="s">
        <v>4928</v>
      </c>
      <c r="C1048" t="str">
        <f t="shared" si="32"/>
        <v>mazowieckie_makowski</v>
      </c>
      <c r="D1048" t="s">
        <v>3302</v>
      </c>
      <c r="E1048" t="str">
        <f t="shared" si="33"/>
        <v>mazowieckie_makowski_Młynarze</v>
      </c>
      <c r="F1048" t="s">
        <v>1024</v>
      </c>
    </row>
    <row r="1049" spans="1:6" x14ac:dyDescent="0.3">
      <c r="A1049" t="s">
        <v>5384</v>
      </c>
      <c r="B1049" t="s">
        <v>4928</v>
      </c>
      <c r="C1049" t="str">
        <f t="shared" si="32"/>
        <v>mazowieckie_makowski</v>
      </c>
      <c r="D1049" t="s">
        <v>3303</v>
      </c>
      <c r="E1049" t="str">
        <f t="shared" si="33"/>
        <v>mazowieckie_makowski_Płoniawy-Bramura</v>
      </c>
      <c r="F1049" t="s">
        <v>1025</v>
      </c>
    </row>
    <row r="1050" spans="1:6" x14ac:dyDescent="0.3">
      <c r="A1050" t="s">
        <v>5384</v>
      </c>
      <c r="B1050" t="s">
        <v>4928</v>
      </c>
      <c r="C1050" t="str">
        <f t="shared" si="32"/>
        <v>mazowieckie_makowski</v>
      </c>
      <c r="D1050" t="s">
        <v>3304</v>
      </c>
      <c r="E1050" t="str">
        <f t="shared" si="33"/>
        <v>mazowieckie_makowski_Różan</v>
      </c>
      <c r="F1050" t="s">
        <v>1026</v>
      </c>
    </row>
    <row r="1051" spans="1:6" x14ac:dyDescent="0.3">
      <c r="A1051" t="s">
        <v>5384</v>
      </c>
      <c r="B1051" t="s">
        <v>4928</v>
      </c>
      <c r="C1051" t="str">
        <f t="shared" si="32"/>
        <v>mazowieckie_makowski</v>
      </c>
      <c r="D1051" t="s">
        <v>3305</v>
      </c>
      <c r="E1051" t="str">
        <f t="shared" si="33"/>
        <v>mazowieckie_makowski_Rzewnie</v>
      </c>
      <c r="F1051" t="s">
        <v>1027</v>
      </c>
    </row>
    <row r="1052" spans="1:6" x14ac:dyDescent="0.3">
      <c r="A1052" t="s">
        <v>5384</v>
      </c>
      <c r="B1052" t="s">
        <v>4928</v>
      </c>
      <c r="C1052" t="str">
        <f t="shared" si="32"/>
        <v>mazowieckie_makowski</v>
      </c>
      <c r="D1052" t="s">
        <v>3306</v>
      </c>
      <c r="E1052" t="str">
        <f t="shared" si="33"/>
        <v>mazowieckie_makowski_Sypniewo</v>
      </c>
      <c r="F1052" t="s">
        <v>1028</v>
      </c>
    </row>
    <row r="1053" spans="1:6" x14ac:dyDescent="0.3">
      <c r="A1053" t="s">
        <v>5384</v>
      </c>
      <c r="B1053" t="s">
        <v>4928</v>
      </c>
      <c r="C1053" t="str">
        <f t="shared" si="32"/>
        <v>mazowieckie_makowski</v>
      </c>
      <c r="D1053" t="s">
        <v>3307</v>
      </c>
      <c r="E1053" t="str">
        <f t="shared" si="33"/>
        <v>mazowieckie_makowski_Szelków</v>
      </c>
      <c r="F1053" t="s">
        <v>1029</v>
      </c>
    </row>
    <row r="1054" spans="1:6" x14ac:dyDescent="0.3">
      <c r="A1054" t="s">
        <v>5384</v>
      </c>
      <c r="B1054" t="s">
        <v>4929</v>
      </c>
      <c r="C1054" t="str">
        <f t="shared" si="32"/>
        <v>mazowieckie_miński</v>
      </c>
      <c r="D1054" t="s">
        <v>3308</v>
      </c>
      <c r="E1054" t="str">
        <f t="shared" si="33"/>
        <v>mazowieckie_miński_Cegłów</v>
      </c>
      <c r="F1054" t="s">
        <v>5466</v>
      </c>
    </row>
    <row r="1055" spans="1:6" x14ac:dyDescent="0.3">
      <c r="A1055" t="s">
        <v>5384</v>
      </c>
      <c r="B1055" t="s">
        <v>4929</v>
      </c>
      <c r="C1055" t="str">
        <f t="shared" si="32"/>
        <v>mazowieckie_miński</v>
      </c>
      <c r="D1055" t="s">
        <v>3309</v>
      </c>
      <c r="E1055" t="str">
        <f t="shared" si="33"/>
        <v>mazowieckie_miński_Dębe Wielkie</v>
      </c>
      <c r="F1055" t="s">
        <v>1032</v>
      </c>
    </row>
    <row r="1056" spans="1:6" x14ac:dyDescent="0.3">
      <c r="A1056" t="s">
        <v>5384</v>
      </c>
      <c r="B1056" t="s">
        <v>4929</v>
      </c>
      <c r="C1056" t="str">
        <f t="shared" si="32"/>
        <v>mazowieckie_miński</v>
      </c>
      <c r="D1056" t="s">
        <v>2620</v>
      </c>
      <c r="E1056" t="str">
        <f t="shared" si="33"/>
        <v>mazowieckie_miński_Dobre</v>
      </c>
      <c r="F1056" t="s">
        <v>5541</v>
      </c>
    </row>
    <row r="1057" spans="1:6" x14ac:dyDescent="0.3">
      <c r="A1057" t="s">
        <v>5384</v>
      </c>
      <c r="B1057" t="s">
        <v>4929</v>
      </c>
      <c r="C1057" t="str">
        <f t="shared" si="32"/>
        <v>mazowieckie_miński</v>
      </c>
      <c r="D1057" t="s">
        <v>3310</v>
      </c>
      <c r="E1057" t="str">
        <f t="shared" si="33"/>
        <v>mazowieckie_miński_Halinów</v>
      </c>
      <c r="F1057" t="s">
        <v>1034</v>
      </c>
    </row>
    <row r="1058" spans="1:6" x14ac:dyDescent="0.3">
      <c r="A1058" t="s">
        <v>5384</v>
      </c>
      <c r="B1058" t="s">
        <v>4929</v>
      </c>
      <c r="C1058" t="str">
        <f t="shared" si="32"/>
        <v>mazowieckie_miński</v>
      </c>
      <c r="D1058" t="s">
        <v>3311</v>
      </c>
      <c r="E1058" t="str">
        <f t="shared" si="33"/>
        <v>mazowieckie_miński_Jakubów</v>
      </c>
      <c r="F1058" t="s">
        <v>1035</v>
      </c>
    </row>
    <row r="1059" spans="1:6" x14ac:dyDescent="0.3">
      <c r="A1059" t="s">
        <v>5384</v>
      </c>
      <c r="B1059" t="s">
        <v>4929</v>
      </c>
      <c r="C1059" t="str">
        <f t="shared" si="32"/>
        <v>mazowieckie_miński</v>
      </c>
      <c r="D1059" t="s">
        <v>3312</v>
      </c>
      <c r="E1059" t="str">
        <f t="shared" si="33"/>
        <v>mazowieckie_miński_Kałuszyn</v>
      </c>
      <c r="F1059" t="s">
        <v>1036</v>
      </c>
    </row>
    <row r="1060" spans="1:6" x14ac:dyDescent="0.3">
      <c r="A1060" t="s">
        <v>5384</v>
      </c>
      <c r="B1060" t="s">
        <v>4929</v>
      </c>
      <c r="C1060" t="str">
        <f t="shared" si="32"/>
        <v>mazowieckie_miński</v>
      </c>
      <c r="D1060" t="s">
        <v>3313</v>
      </c>
      <c r="E1060" t="str">
        <f t="shared" si="33"/>
        <v>mazowieckie_miński_Latowicz</v>
      </c>
      <c r="F1060" t="s">
        <v>5510</v>
      </c>
    </row>
    <row r="1061" spans="1:6" x14ac:dyDescent="0.3">
      <c r="A1061" t="s">
        <v>5384</v>
      </c>
      <c r="B1061" t="s">
        <v>4929</v>
      </c>
      <c r="C1061" t="str">
        <f t="shared" si="32"/>
        <v>mazowieckie_miński</v>
      </c>
      <c r="D1061" t="s">
        <v>3314</v>
      </c>
      <c r="E1061" t="str">
        <f t="shared" si="33"/>
        <v>mazowieckie_miński_Mrozy</v>
      </c>
      <c r="F1061" t="s">
        <v>5167</v>
      </c>
    </row>
    <row r="1062" spans="1:6" x14ac:dyDescent="0.3">
      <c r="A1062" t="s">
        <v>5384</v>
      </c>
      <c r="B1062" t="s">
        <v>4929</v>
      </c>
      <c r="C1062" t="str">
        <f t="shared" si="32"/>
        <v>mazowieckie_miński</v>
      </c>
      <c r="D1062" t="s">
        <v>3315</v>
      </c>
      <c r="E1062" t="str">
        <f t="shared" si="33"/>
        <v>mazowieckie_miński_Siennica</v>
      </c>
      <c r="F1062" t="s">
        <v>5511</v>
      </c>
    </row>
    <row r="1063" spans="1:6" x14ac:dyDescent="0.3">
      <c r="A1063" t="s">
        <v>5384</v>
      </c>
      <c r="B1063" t="s">
        <v>4929</v>
      </c>
      <c r="C1063" t="str">
        <f t="shared" si="32"/>
        <v>mazowieckie_miński</v>
      </c>
      <c r="D1063" t="s">
        <v>3316</v>
      </c>
      <c r="E1063" t="str">
        <f t="shared" si="33"/>
        <v>mazowieckie_miński_Stanisławów</v>
      </c>
      <c r="F1063" t="s">
        <v>1040</v>
      </c>
    </row>
    <row r="1064" spans="1:6" x14ac:dyDescent="0.3">
      <c r="A1064" t="s">
        <v>5384</v>
      </c>
      <c r="B1064" t="s">
        <v>4929</v>
      </c>
      <c r="C1064" t="str">
        <f t="shared" si="32"/>
        <v>mazowieckie_miński</v>
      </c>
      <c r="D1064" t="s">
        <v>3317</v>
      </c>
      <c r="E1064" t="str">
        <f t="shared" si="33"/>
        <v>mazowieckie_miński_Sulejówek</v>
      </c>
      <c r="F1064" t="s">
        <v>1041</v>
      </c>
    </row>
    <row r="1065" spans="1:6" x14ac:dyDescent="0.3">
      <c r="A1065" t="s">
        <v>5384</v>
      </c>
      <c r="B1065" t="s">
        <v>4929</v>
      </c>
      <c r="C1065" t="str">
        <f t="shared" si="32"/>
        <v>mazowieckie_miński</v>
      </c>
      <c r="D1065" t="s">
        <v>4640</v>
      </c>
      <c r="E1065" t="str">
        <f t="shared" si="33"/>
        <v>mazowieckie_miński_Mińsk Mazowiecki (gm. miejska)</v>
      </c>
      <c r="F1065" t="s">
        <v>1030</v>
      </c>
    </row>
    <row r="1066" spans="1:6" x14ac:dyDescent="0.3">
      <c r="A1066" t="s">
        <v>5384</v>
      </c>
      <c r="B1066" t="s">
        <v>4929</v>
      </c>
      <c r="C1066" t="str">
        <f t="shared" si="32"/>
        <v>mazowieckie_miński</v>
      </c>
      <c r="D1066" t="s">
        <v>4641</v>
      </c>
      <c r="E1066" t="str">
        <f t="shared" si="33"/>
        <v>mazowieckie_miński_Mińsk Mazowiecki (gm. wiejska)</v>
      </c>
      <c r="F1066" t="s">
        <v>1038</v>
      </c>
    </row>
    <row r="1067" spans="1:6" x14ac:dyDescent="0.3">
      <c r="A1067" t="s">
        <v>5384</v>
      </c>
      <c r="B1067" t="s">
        <v>4930</v>
      </c>
      <c r="C1067" t="str">
        <f t="shared" si="32"/>
        <v>mazowieckie_mławski</v>
      </c>
      <c r="D1067" t="s">
        <v>3319</v>
      </c>
      <c r="E1067" t="str">
        <f t="shared" si="33"/>
        <v>mazowieckie_mławski_Dzierzgowo</v>
      </c>
      <c r="F1067" t="s">
        <v>1043</v>
      </c>
    </row>
    <row r="1068" spans="1:6" x14ac:dyDescent="0.3">
      <c r="A1068" t="s">
        <v>5384</v>
      </c>
      <c r="B1068" t="s">
        <v>4930</v>
      </c>
      <c r="C1068" t="str">
        <f t="shared" si="32"/>
        <v>mazowieckie_mławski</v>
      </c>
      <c r="D1068" t="s">
        <v>3320</v>
      </c>
      <c r="E1068" t="str">
        <f t="shared" si="33"/>
        <v>mazowieckie_mławski_Lipowiec Kościelny</v>
      </c>
      <c r="F1068" t="s">
        <v>1044</v>
      </c>
    </row>
    <row r="1069" spans="1:6" x14ac:dyDescent="0.3">
      <c r="A1069" t="s">
        <v>5384</v>
      </c>
      <c r="B1069" t="s">
        <v>4930</v>
      </c>
      <c r="C1069" t="str">
        <f t="shared" si="32"/>
        <v>mazowieckie_mławski</v>
      </c>
      <c r="D1069" t="s">
        <v>3318</v>
      </c>
      <c r="E1069" t="str">
        <f t="shared" si="33"/>
        <v>mazowieckie_mławski_Mława</v>
      </c>
      <c r="F1069" t="s">
        <v>1042</v>
      </c>
    </row>
    <row r="1070" spans="1:6" x14ac:dyDescent="0.3">
      <c r="A1070" t="s">
        <v>5384</v>
      </c>
      <c r="B1070" t="s">
        <v>4930</v>
      </c>
      <c r="C1070" t="str">
        <f t="shared" si="32"/>
        <v>mazowieckie_mławski</v>
      </c>
      <c r="D1070" t="s">
        <v>3237</v>
      </c>
      <c r="E1070" t="str">
        <f t="shared" si="33"/>
        <v>mazowieckie_mławski_Radzanów</v>
      </c>
      <c r="F1070" t="s">
        <v>1045</v>
      </c>
    </row>
    <row r="1071" spans="1:6" x14ac:dyDescent="0.3">
      <c r="A1071" t="s">
        <v>5384</v>
      </c>
      <c r="B1071" t="s">
        <v>4930</v>
      </c>
      <c r="C1071" t="str">
        <f t="shared" si="32"/>
        <v>mazowieckie_mławski</v>
      </c>
      <c r="D1071" t="s">
        <v>3321</v>
      </c>
      <c r="E1071" t="str">
        <f t="shared" si="33"/>
        <v>mazowieckie_mławski_Strzegowo</v>
      </c>
      <c r="F1071" t="s">
        <v>1046</v>
      </c>
    </row>
    <row r="1072" spans="1:6" x14ac:dyDescent="0.3">
      <c r="A1072" t="s">
        <v>5384</v>
      </c>
      <c r="B1072" t="s">
        <v>4930</v>
      </c>
      <c r="C1072" t="str">
        <f t="shared" si="32"/>
        <v>mazowieckie_mławski</v>
      </c>
      <c r="D1072" t="s">
        <v>3322</v>
      </c>
      <c r="E1072" t="str">
        <f t="shared" si="33"/>
        <v>mazowieckie_mławski_Stupsk</v>
      </c>
      <c r="F1072" t="s">
        <v>1047</v>
      </c>
    </row>
    <row r="1073" spans="1:6" x14ac:dyDescent="0.3">
      <c r="A1073" t="s">
        <v>5384</v>
      </c>
      <c r="B1073" t="s">
        <v>4930</v>
      </c>
      <c r="C1073" t="str">
        <f t="shared" si="32"/>
        <v>mazowieckie_mławski</v>
      </c>
      <c r="D1073" t="s">
        <v>3323</v>
      </c>
      <c r="E1073" t="str">
        <f t="shared" si="33"/>
        <v>mazowieckie_mławski_Szreńsk</v>
      </c>
      <c r="F1073" t="s">
        <v>1048</v>
      </c>
    </row>
    <row r="1074" spans="1:6" x14ac:dyDescent="0.3">
      <c r="A1074" t="s">
        <v>5384</v>
      </c>
      <c r="B1074" t="s">
        <v>4930</v>
      </c>
      <c r="C1074" t="str">
        <f t="shared" si="32"/>
        <v>mazowieckie_mławski</v>
      </c>
      <c r="D1074" t="s">
        <v>3324</v>
      </c>
      <c r="E1074" t="str">
        <f t="shared" si="33"/>
        <v>mazowieckie_mławski_Szydłowo</v>
      </c>
      <c r="F1074" t="s">
        <v>1049</v>
      </c>
    </row>
    <row r="1075" spans="1:6" x14ac:dyDescent="0.3">
      <c r="A1075" t="s">
        <v>5384</v>
      </c>
      <c r="B1075" t="s">
        <v>4930</v>
      </c>
      <c r="C1075" t="str">
        <f t="shared" si="32"/>
        <v>mazowieckie_mławski</v>
      </c>
      <c r="D1075" t="s">
        <v>3325</v>
      </c>
      <c r="E1075" t="str">
        <f t="shared" si="33"/>
        <v>mazowieckie_mławski_Wieczfnia Kościelna</v>
      </c>
      <c r="F1075" t="s">
        <v>1050</v>
      </c>
    </row>
    <row r="1076" spans="1:6" x14ac:dyDescent="0.3">
      <c r="A1076" t="s">
        <v>5384</v>
      </c>
      <c r="B1076" t="s">
        <v>4930</v>
      </c>
      <c r="C1076" t="str">
        <f t="shared" si="32"/>
        <v>mazowieckie_mławski</v>
      </c>
      <c r="D1076" t="s">
        <v>3326</v>
      </c>
      <c r="E1076" t="str">
        <f t="shared" si="33"/>
        <v>mazowieckie_mławski_Wiśniewo</v>
      </c>
      <c r="F1076" t="s">
        <v>1051</v>
      </c>
    </row>
    <row r="1077" spans="1:6" x14ac:dyDescent="0.3">
      <c r="A1077" t="s">
        <v>5384</v>
      </c>
      <c r="B1077" t="s">
        <v>4931</v>
      </c>
      <c r="C1077" t="str">
        <f t="shared" si="32"/>
        <v>mazowieckie_nowodworski</v>
      </c>
      <c r="D1077" t="s">
        <v>3328</v>
      </c>
      <c r="E1077" t="str">
        <f t="shared" si="33"/>
        <v>mazowieckie_nowodworski_Czosnów</v>
      </c>
      <c r="F1077" t="s">
        <v>1053</v>
      </c>
    </row>
    <row r="1078" spans="1:6" x14ac:dyDescent="0.3">
      <c r="A1078" t="s">
        <v>5384</v>
      </c>
      <c r="B1078" t="s">
        <v>4931</v>
      </c>
      <c r="C1078" t="str">
        <f t="shared" si="32"/>
        <v>mazowieckie_nowodworski</v>
      </c>
      <c r="D1078" t="s">
        <v>3329</v>
      </c>
      <c r="E1078" t="str">
        <f t="shared" si="33"/>
        <v>mazowieckie_nowodworski_Leoncin</v>
      </c>
      <c r="F1078" t="s">
        <v>1054</v>
      </c>
    </row>
    <row r="1079" spans="1:6" x14ac:dyDescent="0.3">
      <c r="A1079" t="s">
        <v>5384</v>
      </c>
      <c r="B1079" t="s">
        <v>4931</v>
      </c>
      <c r="C1079" t="str">
        <f t="shared" si="32"/>
        <v>mazowieckie_nowodworski</v>
      </c>
      <c r="D1079" t="s">
        <v>3330</v>
      </c>
      <c r="E1079" t="str">
        <f t="shared" si="33"/>
        <v>mazowieckie_nowodworski_Nasielsk</v>
      </c>
      <c r="F1079" t="s">
        <v>1055</v>
      </c>
    </row>
    <row r="1080" spans="1:6" x14ac:dyDescent="0.3">
      <c r="A1080" t="s">
        <v>5384</v>
      </c>
      <c r="B1080" t="s">
        <v>4931</v>
      </c>
      <c r="C1080" t="str">
        <f t="shared" si="32"/>
        <v>mazowieckie_nowodworski</v>
      </c>
      <c r="D1080" t="s">
        <v>3327</v>
      </c>
      <c r="E1080" t="str">
        <f t="shared" si="33"/>
        <v>mazowieckie_nowodworski_Nowy Dwór Mazowiecki</v>
      </c>
      <c r="F1080" t="s">
        <v>1052</v>
      </c>
    </row>
    <row r="1081" spans="1:6" x14ac:dyDescent="0.3">
      <c r="A1081" t="s">
        <v>5384</v>
      </c>
      <c r="B1081" t="s">
        <v>4931</v>
      </c>
      <c r="C1081" t="str">
        <f t="shared" si="32"/>
        <v>mazowieckie_nowodworski</v>
      </c>
      <c r="D1081" t="s">
        <v>3331</v>
      </c>
      <c r="E1081" t="str">
        <f t="shared" si="33"/>
        <v>mazowieckie_nowodworski_Pomiechówek</v>
      </c>
      <c r="F1081" t="s">
        <v>1056</v>
      </c>
    </row>
    <row r="1082" spans="1:6" x14ac:dyDescent="0.3">
      <c r="A1082" t="s">
        <v>5384</v>
      </c>
      <c r="B1082" t="s">
        <v>4931</v>
      </c>
      <c r="C1082" t="str">
        <f t="shared" si="32"/>
        <v>mazowieckie_nowodworski</v>
      </c>
      <c r="D1082" t="s">
        <v>3332</v>
      </c>
      <c r="E1082" t="str">
        <f t="shared" si="33"/>
        <v>mazowieckie_nowodworski_Zakroczym</v>
      </c>
      <c r="F1082" t="s">
        <v>1057</v>
      </c>
    </row>
    <row r="1083" spans="1:6" x14ac:dyDescent="0.3">
      <c r="A1083" t="s">
        <v>5384</v>
      </c>
      <c r="B1083" t="s">
        <v>4932</v>
      </c>
      <c r="C1083" t="str">
        <f t="shared" si="32"/>
        <v>mazowieckie_ostrołęcki</v>
      </c>
      <c r="D1083" t="s">
        <v>3333</v>
      </c>
      <c r="E1083" t="str">
        <f t="shared" si="33"/>
        <v>mazowieckie_ostrołęcki_Baranowo</v>
      </c>
      <c r="F1083" t="s">
        <v>1058</v>
      </c>
    </row>
    <row r="1084" spans="1:6" x14ac:dyDescent="0.3">
      <c r="A1084" t="s">
        <v>5384</v>
      </c>
      <c r="B1084" t="s">
        <v>4932</v>
      </c>
      <c r="C1084" t="str">
        <f t="shared" si="32"/>
        <v>mazowieckie_ostrołęcki</v>
      </c>
      <c r="D1084" t="s">
        <v>3334</v>
      </c>
      <c r="E1084" t="str">
        <f t="shared" si="33"/>
        <v>mazowieckie_ostrołęcki_Czarnia</v>
      </c>
      <c r="F1084" t="s">
        <v>1059</v>
      </c>
    </row>
    <row r="1085" spans="1:6" x14ac:dyDescent="0.3">
      <c r="A1085" t="s">
        <v>5384</v>
      </c>
      <c r="B1085" t="s">
        <v>4932</v>
      </c>
      <c r="C1085" t="str">
        <f t="shared" si="32"/>
        <v>mazowieckie_ostrołęcki</v>
      </c>
      <c r="D1085" t="s">
        <v>3335</v>
      </c>
      <c r="E1085" t="str">
        <f t="shared" si="33"/>
        <v>mazowieckie_ostrołęcki_Czerwin</v>
      </c>
      <c r="F1085" t="s">
        <v>1060</v>
      </c>
    </row>
    <row r="1086" spans="1:6" x14ac:dyDescent="0.3">
      <c r="A1086" t="s">
        <v>5384</v>
      </c>
      <c r="B1086" t="s">
        <v>4932</v>
      </c>
      <c r="C1086" t="str">
        <f t="shared" si="32"/>
        <v>mazowieckie_ostrołęcki</v>
      </c>
      <c r="D1086" t="s">
        <v>3336</v>
      </c>
      <c r="E1086" t="str">
        <f t="shared" si="33"/>
        <v>mazowieckie_ostrołęcki_Goworowo</v>
      </c>
      <c r="F1086" t="s">
        <v>1061</v>
      </c>
    </row>
    <row r="1087" spans="1:6" x14ac:dyDescent="0.3">
      <c r="A1087" t="s">
        <v>5384</v>
      </c>
      <c r="B1087" t="s">
        <v>4932</v>
      </c>
      <c r="C1087" t="str">
        <f t="shared" si="32"/>
        <v>mazowieckie_ostrołęcki</v>
      </c>
      <c r="D1087" t="s">
        <v>3337</v>
      </c>
      <c r="E1087" t="str">
        <f t="shared" si="33"/>
        <v>mazowieckie_ostrołęcki_Kadzidło</v>
      </c>
      <c r="F1087" t="s">
        <v>1062</v>
      </c>
    </row>
    <row r="1088" spans="1:6" x14ac:dyDescent="0.3">
      <c r="A1088" t="s">
        <v>5384</v>
      </c>
      <c r="B1088" t="s">
        <v>4932</v>
      </c>
      <c r="C1088" t="str">
        <f t="shared" si="32"/>
        <v>mazowieckie_ostrołęcki</v>
      </c>
      <c r="D1088" t="s">
        <v>3338</v>
      </c>
      <c r="E1088" t="str">
        <f t="shared" si="33"/>
        <v>mazowieckie_ostrołęcki_Lelis</v>
      </c>
      <c r="F1088" t="s">
        <v>1063</v>
      </c>
    </row>
    <row r="1089" spans="1:6" x14ac:dyDescent="0.3">
      <c r="A1089" t="s">
        <v>5384</v>
      </c>
      <c r="B1089" t="s">
        <v>4932</v>
      </c>
      <c r="C1089" t="str">
        <f t="shared" ref="C1089:C1152" si="34">CONCATENATE(A1089,"_",B1089)</f>
        <v>mazowieckie_ostrołęcki</v>
      </c>
      <c r="D1089" t="s">
        <v>3339</v>
      </c>
      <c r="E1089" t="str">
        <f t="shared" ref="E1089:E1152" si="35">C1089&amp;"_"&amp;D1089</f>
        <v>mazowieckie_ostrołęcki_Łyse</v>
      </c>
      <c r="F1089" t="s">
        <v>1064</v>
      </c>
    </row>
    <row r="1090" spans="1:6" x14ac:dyDescent="0.3">
      <c r="A1090" t="s">
        <v>5384</v>
      </c>
      <c r="B1090" t="s">
        <v>4932</v>
      </c>
      <c r="C1090" t="str">
        <f t="shared" si="34"/>
        <v>mazowieckie_ostrołęcki</v>
      </c>
      <c r="D1090" t="s">
        <v>3340</v>
      </c>
      <c r="E1090" t="str">
        <f t="shared" si="35"/>
        <v>mazowieckie_ostrołęcki_Myszyniec</v>
      </c>
      <c r="F1090" t="s">
        <v>1065</v>
      </c>
    </row>
    <row r="1091" spans="1:6" x14ac:dyDescent="0.3">
      <c r="A1091" t="s">
        <v>5384</v>
      </c>
      <c r="B1091" t="s">
        <v>4932</v>
      </c>
      <c r="C1091" t="str">
        <f t="shared" si="34"/>
        <v>mazowieckie_ostrołęcki</v>
      </c>
      <c r="D1091" t="s">
        <v>3341</v>
      </c>
      <c r="E1091" t="str">
        <f t="shared" si="35"/>
        <v>mazowieckie_ostrołęcki_Olszewo-Borki</v>
      </c>
      <c r="F1091" t="s">
        <v>1066</v>
      </c>
    </row>
    <row r="1092" spans="1:6" x14ac:dyDescent="0.3">
      <c r="A1092" t="s">
        <v>5384</v>
      </c>
      <c r="B1092" t="s">
        <v>4932</v>
      </c>
      <c r="C1092" t="str">
        <f t="shared" si="34"/>
        <v>mazowieckie_ostrołęcki</v>
      </c>
      <c r="D1092" t="s">
        <v>3342</v>
      </c>
      <c r="E1092" t="str">
        <f t="shared" si="35"/>
        <v>mazowieckie_ostrołęcki_Rzekuń</v>
      </c>
      <c r="F1092" t="s">
        <v>1067</v>
      </c>
    </row>
    <row r="1093" spans="1:6" x14ac:dyDescent="0.3">
      <c r="A1093" t="s">
        <v>5384</v>
      </c>
      <c r="B1093" t="s">
        <v>4932</v>
      </c>
      <c r="C1093" t="str">
        <f t="shared" si="34"/>
        <v>mazowieckie_ostrołęcki</v>
      </c>
      <c r="D1093" t="s">
        <v>3343</v>
      </c>
      <c r="E1093" t="str">
        <f t="shared" si="35"/>
        <v>mazowieckie_ostrołęcki_Troszyn</v>
      </c>
      <c r="F1093" t="s">
        <v>1068</v>
      </c>
    </row>
    <row r="1094" spans="1:6" x14ac:dyDescent="0.3">
      <c r="A1094" t="s">
        <v>5384</v>
      </c>
      <c r="B1094" t="s">
        <v>3507</v>
      </c>
      <c r="C1094" t="str">
        <f t="shared" si="34"/>
        <v>mazowieckie_Ostrołęka</v>
      </c>
      <c r="D1094" t="s">
        <v>3507</v>
      </c>
      <c r="E1094" t="str">
        <f t="shared" si="35"/>
        <v>mazowieckie_Ostrołęka_Ostrołęka</v>
      </c>
      <c r="F1094" t="s">
        <v>1250</v>
      </c>
    </row>
    <row r="1095" spans="1:6" x14ac:dyDescent="0.3">
      <c r="A1095" t="s">
        <v>5384</v>
      </c>
      <c r="B1095" t="s">
        <v>4787</v>
      </c>
      <c r="C1095" t="str">
        <f t="shared" si="34"/>
        <v>mazowieckie_ostrowski</v>
      </c>
      <c r="D1095" t="s">
        <v>3344</v>
      </c>
      <c r="E1095" t="str">
        <f t="shared" si="35"/>
        <v>mazowieckie_ostrowski_Andrzejewo</v>
      </c>
      <c r="F1095" t="s">
        <v>1070</v>
      </c>
    </row>
    <row r="1096" spans="1:6" x14ac:dyDescent="0.3">
      <c r="A1096" t="s">
        <v>5384</v>
      </c>
      <c r="B1096" t="s">
        <v>4787</v>
      </c>
      <c r="C1096" t="str">
        <f t="shared" si="34"/>
        <v>mazowieckie_ostrowski</v>
      </c>
      <c r="D1096" t="s">
        <v>3345</v>
      </c>
      <c r="E1096" t="str">
        <f t="shared" si="35"/>
        <v>mazowieckie_ostrowski_Boguty-Pianki</v>
      </c>
      <c r="F1096" t="s">
        <v>1071</v>
      </c>
    </row>
    <row r="1097" spans="1:6" x14ac:dyDescent="0.3">
      <c r="A1097" t="s">
        <v>5384</v>
      </c>
      <c r="B1097" t="s">
        <v>4787</v>
      </c>
      <c r="C1097" t="str">
        <f t="shared" si="34"/>
        <v>mazowieckie_ostrowski</v>
      </c>
      <c r="D1097" t="s">
        <v>3346</v>
      </c>
      <c r="E1097" t="str">
        <f t="shared" si="35"/>
        <v>mazowieckie_ostrowski_Brok</v>
      </c>
      <c r="F1097" t="s">
        <v>1072</v>
      </c>
    </row>
    <row r="1098" spans="1:6" x14ac:dyDescent="0.3">
      <c r="A1098" t="s">
        <v>5384</v>
      </c>
      <c r="B1098" t="s">
        <v>4787</v>
      </c>
      <c r="C1098" t="str">
        <f t="shared" si="34"/>
        <v>mazowieckie_ostrowski</v>
      </c>
      <c r="D1098" t="s">
        <v>3347</v>
      </c>
      <c r="E1098" t="str">
        <f t="shared" si="35"/>
        <v>mazowieckie_ostrowski_Małkinia Górna</v>
      </c>
      <c r="F1098" t="s">
        <v>1073</v>
      </c>
    </row>
    <row r="1099" spans="1:6" x14ac:dyDescent="0.3">
      <c r="A1099" t="s">
        <v>5384</v>
      </c>
      <c r="B1099" t="s">
        <v>4787</v>
      </c>
      <c r="C1099" t="str">
        <f t="shared" si="34"/>
        <v>mazowieckie_ostrowski</v>
      </c>
      <c r="D1099" t="s">
        <v>3348</v>
      </c>
      <c r="E1099" t="str">
        <f t="shared" si="35"/>
        <v>mazowieckie_ostrowski_Nur</v>
      </c>
      <c r="F1099" t="s">
        <v>1074</v>
      </c>
    </row>
    <row r="1100" spans="1:6" x14ac:dyDescent="0.3">
      <c r="A1100" t="s">
        <v>5384</v>
      </c>
      <c r="B1100" t="s">
        <v>4787</v>
      </c>
      <c r="C1100" t="str">
        <f t="shared" si="34"/>
        <v>mazowieckie_ostrowski</v>
      </c>
      <c r="D1100" t="s">
        <v>3349</v>
      </c>
      <c r="E1100" t="str">
        <f t="shared" si="35"/>
        <v>mazowieckie_ostrowski_Stary Lubotyń</v>
      </c>
      <c r="F1100" t="s">
        <v>1076</v>
      </c>
    </row>
    <row r="1101" spans="1:6" x14ac:dyDescent="0.3">
      <c r="A1101" t="s">
        <v>5384</v>
      </c>
      <c r="B1101" t="s">
        <v>4787</v>
      </c>
      <c r="C1101" t="str">
        <f t="shared" si="34"/>
        <v>mazowieckie_ostrowski</v>
      </c>
      <c r="D1101" t="s">
        <v>3350</v>
      </c>
      <c r="E1101" t="str">
        <f t="shared" si="35"/>
        <v>mazowieckie_ostrowski_Szulborze Wielkie</v>
      </c>
      <c r="F1101" t="s">
        <v>1077</v>
      </c>
    </row>
    <row r="1102" spans="1:6" x14ac:dyDescent="0.3">
      <c r="A1102" t="s">
        <v>5384</v>
      </c>
      <c r="B1102" t="s">
        <v>4787</v>
      </c>
      <c r="C1102" t="str">
        <f t="shared" si="34"/>
        <v>mazowieckie_ostrowski</v>
      </c>
      <c r="D1102" t="s">
        <v>3351</v>
      </c>
      <c r="E1102" t="str">
        <f t="shared" si="35"/>
        <v>mazowieckie_ostrowski_Wąsewo</v>
      </c>
      <c r="F1102" t="s">
        <v>1078</v>
      </c>
    </row>
    <row r="1103" spans="1:6" x14ac:dyDescent="0.3">
      <c r="A1103" t="s">
        <v>5384</v>
      </c>
      <c r="B1103" t="s">
        <v>4787</v>
      </c>
      <c r="C1103" t="str">
        <f t="shared" si="34"/>
        <v>mazowieckie_ostrowski</v>
      </c>
      <c r="D1103" t="s">
        <v>3352</v>
      </c>
      <c r="E1103" t="str">
        <f t="shared" si="35"/>
        <v>mazowieckie_ostrowski_Zaręby Kościelne</v>
      </c>
      <c r="F1103" s="48" t="s">
        <v>1079</v>
      </c>
    </row>
    <row r="1104" spans="1:6" x14ac:dyDescent="0.3">
      <c r="A1104" t="s">
        <v>5384</v>
      </c>
      <c r="B1104" t="s">
        <v>4787</v>
      </c>
      <c r="C1104" t="str">
        <f t="shared" si="34"/>
        <v>mazowieckie_ostrowski</v>
      </c>
      <c r="D1104" t="s">
        <v>4642</v>
      </c>
      <c r="E1104" t="str">
        <f t="shared" si="35"/>
        <v>mazowieckie_ostrowski_Ostrów Mazowiecka (gm. miejska)</v>
      </c>
      <c r="F1104" t="s">
        <v>1069</v>
      </c>
    </row>
    <row r="1105" spans="1:6" x14ac:dyDescent="0.3">
      <c r="A1105" t="s">
        <v>5384</v>
      </c>
      <c r="B1105" t="s">
        <v>4787</v>
      </c>
      <c r="C1105" t="str">
        <f t="shared" si="34"/>
        <v>mazowieckie_ostrowski</v>
      </c>
      <c r="D1105" t="s">
        <v>4643</v>
      </c>
      <c r="E1105" t="str">
        <f t="shared" si="35"/>
        <v>mazowieckie_ostrowski_Ostrów Mazowiecka (gm. wiejska)</v>
      </c>
      <c r="F1105" t="s">
        <v>1075</v>
      </c>
    </row>
    <row r="1106" spans="1:6" x14ac:dyDescent="0.3">
      <c r="A1106" t="s">
        <v>5384</v>
      </c>
      <c r="B1106" t="s">
        <v>4933</v>
      </c>
      <c r="C1106" t="str">
        <f t="shared" si="34"/>
        <v>mazowieckie_otwocki</v>
      </c>
      <c r="D1106" t="s">
        <v>3354</v>
      </c>
      <c r="E1106" t="str">
        <f t="shared" si="35"/>
        <v>mazowieckie_otwocki_Celestynów</v>
      </c>
      <c r="F1106" t="s">
        <v>1082</v>
      </c>
    </row>
    <row r="1107" spans="1:6" x14ac:dyDescent="0.3">
      <c r="A1107" t="s">
        <v>5384</v>
      </c>
      <c r="B1107" t="s">
        <v>4933</v>
      </c>
      <c r="C1107" t="str">
        <f t="shared" si="34"/>
        <v>mazowieckie_otwocki</v>
      </c>
      <c r="D1107" t="s">
        <v>2696</v>
      </c>
      <c r="E1107" t="str">
        <f t="shared" si="35"/>
        <v>mazowieckie_otwocki_Józefów</v>
      </c>
      <c r="F1107" t="s">
        <v>1080</v>
      </c>
    </row>
    <row r="1108" spans="1:6" x14ac:dyDescent="0.3">
      <c r="A1108" t="s">
        <v>5384</v>
      </c>
      <c r="B1108" t="s">
        <v>4933</v>
      </c>
      <c r="C1108" t="str">
        <f t="shared" si="34"/>
        <v>mazowieckie_otwocki</v>
      </c>
      <c r="D1108" t="s">
        <v>3355</v>
      </c>
      <c r="E1108" t="str">
        <f t="shared" si="35"/>
        <v>mazowieckie_otwocki_Karczew</v>
      </c>
      <c r="F1108" t="s">
        <v>1083</v>
      </c>
    </row>
    <row r="1109" spans="1:6" x14ac:dyDescent="0.3">
      <c r="A1109" t="s">
        <v>5384</v>
      </c>
      <c r="B1109" t="s">
        <v>4933</v>
      </c>
      <c r="C1109" t="str">
        <f t="shared" si="34"/>
        <v>mazowieckie_otwocki</v>
      </c>
      <c r="D1109" t="s">
        <v>3356</v>
      </c>
      <c r="E1109" t="str">
        <f t="shared" si="35"/>
        <v>mazowieckie_otwocki_Kołbiel</v>
      </c>
      <c r="F1109" t="s">
        <v>1084</v>
      </c>
    </row>
    <row r="1110" spans="1:6" x14ac:dyDescent="0.3">
      <c r="A1110" t="s">
        <v>5384</v>
      </c>
      <c r="B1110" t="s">
        <v>4933</v>
      </c>
      <c r="C1110" t="str">
        <f t="shared" si="34"/>
        <v>mazowieckie_otwocki</v>
      </c>
      <c r="D1110" t="s">
        <v>3357</v>
      </c>
      <c r="E1110" t="str">
        <f t="shared" si="35"/>
        <v>mazowieckie_otwocki_Osieck</v>
      </c>
      <c r="F1110" t="s">
        <v>5512</v>
      </c>
    </row>
    <row r="1111" spans="1:6" x14ac:dyDescent="0.3">
      <c r="A1111" t="s">
        <v>5384</v>
      </c>
      <c r="B1111" t="s">
        <v>4933</v>
      </c>
      <c r="C1111" t="str">
        <f t="shared" si="34"/>
        <v>mazowieckie_otwocki</v>
      </c>
      <c r="D1111" t="s">
        <v>3353</v>
      </c>
      <c r="E1111" t="str">
        <f t="shared" si="35"/>
        <v>mazowieckie_otwocki_Otwock</v>
      </c>
      <c r="F1111" t="s">
        <v>1081</v>
      </c>
    </row>
    <row r="1112" spans="1:6" x14ac:dyDescent="0.3">
      <c r="A1112" t="s">
        <v>5384</v>
      </c>
      <c r="B1112" t="s">
        <v>4933</v>
      </c>
      <c r="C1112" t="str">
        <f t="shared" si="34"/>
        <v>mazowieckie_otwocki</v>
      </c>
      <c r="D1112" t="s">
        <v>3358</v>
      </c>
      <c r="E1112" t="str">
        <f t="shared" si="35"/>
        <v>mazowieckie_otwocki_Sobienie-Jeziory</v>
      </c>
      <c r="F1112" t="s">
        <v>1086</v>
      </c>
    </row>
    <row r="1113" spans="1:6" x14ac:dyDescent="0.3">
      <c r="A1113" t="s">
        <v>5384</v>
      </c>
      <c r="B1113" t="s">
        <v>4933</v>
      </c>
      <c r="C1113" t="str">
        <f t="shared" si="34"/>
        <v>mazowieckie_otwocki</v>
      </c>
      <c r="D1113" t="s">
        <v>3359</v>
      </c>
      <c r="E1113" t="str">
        <f t="shared" si="35"/>
        <v>mazowieckie_otwocki_Wiązowna</v>
      </c>
      <c r="F1113" t="s">
        <v>1087</v>
      </c>
    </row>
    <row r="1114" spans="1:6" x14ac:dyDescent="0.3">
      <c r="A1114" t="s">
        <v>5384</v>
      </c>
      <c r="B1114" t="s">
        <v>4934</v>
      </c>
      <c r="C1114" t="str">
        <f t="shared" si="34"/>
        <v>mazowieckie_piaseczyński</v>
      </c>
      <c r="D1114" t="s">
        <v>3360</v>
      </c>
      <c r="E1114" t="str">
        <f t="shared" si="35"/>
        <v>mazowieckie_piaseczyński_Góra Kalwaria</v>
      </c>
      <c r="F1114" t="s">
        <v>1088</v>
      </c>
    </row>
    <row r="1115" spans="1:6" x14ac:dyDescent="0.3">
      <c r="A1115" t="s">
        <v>5384</v>
      </c>
      <c r="B1115" t="s">
        <v>4934</v>
      </c>
      <c r="C1115" t="str">
        <f t="shared" si="34"/>
        <v>mazowieckie_piaseczyński</v>
      </c>
      <c r="D1115" t="s">
        <v>3361</v>
      </c>
      <c r="E1115" t="str">
        <f t="shared" si="35"/>
        <v>mazowieckie_piaseczyński_Konstancin-Jeziorna</v>
      </c>
      <c r="F1115" t="s">
        <v>1089</v>
      </c>
    </row>
    <row r="1116" spans="1:6" x14ac:dyDescent="0.3">
      <c r="A1116" t="s">
        <v>5384</v>
      </c>
      <c r="B1116" t="s">
        <v>4934</v>
      </c>
      <c r="C1116" t="str">
        <f t="shared" si="34"/>
        <v>mazowieckie_piaseczyński</v>
      </c>
      <c r="D1116" t="s">
        <v>3362</v>
      </c>
      <c r="E1116" t="str">
        <f t="shared" si="35"/>
        <v>mazowieckie_piaseczyński_Lesznowola</v>
      </c>
      <c r="F1116" t="s">
        <v>1090</v>
      </c>
    </row>
    <row r="1117" spans="1:6" x14ac:dyDescent="0.3">
      <c r="A1117" t="s">
        <v>5384</v>
      </c>
      <c r="B1117" t="s">
        <v>4934</v>
      </c>
      <c r="C1117" t="str">
        <f t="shared" si="34"/>
        <v>mazowieckie_piaseczyński</v>
      </c>
      <c r="D1117" t="s">
        <v>3363</v>
      </c>
      <c r="E1117" t="str">
        <f t="shared" si="35"/>
        <v>mazowieckie_piaseczyński_Piaseczno</v>
      </c>
      <c r="F1117" t="s">
        <v>1091</v>
      </c>
    </row>
    <row r="1118" spans="1:6" x14ac:dyDescent="0.3">
      <c r="A1118" t="s">
        <v>5384</v>
      </c>
      <c r="B1118" t="s">
        <v>4934</v>
      </c>
      <c r="C1118" t="str">
        <f t="shared" si="34"/>
        <v>mazowieckie_piaseczyński</v>
      </c>
      <c r="D1118" t="s">
        <v>3364</v>
      </c>
      <c r="E1118" t="str">
        <f t="shared" si="35"/>
        <v>mazowieckie_piaseczyński_Prażmów</v>
      </c>
      <c r="F1118" t="s">
        <v>1092</v>
      </c>
    </row>
    <row r="1119" spans="1:6" x14ac:dyDescent="0.3">
      <c r="A1119" t="s">
        <v>5384</v>
      </c>
      <c r="B1119" t="s">
        <v>4934</v>
      </c>
      <c r="C1119" t="str">
        <f t="shared" si="34"/>
        <v>mazowieckie_piaseczyński</v>
      </c>
      <c r="D1119" t="s">
        <v>3365</v>
      </c>
      <c r="E1119" t="str">
        <f t="shared" si="35"/>
        <v>mazowieckie_piaseczyński_Tarczyn</v>
      </c>
      <c r="F1119" t="s">
        <v>1093</v>
      </c>
    </row>
    <row r="1120" spans="1:6" x14ac:dyDescent="0.3">
      <c r="A1120" t="s">
        <v>5384</v>
      </c>
      <c r="B1120" t="s">
        <v>3508</v>
      </c>
      <c r="C1120" t="str">
        <f t="shared" si="34"/>
        <v>mazowieckie_Płock</v>
      </c>
      <c r="D1120" t="s">
        <v>3508</v>
      </c>
      <c r="E1120" t="str">
        <f t="shared" si="35"/>
        <v>mazowieckie_Płock_Płock</v>
      </c>
      <c r="F1120" t="s">
        <v>1251</v>
      </c>
    </row>
    <row r="1121" spans="1:6" x14ac:dyDescent="0.3">
      <c r="A1121" t="s">
        <v>5384</v>
      </c>
      <c r="B1121" t="s">
        <v>4935</v>
      </c>
      <c r="C1121" t="str">
        <f t="shared" si="34"/>
        <v>mazowieckie_płocki</v>
      </c>
      <c r="D1121" t="s">
        <v>3366</v>
      </c>
      <c r="E1121" t="str">
        <f t="shared" si="35"/>
        <v>mazowieckie_płocki_Bielsk</v>
      </c>
      <c r="F1121" t="s">
        <v>1094</v>
      </c>
    </row>
    <row r="1122" spans="1:6" x14ac:dyDescent="0.3">
      <c r="A1122" t="s">
        <v>5384</v>
      </c>
      <c r="B1122" t="s">
        <v>4935</v>
      </c>
      <c r="C1122" t="str">
        <f t="shared" si="34"/>
        <v>mazowieckie_płocki</v>
      </c>
      <c r="D1122" t="s">
        <v>3367</v>
      </c>
      <c r="E1122" t="str">
        <f t="shared" si="35"/>
        <v>mazowieckie_płocki_Bodzanów</v>
      </c>
      <c r="F1122" t="s">
        <v>5513</v>
      </c>
    </row>
    <row r="1123" spans="1:6" x14ac:dyDescent="0.3">
      <c r="A1123" t="s">
        <v>5384</v>
      </c>
      <c r="B1123" t="s">
        <v>4935</v>
      </c>
      <c r="C1123" t="str">
        <f t="shared" si="34"/>
        <v>mazowieckie_płocki</v>
      </c>
      <c r="D1123" t="s">
        <v>3368</v>
      </c>
      <c r="E1123" t="str">
        <f t="shared" si="35"/>
        <v>mazowieckie_płocki_Brudzeń Duży</v>
      </c>
      <c r="F1123" t="s">
        <v>1096</v>
      </c>
    </row>
    <row r="1124" spans="1:6" x14ac:dyDescent="0.3">
      <c r="A1124" t="s">
        <v>5384</v>
      </c>
      <c r="B1124" t="s">
        <v>4935</v>
      </c>
      <c r="C1124" t="str">
        <f t="shared" si="34"/>
        <v>mazowieckie_płocki</v>
      </c>
      <c r="D1124" t="s">
        <v>3369</v>
      </c>
      <c r="E1124" t="str">
        <f t="shared" si="35"/>
        <v>mazowieckie_płocki_Bulkowo</v>
      </c>
      <c r="F1124" t="s">
        <v>1097</v>
      </c>
    </row>
    <row r="1125" spans="1:6" x14ac:dyDescent="0.3">
      <c r="A1125" t="s">
        <v>5384</v>
      </c>
      <c r="B1125" t="s">
        <v>4935</v>
      </c>
      <c r="C1125" t="str">
        <f t="shared" si="34"/>
        <v>mazowieckie_płocki</v>
      </c>
      <c r="D1125" t="s">
        <v>3370</v>
      </c>
      <c r="E1125" t="str">
        <f t="shared" si="35"/>
        <v>mazowieckie_płocki_Drobin</v>
      </c>
      <c r="F1125" t="s">
        <v>1098</v>
      </c>
    </row>
    <row r="1126" spans="1:6" x14ac:dyDescent="0.3">
      <c r="A1126" t="s">
        <v>5384</v>
      </c>
      <c r="B1126" t="s">
        <v>4935</v>
      </c>
      <c r="C1126" t="str">
        <f t="shared" si="34"/>
        <v>mazowieckie_płocki</v>
      </c>
      <c r="D1126" t="s">
        <v>3371</v>
      </c>
      <c r="E1126" t="str">
        <f t="shared" si="35"/>
        <v>mazowieckie_płocki_Gąbin</v>
      </c>
      <c r="F1126" t="s">
        <v>1099</v>
      </c>
    </row>
    <row r="1127" spans="1:6" x14ac:dyDescent="0.3">
      <c r="A1127" t="s">
        <v>5384</v>
      </c>
      <c r="B1127" t="s">
        <v>4935</v>
      </c>
      <c r="C1127" t="str">
        <f t="shared" si="34"/>
        <v>mazowieckie_płocki</v>
      </c>
      <c r="D1127" t="s">
        <v>3372</v>
      </c>
      <c r="E1127" t="str">
        <f t="shared" si="35"/>
        <v>mazowieckie_płocki_Łąck</v>
      </c>
      <c r="F1127" t="s">
        <v>1100</v>
      </c>
    </row>
    <row r="1128" spans="1:6" x14ac:dyDescent="0.3">
      <c r="A1128" t="s">
        <v>5384</v>
      </c>
      <c r="B1128" t="s">
        <v>4935</v>
      </c>
      <c r="C1128" t="str">
        <f t="shared" si="34"/>
        <v>mazowieckie_płocki</v>
      </c>
      <c r="D1128" t="s">
        <v>3373</v>
      </c>
      <c r="E1128" t="str">
        <f t="shared" si="35"/>
        <v>mazowieckie_płocki_Mała Wieś</v>
      </c>
      <c r="F1128" t="s">
        <v>1101</v>
      </c>
    </row>
    <row r="1129" spans="1:6" x14ac:dyDescent="0.3">
      <c r="A1129" t="s">
        <v>5384</v>
      </c>
      <c r="B1129" t="s">
        <v>4935</v>
      </c>
      <c r="C1129" t="str">
        <f t="shared" si="34"/>
        <v>mazowieckie_płocki</v>
      </c>
      <c r="D1129" t="s">
        <v>3374</v>
      </c>
      <c r="E1129" t="str">
        <f t="shared" si="35"/>
        <v>mazowieckie_płocki_Nowy Duninów</v>
      </c>
      <c r="F1129" t="s">
        <v>1102</v>
      </c>
    </row>
    <row r="1130" spans="1:6" x14ac:dyDescent="0.3">
      <c r="A1130" t="s">
        <v>5384</v>
      </c>
      <c r="B1130" t="s">
        <v>4935</v>
      </c>
      <c r="C1130" t="str">
        <f t="shared" si="34"/>
        <v>mazowieckie_płocki</v>
      </c>
      <c r="D1130" t="s">
        <v>3375</v>
      </c>
      <c r="E1130" t="str">
        <f t="shared" si="35"/>
        <v>mazowieckie_płocki_Radzanowo</v>
      </c>
      <c r="F1130" t="s">
        <v>1103</v>
      </c>
    </row>
    <row r="1131" spans="1:6" x14ac:dyDescent="0.3">
      <c r="A1131" t="s">
        <v>5384</v>
      </c>
      <c r="B1131" t="s">
        <v>4935</v>
      </c>
      <c r="C1131" t="str">
        <f t="shared" si="34"/>
        <v>mazowieckie_płocki</v>
      </c>
      <c r="D1131" t="s">
        <v>2886</v>
      </c>
      <c r="E1131" t="str">
        <f t="shared" si="35"/>
        <v>mazowieckie_płocki_Słubice</v>
      </c>
      <c r="F1131" t="s">
        <v>1104</v>
      </c>
    </row>
    <row r="1132" spans="1:6" x14ac:dyDescent="0.3">
      <c r="A1132" t="s">
        <v>5384</v>
      </c>
      <c r="B1132" t="s">
        <v>4935</v>
      </c>
      <c r="C1132" t="str">
        <f t="shared" si="34"/>
        <v>mazowieckie_płocki</v>
      </c>
      <c r="D1132" t="s">
        <v>3376</v>
      </c>
      <c r="E1132" t="str">
        <f t="shared" si="35"/>
        <v>mazowieckie_płocki_Słupno</v>
      </c>
      <c r="F1132" t="s">
        <v>1105</v>
      </c>
    </row>
    <row r="1133" spans="1:6" x14ac:dyDescent="0.3">
      <c r="A1133" t="s">
        <v>5384</v>
      </c>
      <c r="B1133" t="s">
        <v>4935</v>
      </c>
      <c r="C1133" t="str">
        <f t="shared" si="34"/>
        <v>mazowieckie_płocki</v>
      </c>
      <c r="D1133" t="s">
        <v>3377</v>
      </c>
      <c r="E1133" t="str">
        <f t="shared" si="35"/>
        <v>mazowieckie_płocki_Stara Biała</v>
      </c>
      <c r="F1133" t="s">
        <v>1106</v>
      </c>
    </row>
    <row r="1134" spans="1:6" x14ac:dyDescent="0.3">
      <c r="A1134" t="s">
        <v>5384</v>
      </c>
      <c r="B1134" t="s">
        <v>4935</v>
      </c>
      <c r="C1134" t="str">
        <f t="shared" si="34"/>
        <v>mazowieckie_płocki</v>
      </c>
      <c r="D1134" t="s">
        <v>3378</v>
      </c>
      <c r="E1134" t="str">
        <f t="shared" si="35"/>
        <v>mazowieckie_płocki_Staroźreby</v>
      </c>
      <c r="F1134" t="s">
        <v>1107</v>
      </c>
    </row>
    <row r="1135" spans="1:6" x14ac:dyDescent="0.3">
      <c r="A1135" t="s">
        <v>5384</v>
      </c>
      <c r="B1135" t="s">
        <v>4935</v>
      </c>
      <c r="C1135" t="str">
        <f t="shared" si="34"/>
        <v>mazowieckie_płocki</v>
      </c>
      <c r="D1135" t="s">
        <v>3379</v>
      </c>
      <c r="E1135" t="str">
        <f t="shared" si="35"/>
        <v>mazowieckie_płocki_Wyszogród</v>
      </c>
      <c r="F1135" t="s">
        <v>1108</v>
      </c>
    </row>
    <row r="1136" spans="1:6" x14ac:dyDescent="0.3">
      <c r="A1136" t="s">
        <v>5384</v>
      </c>
      <c r="B1136" t="s">
        <v>4936</v>
      </c>
      <c r="C1136" t="str">
        <f t="shared" si="34"/>
        <v>mazowieckie_płoński</v>
      </c>
      <c r="D1136" t="s">
        <v>3380</v>
      </c>
      <c r="E1136" t="str">
        <f t="shared" si="35"/>
        <v>mazowieckie_płoński_Baboszewo</v>
      </c>
      <c r="F1136" t="s">
        <v>1111</v>
      </c>
    </row>
    <row r="1137" spans="1:6" x14ac:dyDescent="0.3">
      <c r="A1137" t="s">
        <v>5384</v>
      </c>
      <c r="B1137" t="s">
        <v>4936</v>
      </c>
      <c r="C1137" t="str">
        <f t="shared" si="34"/>
        <v>mazowieckie_płoński</v>
      </c>
      <c r="D1137" t="s">
        <v>3381</v>
      </c>
      <c r="E1137" t="str">
        <f t="shared" si="35"/>
        <v>mazowieckie_płoński_Czerwińsk nad Wisłą</v>
      </c>
      <c r="F1137" t="s">
        <v>5399</v>
      </c>
    </row>
    <row r="1138" spans="1:6" x14ac:dyDescent="0.3">
      <c r="A1138" t="s">
        <v>5384</v>
      </c>
      <c r="B1138" t="s">
        <v>4936</v>
      </c>
      <c r="C1138" t="str">
        <f t="shared" si="34"/>
        <v>mazowieckie_płoński</v>
      </c>
      <c r="D1138" t="s">
        <v>3382</v>
      </c>
      <c r="E1138" t="str">
        <f t="shared" si="35"/>
        <v>mazowieckie_płoński_Dzierzążnia</v>
      </c>
      <c r="F1138" t="s">
        <v>1112</v>
      </c>
    </row>
    <row r="1139" spans="1:6" x14ac:dyDescent="0.3">
      <c r="A1139" t="s">
        <v>5384</v>
      </c>
      <c r="B1139" t="s">
        <v>4936</v>
      </c>
      <c r="C1139" t="str">
        <f t="shared" si="34"/>
        <v>mazowieckie_płoński</v>
      </c>
      <c r="D1139" t="s">
        <v>3383</v>
      </c>
      <c r="E1139" t="str">
        <f t="shared" si="35"/>
        <v>mazowieckie_płoński_Joniec</v>
      </c>
      <c r="F1139" t="s">
        <v>1113</v>
      </c>
    </row>
    <row r="1140" spans="1:6" x14ac:dyDescent="0.3">
      <c r="A1140" t="s">
        <v>5384</v>
      </c>
      <c r="B1140" t="s">
        <v>4936</v>
      </c>
      <c r="C1140" t="str">
        <f t="shared" si="34"/>
        <v>mazowieckie_płoński</v>
      </c>
      <c r="D1140" t="s">
        <v>3384</v>
      </c>
      <c r="E1140" t="str">
        <f t="shared" si="35"/>
        <v>mazowieckie_płoński_Naruszewo</v>
      </c>
      <c r="F1140" s="181" t="s">
        <v>1114</v>
      </c>
    </row>
    <row r="1141" spans="1:6" x14ac:dyDescent="0.3">
      <c r="A1141" t="s">
        <v>5384</v>
      </c>
      <c r="B1141" t="s">
        <v>4936</v>
      </c>
      <c r="C1141" t="str">
        <f t="shared" si="34"/>
        <v>mazowieckie_płoński</v>
      </c>
      <c r="D1141" t="s">
        <v>3385</v>
      </c>
      <c r="E1141" t="str">
        <f t="shared" si="35"/>
        <v>mazowieckie_płoński_Nowe Miasto</v>
      </c>
      <c r="F1141" t="s">
        <v>5472</v>
      </c>
    </row>
    <row r="1142" spans="1:6" x14ac:dyDescent="0.3">
      <c r="A1142" t="s">
        <v>5384</v>
      </c>
      <c r="B1142" t="s">
        <v>4936</v>
      </c>
      <c r="C1142" t="str">
        <f t="shared" si="34"/>
        <v>mazowieckie_płoński</v>
      </c>
      <c r="D1142" t="s">
        <v>3386</v>
      </c>
      <c r="E1142" t="str">
        <f t="shared" si="35"/>
        <v>mazowieckie_płoński_Sochocin</v>
      </c>
      <c r="F1142" t="s">
        <v>5437</v>
      </c>
    </row>
    <row r="1143" spans="1:6" x14ac:dyDescent="0.3">
      <c r="A1143" t="s">
        <v>5384</v>
      </c>
      <c r="B1143" t="s">
        <v>4936</v>
      </c>
      <c r="C1143" t="str">
        <f t="shared" si="34"/>
        <v>mazowieckie_płoński</v>
      </c>
      <c r="D1143" t="s">
        <v>3387</v>
      </c>
      <c r="E1143" t="str">
        <f t="shared" si="35"/>
        <v>mazowieckie_płoński_Załuski</v>
      </c>
      <c r="F1143" t="s">
        <v>1118</v>
      </c>
    </row>
    <row r="1144" spans="1:6" x14ac:dyDescent="0.3">
      <c r="A1144" t="s">
        <v>5384</v>
      </c>
      <c r="B1144" t="s">
        <v>4936</v>
      </c>
      <c r="C1144" t="str">
        <f t="shared" si="34"/>
        <v>mazowieckie_płoński</v>
      </c>
      <c r="D1144" t="s">
        <v>4644</v>
      </c>
      <c r="E1144" t="str">
        <f t="shared" si="35"/>
        <v>mazowieckie_płoński_Płońsk (gm. miejska)</v>
      </c>
      <c r="F1144" t="s">
        <v>1109</v>
      </c>
    </row>
    <row r="1145" spans="1:6" x14ac:dyDescent="0.3">
      <c r="A1145" t="s">
        <v>5384</v>
      </c>
      <c r="B1145" t="s">
        <v>4936</v>
      </c>
      <c r="C1145" t="str">
        <f t="shared" si="34"/>
        <v>mazowieckie_płoński</v>
      </c>
      <c r="D1145" t="s">
        <v>4645</v>
      </c>
      <c r="E1145" t="str">
        <f t="shared" si="35"/>
        <v>mazowieckie_płoński_Raciąż (gm. miejska)</v>
      </c>
      <c r="F1145" t="s">
        <v>1110</v>
      </c>
    </row>
    <row r="1146" spans="1:6" x14ac:dyDescent="0.3">
      <c r="A1146" t="s">
        <v>5384</v>
      </c>
      <c r="B1146" t="s">
        <v>4936</v>
      </c>
      <c r="C1146" t="str">
        <f t="shared" si="34"/>
        <v>mazowieckie_płoński</v>
      </c>
      <c r="D1146" t="s">
        <v>4646</v>
      </c>
      <c r="E1146" t="str">
        <f t="shared" si="35"/>
        <v>mazowieckie_płoński_Płońsk (gm. wiejska)</v>
      </c>
      <c r="F1146" t="s">
        <v>1116</v>
      </c>
    </row>
    <row r="1147" spans="1:6" x14ac:dyDescent="0.3">
      <c r="A1147" t="s">
        <v>5384</v>
      </c>
      <c r="B1147" t="s">
        <v>4936</v>
      </c>
      <c r="C1147" t="str">
        <f t="shared" si="34"/>
        <v>mazowieckie_płoński</v>
      </c>
      <c r="D1147" t="s">
        <v>4647</v>
      </c>
      <c r="E1147" t="str">
        <f t="shared" si="35"/>
        <v>mazowieckie_płoński_Raciąż (gm. wiejska)</v>
      </c>
      <c r="F1147" t="s">
        <v>1117</v>
      </c>
    </row>
    <row r="1148" spans="1:6" x14ac:dyDescent="0.3">
      <c r="A1148" t="s">
        <v>5384</v>
      </c>
      <c r="B1148" t="s">
        <v>4937</v>
      </c>
      <c r="C1148" t="str">
        <f t="shared" si="34"/>
        <v>mazowieckie_pruszkowski</v>
      </c>
      <c r="D1148" t="s">
        <v>3390</v>
      </c>
      <c r="E1148" t="str">
        <f t="shared" si="35"/>
        <v>mazowieckie_pruszkowski_Brwinów</v>
      </c>
      <c r="F1148" t="s">
        <v>1121</v>
      </c>
    </row>
    <row r="1149" spans="1:6" x14ac:dyDescent="0.3">
      <c r="A1149" t="s">
        <v>5384</v>
      </c>
      <c r="B1149" t="s">
        <v>4937</v>
      </c>
      <c r="C1149" t="str">
        <f t="shared" si="34"/>
        <v>mazowieckie_pruszkowski</v>
      </c>
      <c r="D1149" t="s">
        <v>3115</v>
      </c>
      <c r="E1149" t="str">
        <f t="shared" si="35"/>
        <v>mazowieckie_pruszkowski_Michałowice</v>
      </c>
      <c r="F1149" t="s">
        <v>1122</v>
      </c>
    </row>
    <row r="1150" spans="1:6" x14ac:dyDescent="0.3">
      <c r="A1150" t="s">
        <v>5384</v>
      </c>
      <c r="B1150" t="s">
        <v>4937</v>
      </c>
      <c r="C1150" t="str">
        <f t="shared" si="34"/>
        <v>mazowieckie_pruszkowski</v>
      </c>
      <c r="D1150" t="s">
        <v>3391</v>
      </c>
      <c r="E1150" t="str">
        <f t="shared" si="35"/>
        <v>mazowieckie_pruszkowski_Nadarzyn</v>
      </c>
      <c r="F1150" t="s">
        <v>1123</v>
      </c>
    </row>
    <row r="1151" spans="1:6" x14ac:dyDescent="0.3">
      <c r="A1151" t="s">
        <v>5384</v>
      </c>
      <c r="B1151" t="s">
        <v>4937</v>
      </c>
      <c r="C1151" t="str">
        <f t="shared" si="34"/>
        <v>mazowieckie_pruszkowski</v>
      </c>
      <c r="D1151" t="s">
        <v>3388</v>
      </c>
      <c r="E1151" t="str">
        <f t="shared" si="35"/>
        <v>mazowieckie_pruszkowski_Piastów</v>
      </c>
      <c r="F1151" t="s">
        <v>1119</v>
      </c>
    </row>
    <row r="1152" spans="1:6" x14ac:dyDescent="0.3">
      <c r="A1152" t="s">
        <v>5384</v>
      </c>
      <c r="B1152" t="s">
        <v>4937</v>
      </c>
      <c r="C1152" t="str">
        <f t="shared" si="34"/>
        <v>mazowieckie_pruszkowski</v>
      </c>
      <c r="D1152" t="s">
        <v>3389</v>
      </c>
      <c r="E1152" t="str">
        <f t="shared" si="35"/>
        <v>mazowieckie_pruszkowski_Pruszków</v>
      </c>
      <c r="F1152" t="s">
        <v>1120</v>
      </c>
    </row>
    <row r="1153" spans="1:6" x14ac:dyDescent="0.3">
      <c r="A1153" t="s">
        <v>5384</v>
      </c>
      <c r="B1153" t="s">
        <v>4937</v>
      </c>
      <c r="C1153" t="str">
        <f t="shared" ref="C1153:C1216" si="36">CONCATENATE(A1153,"_",B1153)</f>
        <v>mazowieckie_pruszkowski</v>
      </c>
      <c r="D1153" t="s">
        <v>3392</v>
      </c>
      <c r="E1153" t="str">
        <f t="shared" ref="E1153:E1216" si="37">C1153&amp;"_"&amp;D1153</f>
        <v>mazowieckie_pruszkowski_Raszyn</v>
      </c>
      <c r="F1153" t="s">
        <v>1124</v>
      </c>
    </row>
    <row r="1154" spans="1:6" x14ac:dyDescent="0.3">
      <c r="A1154" t="s">
        <v>5384</v>
      </c>
      <c r="B1154" t="s">
        <v>4938</v>
      </c>
      <c r="C1154" t="str">
        <f t="shared" si="36"/>
        <v>mazowieckie_przasnyski</v>
      </c>
      <c r="D1154" t="s">
        <v>3393</v>
      </c>
      <c r="E1154" t="str">
        <f t="shared" si="37"/>
        <v>mazowieckie_przasnyski_Chorzele</v>
      </c>
      <c r="F1154" t="s">
        <v>1126</v>
      </c>
    </row>
    <row r="1155" spans="1:6" x14ac:dyDescent="0.3">
      <c r="A1155" t="s">
        <v>5384</v>
      </c>
      <c r="B1155" t="s">
        <v>4938</v>
      </c>
      <c r="C1155" t="str">
        <f t="shared" si="36"/>
        <v>mazowieckie_przasnyski</v>
      </c>
      <c r="D1155" t="s">
        <v>3394</v>
      </c>
      <c r="E1155" t="str">
        <f t="shared" si="37"/>
        <v>mazowieckie_przasnyski_Czernice Borowe</v>
      </c>
      <c r="F1155" t="s">
        <v>1127</v>
      </c>
    </row>
    <row r="1156" spans="1:6" x14ac:dyDescent="0.3">
      <c r="A1156" t="s">
        <v>5384</v>
      </c>
      <c r="B1156" t="s">
        <v>4938</v>
      </c>
      <c r="C1156" t="str">
        <f t="shared" si="36"/>
        <v>mazowieckie_przasnyski</v>
      </c>
      <c r="D1156" t="s">
        <v>3395</v>
      </c>
      <c r="E1156" t="str">
        <f t="shared" si="37"/>
        <v>mazowieckie_przasnyski_Jednorożec</v>
      </c>
      <c r="F1156" t="s">
        <v>1128</v>
      </c>
    </row>
    <row r="1157" spans="1:6" x14ac:dyDescent="0.3">
      <c r="A1157" t="s">
        <v>5384</v>
      </c>
      <c r="B1157" t="s">
        <v>4938</v>
      </c>
      <c r="C1157" t="str">
        <f t="shared" si="36"/>
        <v>mazowieckie_przasnyski</v>
      </c>
      <c r="D1157" t="s">
        <v>3396</v>
      </c>
      <c r="E1157" t="str">
        <f t="shared" si="37"/>
        <v>mazowieckie_przasnyski_Krasne</v>
      </c>
      <c r="F1157" t="s">
        <v>1129</v>
      </c>
    </row>
    <row r="1158" spans="1:6" x14ac:dyDescent="0.3">
      <c r="A1158" t="s">
        <v>5384</v>
      </c>
      <c r="B1158" t="s">
        <v>4938</v>
      </c>
      <c r="C1158" t="str">
        <f t="shared" si="36"/>
        <v>mazowieckie_przasnyski</v>
      </c>
      <c r="D1158" t="s">
        <v>3397</v>
      </c>
      <c r="E1158" t="str">
        <f t="shared" si="37"/>
        <v>mazowieckie_przasnyski_Krzynowłoga Mała</v>
      </c>
      <c r="F1158" t="s">
        <v>1130</v>
      </c>
    </row>
    <row r="1159" spans="1:6" x14ac:dyDescent="0.3">
      <c r="A1159" t="s">
        <v>5384</v>
      </c>
      <c r="B1159" t="s">
        <v>4938</v>
      </c>
      <c r="C1159" t="str">
        <f t="shared" si="36"/>
        <v>mazowieckie_przasnyski</v>
      </c>
      <c r="D1159" t="s">
        <v>4648</v>
      </c>
      <c r="E1159" t="str">
        <f t="shared" si="37"/>
        <v>mazowieckie_przasnyski_Przasnysz (gm. miejska)</v>
      </c>
      <c r="F1159" t="s">
        <v>1125</v>
      </c>
    </row>
    <row r="1160" spans="1:6" x14ac:dyDescent="0.3">
      <c r="A1160" t="s">
        <v>5384</v>
      </c>
      <c r="B1160" t="s">
        <v>4938</v>
      </c>
      <c r="C1160" t="str">
        <f t="shared" si="36"/>
        <v>mazowieckie_przasnyski</v>
      </c>
      <c r="D1160" t="s">
        <v>4649</v>
      </c>
      <c r="E1160" t="str">
        <f t="shared" si="37"/>
        <v>mazowieckie_przasnyski_Przasnysz (gm. wiejska)</v>
      </c>
      <c r="F1160" t="s">
        <v>1131</v>
      </c>
    </row>
    <row r="1161" spans="1:6" x14ac:dyDescent="0.3">
      <c r="A1161" t="s">
        <v>5384</v>
      </c>
      <c r="B1161" t="s">
        <v>4939</v>
      </c>
      <c r="C1161" t="str">
        <f t="shared" si="36"/>
        <v>mazowieckie_przysuski</v>
      </c>
      <c r="D1161" t="s">
        <v>3398</v>
      </c>
      <c r="E1161" t="str">
        <f t="shared" si="37"/>
        <v>mazowieckie_przysuski_Borkowice</v>
      </c>
      <c r="F1161" t="s">
        <v>1132</v>
      </c>
    </row>
    <row r="1162" spans="1:6" x14ac:dyDescent="0.3">
      <c r="A1162" t="s">
        <v>5384</v>
      </c>
      <c r="B1162" t="s">
        <v>4939</v>
      </c>
      <c r="C1162" t="str">
        <f t="shared" si="36"/>
        <v>mazowieckie_przysuski</v>
      </c>
      <c r="D1162" t="s">
        <v>3399</v>
      </c>
      <c r="E1162" t="str">
        <f t="shared" si="37"/>
        <v>mazowieckie_przysuski_Gielniów</v>
      </c>
      <c r="F1162" t="s">
        <v>5514</v>
      </c>
    </row>
    <row r="1163" spans="1:6" x14ac:dyDescent="0.3">
      <c r="A1163" t="s">
        <v>5384</v>
      </c>
      <c r="B1163" t="s">
        <v>4939</v>
      </c>
      <c r="C1163" t="str">
        <f t="shared" si="36"/>
        <v>mazowieckie_przysuski</v>
      </c>
      <c r="D1163" t="s">
        <v>3400</v>
      </c>
      <c r="E1163" t="str">
        <f t="shared" si="37"/>
        <v>mazowieckie_przysuski_Klwów</v>
      </c>
      <c r="F1163" t="s">
        <v>1134</v>
      </c>
    </row>
    <row r="1164" spans="1:6" x14ac:dyDescent="0.3">
      <c r="A1164" t="s">
        <v>5384</v>
      </c>
      <c r="B1164" t="s">
        <v>4939</v>
      </c>
      <c r="C1164" t="str">
        <f t="shared" si="36"/>
        <v>mazowieckie_przysuski</v>
      </c>
      <c r="D1164" t="s">
        <v>3401</v>
      </c>
      <c r="E1164" t="str">
        <f t="shared" si="37"/>
        <v>mazowieckie_przysuski_Odrzywół</v>
      </c>
      <c r="F1164" t="s">
        <v>5515</v>
      </c>
    </row>
    <row r="1165" spans="1:6" x14ac:dyDescent="0.3">
      <c r="A1165" t="s">
        <v>5384</v>
      </c>
      <c r="B1165" t="s">
        <v>4939</v>
      </c>
      <c r="C1165" t="str">
        <f t="shared" si="36"/>
        <v>mazowieckie_przysuski</v>
      </c>
      <c r="D1165" t="s">
        <v>3402</v>
      </c>
      <c r="E1165" t="str">
        <f t="shared" si="37"/>
        <v>mazowieckie_przysuski_Potworów</v>
      </c>
      <c r="F1165" t="s">
        <v>1136</v>
      </c>
    </row>
    <row r="1166" spans="1:6" x14ac:dyDescent="0.3">
      <c r="A1166" t="s">
        <v>5384</v>
      </c>
      <c r="B1166" t="s">
        <v>4939</v>
      </c>
      <c r="C1166" t="str">
        <f t="shared" si="36"/>
        <v>mazowieckie_przysuski</v>
      </c>
      <c r="D1166" t="s">
        <v>3403</v>
      </c>
      <c r="E1166" t="str">
        <f t="shared" si="37"/>
        <v>mazowieckie_przysuski_Przysucha</v>
      </c>
      <c r="F1166" t="s">
        <v>1137</v>
      </c>
    </row>
    <row r="1167" spans="1:6" x14ac:dyDescent="0.3">
      <c r="A1167" t="s">
        <v>5384</v>
      </c>
      <c r="B1167" t="s">
        <v>4939</v>
      </c>
      <c r="C1167" t="str">
        <f t="shared" si="36"/>
        <v>mazowieckie_przysuski</v>
      </c>
      <c r="D1167" t="s">
        <v>3404</v>
      </c>
      <c r="E1167" t="str">
        <f t="shared" si="37"/>
        <v>mazowieckie_przysuski_Rusinów</v>
      </c>
      <c r="F1167" t="s">
        <v>1138</v>
      </c>
    </row>
    <row r="1168" spans="1:6" x14ac:dyDescent="0.3">
      <c r="A1168" t="s">
        <v>5384</v>
      </c>
      <c r="B1168" t="s">
        <v>4939</v>
      </c>
      <c r="C1168" t="str">
        <f t="shared" si="36"/>
        <v>mazowieckie_przysuski</v>
      </c>
      <c r="D1168" t="s">
        <v>3405</v>
      </c>
      <c r="E1168" t="str">
        <f t="shared" si="37"/>
        <v>mazowieckie_przysuski_Wieniawa</v>
      </c>
      <c r="F1168" t="s">
        <v>1139</v>
      </c>
    </row>
    <row r="1169" spans="1:6" x14ac:dyDescent="0.3">
      <c r="A1169" t="s">
        <v>5384</v>
      </c>
      <c r="B1169" t="s">
        <v>4940</v>
      </c>
      <c r="C1169" t="str">
        <f t="shared" si="36"/>
        <v>mazowieckie_pułtuski</v>
      </c>
      <c r="D1169" t="s">
        <v>3406</v>
      </c>
      <c r="E1169" t="str">
        <f t="shared" si="37"/>
        <v>mazowieckie_pułtuski_Gzy</v>
      </c>
      <c r="F1169" t="s">
        <v>1140</v>
      </c>
    </row>
    <row r="1170" spans="1:6" x14ac:dyDescent="0.3">
      <c r="A1170" t="s">
        <v>5384</v>
      </c>
      <c r="B1170" t="s">
        <v>4940</v>
      </c>
      <c r="C1170" t="str">
        <f t="shared" si="36"/>
        <v>mazowieckie_pułtuski</v>
      </c>
      <c r="D1170" t="s">
        <v>3407</v>
      </c>
      <c r="E1170" t="str">
        <f t="shared" si="37"/>
        <v>mazowieckie_pułtuski_Obryte</v>
      </c>
      <c r="F1170" t="s">
        <v>1141</v>
      </c>
    </row>
    <row r="1171" spans="1:6" x14ac:dyDescent="0.3">
      <c r="A1171" t="s">
        <v>5384</v>
      </c>
      <c r="B1171" t="s">
        <v>4940</v>
      </c>
      <c r="C1171" t="str">
        <f t="shared" si="36"/>
        <v>mazowieckie_pułtuski</v>
      </c>
      <c r="D1171" t="s">
        <v>3408</v>
      </c>
      <c r="E1171" t="str">
        <f t="shared" si="37"/>
        <v>mazowieckie_pułtuski_Pokrzywnica</v>
      </c>
      <c r="F1171" t="s">
        <v>1142</v>
      </c>
    </row>
    <row r="1172" spans="1:6" x14ac:dyDescent="0.3">
      <c r="A1172" t="s">
        <v>5384</v>
      </c>
      <c r="B1172" t="s">
        <v>4940</v>
      </c>
      <c r="C1172" t="str">
        <f t="shared" si="36"/>
        <v>mazowieckie_pułtuski</v>
      </c>
      <c r="D1172" t="s">
        <v>3409</v>
      </c>
      <c r="E1172" t="str">
        <f t="shared" si="37"/>
        <v>mazowieckie_pułtuski_Pułtusk</v>
      </c>
      <c r="F1172" t="s">
        <v>1143</v>
      </c>
    </row>
    <row r="1173" spans="1:6" x14ac:dyDescent="0.3">
      <c r="A1173" t="s">
        <v>5384</v>
      </c>
      <c r="B1173" t="s">
        <v>4940</v>
      </c>
      <c r="C1173" t="str">
        <f t="shared" si="36"/>
        <v>mazowieckie_pułtuski</v>
      </c>
      <c r="D1173" t="s">
        <v>3410</v>
      </c>
      <c r="E1173" t="str">
        <f t="shared" si="37"/>
        <v>mazowieckie_pułtuski_Świercze</v>
      </c>
      <c r="F1173" t="s">
        <v>1144</v>
      </c>
    </row>
    <row r="1174" spans="1:6" x14ac:dyDescent="0.3">
      <c r="A1174" t="s">
        <v>5384</v>
      </c>
      <c r="B1174" t="s">
        <v>4940</v>
      </c>
      <c r="C1174" t="str">
        <f t="shared" si="36"/>
        <v>mazowieckie_pułtuski</v>
      </c>
      <c r="D1174" t="s">
        <v>3411</v>
      </c>
      <c r="E1174" t="str">
        <f t="shared" si="37"/>
        <v>mazowieckie_pułtuski_Winnica</v>
      </c>
      <c r="F1174" t="s">
        <v>1145</v>
      </c>
    </row>
    <row r="1175" spans="1:6" x14ac:dyDescent="0.3">
      <c r="A1175" t="s">
        <v>5384</v>
      </c>
      <c r="B1175" t="s">
        <v>4940</v>
      </c>
      <c r="C1175" t="str">
        <f t="shared" si="36"/>
        <v>mazowieckie_pułtuski</v>
      </c>
      <c r="D1175" t="s">
        <v>3412</v>
      </c>
      <c r="E1175" t="str">
        <f t="shared" si="37"/>
        <v>mazowieckie_pułtuski_Zatory</v>
      </c>
      <c r="F1175" t="s">
        <v>1146</v>
      </c>
    </row>
    <row r="1176" spans="1:6" x14ac:dyDescent="0.3">
      <c r="A1176" t="s">
        <v>5384</v>
      </c>
      <c r="B1176" t="s">
        <v>3509</v>
      </c>
      <c r="C1176" t="str">
        <f t="shared" si="36"/>
        <v>mazowieckie_Radom</v>
      </c>
      <c r="D1176" t="s">
        <v>3509</v>
      </c>
      <c r="E1176" t="str">
        <f t="shared" si="37"/>
        <v>mazowieckie_Radom_Radom</v>
      </c>
      <c r="F1176" t="s">
        <v>1252</v>
      </c>
    </row>
    <row r="1177" spans="1:6" x14ac:dyDescent="0.3">
      <c r="A1177" t="s">
        <v>5384</v>
      </c>
      <c r="B1177" t="s">
        <v>4941</v>
      </c>
      <c r="C1177" t="str">
        <f t="shared" si="36"/>
        <v>mazowieckie_radomski</v>
      </c>
      <c r="D1177" t="s">
        <v>3413</v>
      </c>
      <c r="E1177" t="str">
        <f t="shared" si="37"/>
        <v>mazowieckie_radomski_Gózd</v>
      </c>
      <c r="F1177" t="s">
        <v>1148</v>
      </c>
    </row>
    <row r="1178" spans="1:6" x14ac:dyDescent="0.3">
      <c r="A1178" t="s">
        <v>5384</v>
      </c>
      <c r="B1178" t="s">
        <v>4941</v>
      </c>
      <c r="C1178" t="str">
        <f t="shared" si="36"/>
        <v>mazowieckie_radomski</v>
      </c>
      <c r="D1178" t="s">
        <v>3414</v>
      </c>
      <c r="E1178" t="str">
        <f t="shared" si="37"/>
        <v>mazowieckie_radomski_Iłża</v>
      </c>
      <c r="F1178" t="s">
        <v>1149</v>
      </c>
    </row>
    <row r="1179" spans="1:6" x14ac:dyDescent="0.3">
      <c r="A1179" t="s">
        <v>5384</v>
      </c>
      <c r="B1179" t="s">
        <v>4941</v>
      </c>
      <c r="C1179" t="str">
        <f t="shared" si="36"/>
        <v>mazowieckie_radomski</v>
      </c>
      <c r="D1179" t="s">
        <v>3415</v>
      </c>
      <c r="E1179" t="str">
        <f t="shared" si="37"/>
        <v>mazowieckie_radomski_Jastrzębia</v>
      </c>
      <c r="F1179" t="s">
        <v>1150</v>
      </c>
    </row>
    <row r="1180" spans="1:6" x14ac:dyDescent="0.3">
      <c r="A1180" t="s">
        <v>5384</v>
      </c>
      <c r="B1180" t="s">
        <v>4941</v>
      </c>
      <c r="C1180" t="str">
        <f t="shared" si="36"/>
        <v>mazowieckie_radomski</v>
      </c>
      <c r="D1180" t="s">
        <v>3416</v>
      </c>
      <c r="E1180" t="str">
        <f t="shared" si="37"/>
        <v>mazowieckie_radomski_Jedlińsk</v>
      </c>
      <c r="F1180" s="181" t="s">
        <v>1151</v>
      </c>
    </row>
    <row r="1181" spans="1:6" x14ac:dyDescent="0.3">
      <c r="A1181" t="s">
        <v>5384</v>
      </c>
      <c r="B1181" t="s">
        <v>4941</v>
      </c>
      <c r="C1181" t="str">
        <f t="shared" si="36"/>
        <v>mazowieckie_radomski</v>
      </c>
      <c r="D1181" t="s">
        <v>3417</v>
      </c>
      <c r="E1181" t="str">
        <f t="shared" si="37"/>
        <v>mazowieckie_radomski_Jedlnia-Letnisko</v>
      </c>
      <c r="F1181" t="s">
        <v>5469</v>
      </c>
    </row>
    <row r="1182" spans="1:6" x14ac:dyDescent="0.3">
      <c r="A1182" t="s">
        <v>5384</v>
      </c>
      <c r="B1182" t="s">
        <v>4941</v>
      </c>
      <c r="C1182" t="str">
        <f t="shared" si="36"/>
        <v>mazowieckie_radomski</v>
      </c>
      <c r="D1182" t="s">
        <v>3418</v>
      </c>
      <c r="E1182" t="str">
        <f t="shared" si="37"/>
        <v>mazowieckie_radomski_Kowala</v>
      </c>
      <c r="F1182" t="s">
        <v>1153</v>
      </c>
    </row>
    <row r="1183" spans="1:6" x14ac:dyDescent="0.3">
      <c r="A1183" t="s">
        <v>5384</v>
      </c>
      <c r="B1183" t="s">
        <v>4941</v>
      </c>
      <c r="C1183" t="str">
        <f t="shared" si="36"/>
        <v>mazowieckie_radomski</v>
      </c>
      <c r="D1183" t="s">
        <v>3419</v>
      </c>
      <c r="E1183" t="str">
        <f t="shared" si="37"/>
        <v>mazowieckie_radomski_Przytyk</v>
      </c>
      <c r="F1183" t="s">
        <v>5516</v>
      </c>
    </row>
    <row r="1184" spans="1:6" x14ac:dyDescent="0.3">
      <c r="A1184" t="s">
        <v>5384</v>
      </c>
      <c r="B1184" t="s">
        <v>4941</v>
      </c>
      <c r="C1184" t="str">
        <f t="shared" si="36"/>
        <v>mazowieckie_radomski</v>
      </c>
      <c r="D1184" t="s">
        <v>3420</v>
      </c>
      <c r="E1184" t="str">
        <f t="shared" si="37"/>
        <v>mazowieckie_radomski_Skaryszew</v>
      </c>
      <c r="F1184" t="s">
        <v>1156</v>
      </c>
    </row>
    <row r="1185" spans="1:6" x14ac:dyDescent="0.3">
      <c r="A1185" t="s">
        <v>5384</v>
      </c>
      <c r="B1185" t="s">
        <v>4941</v>
      </c>
      <c r="C1185" t="str">
        <f t="shared" si="36"/>
        <v>mazowieckie_radomski</v>
      </c>
      <c r="D1185" t="s">
        <v>2713</v>
      </c>
      <c r="E1185" t="str">
        <f t="shared" si="37"/>
        <v>mazowieckie_radomski_Wierzbica</v>
      </c>
      <c r="F1185" t="s">
        <v>1157</v>
      </c>
    </row>
    <row r="1186" spans="1:6" x14ac:dyDescent="0.3">
      <c r="A1186" t="s">
        <v>5384</v>
      </c>
      <c r="B1186" t="s">
        <v>4941</v>
      </c>
      <c r="C1186" t="str">
        <f t="shared" si="36"/>
        <v>mazowieckie_radomski</v>
      </c>
      <c r="D1186" t="s">
        <v>3421</v>
      </c>
      <c r="E1186" t="str">
        <f t="shared" si="37"/>
        <v>mazowieckie_radomski_Wolanów</v>
      </c>
      <c r="F1186" t="s">
        <v>1158</v>
      </c>
    </row>
    <row r="1187" spans="1:6" x14ac:dyDescent="0.3">
      <c r="A1187" t="s">
        <v>5384</v>
      </c>
      <c r="B1187" t="s">
        <v>4941</v>
      </c>
      <c r="C1187" t="str">
        <f t="shared" si="36"/>
        <v>mazowieckie_radomski</v>
      </c>
      <c r="D1187" t="s">
        <v>2772</v>
      </c>
      <c r="E1187" t="str">
        <f t="shared" si="37"/>
        <v>mazowieckie_radomski_Zakrzew</v>
      </c>
      <c r="F1187" t="s">
        <v>1159</v>
      </c>
    </row>
    <row r="1188" spans="1:6" x14ac:dyDescent="0.3">
      <c r="A1188" t="s">
        <v>5384</v>
      </c>
      <c r="B1188" t="s">
        <v>4941</v>
      </c>
      <c r="C1188" t="str">
        <f t="shared" si="36"/>
        <v>mazowieckie_radomski</v>
      </c>
      <c r="D1188" t="s">
        <v>4650</v>
      </c>
      <c r="E1188" t="str">
        <f t="shared" si="37"/>
        <v>mazowieckie_radomski_Pionki (gm. miejska)</v>
      </c>
      <c r="F1188" t="s">
        <v>1147</v>
      </c>
    </row>
    <row r="1189" spans="1:6" x14ac:dyDescent="0.3">
      <c r="A1189" t="s">
        <v>5384</v>
      </c>
      <c r="B1189" t="s">
        <v>4941</v>
      </c>
      <c r="C1189" t="str">
        <f t="shared" si="36"/>
        <v>mazowieckie_radomski</v>
      </c>
      <c r="D1189" t="s">
        <v>4651</v>
      </c>
      <c r="E1189" t="str">
        <f t="shared" si="37"/>
        <v>mazowieckie_radomski_Pionki (gm. wiejska)</v>
      </c>
      <c r="F1189" t="s">
        <v>1154</v>
      </c>
    </row>
    <row r="1190" spans="1:6" x14ac:dyDescent="0.3">
      <c r="A1190" t="s">
        <v>5384</v>
      </c>
      <c r="B1190" t="s">
        <v>3429</v>
      </c>
      <c r="C1190" t="str">
        <f t="shared" si="36"/>
        <v>mazowieckie_Siedlce</v>
      </c>
      <c r="D1190" t="s">
        <v>3429</v>
      </c>
      <c r="E1190" t="str">
        <f t="shared" si="37"/>
        <v>mazowieckie_Siedlce_Siedlce</v>
      </c>
      <c r="F1190" t="s">
        <v>1253</v>
      </c>
    </row>
    <row r="1191" spans="1:6" x14ac:dyDescent="0.3">
      <c r="A1191" t="s">
        <v>5384</v>
      </c>
      <c r="B1191" t="s">
        <v>4942</v>
      </c>
      <c r="C1191" t="str">
        <f t="shared" si="36"/>
        <v>mazowieckie_siedlecki</v>
      </c>
      <c r="D1191" t="s">
        <v>3422</v>
      </c>
      <c r="E1191" t="str">
        <f t="shared" si="37"/>
        <v>mazowieckie_siedlecki_Domanice</v>
      </c>
      <c r="F1191" t="s">
        <v>1160</v>
      </c>
    </row>
    <row r="1192" spans="1:6" x14ac:dyDescent="0.3">
      <c r="A1192" t="s">
        <v>5384</v>
      </c>
      <c r="B1192" t="s">
        <v>4942</v>
      </c>
      <c r="C1192" t="str">
        <f t="shared" si="36"/>
        <v>mazowieckie_siedlecki</v>
      </c>
      <c r="D1192" t="s">
        <v>3423</v>
      </c>
      <c r="E1192" t="str">
        <f t="shared" si="37"/>
        <v>mazowieckie_siedlecki_Korczew</v>
      </c>
      <c r="F1192" t="s">
        <v>1161</v>
      </c>
    </row>
    <row r="1193" spans="1:6" x14ac:dyDescent="0.3">
      <c r="A1193" t="s">
        <v>5384</v>
      </c>
      <c r="B1193" t="s">
        <v>4942</v>
      </c>
      <c r="C1193" t="str">
        <f t="shared" si="36"/>
        <v>mazowieckie_siedlecki</v>
      </c>
      <c r="D1193" t="s">
        <v>3424</v>
      </c>
      <c r="E1193" t="str">
        <f t="shared" si="37"/>
        <v>mazowieckie_siedlecki_Kotuń</v>
      </c>
      <c r="F1193" t="s">
        <v>1162</v>
      </c>
    </row>
    <row r="1194" spans="1:6" x14ac:dyDescent="0.3">
      <c r="A1194" t="s">
        <v>5384</v>
      </c>
      <c r="B1194" t="s">
        <v>4942</v>
      </c>
      <c r="C1194" t="str">
        <f t="shared" si="36"/>
        <v>mazowieckie_siedlecki</v>
      </c>
      <c r="D1194" t="s">
        <v>3425</v>
      </c>
      <c r="E1194" t="str">
        <f t="shared" si="37"/>
        <v>mazowieckie_siedlecki_Mokobody</v>
      </c>
      <c r="F1194" t="s">
        <v>1163</v>
      </c>
    </row>
    <row r="1195" spans="1:6" x14ac:dyDescent="0.3">
      <c r="A1195" t="s">
        <v>5384</v>
      </c>
      <c r="B1195" t="s">
        <v>4942</v>
      </c>
      <c r="C1195" t="str">
        <f t="shared" si="36"/>
        <v>mazowieckie_siedlecki</v>
      </c>
      <c r="D1195" t="s">
        <v>3426</v>
      </c>
      <c r="E1195" t="str">
        <f t="shared" si="37"/>
        <v>mazowieckie_siedlecki_Mordy</v>
      </c>
      <c r="F1195" t="s">
        <v>1164</v>
      </c>
    </row>
    <row r="1196" spans="1:6" x14ac:dyDescent="0.3">
      <c r="A1196" t="s">
        <v>5384</v>
      </c>
      <c r="B1196" t="s">
        <v>4942</v>
      </c>
      <c r="C1196" t="str">
        <f t="shared" si="36"/>
        <v>mazowieckie_siedlecki</v>
      </c>
      <c r="D1196" t="s">
        <v>3427</v>
      </c>
      <c r="E1196" t="str">
        <f t="shared" si="37"/>
        <v>mazowieckie_siedlecki_Paprotnia</v>
      </c>
      <c r="F1196" t="s">
        <v>1165</v>
      </c>
    </row>
    <row r="1197" spans="1:6" x14ac:dyDescent="0.3">
      <c r="A1197" t="s">
        <v>5384</v>
      </c>
      <c r="B1197" t="s">
        <v>4942</v>
      </c>
      <c r="C1197" t="str">
        <f t="shared" si="36"/>
        <v>mazowieckie_siedlecki</v>
      </c>
      <c r="D1197" t="s">
        <v>3428</v>
      </c>
      <c r="E1197" t="str">
        <f t="shared" si="37"/>
        <v>mazowieckie_siedlecki_Przesmyki</v>
      </c>
      <c r="F1197" t="s">
        <v>1166</v>
      </c>
    </row>
    <row r="1198" spans="1:6" x14ac:dyDescent="0.3">
      <c r="A1198" t="s">
        <v>5384</v>
      </c>
      <c r="B1198" t="s">
        <v>4942</v>
      </c>
      <c r="C1198" t="str">
        <f t="shared" si="36"/>
        <v>mazowieckie_siedlecki</v>
      </c>
      <c r="D1198" t="s">
        <v>3429</v>
      </c>
      <c r="E1198" t="str">
        <f t="shared" si="37"/>
        <v>mazowieckie_siedlecki_Siedlce</v>
      </c>
      <c r="F1198" t="s">
        <v>1167</v>
      </c>
    </row>
    <row r="1199" spans="1:6" x14ac:dyDescent="0.3">
      <c r="A1199" t="s">
        <v>5384</v>
      </c>
      <c r="B1199" t="s">
        <v>4942</v>
      </c>
      <c r="C1199" t="str">
        <f t="shared" si="36"/>
        <v>mazowieckie_siedlecki</v>
      </c>
      <c r="D1199" t="s">
        <v>3430</v>
      </c>
      <c r="E1199" t="str">
        <f t="shared" si="37"/>
        <v>mazowieckie_siedlecki_Skórzec</v>
      </c>
      <c r="F1199" t="s">
        <v>1168</v>
      </c>
    </row>
    <row r="1200" spans="1:6" x14ac:dyDescent="0.3">
      <c r="A1200" t="s">
        <v>5384</v>
      </c>
      <c r="B1200" t="s">
        <v>4942</v>
      </c>
      <c r="C1200" t="str">
        <f t="shared" si="36"/>
        <v>mazowieckie_siedlecki</v>
      </c>
      <c r="D1200" t="s">
        <v>3431</v>
      </c>
      <c r="E1200" t="str">
        <f t="shared" si="37"/>
        <v>mazowieckie_siedlecki_Suchożebry</v>
      </c>
      <c r="F1200" t="s">
        <v>1169</v>
      </c>
    </row>
    <row r="1201" spans="1:6" x14ac:dyDescent="0.3">
      <c r="A1201" t="s">
        <v>5384</v>
      </c>
      <c r="B1201" t="s">
        <v>4942</v>
      </c>
      <c r="C1201" t="str">
        <f t="shared" si="36"/>
        <v>mazowieckie_siedlecki</v>
      </c>
      <c r="D1201" t="s">
        <v>3432</v>
      </c>
      <c r="E1201" t="str">
        <f t="shared" si="37"/>
        <v>mazowieckie_siedlecki_Wiśniew</v>
      </c>
      <c r="F1201" t="s">
        <v>1170</v>
      </c>
    </row>
    <row r="1202" spans="1:6" x14ac:dyDescent="0.3">
      <c r="A1202" t="s">
        <v>5384</v>
      </c>
      <c r="B1202" t="s">
        <v>4942</v>
      </c>
      <c r="C1202" t="str">
        <f t="shared" si="36"/>
        <v>mazowieckie_siedlecki</v>
      </c>
      <c r="D1202" t="s">
        <v>3433</v>
      </c>
      <c r="E1202" t="str">
        <f t="shared" si="37"/>
        <v>mazowieckie_siedlecki_Wodynie</v>
      </c>
      <c r="F1202" t="s">
        <v>1171</v>
      </c>
    </row>
    <row r="1203" spans="1:6" x14ac:dyDescent="0.3">
      <c r="A1203" t="s">
        <v>5384</v>
      </c>
      <c r="B1203" t="s">
        <v>4942</v>
      </c>
      <c r="C1203" t="str">
        <f t="shared" si="36"/>
        <v>mazowieckie_siedlecki</v>
      </c>
      <c r="D1203" t="s">
        <v>3434</v>
      </c>
      <c r="E1203" t="str">
        <f t="shared" si="37"/>
        <v>mazowieckie_siedlecki_Zbuczyn</v>
      </c>
      <c r="F1203" t="s">
        <v>1172</v>
      </c>
    </row>
    <row r="1204" spans="1:6" x14ac:dyDescent="0.3">
      <c r="A1204" t="s">
        <v>5384</v>
      </c>
      <c r="B1204" t="s">
        <v>4943</v>
      </c>
      <c r="C1204" t="str">
        <f t="shared" si="36"/>
        <v>mazowieckie_sierpecki</v>
      </c>
      <c r="D1204" t="s">
        <v>3435</v>
      </c>
      <c r="E1204" t="str">
        <f t="shared" si="37"/>
        <v>mazowieckie_sierpecki_Gozdowo</v>
      </c>
      <c r="F1204" t="s">
        <v>1174</v>
      </c>
    </row>
    <row r="1205" spans="1:6" x14ac:dyDescent="0.3">
      <c r="A1205" t="s">
        <v>5384</v>
      </c>
      <c r="B1205" t="s">
        <v>4943</v>
      </c>
      <c r="C1205" t="str">
        <f t="shared" si="36"/>
        <v>mazowieckie_sierpecki</v>
      </c>
      <c r="D1205" t="s">
        <v>3436</v>
      </c>
      <c r="E1205" t="str">
        <f t="shared" si="37"/>
        <v>mazowieckie_sierpecki_Mochowo</v>
      </c>
      <c r="F1205" t="s">
        <v>1175</v>
      </c>
    </row>
    <row r="1206" spans="1:6" x14ac:dyDescent="0.3">
      <c r="A1206" t="s">
        <v>5384</v>
      </c>
      <c r="B1206" t="s">
        <v>4943</v>
      </c>
      <c r="C1206" t="str">
        <f t="shared" si="36"/>
        <v>mazowieckie_sierpecki</v>
      </c>
      <c r="D1206" t="s">
        <v>3437</v>
      </c>
      <c r="E1206" t="str">
        <f t="shared" si="37"/>
        <v>mazowieckie_sierpecki_Rościszewo</v>
      </c>
      <c r="F1206" t="s">
        <v>1176</v>
      </c>
    </row>
    <row r="1207" spans="1:6" x14ac:dyDescent="0.3">
      <c r="A1207" t="s">
        <v>5384</v>
      </c>
      <c r="B1207" t="s">
        <v>4943</v>
      </c>
      <c r="C1207" t="str">
        <f t="shared" si="36"/>
        <v>mazowieckie_sierpecki</v>
      </c>
      <c r="D1207" t="s">
        <v>3438</v>
      </c>
      <c r="E1207" t="str">
        <f t="shared" si="37"/>
        <v>mazowieckie_sierpecki_Szczutowo</v>
      </c>
      <c r="F1207" t="s">
        <v>1178</v>
      </c>
    </row>
    <row r="1208" spans="1:6" x14ac:dyDescent="0.3">
      <c r="A1208" t="s">
        <v>5384</v>
      </c>
      <c r="B1208" t="s">
        <v>4943</v>
      </c>
      <c r="C1208" t="str">
        <f t="shared" si="36"/>
        <v>mazowieckie_sierpecki</v>
      </c>
      <c r="D1208" t="s">
        <v>3439</v>
      </c>
      <c r="E1208" t="str">
        <f t="shared" si="37"/>
        <v>mazowieckie_sierpecki_Zawidz</v>
      </c>
      <c r="F1208" t="s">
        <v>1179</v>
      </c>
    </row>
    <row r="1209" spans="1:6" x14ac:dyDescent="0.3">
      <c r="A1209" t="s">
        <v>5384</v>
      </c>
      <c r="B1209" t="s">
        <v>4943</v>
      </c>
      <c r="C1209" t="str">
        <f t="shared" si="36"/>
        <v>mazowieckie_sierpecki</v>
      </c>
      <c r="D1209" t="s">
        <v>4652</v>
      </c>
      <c r="E1209" t="str">
        <f t="shared" si="37"/>
        <v>mazowieckie_sierpecki_Sierpc (gm. miejska)</v>
      </c>
      <c r="F1209" t="s">
        <v>1173</v>
      </c>
    </row>
    <row r="1210" spans="1:6" x14ac:dyDescent="0.3">
      <c r="A1210" t="s">
        <v>5384</v>
      </c>
      <c r="B1210" t="s">
        <v>4943</v>
      </c>
      <c r="C1210" t="str">
        <f t="shared" si="36"/>
        <v>mazowieckie_sierpecki</v>
      </c>
      <c r="D1210" t="s">
        <v>4653</v>
      </c>
      <c r="E1210" t="str">
        <f t="shared" si="37"/>
        <v>mazowieckie_sierpecki_Sierpc (gm. wiejska)</v>
      </c>
      <c r="F1210" t="s">
        <v>1177</v>
      </c>
    </row>
    <row r="1211" spans="1:6" x14ac:dyDescent="0.3">
      <c r="A1211" t="s">
        <v>5384</v>
      </c>
      <c r="B1211" t="s">
        <v>4944</v>
      </c>
      <c r="C1211" t="str">
        <f t="shared" si="36"/>
        <v>mazowieckie_sochaczewski</v>
      </c>
      <c r="D1211" t="s">
        <v>3440</v>
      </c>
      <c r="E1211" t="str">
        <f t="shared" si="37"/>
        <v>mazowieckie_sochaczewski_Brochów</v>
      </c>
      <c r="F1211" t="s">
        <v>1181</v>
      </c>
    </row>
    <row r="1212" spans="1:6" x14ac:dyDescent="0.3">
      <c r="A1212" t="s">
        <v>5384</v>
      </c>
      <c r="B1212" t="s">
        <v>4944</v>
      </c>
      <c r="C1212" t="str">
        <f t="shared" si="36"/>
        <v>mazowieckie_sochaczewski</v>
      </c>
      <c r="D1212" t="s">
        <v>3441</v>
      </c>
      <c r="E1212" t="str">
        <f t="shared" si="37"/>
        <v>mazowieckie_sochaczewski_Iłów</v>
      </c>
      <c r="F1212" t="s">
        <v>1182</v>
      </c>
    </row>
    <row r="1213" spans="1:6" x14ac:dyDescent="0.3">
      <c r="A1213" t="s">
        <v>5384</v>
      </c>
      <c r="B1213" t="s">
        <v>4944</v>
      </c>
      <c r="C1213" t="str">
        <f t="shared" si="36"/>
        <v>mazowieckie_sochaczewski</v>
      </c>
      <c r="D1213" t="s">
        <v>3442</v>
      </c>
      <c r="E1213" t="str">
        <f t="shared" si="37"/>
        <v>mazowieckie_sochaczewski_Młodzieszyn</v>
      </c>
      <c r="F1213" t="s">
        <v>1183</v>
      </c>
    </row>
    <row r="1214" spans="1:6" x14ac:dyDescent="0.3">
      <c r="A1214" t="s">
        <v>5384</v>
      </c>
      <c r="B1214" t="s">
        <v>4944</v>
      </c>
      <c r="C1214" t="str">
        <f t="shared" si="36"/>
        <v>mazowieckie_sochaczewski</v>
      </c>
      <c r="D1214" t="s">
        <v>3443</v>
      </c>
      <c r="E1214" t="str">
        <f t="shared" si="37"/>
        <v>mazowieckie_sochaczewski_Nowa Sucha</v>
      </c>
      <c r="F1214" t="s">
        <v>1184</v>
      </c>
    </row>
    <row r="1215" spans="1:6" x14ac:dyDescent="0.3">
      <c r="A1215" t="s">
        <v>5384</v>
      </c>
      <c r="B1215" t="s">
        <v>4944</v>
      </c>
      <c r="C1215" t="str">
        <f t="shared" si="36"/>
        <v>mazowieckie_sochaczewski</v>
      </c>
      <c r="D1215" t="s">
        <v>3444</v>
      </c>
      <c r="E1215" t="str">
        <f t="shared" si="37"/>
        <v>mazowieckie_sochaczewski_Rybno</v>
      </c>
      <c r="F1215" t="s">
        <v>1185</v>
      </c>
    </row>
    <row r="1216" spans="1:6" x14ac:dyDescent="0.3">
      <c r="A1216" t="s">
        <v>5384</v>
      </c>
      <c r="B1216" t="s">
        <v>4944</v>
      </c>
      <c r="C1216" t="str">
        <f t="shared" si="36"/>
        <v>mazowieckie_sochaczewski</v>
      </c>
      <c r="D1216" t="s">
        <v>3445</v>
      </c>
      <c r="E1216" t="str">
        <f t="shared" si="37"/>
        <v>mazowieckie_sochaczewski_Teresin</v>
      </c>
      <c r="F1216" t="s">
        <v>1187</v>
      </c>
    </row>
    <row r="1217" spans="1:6" x14ac:dyDescent="0.3">
      <c r="A1217" t="s">
        <v>5384</v>
      </c>
      <c r="B1217" t="s">
        <v>4944</v>
      </c>
      <c r="C1217" t="str">
        <f t="shared" ref="C1217:C1280" si="38">CONCATENATE(A1217,"_",B1217)</f>
        <v>mazowieckie_sochaczewski</v>
      </c>
      <c r="D1217" t="s">
        <v>4654</v>
      </c>
      <c r="E1217" t="str">
        <f t="shared" ref="E1217:E1280" si="39">C1217&amp;"_"&amp;D1217</f>
        <v>mazowieckie_sochaczewski_Sochaczew (gm. miejska)</v>
      </c>
      <c r="F1217" t="s">
        <v>1180</v>
      </c>
    </row>
    <row r="1218" spans="1:6" x14ac:dyDescent="0.3">
      <c r="A1218" t="s">
        <v>5384</v>
      </c>
      <c r="B1218" t="s">
        <v>4944</v>
      </c>
      <c r="C1218" t="str">
        <f t="shared" si="38"/>
        <v>mazowieckie_sochaczewski</v>
      </c>
      <c r="D1218" t="s">
        <v>4655</v>
      </c>
      <c r="E1218" t="str">
        <f t="shared" si="39"/>
        <v>mazowieckie_sochaczewski_Sochaczew (gm. wiejska)</v>
      </c>
      <c r="F1218" t="s">
        <v>1186</v>
      </c>
    </row>
    <row r="1219" spans="1:6" x14ac:dyDescent="0.3">
      <c r="A1219" t="s">
        <v>5384</v>
      </c>
      <c r="B1219" t="s">
        <v>4945</v>
      </c>
      <c r="C1219" t="str">
        <f t="shared" si="38"/>
        <v>mazowieckie_sokołowski</v>
      </c>
      <c r="D1219" t="s">
        <v>3446</v>
      </c>
      <c r="E1219" t="str">
        <f t="shared" si="39"/>
        <v>mazowieckie_sokołowski_Bielany</v>
      </c>
      <c r="F1219" t="s">
        <v>1189</v>
      </c>
    </row>
    <row r="1220" spans="1:6" x14ac:dyDescent="0.3">
      <c r="A1220" t="s">
        <v>5384</v>
      </c>
      <c r="B1220" t="s">
        <v>4945</v>
      </c>
      <c r="C1220" t="str">
        <f t="shared" si="38"/>
        <v>mazowieckie_sokołowski</v>
      </c>
      <c r="D1220" t="s">
        <v>3447</v>
      </c>
      <c r="E1220" t="str">
        <f t="shared" si="39"/>
        <v>mazowieckie_sokołowski_Ceranów</v>
      </c>
      <c r="F1220" t="s">
        <v>1190</v>
      </c>
    </row>
    <row r="1221" spans="1:6" x14ac:dyDescent="0.3">
      <c r="A1221" t="s">
        <v>5384</v>
      </c>
      <c r="B1221" t="s">
        <v>4945</v>
      </c>
      <c r="C1221" t="str">
        <f t="shared" si="38"/>
        <v>mazowieckie_sokołowski</v>
      </c>
      <c r="D1221" t="s">
        <v>3448</v>
      </c>
      <c r="E1221" t="str">
        <f t="shared" si="39"/>
        <v>mazowieckie_sokołowski_Jabłonna Lacka</v>
      </c>
      <c r="F1221" t="s">
        <v>1191</v>
      </c>
    </row>
    <row r="1222" spans="1:6" x14ac:dyDescent="0.3">
      <c r="A1222" t="s">
        <v>5384</v>
      </c>
      <c r="B1222" t="s">
        <v>4945</v>
      </c>
      <c r="C1222" t="str">
        <f t="shared" si="38"/>
        <v>mazowieckie_sokołowski</v>
      </c>
      <c r="D1222" t="s">
        <v>3449</v>
      </c>
      <c r="E1222" t="str">
        <f t="shared" si="39"/>
        <v>mazowieckie_sokołowski_Kosów Lacki</v>
      </c>
      <c r="F1222" t="s">
        <v>1192</v>
      </c>
    </row>
    <row r="1223" spans="1:6" x14ac:dyDescent="0.3">
      <c r="A1223" t="s">
        <v>5384</v>
      </c>
      <c r="B1223" t="s">
        <v>4945</v>
      </c>
      <c r="C1223" t="str">
        <f t="shared" si="38"/>
        <v>mazowieckie_sokołowski</v>
      </c>
      <c r="D1223" t="s">
        <v>3450</v>
      </c>
      <c r="E1223" t="str">
        <f t="shared" si="39"/>
        <v>mazowieckie_sokołowski_Repki</v>
      </c>
      <c r="F1223" t="s">
        <v>1193</v>
      </c>
    </row>
    <row r="1224" spans="1:6" x14ac:dyDescent="0.3">
      <c r="A1224" t="s">
        <v>5384</v>
      </c>
      <c r="B1224" t="s">
        <v>4945</v>
      </c>
      <c r="C1224" t="str">
        <f t="shared" si="38"/>
        <v>mazowieckie_sokołowski</v>
      </c>
      <c r="D1224" t="s">
        <v>3451</v>
      </c>
      <c r="E1224" t="str">
        <f t="shared" si="39"/>
        <v>mazowieckie_sokołowski_Sabnie</v>
      </c>
      <c r="F1224" t="s">
        <v>1194</v>
      </c>
    </row>
    <row r="1225" spans="1:6" x14ac:dyDescent="0.3">
      <c r="A1225" t="s">
        <v>5384</v>
      </c>
      <c r="B1225" t="s">
        <v>4945</v>
      </c>
      <c r="C1225" t="str">
        <f t="shared" si="38"/>
        <v>mazowieckie_sokołowski</v>
      </c>
      <c r="D1225" t="s">
        <v>3452</v>
      </c>
      <c r="E1225" t="str">
        <f t="shared" si="39"/>
        <v>mazowieckie_sokołowski_Sterdyń</v>
      </c>
      <c r="F1225" t="s">
        <v>1196</v>
      </c>
    </row>
    <row r="1226" spans="1:6" x14ac:dyDescent="0.3">
      <c r="A1226" t="s">
        <v>5384</v>
      </c>
      <c r="B1226" t="s">
        <v>4945</v>
      </c>
      <c r="C1226" t="str">
        <f t="shared" si="38"/>
        <v>mazowieckie_sokołowski</v>
      </c>
      <c r="D1226" t="s">
        <v>4656</v>
      </c>
      <c r="E1226" t="str">
        <f t="shared" si="39"/>
        <v>mazowieckie_sokołowski_Sokołów Podlaski (gm. miejska)</v>
      </c>
      <c r="F1226" t="s">
        <v>1188</v>
      </c>
    </row>
    <row r="1227" spans="1:6" x14ac:dyDescent="0.3">
      <c r="A1227" t="s">
        <v>5384</v>
      </c>
      <c r="B1227" t="s">
        <v>4945</v>
      </c>
      <c r="C1227" t="str">
        <f t="shared" si="38"/>
        <v>mazowieckie_sokołowski</v>
      </c>
      <c r="D1227" t="s">
        <v>4657</v>
      </c>
      <c r="E1227" t="str">
        <f t="shared" si="39"/>
        <v>mazowieckie_sokołowski_Sokołów Podlaski (gm. wiejska)</v>
      </c>
      <c r="F1227" t="s">
        <v>1195</v>
      </c>
    </row>
    <row r="1228" spans="1:6" x14ac:dyDescent="0.3">
      <c r="A1228" t="s">
        <v>5384</v>
      </c>
      <c r="B1228" t="s">
        <v>4946</v>
      </c>
      <c r="C1228" t="str">
        <f t="shared" si="38"/>
        <v>mazowieckie_szydłowiecki</v>
      </c>
      <c r="D1228" t="s">
        <v>3453</v>
      </c>
      <c r="E1228" t="str">
        <f t="shared" si="39"/>
        <v>mazowieckie_szydłowiecki_Chlewiska</v>
      </c>
      <c r="F1228" t="s">
        <v>1197</v>
      </c>
    </row>
    <row r="1229" spans="1:6" x14ac:dyDescent="0.3">
      <c r="A1229" t="s">
        <v>5384</v>
      </c>
      <c r="B1229" t="s">
        <v>4946</v>
      </c>
      <c r="C1229" t="str">
        <f t="shared" si="38"/>
        <v>mazowieckie_szydłowiecki</v>
      </c>
      <c r="D1229" t="s">
        <v>3454</v>
      </c>
      <c r="E1229" t="str">
        <f t="shared" si="39"/>
        <v>mazowieckie_szydłowiecki_Jastrząb</v>
      </c>
      <c r="F1229" t="s">
        <v>5517</v>
      </c>
    </row>
    <row r="1230" spans="1:6" x14ac:dyDescent="0.3">
      <c r="A1230" t="s">
        <v>5384</v>
      </c>
      <c r="B1230" t="s">
        <v>4946</v>
      </c>
      <c r="C1230" t="str">
        <f t="shared" si="38"/>
        <v>mazowieckie_szydłowiecki</v>
      </c>
      <c r="D1230" t="s">
        <v>3455</v>
      </c>
      <c r="E1230" t="str">
        <f t="shared" si="39"/>
        <v>mazowieckie_szydłowiecki_Mirów</v>
      </c>
      <c r="F1230" t="s">
        <v>1199</v>
      </c>
    </row>
    <row r="1231" spans="1:6" x14ac:dyDescent="0.3">
      <c r="A1231" t="s">
        <v>5384</v>
      </c>
      <c r="B1231" t="s">
        <v>4946</v>
      </c>
      <c r="C1231" t="str">
        <f t="shared" si="38"/>
        <v>mazowieckie_szydłowiecki</v>
      </c>
      <c r="D1231" t="s">
        <v>3456</v>
      </c>
      <c r="E1231" t="str">
        <f t="shared" si="39"/>
        <v>mazowieckie_szydłowiecki_Orońsko</v>
      </c>
      <c r="F1231" t="s">
        <v>1200</v>
      </c>
    </row>
    <row r="1232" spans="1:6" x14ac:dyDescent="0.3">
      <c r="A1232" t="s">
        <v>5384</v>
      </c>
      <c r="B1232" t="s">
        <v>4946</v>
      </c>
      <c r="C1232" t="str">
        <f t="shared" si="38"/>
        <v>mazowieckie_szydłowiecki</v>
      </c>
      <c r="D1232" t="s">
        <v>3457</v>
      </c>
      <c r="E1232" t="str">
        <f t="shared" si="39"/>
        <v>mazowieckie_szydłowiecki_Szydłowiec</v>
      </c>
      <c r="F1232" t="s">
        <v>1201</v>
      </c>
    </row>
    <row r="1233" spans="1:6" x14ac:dyDescent="0.3">
      <c r="A1233" t="s">
        <v>5384</v>
      </c>
      <c r="B1233" t="s">
        <v>5416</v>
      </c>
      <c r="C1233" t="str">
        <f t="shared" si="38"/>
        <v>mazowieckie_Warszawa</v>
      </c>
      <c r="D1233" t="s">
        <v>5416</v>
      </c>
      <c r="E1233" t="str">
        <f t="shared" si="39"/>
        <v>mazowieckie_Warszawa_Warszawa</v>
      </c>
      <c r="F1233" t="s">
        <v>1254</v>
      </c>
    </row>
    <row r="1234" spans="1:6" x14ac:dyDescent="0.3">
      <c r="A1234" t="s">
        <v>5384</v>
      </c>
      <c r="B1234" t="s">
        <v>4947</v>
      </c>
      <c r="C1234" t="str">
        <f t="shared" si="38"/>
        <v>mazowieckie_warszawski zachodni</v>
      </c>
      <c r="D1234" t="s">
        <v>3458</v>
      </c>
      <c r="E1234" t="str">
        <f t="shared" si="39"/>
        <v>mazowieckie_warszawski zachodni_Błonie</v>
      </c>
      <c r="F1234" t="s">
        <v>1202</v>
      </c>
    </row>
    <row r="1235" spans="1:6" x14ac:dyDescent="0.3">
      <c r="A1235" t="s">
        <v>5384</v>
      </c>
      <c r="B1235" t="s">
        <v>4947</v>
      </c>
      <c r="C1235" t="str">
        <f t="shared" si="38"/>
        <v>mazowieckie_warszawski zachodni</v>
      </c>
      <c r="D1235" t="s">
        <v>3459</v>
      </c>
      <c r="E1235" t="str">
        <f t="shared" si="39"/>
        <v>mazowieckie_warszawski zachodni_Izabelin</v>
      </c>
      <c r="F1235" t="s">
        <v>1203</v>
      </c>
    </row>
    <row r="1236" spans="1:6" x14ac:dyDescent="0.3">
      <c r="A1236" t="s">
        <v>5384</v>
      </c>
      <c r="B1236" t="s">
        <v>4947</v>
      </c>
      <c r="C1236" t="str">
        <f t="shared" si="38"/>
        <v>mazowieckie_warszawski zachodni</v>
      </c>
      <c r="D1236" t="s">
        <v>3460</v>
      </c>
      <c r="E1236" t="str">
        <f t="shared" si="39"/>
        <v>mazowieckie_warszawski zachodni_Kampinos</v>
      </c>
      <c r="F1236" t="s">
        <v>1204</v>
      </c>
    </row>
    <row r="1237" spans="1:6" x14ac:dyDescent="0.3">
      <c r="A1237" t="s">
        <v>5384</v>
      </c>
      <c r="B1237" t="s">
        <v>4947</v>
      </c>
      <c r="C1237" t="str">
        <f t="shared" si="38"/>
        <v>mazowieckie_warszawski zachodni</v>
      </c>
      <c r="D1237" t="s">
        <v>3461</v>
      </c>
      <c r="E1237" t="str">
        <f t="shared" si="39"/>
        <v>mazowieckie_warszawski zachodni_Leszno</v>
      </c>
      <c r="F1237" t="s">
        <v>1205</v>
      </c>
    </row>
    <row r="1238" spans="1:6" x14ac:dyDescent="0.3">
      <c r="A1238" t="s">
        <v>5384</v>
      </c>
      <c r="B1238" t="s">
        <v>4947</v>
      </c>
      <c r="C1238" t="str">
        <f t="shared" si="38"/>
        <v>mazowieckie_warszawski zachodni</v>
      </c>
      <c r="D1238" t="s">
        <v>3462</v>
      </c>
      <c r="E1238" t="str">
        <f t="shared" si="39"/>
        <v>mazowieckie_warszawski zachodni_Łomianki</v>
      </c>
      <c r="F1238" t="s">
        <v>1206</v>
      </c>
    </row>
    <row r="1239" spans="1:6" x14ac:dyDescent="0.3">
      <c r="A1239" t="s">
        <v>5384</v>
      </c>
      <c r="B1239" t="s">
        <v>4947</v>
      </c>
      <c r="C1239" t="str">
        <f t="shared" si="38"/>
        <v>mazowieckie_warszawski zachodni</v>
      </c>
      <c r="D1239" t="s">
        <v>3463</v>
      </c>
      <c r="E1239" t="str">
        <f t="shared" si="39"/>
        <v>mazowieckie_warszawski zachodni_Ożarów Mazowiecki</v>
      </c>
      <c r="F1239" t="s">
        <v>1207</v>
      </c>
    </row>
    <row r="1240" spans="1:6" x14ac:dyDescent="0.3">
      <c r="A1240" t="s">
        <v>5384</v>
      </c>
      <c r="B1240" t="s">
        <v>4947</v>
      </c>
      <c r="C1240" t="str">
        <f t="shared" si="38"/>
        <v>mazowieckie_warszawski zachodni</v>
      </c>
      <c r="D1240" t="s">
        <v>3464</v>
      </c>
      <c r="E1240" t="str">
        <f t="shared" si="39"/>
        <v>mazowieckie_warszawski zachodni_Stare Babice</v>
      </c>
      <c r="F1240" t="s">
        <v>1208</v>
      </c>
    </row>
    <row r="1241" spans="1:6" x14ac:dyDescent="0.3">
      <c r="A1241" t="s">
        <v>5384</v>
      </c>
      <c r="B1241" t="s">
        <v>4948</v>
      </c>
      <c r="C1241" t="str">
        <f t="shared" si="38"/>
        <v>mazowieckie_węgrowski</v>
      </c>
      <c r="D1241" t="s">
        <v>3466</v>
      </c>
      <c r="E1241" t="str">
        <f t="shared" si="39"/>
        <v>mazowieckie_węgrowski_Grębków</v>
      </c>
      <c r="F1241" t="s">
        <v>1210</v>
      </c>
    </row>
    <row r="1242" spans="1:6" x14ac:dyDescent="0.3">
      <c r="A1242" t="s">
        <v>5384</v>
      </c>
      <c r="B1242" t="s">
        <v>4948</v>
      </c>
      <c r="C1242" t="str">
        <f t="shared" si="38"/>
        <v>mazowieckie_węgrowski</v>
      </c>
      <c r="D1242" t="s">
        <v>3467</v>
      </c>
      <c r="E1242" t="str">
        <f t="shared" si="39"/>
        <v>mazowieckie_węgrowski_Korytnica</v>
      </c>
      <c r="F1242" t="s">
        <v>1211</v>
      </c>
    </row>
    <row r="1243" spans="1:6" x14ac:dyDescent="0.3">
      <c r="A1243" t="s">
        <v>5384</v>
      </c>
      <c r="B1243" t="s">
        <v>4948</v>
      </c>
      <c r="C1243" t="str">
        <f t="shared" si="38"/>
        <v>mazowieckie_węgrowski</v>
      </c>
      <c r="D1243" t="s">
        <v>3468</v>
      </c>
      <c r="E1243" t="str">
        <f t="shared" si="39"/>
        <v>mazowieckie_węgrowski_Liw</v>
      </c>
      <c r="F1243" t="s">
        <v>1212</v>
      </c>
    </row>
    <row r="1244" spans="1:6" x14ac:dyDescent="0.3">
      <c r="A1244" t="s">
        <v>5384</v>
      </c>
      <c r="B1244" t="s">
        <v>4948</v>
      </c>
      <c r="C1244" t="str">
        <f t="shared" si="38"/>
        <v>mazowieckie_węgrowski</v>
      </c>
      <c r="D1244" t="s">
        <v>3469</v>
      </c>
      <c r="E1244" t="str">
        <f t="shared" si="39"/>
        <v>mazowieckie_węgrowski_Łochów</v>
      </c>
      <c r="F1244" t="s">
        <v>1213</v>
      </c>
    </row>
    <row r="1245" spans="1:6" x14ac:dyDescent="0.3">
      <c r="A1245" t="s">
        <v>5384</v>
      </c>
      <c r="B1245" t="s">
        <v>4948</v>
      </c>
      <c r="C1245" t="str">
        <f t="shared" si="38"/>
        <v>mazowieckie_węgrowski</v>
      </c>
      <c r="D1245" t="s">
        <v>3470</v>
      </c>
      <c r="E1245" t="str">
        <f t="shared" si="39"/>
        <v>mazowieckie_węgrowski_Miedzna</v>
      </c>
      <c r="F1245" t="s">
        <v>1214</v>
      </c>
    </row>
    <row r="1246" spans="1:6" x14ac:dyDescent="0.3">
      <c r="A1246" t="s">
        <v>5384</v>
      </c>
      <c r="B1246" t="s">
        <v>4948</v>
      </c>
      <c r="C1246" t="str">
        <f t="shared" si="38"/>
        <v>mazowieckie_węgrowski</v>
      </c>
      <c r="D1246" t="s">
        <v>3471</v>
      </c>
      <c r="E1246" t="str">
        <f t="shared" si="39"/>
        <v>mazowieckie_węgrowski_Sadowne</v>
      </c>
      <c r="F1246" t="s">
        <v>1215</v>
      </c>
    </row>
    <row r="1247" spans="1:6" x14ac:dyDescent="0.3">
      <c r="A1247" t="s">
        <v>5384</v>
      </c>
      <c r="B1247" t="s">
        <v>4948</v>
      </c>
      <c r="C1247" t="str">
        <f t="shared" si="38"/>
        <v>mazowieckie_węgrowski</v>
      </c>
      <c r="D1247" t="s">
        <v>3472</v>
      </c>
      <c r="E1247" t="str">
        <f t="shared" si="39"/>
        <v>mazowieckie_węgrowski_Stoczek</v>
      </c>
      <c r="F1247" t="s">
        <v>1216</v>
      </c>
    </row>
    <row r="1248" spans="1:6" x14ac:dyDescent="0.3">
      <c r="A1248" t="s">
        <v>5384</v>
      </c>
      <c r="B1248" t="s">
        <v>4948</v>
      </c>
      <c r="C1248" t="str">
        <f t="shared" si="38"/>
        <v>mazowieckie_węgrowski</v>
      </c>
      <c r="D1248" t="s">
        <v>3465</v>
      </c>
      <c r="E1248" t="str">
        <f t="shared" si="39"/>
        <v>mazowieckie_węgrowski_Węgrów</v>
      </c>
      <c r="F1248" t="s">
        <v>1209</v>
      </c>
    </row>
    <row r="1249" spans="1:6" x14ac:dyDescent="0.3">
      <c r="A1249" t="s">
        <v>5384</v>
      </c>
      <c r="B1249" t="s">
        <v>4948</v>
      </c>
      <c r="C1249" t="str">
        <f t="shared" si="38"/>
        <v>mazowieckie_węgrowski</v>
      </c>
      <c r="D1249" t="s">
        <v>3473</v>
      </c>
      <c r="E1249" t="str">
        <f t="shared" si="39"/>
        <v>mazowieckie_węgrowski_Wierzbno</v>
      </c>
      <c r="F1249" t="s">
        <v>1217</v>
      </c>
    </row>
    <row r="1250" spans="1:6" x14ac:dyDescent="0.3">
      <c r="A1250" t="s">
        <v>5384</v>
      </c>
      <c r="B1250" t="s">
        <v>4949</v>
      </c>
      <c r="C1250" t="str">
        <f t="shared" si="38"/>
        <v>mazowieckie_wołomiński</v>
      </c>
      <c r="D1250" t="s">
        <v>3478</v>
      </c>
      <c r="E1250" t="str">
        <f t="shared" si="39"/>
        <v>mazowieckie_wołomiński_Dąbrówka</v>
      </c>
      <c r="F1250" t="s">
        <v>1222</v>
      </c>
    </row>
    <row r="1251" spans="1:6" x14ac:dyDescent="0.3">
      <c r="A1251" t="s">
        <v>5384</v>
      </c>
      <c r="B1251" t="s">
        <v>4949</v>
      </c>
      <c r="C1251" t="str">
        <f t="shared" si="38"/>
        <v>mazowieckie_wołomiński</v>
      </c>
      <c r="D1251" t="s">
        <v>3479</v>
      </c>
      <c r="E1251" t="str">
        <f t="shared" si="39"/>
        <v>mazowieckie_wołomiński_Jadów</v>
      </c>
      <c r="F1251" t="s">
        <v>5518</v>
      </c>
    </row>
    <row r="1252" spans="1:6" x14ac:dyDescent="0.3">
      <c r="A1252" t="s">
        <v>5384</v>
      </c>
      <c r="B1252" t="s">
        <v>4949</v>
      </c>
      <c r="C1252" t="str">
        <f t="shared" si="38"/>
        <v>mazowieckie_wołomiński</v>
      </c>
      <c r="D1252" t="s">
        <v>3480</v>
      </c>
      <c r="E1252" t="str">
        <f t="shared" si="39"/>
        <v>mazowieckie_wołomiński_Klembów</v>
      </c>
      <c r="F1252" t="s">
        <v>1224</v>
      </c>
    </row>
    <row r="1253" spans="1:6" x14ac:dyDescent="0.3">
      <c r="A1253" t="s">
        <v>5384</v>
      </c>
      <c r="B1253" t="s">
        <v>4949</v>
      </c>
      <c r="C1253" t="str">
        <f t="shared" si="38"/>
        <v>mazowieckie_wołomiński</v>
      </c>
      <c r="D1253" t="s">
        <v>3474</v>
      </c>
      <c r="E1253" t="str">
        <f t="shared" si="39"/>
        <v>mazowieckie_wołomiński_Kobyłka</v>
      </c>
      <c r="F1253" t="s">
        <v>1218</v>
      </c>
    </row>
    <row r="1254" spans="1:6" x14ac:dyDescent="0.3">
      <c r="A1254" t="s">
        <v>5384</v>
      </c>
      <c r="B1254" t="s">
        <v>4949</v>
      </c>
      <c r="C1254" t="str">
        <f t="shared" si="38"/>
        <v>mazowieckie_wołomiński</v>
      </c>
      <c r="D1254" t="s">
        <v>3475</v>
      </c>
      <c r="E1254" t="str">
        <f t="shared" si="39"/>
        <v>mazowieckie_wołomiński_Marki</v>
      </c>
      <c r="F1254" t="s">
        <v>1219</v>
      </c>
    </row>
    <row r="1255" spans="1:6" x14ac:dyDescent="0.3">
      <c r="A1255" t="s">
        <v>5384</v>
      </c>
      <c r="B1255" t="s">
        <v>4949</v>
      </c>
      <c r="C1255" t="str">
        <f t="shared" si="38"/>
        <v>mazowieckie_wołomiński</v>
      </c>
      <c r="D1255" t="s">
        <v>2976</v>
      </c>
      <c r="E1255" t="str">
        <f t="shared" si="39"/>
        <v>mazowieckie_wołomiński_Poświętne</v>
      </c>
      <c r="F1255" t="s">
        <v>1225</v>
      </c>
    </row>
    <row r="1256" spans="1:6" x14ac:dyDescent="0.3">
      <c r="A1256" t="s">
        <v>5384</v>
      </c>
      <c r="B1256" t="s">
        <v>4949</v>
      </c>
      <c r="C1256" t="str">
        <f t="shared" si="38"/>
        <v>mazowieckie_wołomiński</v>
      </c>
      <c r="D1256" t="s">
        <v>3481</v>
      </c>
      <c r="E1256" t="str">
        <f t="shared" si="39"/>
        <v>mazowieckie_wołomiński_Radzymin</v>
      </c>
      <c r="F1256" t="s">
        <v>1226</v>
      </c>
    </row>
    <row r="1257" spans="1:6" x14ac:dyDescent="0.3">
      <c r="A1257" t="s">
        <v>5384</v>
      </c>
      <c r="B1257" t="s">
        <v>4949</v>
      </c>
      <c r="C1257" t="str">
        <f t="shared" si="38"/>
        <v>mazowieckie_wołomiński</v>
      </c>
      <c r="D1257" t="s">
        <v>3482</v>
      </c>
      <c r="E1257" t="str">
        <f t="shared" si="39"/>
        <v>mazowieckie_wołomiński_Strachówka</v>
      </c>
      <c r="F1257" t="s">
        <v>1227</v>
      </c>
    </row>
    <row r="1258" spans="1:6" x14ac:dyDescent="0.3">
      <c r="A1258" t="s">
        <v>5384</v>
      </c>
      <c r="B1258" t="s">
        <v>4949</v>
      </c>
      <c r="C1258" t="str">
        <f t="shared" si="38"/>
        <v>mazowieckie_wołomiński</v>
      </c>
      <c r="D1258" t="s">
        <v>3483</v>
      </c>
      <c r="E1258" t="str">
        <f t="shared" si="39"/>
        <v>mazowieckie_wołomiński_Tłuszcz</v>
      </c>
      <c r="F1258" t="s">
        <v>1228</v>
      </c>
    </row>
    <row r="1259" spans="1:6" x14ac:dyDescent="0.3">
      <c r="A1259" t="s">
        <v>5384</v>
      </c>
      <c r="B1259" t="s">
        <v>4949</v>
      </c>
      <c r="C1259" t="str">
        <f t="shared" si="38"/>
        <v>mazowieckie_wołomiński</v>
      </c>
      <c r="D1259" t="s">
        <v>3484</v>
      </c>
      <c r="E1259" t="str">
        <f t="shared" si="39"/>
        <v>mazowieckie_wołomiński_Wołomin</v>
      </c>
      <c r="F1259" t="s">
        <v>1229</v>
      </c>
    </row>
    <row r="1260" spans="1:6" x14ac:dyDescent="0.3">
      <c r="A1260" t="s">
        <v>5384</v>
      </c>
      <c r="B1260" t="s">
        <v>4949</v>
      </c>
      <c r="C1260" t="str">
        <f t="shared" si="38"/>
        <v>mazowieckie_wołomiński</v>
      </c>
      <c r="D1260" t="s">
        <v>3476</v>
      </c>
      <c r="E1260" t="str">
        <f t="shared" si="39"/>
        <v>mazowieckie_wołomiński_Ząbki</v>
      </c>
      <c r="F1260" t="s">
        <v>1220</v>
      </c>
    </row>
    <row r="1261" spans="1:6" x14ac:dyDescent="0.3">
      <c r="A1261" t="s">
        <v>5384</v>
      </c>
      <c r="B1261" t="s">
        <v>4949</v>
      </c>
      <c r="C1261" t="str">
        <f t="shared" si="38"/>
        <v>mazowieckie_wołomiński</v>
      </c>
      <c r="D1261" t="s">
        <v>3477</v>
      </c>
      <c r="E1261" t="str">
        <f t="shared" si="39"/>
        <v>mazowieckie_wołomiński_Zielonka</v>
      </c>
      <c r="F1261" t="s">
        <v>1221</v>
      </c>
    </row>
    <row r="1262" spans="1:6" x14ac:dyDescent="0.3">
      <c r="A1262" t="s">
        <v>5384</v>
      </c>
      <c r="B1262" t="s">
        <v>4950</v>
      </c>
      <c r="C1262" t="str">
        <f t="shared" si="38"/>
        <v>mazowieckie_wyszkowski</v>
      </c>
      <c r="D1262" t="s">
        <v>3485</v>
      </c>
      <c r="E1262" t="str">
        <f t="shared" si="39"/>
        <v>mazowieckie_wyszkowski_Brańszczyk</v>
      </c>
      <c r="F1262" t="s">
        <v>1230</v>
      </c>
    </row>
    <row r="1263" spans="1:6" x14ac:dyDescent="0.3">
      <c r="A1263" t="s">
        <v>5384</v>
      </c>
      <c r="B1263" t="s">
        <v>4950</v>
      </c>
      <c r="C1263" t="str">
        <f t="shared" si="38"/>
        <v>mazowieckie_wyszkowski</v>
      </c>
      <c r="D1263" t="s">
        <v>3486</v>
      </c>
      <c r="E1263" t="str">
        <f t="shared" si="39"/>
        <v>mazowieckie_wyszkowski_Długosiodło</v>
      </c>
      <c r="F1263" t="s">
        <v>1231</v>
      </c>
    </row>
    <row r="1264" spans="1:6" x14ac:dyDescent="0.3">
      <c r="A1264" t="s">
        <v>5384</v>
      </c>
      <c r="B1264" t="s">
        <v>4950</v>
      </c>
      <c r="C1264" t="str">
        <f t="shared" si="38"/>
        <v>mazowieckie_wyszkowski</v>
      </c>
      <c r="D1264" t="s">
        <v>3487</v>
      </c>
      <c r="E1264" t="str">
        <f t="shared" si="39"/>
        <v>mazowieckie_wyszkowski_Rząśnik</v>
      </c>
      <c r="F1264" t="s">
        <v>1232</v>
      </c>
    </row>
    <row r="1265" spans="1:6" x14ac:dyDescent="0.3">
      <c r="A1265" t="s">
        <v>5384</v>
      </c>
      <c r="B1265" t="s">
        <v>4950</v>
      </c>
      <c r="C1265" t="str">
        <f t="shared" si="38"/>
        <v>mazowieckie_wyszkowski</v>
      </c>
      <c r="D1265" t="s">
        <v>3488</v>
      </c>
      <c r="E1265" t="str">
        <f t="shared" si="39"/>
        <v>mazowieckie_wyszkowski_Somianka</v>
      </c>
      <c r="F1265" t="s">
        <v>1233</v>
      </c>
    </row>
    <row r="1266" spans="1:6" x14ac:dyDescent="0.3">
      <c r="A1266" t="s">
        <v>5384</v>
      </c>
      <c r="B1266" t="s">
        <v>4950</v>
      </c>
      <c r="C1266" t="str">
        <f t="shared" si="38"/>
        <v>mazowieckie_wyszkowski</v>
      </c>
      <c r="D1266" t="s">
        <v>3489</v>
      </c>
      <c r="E1266" t="str">
        <f t="shared" si="39"/>
        <v>mazowieckie_wyszkowski_Wyszków</v>
      </c>
      <c r="F1266" t="s">
        <v>1234</v>
      </c>
    </row>
    <row r="1267" spans="1:6" x14ac:dyDescent="0.3">
      <c r="A1267" t="s">
        <v>5384</v>
      </c>
      <c r="B1267" t="s">
        <v>4950</v>
      </c>
      <c r="C1267" t="str">
        <f t="shared" si="38"/>
        <v>mazowieckie_wyszkowski</v>
      </c>
      <c r="D1267" t="s">
        <v>3490</v>
      </c>
      <c r="E1267" t="str">
        <f t="shared" si="39"/>
        <v>mazowieckie_wyszkowski_Zabrodzie</v>
      </c>
      <c r="F1267" t="s">
        <v>1235</v>
      </c>
    </row>
    <row r="1268" spans="1:6" x14ac:dyDescent="0.3">
      <c r="A1268" t="s">
        <v>5384</v>
      </c>
      <c r="B1268" t="s">
        <v>4951</v>
      </c>
      <c r="C1268" t="str">
        <f t="shared" si="38"/>
        <v>mazowieckie_zwoleński</v>
      </c>
      <c r="D1268" t="s">
        <v>3491</v>
      </c>
      <c r="E1268" t="str">
        <f t="shared" si="39"/>
        <v>mazowieckie_zwoleński_Kazanów</v>
      </c>
      <c r="F1268" t="s">
        <v>5519</v>
      </c>
    </row>
    <row r="1269" spans="1:6" x14ac:dyDescent="0.3">
      <c r="A1269" t="s">
        <v>5384</v>
      </c>
      <c r="B1269" t="s">
        <v>4951</v>
      </c>
      <c r="C1269" t="str">
        <f t="shared" si="38"/>
        <v>mazowieckie_zwoleński</v>
      </c>
      <c r="D1269" t="s">
        <v>3492</v>
      </c>
      <c r="E1269" t="str">
        <f t="shared" si="39"/>
        <v>mazowieckie_zwoleński_Policzna</v>
      </c>
      <c r="F1269" t="s">
        <v>1237</v>
      </c>
    </row>
    <row r="1270" spans="1:6" x14ac:dyDescent="0.3">
      <c r="A1270" t="s">
        <v>5384</v>
      </c>
      <c r="B1270" t="s">
        <v>4951</v>
      </c>
      <c r="C1270" t="str">
        <f t="shared" si="38"/>
        <v>mazowieckie_zwoleński</v>
      </c>
      <c r="D1270" t="s">
        <v>3493</v>
      </c>
      <c r="E1270" t="str">
        <f t="shared" si="39"/>
        <v>mazowieckie_zwoleński_Przyłęk</v>
      </c>
      <c r="F1270" t="s">
        <v>1238</v>
      </c>
    </row>
    <row r="1271" spans="1:6" x14ac:dyDescent="0.3">
      <c r="A1271" t="s">
        <v>5384</v>
      </c>
      <c r="B1271" t="s">
        <v>4951</v>
      </c>
      <c r="C1271" t="str">
        <f t="shared" si="38"/>
        <v>mazowieckie_zwoleński</v>
      </c>
      <c r="D1271" t="s">
        <v>3494</v>
      </c>
      <c r="E1271" t="str">
        <f t="shared" si="39"/>
        <v>mazowieckie_zwoleński_Tczów</v>
      </c>
      <c r="F1271" t="s">
        <v>1239</v>
      </c>
    </row>
    <row r="1272" spans="1:6" x14ac:dyDescent="0.3">
      <c r="A1272" t="s">
        <v>5384</v>
      </c>
      <c r="B1272" t="s">
        <v>4951</v>
      </c>
      <c r="C1272" t="str">
        <f t="shared" si="38"/>
        <v>mazowieckie_zwoleński</v>
      </c>
      <c r="D1272" t="s">
        <v>3495</v>
      </c>
      <c r="E1272" t="str">
        <f t="shared" si="39"/>
        <v>mazowieckie_zwoleński_Zwoleń</v>
      </c>
      <c r="F1272" t="s">
        <v>1240</v>
      </c>
    </row>
    <row r="1273" spans="1:6" x14ac:dyDescent="0.3">
      <c r="A1273" t="s">
        <v>5384</v>
      </c>
      <c r="B1273" t="s">
        <v>4952</v>
      </c>
      <c r="C1273" t="str">
        <f t="shared" si="38"/>
        <v>mazowieckie_żuromiński</v>
      </c>
      <c r="D1273" t="s">
        <v>3496</v>
      </c>
      <c r="E1273" t="str">
        <f t="shared" si="39"/>
        <v>mazowieckie_żuromiński_Bieżuń</v>
      </c>
      <c r="F1273" t="s">
        <v>1241</v>
      </c>
    </row>
    <row r="1274" spans="1:6" x14ac:dyDescent="0.3">
      <c r="A1274" t="s">
        <v>5384</v>
      </c>
      <c r="B1274" t="s">
        <v>4952</v>
      </c>
      <c r="C1274" t="str">
        <f t="shared" si="38"/>
        <v>mazowieckie_żuromiński</v>
      </c>
      <c r="D1274" t="s">
        <v>3497</v>
      </c>
      <c r="E1274" t="str">
        <f t="shared" si="39"/>
        <v>mazowieckie_żuromiński_Kuczbork-Osada</v>
      </c>
      <c r="F1274" t="s">
        <v>1242</v>
      </c>
    </row>
    <row r="1275" spans="1:6" x14ac:dyDescent="0.3">
      <c r="A1275" t="s">
        <v>5384</v>
      </c>
      <c r="B1275" t="s">
        <v>4952</v>
      </c>
      <c r="C1275" t="str">
        <f t="shared" si="38"/>
        <v>mazowieckie_żuromiński</v>
      </c>
      <c r="D1275" t="s">
        <v>3498</v>
      </c>
      <c r="E1275" t="str">
        <f t="shared" si="39"/>
        <v>mazowieckie_żuromiński_Lubowidz</v>
      </c>
      <c r="F1275" t="s">
        <v>5412</v>
      </c>
    </row>
    <row r="1276" spans="1:6" x14ac:dyDescent="0.3">
      <c r="A1276" t="s">
        <v>5384</v>
      </c>
      <c r="B1276" t="s">
        <v>4952</v>
      </c>
      <c r="C1276" t="str">
        <f t="shared" si="38"/>
        <v>mazowieckie_żuromiński</v>
      </c>
      <c r="D1276" t="s">
        <v>3499</v>
      </c>
      <c r="E1276" t="str">
        <f t="shared" si="39"/>
        <v>mazowieckie_żuromiński_Lutocin</v>
      </c>
      <c r="F1276" t="s">
        <v>1243</v>
      </c>
    </row>
    <row r="1277" spans="1:6" x14ac:dyDescent="0.3">
      <c r="A1277" t="s">
        <v>5384</v>
      </c>
      <c r="B1277" t="s">
        <v>4952</v>
      </c>
      <c r="C1277" t="str">
        <f t="shared" si="38"/>
        <v>mazowieckie_żuromiński</v>
      </c>
      <c r="D1277" t="s">
        <v>3500</v>
      </c>
      <c r="E1277" t="str">
        <f t="shared" si="39"/>
        <v>mazowieckie_żuromiński_Siemiątkowo</v>
      </c>
      <c r="F1277" t="s">
        <v>1244</v>
      </c>
    </row>
    <row r="1278" spans="1:6" x14ac:dyDescent="0.3">
      <c r="A1278" t="s">
        <v>5384</v>
      </c>
      <c r="B1278" t="s">
        <v>4952</v>
      </c>
      <c r="C1278" t="str">
        <f t="shared" si="38"/>
        <v>mazowieckie_żuromiński</v>
      </c>
      <c r="D1278" t="s">
        <v>3501</v>
      </c>
      <c r="E1278" t="str">
        <f t="shared" si="39"/>
        <v>mazowieckie_żuromiński_Żuromin</v>
      </c>
      <c r="F1278" t="s">
        <v>1245</v>
      </c>
    </row>
    <row r="1279" spans="1:6" x14ac:dyDescent="0.3">
      <c r="A1279" t="s">
        <v>5384</v>
      </c>
      <c r="B1279" t="s">
        <v>4953</v>
      </c>
      <c r="C1279" t="str">
        <f t="shared" si="38"/>
        <v>mazowieckie_żyrardowski</v>
      </c>
      <c r="D1279" t="s">
        <v>3503</v>
      </c>
      <c r="E1279" t="str">
        <f t="shared" si="39"/>
        <v>mazowieckie_żyrardowski_Mszczonów</v>
      </c>
      <c r="F1279" t="s">
        <v>1247</v>
      </c>
    </row>
    <row r="1280" spans="1:6" x14ac:dyDescent="0.3">
      <c r="A1280" t="s">
        <v>5384</v>
      </c>
      <c r="B1280" t="s">
        <v>4953</v>
      </c>
      <c r="C1280" t="str">
        <f t="shared" si="38"/>
        <v>mazowieckie_żyrardowski</v>
      </c>
      <c r="D1280" t="s">
        <v>3504</v>
      </c>
      <c r="E1280" t="str">
        <f t="shared" si="39"/>
        <v>mazowieckie_żyrardowski_Puszcza Mariańska</v>
      </c>
      <c r="F1280" t="s">
        <v>1248</v>
      </c>
    </row>
    <row r="1281" spans="1:6" x14ac:dyDescent="0.3">
      <c r="A1281" t="s">
        <v>5384</v>
      </c>
      <c r="B1281" t="s">
        <v>4953</v>
      </c>
      <c r="C1281" t="str">
        <f t="shared" ref="C1281:C1344" si="40">CONCATENATE(A1281,"_",B1281)</f>
        <v>mazowieckie_żyrardowski</v>
      </c>
      <c r="D1281" t="s">
        <v>3505</v>
      </c>
      <c r="E1281" t="str">
        <f t="shared" ref="E1281:E1344" si="41">C1281&amp;"_"&amp;D1281</f>
        <v>mazowieckie_żyrardowski_Radziejowice</v>
      </c>
      <c r="F1281" t="s">
        <v>1249</v>
      </c>
    </row>
    <row r="1282" spans="1:6" x14ac:dyDescent="0.3">
      <c r="A1282" t="s">
        <v>5384</v>
      </c>
      <c r="B1282" t="s">
        <v>4953</v>
      </c>
      <c r="C1282" t="str">
        <f t="shared" si="40"/>
        <v>mazowieckie_żyrardowski</v>
      </c>
      <c r="D1282" t="s">
        <v>3506</v>
      </c>
      <c r="E1282" t="str">
        <f t="shared" si="41"/>
        <v>mazowieckie_żyrardowski_Wiskitki</v>
      </c>
      <c r="F1282" t="s">
        <v>5450</v>
      </c>
    </row>
    <row r="1283" spans="1:6" x14ac:dyDescent="0.3">
      <c r="A1283" t="s">
        <v>5384</v>
      </c>
      <c r="B1283" t="s">
        <v>4953</v>
      </c>
      <c r="C1283" t="str">
        <f t="shared" si="40"/>
        <v>mazowieckie_żyrardowski</v>
      </c>
      <c r="D1283" t="s">
        <v>3502</v>
      </c>
      <c r="E1283" t="str">
        <f t="shared" si="41"/>
        <v>mazowieckie_żyrardowski_Żyrardów</v>
      </c>
      <c r="F1283" t="s">
        <v>1246</v>
      </c>
    </row>
    <row r="1284" spans="1:6" x14ac:dyDescent="0.3">
      <c r="A1284" t="s">
        <v>5388</v>
      </c>
      <c r="B1284" t="s">
        <v>4900</v>
      </c>
      <c r="C1284" t="str">
        <f t="shared" si="40"/>
        <v>opolskie_brzeski</v>
      </c>
      <c r="D1284" t="s">
        <v>3510</v>
      </c>
      <c r="E1284" t="str">
        <f t="shared" si="41"/>
        <v>opolskie_brzeski_Brzeg</v>
      </c>
      <c r="F1284" t="s">
        <v>1255</v>
      </c>
    </row>
    <row r="1285" spans="1:6" x14ac:dyDescent="0.3">
      <c r="A1285" t="s">
        <v>5388</v>
      </c>
      <c r="B1285" t="s">
        <v>4900</v>
      </c>
      <c r="C1285" t="str">
        <f t="shared" si="40"/>
        <v>opolskie_brzeski</v>
      </c>
      <c r="D1285" t="s">
        <v>3512</v>
      </c>
      <c r="E1285" t="str">
        <f t="shared" si="41"/>
        <v>opolskie_brzeski_Grodków</v>
      </c>
      <c r="F1285" t="s">
        <v>1257</v>
      </c>
    </row>
    <row r="1286" spans="1:6" x14ac:dyDescent="0.3">
      <c r="A1286" t="s">
        <v>5388</v>
      </c>
      <c r="B1286" t="s">
        <v>4900</v>
      </c>
      <c r="C1286" t="str">
        <f t="shared" si="40"/>
        <v>opolskie_brzeski</v>
      </c>
      <c r="D1286" t="s">
        <v>3513</v>
      </c>
      <c r="E1286" t="str">
        <f t="shared" si="41"/>
        <v>opolskie_brzeski_Lewin Brzeski</v>
      </c>
      <c r="F1286" t="s">
        <v>1258</v>
      </c>
    </row>
    <row r="1287" spans="1:6" x14ac:dyDescent="0.3">
      <c r="A1287" t="s">
        <v>5388</v>
      </c>
      <c r="B1287" t="s">
        <v>4900</v>
      </c>
      <c r="C1287" t="str">
        <f t="shared" si="40"/>
        <v>opolskie_brzeski</v>
      </c>
      <c r="D1287" t="s">
        <v>3514</v>
      </c>
      <c r="E1287" t="str">
        <f t="shared" si="41"/>
        <v>opolskie_brzeski_Lubsza</v>
      </c>
      <c r="F1287" t="s">
        <v>1259</v>
      </c>
    </row>
    <row r="1288" spans="1:6" x14ac:dyDescent="0.3">
      <c r="A1288" t="s">
        <v>5388</v>
      </c>
      <c r="B1288" t="s">
        <v>4900</v>
      </c>
      <c r="C1288" t="str">
        <f t="shared" si="40"/>
        <v>opolskie_brzeski</v>
      </c>
      <c r="D1288" t="s">
        <v>3294</v>
      </c>
      <c r="E1288" t="str">
        <f t="shared" si="41"/>
        <v>opolskie_brzeski_Olszanka</v>
      </c>
      <c r="F1288" t="s">
        <v>1260</v>
      </c>
    </row>
    <row r="1289" spans="1:6" x14ac:dyDescent="0.3">
      <c r="A1289" t="s">
        <v>5388</v>
      </c>
      <c r="B1289" t="s">
        <v>4900</v>
      </c>
      <c r="C1289" t="str">
        <f t="shared" si="40"/>
        <v>opolskie_brzeski</v>
      </c>
      <c r="D1289" t="s">
        <v>3511</v>
      </c>
      <c r="E1289" t="str">
        <f t="shared" si="41"/>
        <v>opolskie_brzeski_Skarbimierz</v>
      </c>
      <c r="F1289" t="s">
        <v>1256</v>
      </c>
    </row>
    <row r="1290" spans="1:6" x14ac:dyDescent="0.3">
      <c r="A1290" t="s">
        <v>5388</v>
      </c>
      <c r="B1290" t="s">
        <v>4954</v>
      </c>
      <c r="C1290" t="str">
        <f t="shared" si="40"/>
        <v>opolskie_głubczycki</v>
      </c>
      <c r="D1290" t="s">
        <v>3515</v>
      </c>
      <c r="E1290" t="str">
        <f t="shared" si="41"/>
        <v>opolskie_głubczycki_Baborów</v>
      </c>
      <c r="F1290" t="s">
        <v>1261</v>
      </c>
    </row>
    <row r="1291" spans="1:6" x14ac:dyDescent="0.3">
      <c r="A1291" t="s">
        <v>5388</v>
      </c>
      <c r="B1291" t="s">
        <v>4954</v>
      </c>
      <c r="C1291" t="str">
        <f t="shared" si="40"/>
        <v>opolskie_głubczycki</v>
      </c>
      <c r="D1291" t="s">
        <v>3516</v>
      </c>
      <c r="E1291" t="str">
        <f t="shared" si="41"/>
        <v>opolskie_głubczycki_Branice</v>
      </c>
      <c r="F1291" t="s">
        <v>1262</v>
      </c>
    </row>
    <row r="1292" spans="1:6" x14ac:dyDescent="0.3">
      <c r="A1292" t="s">
        <v>5388</v>
      </c>
      <c r="B1292" t="s">
        <v>4954</v>
      </c>
      <c r="C1292" t="str">
        <f t="shared" si="40"/>
        <v>opolskie_głubczycki</v>
      </c>
      <c r="D1292" t="s">
        <v>3517</v>
      </c>
      <c r="E1292" t="str">
        <f t="shared" si="41"/>
        <v>opolskie_głubczycki_Głubczyce</v>
      </c>
      <c r="F1292" t="s">
        <v>1263</v>
      </c>
    </row>
    <row r="1293" spans="1:6" x14ac:dyDescent="0.3">
      <c r="A1293" t="s">
        <v>5388</v>
      </c>
      <c r="B1293" t="s">
        <v>4954</v>
      </c>
      <c r="C1293" t="str">
        <f t="shared" si="40"/>
        <v>opolskie_głubczycki</v>
      </c>
      <c r="D1293" t="s">
        <v>3518</v>
      </c>
      <c r="E1293" t="str">
        <f t="shared" si="41"/>
        <v>opolskie_głubczycki_Kietrz</v>
      </c>
      <c r="F1293" t="s">
        <v>1264</v>
      </c>
    </row>
    <row r="1294" spans="1:6" x14ac:dyDescent="0.3">
      <c r="A1294" t="s">
        <v>5388</v>
      </c>
      <c r="B1294" t="s">
        <v>4955</v>
      </c>
      <c r="C1294" t="str">
        <f t="shared" si="40"/>
        <v>opolskie_kędzierzyńsko-kozielski</v>
      </c>
      <c r="D1294" t="s">
        <v>3520</v>
      </c>
      <c r="E1294" t="str">
        <f t="shared" si="41"/>
        <v>opolskie_kędzierzyńsko-kozielski_Bierawa</v>
      </c>
      <c r="F1294" t="s">
        <v>1266</v>
      </c>
    </row>
    <row r="1295" spans="1:6" x14ac:dyDescent="0.3">
      <c r="A1295" t="s">
        <v>5388</v>
      </c>
      <c r="B1295" t="s">
        <v>4955</v>
      </c>
      <c r="C1295" t="str">
        <f t="shared" si="40"/>
        <v>opolskie_kędzierzyńsko-kozielski</v>
      </c>
      <c r="D1295" t="s">
        <v>3521</v>
      </c>
      <c r="E1295" t="str">
        <f t="shared" si="41"/>
        <v>opolskie_kędzierzyńsko-kozielski_Cisek</v>
      </c>
      <c r="F1295" t="s">
        <v>1267</v>
      </c>
    </row>
    <row r="1296" spans="1:6" x14ac:dyDescent="0.3">
      <c r="A1296" t="s">
        <v>5388</v>
      </c>
      <c r="B1296" t="s">
        <v>4955</v>
      </c>
      <c r="C1296" t="str">
        <f t="shared" si="40"/>
        <v>opolskie_kędzierzyńsko-kozielski</v>
      </c>
      <c r="D1296" t="s">
        <v>3519</v>
      </c>
      <c r="E1296" t="str">
        <f t="shared" si="41"/>
        <v>opolskie_kędzierzyńsko-kozielski_Kędzierzyn-Koźle</v>
      </c>
      <c r="F1296" t="s">
        <v>1265</v>
      </c>
    </row>
    <row r="1297" spans="1:6" x14ac:dyDescent="0.3">
      <c r="A1297" t="s">
        <v>5388</v>
      </c>
      <c r="B1297" t="s">
        <v>4955</v>
      </c>
      <c r="C1297" t="str">
        <f t="shared" si="40"/>
        <v>opolskie_kędzierzyńsko-kozielski</v>
      </c>
      <c r="D1297" t="s">
        <v>3522</v>
      </c>
      <c r="E1297" t="str">
        <f t="shared" si="41"/>
        <v>opolskie_kędzierzyńsko-kozielski_Pawłowiczki</v>
      </c>
      <c r="F1297" t="s">
        <v>1268</v>
      </c>
    </row>
    <row r="1298" spans="1:6" x14ac:dyDescent="0.3">
      <c r="A1298" t="s">
        <v>5388</v>
      </c>
      <c r="B1298" t="s">
        <v>4955</v>
      </c>
      <c r="C1298" t="str">
        <f t="shared" si="40"/>
        <v>opolskie_kędzierzyńsko-kozielski</v>
      </c>
      <c r="D1298" t="s">
        <v>3523</v>
      </c>
      <c r="E1298" t="str">
        <f t="shared" si="41"/>
        <v>opolskie_kędzierzyńsko-kozielski_Polska Cerekiew</v>
      </c>
      <c r="F1298" t="s">
        <v>1269</v>
      </c>
    </row>
    <row r="1299" spans="1:6" x14ac:dyDescent="0.3">
      <c r="A1299" t="s">
        <v>5388</v>
      </c>
      <c r="B1299" t="s">
        <v>4955</v>
      </c>
      <c r="C1299" t="str">
        <f t="shared" si="40"/>
        <v>opolskie_kędzierzyńsko-kozielski</v>
      </c>
      <c r="D1299" t="s">
        <v>3524</v>
      </c>
      <c r="E1299" t="str">
        <f t="shared" si="41"/>
        <v>opolskie_kędzierzyńsko-kozielski_Reńska Wieś</v>
      </c>
      <c r="F1299" t="s">
        <v>1270</v>
      </c>
    </row>
    <row r="1300" spans="1:6" x14ac:dyDescent="0.3">
      <c r="A1300" t="s">
        <v>5388</v>
      </c>
      <c r="B1300" t="s">
        <v>4956</v>
      </c>
      <c r="C1300" t="str">
        <f t="shared" si="40"/>
        <v>opolskie_kluczborski</v>
      </c>
      <c r="D1300" t="s">
        <v>3525</v>
      </c>
      <c r="E1300" t="str">
        <f t="shared" si="41"/>
        <v>opolskie_kluczborski_Byczyna</v>
      </c>
      <c r="F1300" t="s">
        <v>1271</v>
      </c>
    </row>
    <row r="1301" spans="1:6" x14ac:dyDescent="0.3">
      <c r="A1301" t="s">
        <v>5388</v>
      </c>
      <c r="B1301" t="s">
        <v>4956</v>
      </c>
      <c r="C1301" t="str">
        <f t="shared" si="40"/>
        <v>opolskie_kluczborski</v>
      </c>
      <c r="D1301" t="s">
        <v>3526</v>
      </c>
      <c r="E1301" t="str">
        <f t="shared" si="41"/>
        <v>opolskie_kluczborski_Kluczbork</v>
      </c>
      <c r="F1301" t="s">
        <v>1272</v>
      </c>
    </row>
    <row r="1302" spans="1:6" x14ac:dyDescent="0.3">
      <c r="A1302" t="s">
        <v>5388</v>
      </c>
      <c r="B1302" t="s">
        <v>4956</v>
      </c>
      <c r="C1302" t="str">
        <f t="shared" si="40"/>
        <v>opolskie_kluczborski</v>
      </c>
      <c r="D1302" t="s">
        <v>3527</v>
      </c>
      <c r="E1302" t="str">
        <f t="shared" si="41"/>
        <v>opolskie_kluczborski_Lasowice Wielkie</v>
      </c>
      <c r="F1302" t="s">
        <v>1273</v>
      </c>
    </row>
    <row r="1303" spans="1:6" x14ac:dyDescent="0.3">
      <c r="A1303" t="s">
        <v>5388</v>
      </c>
      <c r="B1303" t="s">
        <v>4956</v>
      </c>
      <c r="C1303" t="str">
        <f t="shared" si="40"/>
        <v>opolskie_kluczborski</v>
      </c>
      <c r="D1303" t="s">
        <v>3528</v>
      </c>
      <c r="E1303" t="str">
        <f t="shared" si="41"/>
        <v>opolskie_kluczborski_Wołczyn</v>
      </c>
      <c r="F1303" t="s">
        <v>1274</v>
      </c>
    </row>
    <row r="1304" spans="1:6" x14ac:dyDescent="0.3">
      <c r="A1304" t="s">
        <v>5388</v>
      </c>
      <c r="B1304" t="s">
        <v>4957</v>
      </c>
      <c r="C1304" t="str">
        <f t="shared" si="40"/>
        <v>opolskie_krapkowicki</v>
      </c>
      <c r="D1304" t="s">
        <v>3529</v>
      </c>
      <c r="E1304" t="str">
        <f t="shared" si="41"/>
        <v>opolskie_krapkowicki_Gogolin</v>
      </c>
      <c r="F1304" t="s">
        <v>1275</v>
      </c>
    </row>
    <row r="1305" spans="1:6" x14ac:dyDescent="0.3">
      <c r="A1305" t="s">
        <v>5388</v>
      </c>
      <c r="B1305" t="s">
        <v>4957</v>
      </c>
      <c r="C1305" t="str">
        <f t="shared" si="40"/>
        <v>opolskie_krapkowicki</v>
      </c>
      <c r="D1305" t="s">
        <v>3530</v>
      </c>
      <c r="E1305" t="str">
        <f t="shared" si="41"/>
        <v>opolskie_krapkowicki_Krapkowice</v>
      </c>
      <c r="F1305" t="s">
        <v>1276</v>
      </c>
    </row>
    <row r="1306" spans="1:6" x14ac:dyDescent="0.3">
      <c r="A1306" t="s">
        <v>5388</v>
      </c>
      <c r="B1306" t="s">
        <v>4957</v>
      </c>
      <c r="C1306" t="str">
        <f t="shared" si="40"/>
        <v>opolskie_krapkowicki</v>
      </c>
      <c r="D1306" t="s">
        <v>3531</v>
      </c>
      <c r="E1306" t="str">
        <f t="shared" si="41"/>
        <v>opolskie_krapkowicki_Strzeleczki</v>
      </c>
      <c r="F1306" t="s">
        <v>5520</v>
      </c>
    </row>
    <row r="1307" spans="1:6" x14ac:dyDescent="0.3">
      <c r="A1307" t="s">
        <v>5388</v>
      </c>
      <c r="B1307" t="s">
        <v>4957</v>
      </c>
      <c r="C1307" t="str">
        <f t="shared" si="40"/>
        <v>opolskie_krapkowicki</v>
      </c>
      <c r="D1307" t="s">
        <v>3532</v>
      </c>
      <c r="E1307" t="str">
        <f t="shared" si="41"/>
        <v>opolskie_krapkowicki_Walce</v>
      </c>
      <c r="F1307" t="s">
        <v>1278</v>
      </c>
    </row>
    <row r="1308" spans="1:6" x14ac:dyDescent="0.3">
      <c r="A1308" t="s">
        <v>5388</v>
      </c>
      <c r="B1308" t="s">
        <v>4957</v>
      </c>
      <c r="C1308" t="str">
        <f t="shared" si="40"/>
        <v>opolskie_krapkowicki</v>
      </c>
      <c r="D1308" t="s">
        <v>3533</v>
      </c>
      <c r="E1308" t="str">
        <f t="shared" si="41"/>
        <v>opolskie_krapkowicki_Zdzieszowice</v>
      </c>
      <c r="F1308" t="s">
        <v>1279</v>
      </c>
    </row>
    <row r="1309" spans="1:6" x14ac:dyDescent="0.3">
      <c r="A1309" t="s">
        <v>5388</v>
      </c>
      <c r="B1309" t="s">
        <v>4958</v>
      </c>
      <c r="C1309" t="str">
        <f t="shared" si="40"/>
        <v>opolskie_namysłowski</v>
      </c>
      <c r="D1309" t="s">
        <v>3534</v>
      </c>
      <c r="E1309" t="str">
        <f t="shared" si="41"/>
        <v>opolskie_namysłowski_Domaszowice</v>
      </c>
      <c r="F1309" t="s">
        <v>1280</v>
      </c>
    </row>
    <row r="1310" spans="1:6" x14ac:dyDescent="0.3">
      <c r="A1310" t="s">
        <v>5388</v>
      </c>
      <c r="B1310" t="s">
        <v>4958</v>
      </c>
      <c r="C1310" t="str">
        <f t="shared" si="40"/>
        <v>opolskie_namysłowski</v>
      </c>
      <c r="D1310" t="s">
        <v>3535</v>
      </c>
      <c r="E1310" t="str">
        <f t="shared" si="41"/>
        <v>opolskie_namysłowski_Namysłów</v>
      </c>
      <c r="F1310" t="s">
        <v>1281</v>
      </c>
    </row>
    <row r="1311" spans="1:6" x14ac:dyDescent="0.3">
      <c r="A1311" t="s">
        <v>5388</v>
      </c>
      <c r="B1311" t="s">
        <v>4958</v>
      </c>
      <c r="C1311" t="str">
        <f t="shared" si="40"/>
        <v>opolskie_namysłowski</v>
      </c>
      <c r="D1311" t="s">
        <v>3536</v>
      </c>
      <c r="E1311" t="str">
        <f t="shared" si="41"/>
        <v>opolskie_namysłowski_Pokój</v>
      </c>
      <c r="F1311" t="s">
        <v>1282</v>
      </c>
    </row>
    <row r="1312" spans="1:6" x14ac:dyDescent="0.3">
      <c r="A1312" t="s">
        <v>5388</v>
      </c>
      <c r="B1312" t="s">
        <v>4958</v>
      </c>
      <c r="C1312" t="str">
        <f t="shared" si="40"/>
        <v>opolskie_namysłowski</v>
      </c>
      <c r="D1312" t="s">
        <v>3537</v>
      </c>
      <c r="E1312" t="str">
        <f t="shared" si="41"/>
        <v>opolskie_namysłowski_Świerczów</v>
      </c>
      <c r="F1312" s="48" t="s">
        <v>1283</v>
      </c>
    </row>
    <row r="1313" spans="1:6" x14ac:dyDescent="0.3">
      <c r="A1313" t="s">
        <v>5388</v>
      </c>
      <c r="B1313" t="s">
        <v>4958</v>
      </c>
      <c r="C1313" t="str">
        <f t="shared" si="40"/>
        <v>opolskie_namysłowski</v>
      </c>
      <c r="D1313" t="s">
        <v>2792</v>
      </c>
      <c r="E1313" t="str">
        <f t="shared" si="41"/>
        <v>opolskie_namysłowski_Wilków</v>
      </c>
      <c r="F1313" t="s">
        <v>1284</v>
      </c>
    </row>
    <row r="1314" spans="1:6" x14ac:dyDescent="0.3">
      <c r="A1314" t="s">
        <v>5388</v>
      </c>
      <c r="B1314" t="s">
        <v>4959</v>
      </c>
      <c r="C1314" t="str">
        <f t="shared" si="40"/>
        <v>opolskie_nyski</v>
      </c>
      <c r="D1314" t="s">
        <v>3538</v>
      </c>
      <c r="E1314" t="str">
        <f t="shared" si="41"/>
        <v>opolskie_nyski_Głuchołazy</v>
      </c>
      <c r="F1314" t="s">
        <v>1285</v>
      </c>
    </row>
    <row r="1315" spans="1:6" x14ac:dyDescent="0.3">
      <c r="A1315" t="s">
        <v>5388</v>
      </c>
      <c r="B1315" t="s">
        <v>4959</v>
      </c>
      <c r="C1315" t="str">
        <f t="shared" si="40"/>
        <v>opolskie_nyski</v>
      </c>
      <c r="D1315" t="s">
        <v>3539</v>
      </c>
      <c r="E1315" t="str">
        <f t="shared" si="41"/>
        <v>opolskie_nyski_Kamiennik</v>
      </c>
      <c r="F1315" t="s">
        <v>1286</v>
      </c>
    </row>
    <row r="1316" spans="1:6" x14ac:dyDescent="0.3">
      <c r="A1316" t="s">
        <v>5388</v>
      </c>
      <c r="B1316" t="s">
        <v>4959</v>
      </c>
      <c r="C1316" t="str">
        <f t="shared" si="40"/>
        <v>opolskie_nyski</v>
      </c>
      <c r="D1316" t="s">
        <v>3540</v>
      </c>
      <c r="E1316" t="str">
        <f t="shared" si="41"/>
        <v>opolskie_nyski_Korfantów</v>
      </c>
      <c r="F1316" t="s">
        <v>1287</v>
      </c>
    </row>
    <row r="1317" spans="1:6" x14ac:dyDescent="0.3">
      <c r="A1317" t="s">
        <v>5388</v>
      </c>
      <c r="B1317" t="s">
        <v>4959</v>
      </c>
      <c r="C1317" t="str">
        <f t="shared" si="40"/>
        <v>opolskie_nyski</v>
      </c>
      <c r="D1317" t="s">
        <v>3541</v>
      </c>
      <c r="E1317" t="str">
        <f t="shared" si="41"/>
        <v>opolskie_nyski_Łambinowice</v>
      </c>
      <c r="F1317" t="s">
        <v>1288</v>
      </c>
    </row>
    <row r="1318" spans="1:6" x14ac:dyDescent="0.3">
      <c r="A1318" t="s">
        <v>5388</v>
      </c>
      <c r="B1318" t="s">
        <v>4959</v>
      </c>
      <c r="C1318" t="str">
        <f t="shared" si="40"/>
        <v>opolskie_nyski</v>
      </c>
      <c r="D1318" t="s">
        <v>3542</v>
      </c>
      <c r="E1318" t="str">
        <f t="shared" si="41"/>
        <v>opolskie_nyski_Nysa</v>
      </c>
      <c r="F1318" t="s">
        <v>1289</v>
      </c>
    </row>
    <row r="1319" spans="1:6" x14ac:dyDescent="0.3">
      <c r="A1319" t="s">
        <v>5388</v>
      </c>
      <c r="B1319" t="s">
        <v>4959</v>
      </c>
      <c r="C1319" t="str">
        <f t="shared" si="40"/>
        <v>opolskie_nyski</v>
      </c>
      <c r="D1319" t="s">
        <v>3543</v>
      </c>
      <c r="E1319" t="str">
        <f t="shared" si="41"/>
        <v>opolskie_nyski_Otmuchów</v>
      </c>
      <c r="F1319" t="s">
        <v>1290</v>
      </c>
    </row>
    <row r="1320" spans="1:6" x14ac:dyDescent="0.3">
      <c r="A1320" t="s">
        <v>5388</v>
      </c>
      <c r="B1320" t="s">
        <v>4959</v>
      </c>
      <c r="C1320" t="str">
        <f t="shared" si="40"/>
        <v>opolskie_nyski</v>
      </c>
      <c r="D1320" t="s">
        <v>3544</v>
      </c>
      <c r="E1320" t="str">
        <f t="shared" si="41"/>
        <v>opolskie_nyski_Paczków</v>
      </c>
      <c r="F1320" t="s">
        <v>1291</v>
      </c>
    </row>
    <row r="1321" spans="1:6" x14ac:dyDescent="0.3">
      <c r="A1321" t="s">
        <v>5388</v>
      </c>
      <c r="B1321" t="s">
        <v>4959</v>
      </c>
      <c r="C1321" t="str">
        <f t="shared" si="40"/>
        <v>opolskie_nyski</v>
      </c>
      <c r="D1321" t="s">
        <v>3545</v>
      </c>
      <c r="E1321" t="str">
        <f t="shared" si="41"/>
        <v>opolskie_nyski_Pakosławice</v>
      </c>
      <c r="F1321" t="s">
        <v>1292</v>
      </c>
    </row>
    <row r="1322" spans="1:6" x14ac:dyDescent="0.3">
      <c r="A1322" t="s">
        <v>5388</v>
      </c>
      <c r="B1322" t="s">
        <v>4959</v>
      </c>
      <c r="C1322" t="str">
        <f t="shared" si="40"/>
        <v>opolskie_nyski</v>
      </c>
      <c r="D1322" t="s">
        <v>3546</v>
      </c>
      <c r="E1322" t="str">
        <f t="shared" si="41"/>
        <v>opolskie_nyski_Skoroszyce</v>
      </c>
      <c r="F1322" t="s">
        <v>1293</v>
      </c>
    </row>
    <row r="1323" spans="1:6" x14ac:dyDescent="0.3">
      <c r="A1323" t="s">
        <v>5388</v>
      </c>
      <c r="B1323" t="s">
        <v>4960</v>
      </c>
      <c r="C1323" t="str">
        <f t="shared" si="40"/>
        <v>opolskie_oleski</v>
      </c>
      <c r="D1323" t="s">
        <v>3547</v>
      </c>
      <c r="E1323" t="str">
        <f t="shared" si="41"/>
        <v>opolskie_oleski_Dobrodzień</v>
      </c>
      <c r="F1323" t="s">
        <v>1294</v>
      </c>
    </row>
    <row r="1324" spans="1:6" x14ac:dyDescent="0.3">
      <c r="A1324" t="s">
        <v>5388</v>
      </c>
      <c r="B1324" t="s">
        <v>4960</v>
      </c>
      <c r="C1324" t="str">
        <f t="shared" si="40"/>
        <v>opolskie_oleski</v>
      </c>
      <c r="D1324" t="s">
        <v>3548</v>
      </c>
      <c r="E1324" t="str">
        <f t="shared" si="41"/>
        <v>opolskie_oleski_Gorzów Śląski</v>
      </c>
      <c r="F1324" t="s">
        <v>1295</v>
      </c>
    </row>
    <row r="1325" spans="1:6" x14ac:dyDescent="0.3">
      <c r="A1325" t="s">
        <v>5388</v>
      </c>
      <c r="B1325" t="s">
        <v>4960</v>
      </c>
      <c r="C1325" t="str">
        <f t="shared" si="40"/>
        <v>opolskie_oleski</v>
      </c>
      <c r="D1325" t="s">
        <v>3098</v>
      </c>
      <c r="E1325" t="str">
        <f t="shared" si="41"/>
        <v>opolskie_oleski_Olesno</v>
      </c>
      <c r="F1325" t="s">
        <v>1296</v>
      </c>
    </row>
    <row r="1326" spans="1:6" x14ac:dyDescent="0.3">
      <c r="A1326" t="s">
        <v>5388</v>
      </c>
      <c r="B1326" t="s">
        <v>4960</v>
      </c>
      <c r="C1326" t="str">
        <f t="shared" si="40"/>
        <v>opolskie_oleski</v>
      </c>
      <c r="D1326" t="s">
        <v>3549</v>
      </c>
      <c r="E1326" t="str">
        <f t="shared" si="41"/>
        <v>opolskie_oleski_Praszka</v>
      </c>
      <c r="F1326" t="s">
        <v>1297</v>
      </c>
    </row>
    <row r="1327" spans="1:6" x14ac:dyDescent="0.3">
      <c r="A1327" t="s">
        <v>5388</v>
      </c>
      <c r="B1327" t="s">
        <v>4960</v>
      </c>
      <c r="C1327" t="str">
        <f t="shared" si="40"/>
        <v>opolskie_oleski</v>
      </c>
      <c r="D1327" t="s">
        <v>3203</v>
      </c>
      <c r="E1327" t="str">
        <f t="shared" si="41"/>
        <v>opolskie_oleski_Radłów</v>
      </c>
      <c r="F1327" t="s">
        <v>1298</v>
      </c>
    </row>
    <row r="1328" spans="1:6" x14ac:dyDescent="0.3">
      <c r="A1328" t="s">
        <v>5388</v>
      </c>
      <c r="B1328" t="s">
        <v>4960</v>
      </c>
      <c r="C1328" t="str">
        <f t="shared" si="40"/>
        <v>opolskie_oleski</v>
      </c>
      <c r="D1328" t="s">
        <v>3550</v>
      </c>
      <c r="E1328" t="str">
        <f t="shared" si="41"/>
        <v>opolskie_oleski_Rudniki</v>
      </c>
      <c r="F1328" t="s">
        <v>1299</v>
      </c>
    </row>
    <row r="1329" spans="1:6" x14ac:dyDescent="0.3">
      <c r="A1329" t="s">
        <v>5388</v>
      </c>
      <c r="B1329" t="s">
        <v>4960</v>
      </c>
      <c r="C1329" t="str">
        <f t="shared" si="40"/>
        <v>opolskie_oleski</v>
      </c>
      <c r="D1329" t="s">
        <v>3551</v>
      </c>
      <c r="E1329" t="str">
        <f t="shared" si="41"/>
        <v>opolskie_oleski_Zębowice</v>
      </c>
      <c r="F1329" t="s">
        <v>1300</v>
      </c>
    </row>
    <row r="1330" spans="1:6" x14ac:dyDescent="0.3">
      <c r="A1330" t="s">
        <v>5388</v>
      </c>
      <c r="B1330" t="s">
        <v>3572</v>
      </c>
      <c r="C1330" t="str">
        <f t="shared" si="40"/>
        <v>opolskie_Opole</v>
      </c>
      <c r="D1330" t="s">
        <v>3572</v>
      </c>
      <c r="E1330" t="str">
        <f t="shared" si="41"/>
        <v>opolskie_Opole_Opole</v>
      </c>
      <c r="F1330" t="s">
        <v>1323</v>
      </c>
    </row>
    <row r="1331" spans="1:6" x14ac:dyDescent="0.3">
      <c r="A1331" t="s">
        <v>5388</v>
      </c>
      <c r="B1331" t="s">
        <v>4859</v>
      </c>
      <c r="C1331" t="str">
        <f t="shared" si="40"/>
        <v>opolskie_opolski</v>
      </c>
      <c r="D1331" t="s">
        <v>3552</v>
      </c>
      <c r="E1331" t="str">
        <f t="shared" si="41"/>
        <v>opolskie_opolski_Chrząstowice</v>
      </c>
      <c r="F1331" t="s">
        <v>1301</v>
      </c>
    </row>
    <row r="1332" spans="1:6" x14ac:dyDescent="0.3">
      <c r="A1332" t="s">
        <v>5388</v>
      </c>
      <c r="B1332" t="s">
        <v>4859</v>
      </c>
      <c r="C1332" t="str">
        <f t="shared" si="40"/>
        <v>opolskie_opolski</v>
      </c>
      <c r="D1332" t="s">
        <v>2610</v>
      </c>
      <c r="E1332" t="str">
        <f t="shared" si="41"/>
        <v>opolskie_opolski_Dąbrowa</v>
      </c>
      <c r="F1332" t="s">
        <v>1302</v>
      </c>
    </row>
    <row r="1333" spans="1:6" x14ac:dyDescent="0.3">
      <c r="A1333" t="s">
        <v>5388</v>
      </c>
      <c r="B1333" t="s">
        <v>4859</v>
      </c>
      <c r="C1333" t="str">
        <f t="shared" si="40"/>
        <v>opolskie_opolski</v>
      </c>
      <c r="D1333" t="s">
        <v>3553</v>
      </c>
      <c r="E1333" t="str">
        <f t="shared" si="41"/>
        <v>opolskie_opolski_Dobrzeń Wielki</v>
      </c>
      <c r="F1333" t="s">
        <v>1303</v>
      </c>
    </row>
    <row r="1334" spans="1:6" x14ac:dyDescent="0.3">
      <c r="A1334" t="s">
        <v>5388</v>
      </c>
      <c r="B1334" t="s">
        <v>4859</v>
      </c>
      <c r="C1334" t="str">
        <f t="shared" si="40"/>
        <v>opolskie_opolski</v>
      </c>
      <c r="D1334" t="s">
        <v>3554</v>
      </c>
      <c r="E1334" t="str">
        <f t="shared" si="41"/>
        <v>opolskie_opolski_Komprachcice</v>
      </c>
      <c r="F1334" t="s">
        <v>5223</v>
      </c>
    </row>
    <row r="1335" spans="1:6" x14ac:dyDescent="0.3">
      <c r="A1335" t="s">
        <v>5388</v>
      </c>
      <c r="B1335" t="s">
        <v>4859</v>
      </c>
      <c r="C1335" t="str">
        <f t="shared" si="40"/>
        <v>opolskie_opolski</v>
      </c>
      <c r="D1335" t="s">
        <v>3555</v>
      </c>
      <c r="E1335" t="str">
        <f t="shared" si="41"/>
        <v>opolskie_opolski_Łubniany</v>
      </c>
      <c r="F1335" t="s">
        <v>1304</v>
      </c>
    </row>
    <row r="1336" spans="1:6" x14ac:dyDescent="0.3">
      <c r="A1336" t="s">
        <v>5388</v>
      </c>
      <c r="B1336" t="s">
        <v>4859</v>
      </c>
      <c r="C1336" t="str">
        <f t="shared" si="40"/>
        <v>opolskie_opolski</v>
      </c>
      <c r="D1336" t="s">
        <v>3556</v>
      </c>
      <c r="E1336" t="str">
        <f t="shared" si="41"/>
        <v>opolskie_opolski_Murów</v>
      </c>
      <c r="F1336" t="s">
        <v>1305</v>
      </c>
    </row>
    <row r="1337" spans="1:6" x14ac:dyDescent="0.3">
      <c r="A1337" t="s">
        <v>5388</v>
      </c>
      <c r="B1337" t="s">
        <v>4859</v>
      </c>
      <c r="C1337" t="str">
        <f t="shared" si="40"/>
        <v>opolskie_opolski</v>
      </c>
      <c r="D1337" t="s">
        <v>3557</v>
      </c>
      <c r="E1337" t="str">
        <f t="shared" si="41"/>
        <v>opolskie_opolski_Niemodlin</v>
      </c>
      <c r="F1337" t="s">
        <v>1306</v>
      </c>
    </row>
    <row r="1338" spans="1:6" x14ac:dyDescent="0.3">
      <c r="A1338" t="s">
        <v>5388</v>
      </c>
      <c r="B1338" t="s">
        <v>4859</v>
      </c>
      <c r="C1338" t="str">
        <f t="shared" si="40"/>
        <v>opolskie_opolski</v>
      </c>
      <c r="D1338" t="s">
        <v>3558</v>
      </c>
      <c r="E1338" t="str">
        <f t="shared" si="41"/>
        <v>opolskie_opolski_Ozimek</v>
      </c>
      <c r="F1338" t="s">
        <v>1307</v>
      </c>
    </row>
    <row r="1339" spans="1:6" x14ac:dyDescent="0.3">
      <c r="A1339" t="s">
        <v>5388</v>
      </c>
      <c r="B1339" t="s">
        <v>4859</v>
      </c>
      <c r="C1339" t="str">
        <f t="shared" si="40"/>
        <v>opolskie_opolski</v>
      </c>
      <c r="D1339" t="s">
        <v>3559</v>
      </c>
      <c r="E1339" t="str">
        <f t="shared" si="41"/>
        <v>opolskie_opolski_Popielów</v>
      </c>
      <c r="F1339" t="s">
        <v>1308</v>
      </c>
    </row>
    <row r="1340" spans="1:6" x14ac:dyDescent="0.3">
      <c r="A1340" t="s">
        <v>5388</v>
      </c>
      <c r="B1340" t="s">
        <v>4859</v>
      </c>
      <c r="C1340" t="str">
        <f t="shared" si="40"/>
        <v>opolskie_opolski</v>
      </c>
      <c r="D1340" t="s">
        <v>3560</v>
      </c>
      <c r="E1340" t="str">
        <f t="shared" si="41"/>
        <v>opolskie_opolski_Prószków</v>
      </c>
      <c r="F1340" t="s">
        <v>1309</v>
      </c>
    </row>
    <row r="1341" spans="1:6" x14ac:dyDescent="0.3">
      <c r="A1341" t="s">
        <v>5388</v>
      </c>
      <c r="B1341" t="s">
        <v>4859</v>
      </c>
      <c r="C1341" t="str">
        <f t="shared" si="40"/>
        <v>opolskie_opolski</v>
      </c>
      <c r="D1341" t="s">
        <v>3561</v>
      </c>
      <c r="E1341" t="str">
        <f t="shared" si="41"/>
        <v>opolskie_opolski_Tarnów Opolski</v>
      </c>
      <c r="F1341" t="s">
        <v>1310</v>
      </c>
    </row>
    <row r="1342" spans="1:6" x14ac:dyDescent="0.3">
      <c r="A1342" t="s">
        <v>5388</v>
      </c>
      <c r="B1342" t="s">
        <v>4859</v>
      </c>
      <c r="C1342" t="str">
        <f t="shared" si="40"/>
        <v>opolskie_opolski</v>
      </c>
      <c r="D1342" t="s">
        <v>3562</v>
      </c>
      <c r="E1342" t="str">
        <f t="shared" si="41"/>
        <v>opolskie_opolski_Tułowice</v>
      </c>
      <c r="F1342" t="s">
        <v>5446</v>
      </c>
    </row>
    <row r="1343" spans="1:6" x14ac:dyDescent="0.3">
      <c r="A1343" t="s">
        <v>5388</v>
      </c>
      <c r="B1343" t="s">
        <v>4859</v>
      </c>
      <c r="C1343" t="str">
        <f t="shared" si="40"/>
        <v>opolskie_opolski</v>
      </c>
      <c r="D1343" t="s">
        <v>3563</v>
      </c>
      <c r="E1343" t="str">
        <f t="shared" si="41"/>
        <v>opolskie_opolski_Turawa</v>
      </c>
      <c r="F1343" t="s">
        <v>1311</v>
      </c>
    </row>
    <row r="1344" spans="1:6" x14ac:dyDescent="0.3">
      <c r="A1344" t="s">
        <v>5388</v>
      </c>
      <c r="B1344" t="s">
        <v>4961</v>
      </c>
      <c r="C1344" t="str">
        <f t="shared" si="40"/>
        <v>opolskie_prudnicki</v>
      </c>
      <c r="D1344" t="s">
        <v>3051</v>
      </c>
      <c r="E1344" t="str">
        <f t="shared" si="41"/>
        <v>opolskie_prudnicki_Biała</v>
      </c>
      <c r="F1344" t="s">
        <v>1312</v>
      </c>
    </row>
    <row r="1345" spans="1:6" x14ac:dyDescent="0.3">
      <c r="A1345" t="s">
        <v>5388</v>
      </c>
      <c r="B1345" t="s">
        <v>4961</v>
      </c>
      <c r="C1345" t="str">
        <f t="shared" ref="C1345:C1408" si="42">CONCATENATE(A1345,"_",B1345)</f>
        <v>opolskie_prudnicki</v>
      </c>
      <c r="D1345" t="s">
        <v>3564</v>
      </c>
      <c r="E1345" t="str">
        <f t="shared" ref="E1345:E1408" si="43">C1345&amp;"_"&amp;D1345</f>
        <v>opolskie_prudnicki_Głogówek</v>
      </c>
      <c r="F1345" t="s">
        <v>1313</v>
      </c>
    </row>
    <row r="1346" spans="1:6" x14ac:dyDescent="0.3">
      <c r="A1346" t="s">
        <v>5388</v>
      </c>
      <c r="B1346" t="s">
        <v>4961</v>
      </c>
      <c r="C1346" t="str">
        <f t="shared" si="42"/>
        <v>opolskie_prudnicki</v>
      </c>
      <c r="D1346" t="s">
        <v>2897</v>
      </c>
      <c r="E1346" t="str">
        <f t="shared" si="43"/>
        <v>opolskie_prudnicki_Lubrza</v>
      </c>
      <c r="F1346" t="s">
        <v>1314</v>
      </c>
    </row>
    <row r="1347" spans="1:6" x14ac:dyDescent="0.3">
      <c r="A1347" t="s">
        <v>5388</v>
      </c>
      <c r="B1347" t="s">
        <v>4961</v>
      </c>
      <c r="C1347" t="str">
        <f t="shared" si="42"/>
        <v>opolskie_prudnicki</v>
      </c>
      <c r="D1347" t="s">
        <v>3565</v>
      </c>
      <c r="E1347" t="str">
        <f t="shared" si="43"/>
        <v>opolskie_prudnicki_Prudnik</v>
      </c>
      <c r="F1347" t="s">
        <v>1315</v>
      </c>
    </row>
    <row r="1348" spans="1:6" x14ac:dyDescent="0.3">
      <c r="A1348" t="s">
        <v>5388</v>
      </c>
      <c r="B1348" t="s">
        <v>4962</v>
      </c>
      <c r="C1348" t="str">
        <f t="shared" si="42"/>
        <v>opolskie_strzelecki</v>
      </c>
      <c r="D1348" t="s">
        <v>3566</v>
      </c>
      <c r="E1348" t="str">
        <f t="shared" si="43"/>
        <v>opolskie_strzelecki_Izbicko</v>
      </c>
      <c r="F1348" t="s">
        <v>1316</v>
      </c>
    </row>
    <row r="1349" spans="1:6" x14ac:dyDescent="0.3">
      <c r="A1349" t="s">
        <v>5388</v>
      </c>
      <c r="B1349" t="s">
        <v>4962</v>
      </c>
      <c r="C1349" t="str">
        <f t="shared" si="42"/>
        <v>opolskie_strzelecki</v>
      </c>
      <c r="D1349" t="s">
        <v>3567</v>
      </c>
      <c r="E1349" t="str">
        <f t="shared" si="43"/>
        <v>opolskie_strzelecki_Jemielnica</v>
      </c>
      <c r="F1349" t="s">
        <v>1317</v>
      </c>
    </row>
    <row r="1350" spans="1:6" x14ac:dyDescent="0.3">
      <c r="A1350" t="s">
        <v>5388</v>
      </c>
      <c r="B1350" t="s">
        <v>4962</v>
      </c>
      <c r="C1350" t="str">
        <f t="shared" si="42"/>
        <v>opolskie_strzelecki</v>
      </c>
      <c r="D1350" t="s">
        <v>3568</v>
      </c>
      <c r="E1350" t="str">
        <f t="shared" si="43"/>
        <v>opolskie_strzelecki_Kolonowskie</v>
      </c>
      <c r="F1350" t="s">
        <v>1318</v>
      </c>
    </row>
    <row r="1351" spans="1:6" x14ac:dyDescent="0.3">
      <c r="A1351" t="s">
        <v>5388</v>
      </c>
      <c r="B1351" t="s">
        <v>4962</v>
      </c>
      <c r="C1351" t="str">
        <f t="shared" si="42"/>
        <v>opolskie_strzelecki</v>
      </c>
      <c r="D1351" t="s">
        <v>3569</v>
      </c>
      <c r="E1351" t="str">
        <f t="shared" si="43"/>
        <v>opolskie_strzelecki_Leśnica</v>
      </c>
      <c r="F1351" t="s">
        <v>1319</v>
      </c>
    </row>
    <row r="1352" spans="1:6" x14ac:dyDescent="0.3">
      <c r="A1352" t="s">
        <v>5388</v>
      </c>
      <c r="B1352" t="s">
        <v>4962</v>
      </c>
      <c r="C1352" t="str">
        <f t="shared" si="42"/>
        <v>opolskie_strzelecki</v>
      </c>
      <c r="D1352" t="s">
        <v>3570</v>
      </c>
      <c r="E1352" t="str">
        <f t="shared" si="43"/>
        <v>opolskie_strzelecki_Strzelce Opolskie</v>
      </c>
      <c r="F1352" t="s">
        <v>1320</v>
      </c>
    </row>
    <row r="1353" spans="1:6" x14ac:dyDescent="0.3">
      <c r="A1353" t="s">
        <v>5388</v>
      </c>
      <c r="B1353" t="s">
        <v>4962</v>
      </c>
      <c r="C1353" t="str">
        <f t="shared" si="42"/>
        <v>opolskie_strzelecki</v>
      </c>
      <c r="D1353" t="s">
        <v>3049</v>
      </c>
      <c r="E1353" t="str">
        <f t="shared" si="43"/>
        <v>opolskie_strzelecki_Ujazd</v>
      </c>
      <c r="F1353" t="s">
        <v>1321</v>
      </c>
    </row>
    <row r="1354" spans="1:6" x14ac:dyDescent="0.3">
      <c r="A1354" t="s">
        <v>5388</v>
      </c>
      <c r="B1354" t="s">
        <v>4962</v>
      </c>
      <c r="C1354" t="str">
        <f t="shared" si="42"/>
        <v>opolskie_strzelecki</v>
      </c>
      <c r="D1354" t="s">
        <v>3571</v>
      </c>
      <c r="E1354" t="str">
        <f t="shared" si="43"/>
        <v>opolskie_strzelecki_Zawadzkie</v>
      </c>
      <c r="F1354" t="s">
        <v>1322</v>
      </c>
    </row>
    <row r="1355" spans="1:6" x14ac:dyDescent="0.3">
      <c r="A1355" t="s">
        <v>5380</v>
      </c>
      <c r="B1355" t="s">
        <v>4963</v>
      </c>
      <c r="C1355" t="str">
        <f t="shared" si="42"/>
        <v>podkarpackie_bieszczadzki</v>
      </c>
      <c r="D1355" t="s">
        <v>3573</v>
      </c>
      <c r="E1355" t="str">
        <f t="shared" si="43"/>
        <v>podkarpackie_bieszczadzki_Czarna</v>
      </c>
      <c r="F1355" t="s">
        <v>1324</v>
      </c>
    </row>
    <row r="1356" spans="1:6" x14ac:dyDescent="0.3">
      <c r="A1356" t="s">
        <v>5380</v>
      </c>
      <c r="B1356" t="s">
        <v>4963</v>
      </c>
      <c r="C1356" t="str">
        <f t="shared" si="42"/>
        <v>podkarpackie_bieszczadzki</v>
      </c>
      <c r="D1356" t="s">
        <v>3574</v>
      </c>
      <c r="E1356" t="str">
        <f t="shared" si="43"/>
        <v>podkarpackie_bieszczadzki_Lutowiska</v>
      </c>
      <c r="F1356" t="s">
        <v>1325</v>
      </c>
    </row>
    <row r="1357" spans="1:6" x14ac:dyDescent="0.3">
      <c r="A1357" t="s">
        <v>5380</v>
      </c>
      <c r="B1357" t="s">
        <v>4963</v>
      </c>
      <c r="C1357" t="str">
        <f t="shared" si="42"/>
        <v>podkarpackie_bieszczadzki</v>
      </c>
      <c r="D1357" t="s">
        <v>3575</v>
      </c>
      <c r="E1357" t="str">
        <f t="shared" si="43"/>
        <v>podkarpackie_bieszczadzki_Ustrzyki Dolne</v>
      </c>
      <c r="F1357" t="s">
        <v>1326</v>
      </c>
    </row>
    <row r="1358" spans="1:6" x14ac:dyDescent="0.3">
      <c r="A1358" t="s">
        <v>5380</v>
      </c>
      <c r="B1358" t="s">
        <v>4964</v>
      </c>
      <c r="C1358" t="str">
        <f t="shared" si="42"/>
        <v>podkarpackie_brzozowski</v>
      </c>
      <c r="D1358" t="s">
        <v>3576</v>
      </c>
      <c r="E1358" t="str">
        <f t="shared" si="43"/>
        <v>podkarpackie_brzozowski_Brzozów</v>
      </c>
      <c r="F1358" t="s">
        <v>1327</v>
      </c>
    </row>
    <row r="1359" spans="1:6" x14ac:dyDescent="0.3">
      <c r="A1359" t="s">
        <v>5380</v>
      </c>
      <c r="B1359" t="s">
        <v>4964</v>
      </c>
      <c r="C1359" t="str">
        <f t="shared" si="42"/>
        <v>podkarpackie_brzozowski</v>
      </c>
      <c r="D1359" t="s">
        <v>3577</v>
      </c>
      <c r="E1359" t="str">
        <f t="shared" si="43"/>
        <v>podkarpackie_brzozowski_Domaradz</v>
      </c>
      <c r="F1359" t="s">
        <v>1328</v>
      </c>
    </row>
    <row r="1360" spans="1:6" x14ac:dyDescent="0.3">
      <c r="A1360" t="s">
        <v>5380</v>
      </c>
      <c r="B1360" t="s">
        <v>4964</v>
      </c>
      <c r="C1360" t="str">
        <f t="shared" si="42"/>
        <v>podkarpackie_brzozowski</v>
      </c>
      <c r="D1360" t="s">
        <v>3578</v>
      </c>
      <c r="E1360" t="str">
        <f t="shared" si="43"/>
        <v>podkarpackie_brzozowski_Dydnia</v>
      </c>
      <c r="F1360" t="s">
        <v>1329</v>
      </c>
    </row>
    <row r="1361" spans="1:6" x14ac:dyDescent="0.3">
      <c r="A1361" t="s">
        <v>5380</v>
      </c>
      <c r="B1361" t="s">
        <v>4964</v>
      </c>
      <c r="C1361" t="str">
        <f t="shared" si="42"/>
        <v>podkarpackie_brzozowski</v>
      </c>
      <c r="D1361" t="s">
        <v>3579</v>
      </c>
      <c r="E1361" t="str">
        <f t="shared" si="43"/>
        <v>podkarpackie_brzozowski_Haczów</v>
      </c>
      <c r="F1361" t="s">
        <v>1330</v>
      </c>
    </row>
    <row r="1362" spans="1:6" x14ac:dyDescent="0.3">
      <c r="A1362" t="s">
        <v>5380</v>
      </c>
      <c r="B1362" t="s">
        <v>4964</v>
      </c>
      <c r="C1362" t="str">
        <f t="shared" si="42"/>
        <v>podkarpackie_brzozowski</v>
      </c>
      <c r="D1362" t="s">
        <v>3580</v>
      </c>
      <c r="E1362" t="str">
        <f t="shared" si="43"/>
        <v>podkarpackie_brzozowski_Jasienica Rosielna</v>
      </c>
      <c r="F1362" t="s">
        <v>1331</v>
      </c>
    </row>
    <row r="1363" spans="1:6" x14ac:dyDescent="0.3">
      <c r="A1363" t="s">
        <v>5380</v>
      </c>
      <c r="B1363" t="s">
        <v>4964</v>
      </c>
      <c r="C1363" t="str">
        <f t="shared" si="42"/>
        <v>podkarpackie_brzozowski</v>
      </c>
      <c r="D1363" t="s">
        <v>3581</v>
      </c>
      <c r="E1363" t="str">
        <f t="shared" si="43"/>
        <v>podkarpackie_brzozowski_Nozdrzec</v>
      </c>
      <c r="F1363" t="s">
        <v>1332</v>
      </c>
    </row>
    <row r="1364" spans="1:6" x14ac:dyDescent="0.3">
      <c r="A1364" t="s">
        <v>5380</v>
      </c>
      <c r="B1364" t="s">
        <v>4965</v>
      </c>
      <c r="C1364" t="str">
        <f t="shared" si="42"/>
        <v>podkarpackie_dębicki</v>
      </c>
      <c r="D1364" t="s">
        <v>3582</v>
      </c>
      <c r="E1364" t="str">
        <f t="shared" si="43"/>
        <v>podkarpackie_dębicki_Brzostek</v>
      </c>
      <c r="F1364" t="s">
        <v>1334</v>
      </c>
    </row>
    <row r="1365" spans="1:6" x14ac:dyDescent="0.3">
      <c r="A1365" t="s">
        <v>5380</v>
      </c>
      <c r="B1365" t="s">
        <v>4965</v>
      </c>
      <c r="C1365" t="str">
        <f t="shared" si="42"/>
        <v>podkarpackie_dębicki</v>
      </c>
      <c r="D1365" t="s">
        <v>3573</v>
      </c>
      <c r="E1365" t="str">
        <f t="shared" si="43"/>
        <v>podkarpackie_dębicki_Czarna</v>
      </c>
      <c r="F1365" t="s">
        <v>1335</v>
      </c>
    </row>
    <row r="1366" spans="1:6" x14ac:dyDescent="0.3">
      <c r="A1366" t="s">
        <v>5380</v>
      </c>
      <c r="B1366" t="s">
        <v>4965</v>
      </c>
      <c r="C1366" t="str">
        <f t="shared" si="42"/>
        <v>podkarpackie_dębicki</v>
      </c>
      <c r="D1366" t="s">
        <v>3583</v>
      </c>
      <c r="E1366" t="str">
        <f t="shared" si="43"/>
        <v>podkarpackie_dębicki_Jodłowa</v>
      </c>
      <c r="F1366" t="s">
        <v>1337</v>
      </c>
    </row>
    <row r="1367" spans="1:6" x14ac:dyDescent="0.3">
      <c r="A1367" t="s">
        <v>5380</v>
      </c>
      <c r="B1367" t="s">
        <v>4965</v>
      </c>
      <c r="C1367" t="str">
        <f t="shared" si="42"/>
        <v>podkarpackie_dębicki</v>
      </c>
      <c r="D1367" t="s">
        <v>3584</v>
      </c>
      <c r="E1367" t="str">
        <f t="shared" si="43"/>
        <v>podkarpackie_dębicki_Pilzno</v>
      </c>
      <c r="F1367" t="s">
        <v>1338</v>
      </c>
    </row>
    <row r="1368" spans="1:6" x14ac:dyDescent="0.3">
      <c r="A1368" t="s">
        <v>5380</v>
      </c>
      <c r="B1368" t="s">
        <v>4965</v>
      </c>
      <c r="C1368" t="str">
        <f t="shared" si="42"/>
        <v>podkarpackie_dębicki</v>
      </c>
      <c r="D1368" t="s">
        <v>3585</v>
      </c>
      <c r="E1368" t="str">
        <f t="shared" si="43"/>
        <v>podkarpackie_dębicki_Żyraków</v>
      </c>
      <c r="F1368" t="s">
        <v>1339</v>
      </c>
    </row>
    <row r="1369" spans="1:6" x14ac:dyDescent="0.3">
      <c r="A1369" t="s">
        <v>5380</v>
      </c>
      <c r="B1369" t="s">
        <v>4965</v>
      </c>
      <c r="C1369" t="str">
        <f t="shared" si="42"/>
        <v>podkarpackie_dębicki</v>
      </c>
      <c r="D1369" t="s">
        <v>4658</v>
      </c>
      <c r="E1369" t="str">
        <f t="shared" si="43"/>
        <v>podkarpackie_dębicki_Dębica (gm. miejska)</v>
      </c>
      <c r="F1369" t="s">
        <v>1333</v>
      </c>
    </row>
    <row r="1370" spans="1:6" x14ac:dyDescent="0.3">
      <c r="A1370" t="s">
        <v>5380</v>
      </c>
      <c r="B1370" t="s">
        <v>4965</v>
      </c>
      <c r="C1370" t="str">
        <f t="shared" si="42"/>
        <v>podkarpackie_dębicki</v>
      </c>
      <c r="D1370" t="s">
        <v>4659</v>
      </c>
      <c r="E1370" t="str">
        <f t="shared" si="43"/>
        <v>podkarpackie_dębicki_Dębica (gm. wiejska)</v>
      </c>
      <c r="F1370" t="s">
        <v>1336</v>
      </c>
    </row>
    <row r="1371" spans="1:6" x14ac:dyDescent="0.3">
      <c r="A1371" t="s">
        <v>5380</v>
      </c>
      <c r="B1371" t="s">
        <v>4966</v>
      </c>
      <c r="C1371" t="str">
        <f t="shared" si="42"/>
        <v>podkarpackie_jarosławski</v>
      </c>
      <c r="D1371" t="s">
        <v>3586</v>
      </c>
      <c r="E1371" t="str">
        <f t="shared" si="43"/>
        <v>podkarpackie_jarosławski_Chłopice</v>
      </c>
      <c r="F1371" t="s">
        <v>1342</v>
      </c>
    </row>
    <row r="1372" spans="1:6" x14ac:dyDescent="0.3">
      <c r="A1372" t="s">
        <v>5380</v>
      </c>
      <c r="B1372" t="s">
        <v>4966</v>
      </c>
      <c r="C1372" t="str">
        <f t="shared" si="42"/>
        <v>podkarpackie_jarosławski</v>
      </c>
      <c r="D1372" t="s">
        <v>3587</v>
      </c>
      <c r="E1372" t="str">
        <f t="shared" si="43"/>
        <v>podkarpackie_jarosławski_Laszki</v>
      </c>
      <c r="F1372" t="s">
        <v>1344</v>
      </c>
    </row>
    <row r="1373" spans="1:6" x14ac:dyDescent="0.3">
      <c r="A1373" t="s">
        <v>5380</v>
      </c>
      <c r="B1373" t="s">
        <v>4966</v>
      </c>
      <c r="C1373" t="str">
        <f t="shared" si="42"/>
        <v>podkarpackie_jarosławski</v>
      </c>
      <c r="D1373" t="s">
        <v>3588</v>
      </c>
      <c r="E1373" t="str">
        <f t="shared" si="43"/>
        <v>podkarpackie_jarosławski_Pawłosiów</v>
      </c>
      <c r="F1373" t="s">
        <v>1345</v>
      </c>
    </row>
    <row r="1374" spans="1:6" x14ac:dyDescent="0.3">
      <c r="A1374" t="s">
        <v>5380</v>
      </c>
      <c r="B1374" t="s">
        <v>4966</v>
      </c>
      <c r="C1374" t="str">
        <f t="shared" si="42"/>
        <v>podkarpackie_jarosławski</v>
      </c>
      <c r="D1374" t="s">
        <v>3589</v>
      </c>
      <c r="E1374" t="str">
        <f t="shared" si="43"/>
        <v>podkarpackie_jarosławski_Pruchnik</v>
      </c>
      <c r="F1374" t="s">
        <v>5168</v>
      </c>
    </row>
    <row r="1375" spans="1:6" x14ac:dyDescent="0.3">
      <c r="A1375" t="s">
        <v>5380</v>
      </c>
      <c r="B1375" t="s">
        <v>4966</v>
      </c>
      <c r="C1375" t="str">
        <f t="shared" si="42"/>
        <v>podkarpackie_jarosławski</v>
      </c>
      <c r="D1375" t="s">
        <v>3590</v>
      </c>
      <c r="E1375" t="str">
        <f t="shared" si="43"/>
        <v>podkarpackie_jarosławski_Rokietnica</v>
      </c>
      <c r="F1375" t="s">
        <v>1347</v>
      </c>
    </row>
    <row r="1376" spans="1:6" x14ac:dyDescent="0.3">
      <c r="A1376" t="s">
        <v>5380</v>
      </c>
      <c r="B1376" t="s">
        <v>4966</v>
      </c>
      <c r="C1376" t="str">
        <f t="shared" si="42"/>
        <v>podkarpackie_jarosławski</v>
      </c>
      <c r="D1376" t="s">
        <v>3591</v>
      </c>
      <c r="E1376" t="str">
        <f t="shared" si="43"/>
        <v>podkarpackie_jarosławski_Roźwienica</v>
      </c>
      <c r="F1376" t="s">
        <v>1348</v>
      </c>
    </row>
    <row r="1377" spans="1:6" x14ac:dyDescent="0.3">
      <c r="A1377" t="s">
        <v>5380</v>
      </c>
      <c r="B1377" t="s">
        <v>4966</v>
      </c>
      <c r="C1377" t="str">
        <f t="shared" si="42"/>
        <v>podkarpackie_jarosławski</v>
      </c>
      <c r="D1377" t="s">
        <v>3592</v>
      </c>
      <c r="E1377" t="str">
        <f t="shared" si="43"/>
        <v>podkarpackie_jarosławski_Wiązownica</v>
      </c>
      <c r="F1377" t="s">
        <v>1349</v>
      </c>
    </row>
    <row r="1378" spans="1:6" x14ac:dyDescent="0.3">
      <c r="A1378" t="s">
        <v>5380</v>
      </c>
      <c r="B1378" t="s">
        <v>4966</v>
      </c>
      <c r="C1378" t="str">
        <f t="shared" si="42"/>
        <v>podkarpackie_jarosławski</v>
      </c>
      <c r="D1378" t="s">
        <v>4660</v>
      </c>
      <c r="E1378" t="str">
        <f t="shared" si="43"/>
        <v>podkarpackie_jarosławski_Jarosław (gm. miejska)</v>
      </c>
      <c r="F1378" t="s">
        <v>1340</v>
      </c>
    </row>
    <row r="1379" spans="1:6" x14ac:dyDescent="0.3">
      <c r="A1379" t="s">
        <v>5380</v>
      </c>
      <c r="B1379" t="s">
        <v>4966</v>
      </c>
      <c r="C1379" t="str">
        <f t="shared" si="42"/>
        <v>podkarpackie_jarosławski</v>
      </c>
      <c r="D1379" t="s">
        <v>4661</v>
      </c>
      <c r="E1379" t="str">
        <f t="shared" si="43"/>
        <v>podkarpackie_jarosławski_Radymno (gm. miejska)</v>
      </c>
      <c r="F1379" t="s">
        <v>1341</v>
      </c>
    </row>
    <row r="1380" spans="1:6" x14ac:dyDescent="0.3">
      <c r="A1380" t="s">
        <v>5380</v>
      </c>
      <c r="B1380" t="s">
        <v>4966</v>
      </c>
      <c r="C1380" t="str">
        <f t="shared" si="42"/>
        <v>podkarpackie_jarosławski</v>
      </c>
      <c r="D1380" t="s">
        <v>4662</v>
      </c>
      <c r="E1380" t="str">
        <f t="shared" si="43"/>
        <v>podkarpackie_jarosławski_Jarosław (gm. wiejska)</v>
      </c>
      <c r="F1380" t="s">
        <v>1343</v>
      </c>
    </row>
    <row r="1381" spans="1:6" x14ac:dyDescent="0.3">
      <c r="A1381" t="s">
        <v>5380</v>
      </c>
      <c r="B1381" t="s">
        <v>4966</v>
      </c>
      <c r="C1381" t="str">
        <f t="shared" si="42"/>
        <v>podkarpackie_jarosławski</v>
      </c>
      <c r="D1381" t="s">
        <v>4663</v>
      </c>
      <c r="E1381" t="str">
        <f t="shared" si="43"/>
        <v>podkarpackie_jarosławski_Radymno (gm. wiejska)</v>
      </c>
      <c r="F1381" t="s">
        <v>1346</v>
      </c>
    </row>
    <row r="1382" spans="1:6" x14ac:dyDescent="0.3">
      <c r="A1382" t="s">
        <v>5380</v>
      </c>
      <c r="B1382" t="s">
        <v>4967</v>
      </c>
      <c r="C1382" t="str">
        <f t="shared" si="42"/>
        <v>podkarpackie_jasielski</v>
      </c>
      <c r="D1382" t="s">
        <v>3593</v>
      </c>
      <c r="E1382" t="str">
        <f t="shared" si="43"/>
        <v>podkarpackie_jasielski_Brzyska</v>
      </c>
      <c r="F1382" t="s">
        <v>1351</v>
      </c>
    </row>
    <row r="1383" spans="1:6" x14ac:dyDescent="0.3">
      <c r="A1383" t="s">
        <v>5380</v>
      </c>
      <c r="B1383" t="s">
        <v>4967</v>
      </c>
      <c r="C1383" t="str">
        <f t="shared" si="42"/>
        <v>podkarpackie_jasielski</v>
      </c>
      <c r="D1383" t="s">
        <v>3594</v>
      </c>
      <c r="E1383" t="str">
        <f t="shared" si="43"/>
        <v>podkarpackie_jasielski_Dębowiec</v>
      </c>
      <c r="F1383" t="s">
        <v>1352</v>
      </c>
    </row>
    <row r="1384" spans="1:6" x14ac:dyDescent="0.3">
      <c r="A1384" t="s">
        <v>5380</v>
      </c>
      <c r="B1384" t="s">
        <v>4967</v>
      </c>
      <c r="C1384" t="str">
        <f t="shared" si="42"/>
        <v>podkarpackie_jasielski</v>
      </c>
      <c r="D1384" t="s">
        <v>3595</v>
      </c>
      <c r="E1384" t="str">
        <f t="shared" si="43"/>
        <v>podkarpackie_jasielski_Kołaczyce</v>
      </c>
      <c r="F1384" t="s">
        <v>5169</v>
      </c>
    </row>
    <row r="1385" spans="1:6" x14ac:dyDescent="0.3">
      <c r="A1385" t="s">
        <v>5380</v>
      </c>
      <c r="B1385" t="s">
        <v>4967</v>
      </c>
      <c r="C1385" t="str">
        <f t="shared" si="42"/>
        <v>podkarpackie_jasielski</v>
      </c>
      <c r="D1385" t="s">
        <v>3596</v>
      </c>
      <c r="E1385" t="str">
        <f t="shared" si="43"/>
        <v>podkarpackie_jasielski_Krempna</v>
      </c>
      <c r="F1385" t="s">
        <v>1354</v>
      </c>
    </row>
    <row r="1386" spans="1:6" x14ac:dyDescent="0.3">
      <c r="A1386" t="s">
        <v>5380</v>
      </c>
      <c r="B1386" t="s">
        <v>4967</v>
      </c>
      <c r="C1386" t="str">
        <f t="shared" si="42"/>
        <v>podkarpackie_jasielski</v>
      </c>
      <c r="D1386" t="s">
        <v>3597</v>
      </c>
      <c r="E1386" t="str">
        <f t="shared" si="43"/>
        <v>podkarpackie_jasielski_Nowy Żmigród</v>
      </c>
      <c r="F1386" t="s">
        <v>1355</v>
      </c>
    </row>
    <row r="1387" spans="1:6" x14ac:dyDescent="0.3">
      <c r="A1387" t="s">
        <v>5380</v>
      </c>
      <c r="B1387" t="s">
        <v>4967</v>
      </c>
      <c r="C1387" t="str">
        <f t="shared" si="42"/>
        <v>podkarpackie_jasielski</v>
      </c>
      <c r="D1387" t="s">
        <v>3598</v>
      </c>
      <c r="E1387" t="str">
        <f t="shared" si="43"/>
        <v>podkarpackie_jasielski_Osiek Jasielski</v>
      </c>
      <c r="F1387" t="s">
        <v>1356</v>
      </c>
    </row>
    <row r="1388" spans="1:6" x14ac:dyDescent="0.3">
      <c r="A1388" t="s">
        <v>5380</v>
      </c>
      <c r="B1388" t="s">
        <v>4967</v>
      </c>
      <c r="C1388" t="str">
        <f t="shared" si="42"/>
        <v>podkarpackie_jasielski</v>
      </c>
      <c r="D1388" t="s">
        <v>3599</v>
      </c>
      <c r="E1388" t="str">
        <f t="shared" si="43"/>
        <v>podkarpackie_jasielski_Skołyszyn</v>
      </c>
      <c r="F1388" t="s">
        <v>1357</v>
      </c>
    </row>
    <row r="1389" spans="1:6" x14ac:dyDescent="0.3">
      <c r="A1389" t="s">
        <v>5380</v>
      </c>
      <c r="B1389" t="s">
        <v>4967</v>
      </c>
      <c r="C1389" t="str">
        <f t="shared" si="42"/>
        <v>podkarpackie_jasielski</v>
      </c>
      <c r="D1389" t="s">
        <v>3600</v>
      </c>
      <c r="E1389" t="str">
        <f t="shared" si="43"/>
        <v>podkarpackie_jasielski_Tarnowiec</v>
      </c>
      <c r="F1389" t="s">
        <v>1358</v>
      </c>
    </row>
    <row r="1390" spans="1:6" x14ac:dyDescent="0.3">
      <c r="A1390" t="s">
        <v>5380</v>
      </c>
      <c r="B1390" t="s">
        <v>4967</v>
      </c>
      <c r="C1390" t="str">
        <f t="shared" si="42"/>
        <v>podkarpackie_jasielski</v>
      </c>
      <c r="D1390" t="s">
        <v>4664</v>
      </c>
      <c r="E1390" t="str">
        <f t="shared" si="43"/>
        <v>podkarpackie_jasielski_Jasło (gm. miejska)</v>
      </c>
      <c r="F1390" t="s">
        <v>1350</v>
      </c>
    </row>
    <row r="1391" spans="1:6" x14ac:dyDescent="0.3">
      <c r="A1391" t="s">
        <v>5380</v>
      </c>
      <c r="B1391" t="s">
        <v>4967</v>
      </c>
      <c r="C1391" t="str">
        <f t="shared" si="42"/>
        <v>podkarpackie_jasielski</v>
      </c>
      <c r="D1391" t="s">
        <v>4665</v>
      </c>
      <c r="E1391" t="str">
        <f t="shared" si="43"/>
        <v>podkarpackie_jasielski_Jasło (gm. wiejska)</v>
      </c>
      <c r="F1391" t="s">
        <v>1353</v>
      </c>
    </row>
    <row r="1392" spans="1:6" x14ac:dyDescent="0.3">
      <c r="A1392" t="s">
        <v>5380</v>
      </c>
      <c r="B1392" t="s">
        <v>4968</v>
      </c>
      <c r="C1392" t="str">
        <f t="shared" si="42"/>
        <v>podkarpackie_kolbuszowski</v>
      </c>
      <c r="D1392" t="s">
        <v>3601</v>
      </c>
      <c r="E1392" t="str">
        <f t="shared" si="43"/>
        <v>podkarpackie_kolbuszowski_Cmolas</v>
      </c>
      <c r="F1392" t="s">
        <v>1359</v>
      </c>
    </row>
    <row r="1393" spans="1:6" x14ac:dyDescent="0.3">
      <c r="A1393" t="s">
        <v>5380</v>
      </c>
      <c r="B1393" t="s">
        <v>4968</v>
      </c>
      <c r="C1393" t="str">
        <f t="shared" si="42"/>
        <v>podkarpackie_kolbuszowski</v>
      </c>
      <c r="D1393" t="s">
        <v>3606</v>
      </c>
      <c r="E1393" t="str">
        <f t="shared" si="43"/>
        <v>podkarpackie_kolbuszowski_Dzikowiec</v>
      </c>
      <c r="F1393" t="s">
        <v>1364</v>
      </c>
    </row>
    <row r="1394" spans="1:6" x14ac:dyDescent="0.3">
      <c r="A1394" t="s">
        <v>5380</v>
      </c>
      <c r="B1394" t="s">
        <v>4968</v>
      </c>
      <c r="C1394" t="str">
        <f t="shared" si="42"/>
        <v>podkarpackie_kolbuszowski</v>
      </c>
      <c r="D1394" t="s">
        <v>3602</v>
      </c>
      <c r="E1394" t="str">
        <f t="shared" si="43"/>
        <v>podkarpackie_kolbuszowski_Kolbuszowa</v>
      </c>
      <c r="F1394" t="s">
        <v>1360</v>
      </c>
    </row>
    <row r="1395" spans="1:6" x14ac:dyDescent="0.3">
      <c r="A1395" t="s">
        <v>5380</v>
      </c>
      <c r="B1395" t="s">
        <v>4968</v>
      </c>
      <c r="C1395" t="str">
        <f t="shared" si="42"/>
        <v>podkarpackie_kolbuszowski</v>
      </c>
      <c r="D1395" t="s">
        <v>3603</v>
      </c>
      <c r="E1395" t="str">
        <f t="shared" si="43"/>
        <v>podkarpackie_kolbuszowski_Majdan Królewski</v>
      </c>
      <c r="F1395" t="s">
        <v>1361</v>
      </c>
    </row>
    <row r="1396" spans="1:6" x14ac:dyDescent="0.3">
      <c r="A1396" t="s">
        <v>5380</v>
      </c>
      <c r="B1396" t="s">
        <v>4968</v>
      </c>
      <c r="C1396" t="str">
        <f t="shared" si="42"/>
        <v>podkarpackie_kolbuszowski</v>
      </c>
      <c r="D1396" t="s">
        <v>3604</v>
      </c>
      <c r="E1396" t="str">
        <f t="shared" si="43"/>
        <v>podkarpackie_kolbuszowski_Niwiska</v>
      </c>
      <c r="F1396" t="s">
        <v>1362</v>
      </c>
    </row>
    <row r="1397" spans="1:6" x14ac:dyDescent="0.3">
      <c r="A1397" t="s">
        <v>5380</v>
      </c>
      <c r="B1397" t="s">
        <v>4968</v>
      </c>
      <c r="C1397" t="str">
        <f t="shared" si="42"/>
        <v>podkarpackie_kolbuszowski</v>
      </c>
      <c r="D1397" t="s">
        <v>3605</v>
      </c>
      <c r="E1397" t="str">
        <f t="shared" si="43"/>
        <v>podkarpackie_kolbuszowski_Raniżów</v>
      </c>
      <c r="F1397" t="s">
        <v>1363</v>
      </c>
    </row>
    <row r="1398" spans="1:6" x14ac:dyDescent="0.3">
      <c r="A1398" t="s">
        <v>5380</v>
      </c>
      <c r="B1398" t="s">
        <v>3700</v>
      </c>
      <c r="C1398" t="str">
        <f t="shared" si="42"/>
        <v>podkarpackie_Krosno</v>
      </c>
      <c r="D1398" t="s">
        <v>3700</v>
      </c>
      <c r="E1398" t="str">
        <f t="shared" si="43"/>
        <v>podkarpackie_Krosno_Krosno</v>
      </c>
      <c r="F1398" t="s">
        <v>1474</v>
      </c>
    </row>
    <row r="1399" spans="1:6" x14ac:dyDescent="0.3">
      <c r="A1399" t="s">
        <v>5380</v>
      </c>
      <c r="B1399" t="s">
        <v>4868</v>
      </c>
      <c r="C1399" t="str">
        <f t="shared" si="42"/>
        <v>podkarpackie_krośnieński</v>
      </c>
      <c r="D1399" t="s">
        <v>3607</v>
      </c>
      <c r="E1399" t="str">
        <f t="shared" si="43"/>
        <v>podkarpackie_krośnieński_Chorkówka</v>
      </c>
      <c r="F1399" t="s">
        <v>1365</v>
      </c>
    </row>
    <row r="1400" spans="1:6" x14ac:dyDescent="0.3">
      <c r="A1400" t="s">
        <v>5380</v>
      </c>
      <c r="B1400" t="s">
        <v>4868</v>
      </c>
      <c r="C1400" t="str">
        <f t="shared" si="42"/>
        <v>podkarpackie_krośnieński</v>
      </c>
      <c r="D1400" t="s">
        <v>3608</v>
      </c>
      <c r="E1400" t="str">
        <f t="shared" si="43"/>
        <v>podkarpackie_krośnieński_Dukla</v>
      </c>
      <c r="F1400" t="s">
        <v>1366</v>
      </c>
    </row>
    <row r="1401" spans="1:6" x14ac:dyDescent="0.3">
      <c r="A1401" t="s">
        <v>5380</v>
      </c>
      <c r="B1401" t="s">
        <v>4868</v>
      </c>
      <c r="C1401" t="str">
        <f t="shared" si="42"/>
        <v>podkarpackie_krośnieński</v>
      </c>
      <c r="D1401" t="s">
        <v>3609</v>
      </c>
      <c r="E1401" t="str">
        <f t="shared" si="43"/>
        <v>podkarpackie_krośnieński_Iwonicz-Zdrój</v>
      </c>
      <c r="F1401" t="s">
        <v>1367</v>
      </c>
    </row>
    <row r="1402" spans="1:6" x14ac:dyDescent="0.3">
      <c r="A1402" t="s">
        <v>5380</v>
      </c>
      <c r="B1402" t="s">
        <v>4868</v>
      </c>
      <c r="C1402" t="str">
        <f t="shared" si="42"/>
        <v>podkarpackie_krośnieński</v>
      </c>
      <c r="D1402" t="s">
        <v>5170</v>
      </c>
      <c r="E1402" t="str">
        <f t="shared" si="43"/>
        <v>podkarpackie_krośnieński_Jaśliska</v>
      </c>
      <c r="F1402" t="s">
        <v>5171</v>
      </c>
    </row>
    <row r="1403" spans="1:6" x14ac:dyDescent="0.3">
      <c r="A1403" t="s">
        <v>5380</v>
      </c>
      <c r="B1403" t="s">
        <v>4868</v>
      </c>
      <c r="C1403" t="str">
        <f t="shared" si="42"/>
        <v>podkarpackie_krośnieński</v>
      </c>
      <c r="D1403" t="s">
        <v>3610</v>
      </c>
      <c r="E1403" t="str">
        <f t="shared" si="43"/>
        <v>podkarpackie_krośnieński_Jedlicze</v>
      </c>
      <c r="F1403" t="s">
        <v>1368</v>
      </c>
    </row>
    <row r="1404" spans="1:6" x14ac:dyDescent="0.3">
      <c r="A1404" t="s">
        <v>5380</v>
      </c>
      <c r="B1404" t="s">
        <v>4868</v>
      </c>
      <c r="C1404" t="str">
        <f t="shared" si="42"/>
        <v>podkarpackie_krośnieński</v>
      </c>
      <c r="D1404" t="s">
        <v>3611</v>
      </c>
      <c r="E1404" t="str">
        <f t="shared" si="43"/>
        <v>podkarpackie_krośnieński_Korczyna</v>
      </c>
      <c r="F1404" t="s">
        <v>1369</v>
      </c>
    </row>
    <row r="1405" spans="1:6" x14ac:dyDescent="0.3">
      <c r="A1405" t="s">
        <v>5380</v>
      </c>
      <c r="B1405" t="s">
        <v>4868</v>
      </c>
      <c r="C1405" t="str">
        <f t="shared" si="42"/>
        <v>podkarpackie_krośnieński</v>
      </c>
      <c r="D1405" t="s">
        <v>3612</v>
      </c>
      <c r="E1405" t="str">
        <f t="shared" si="43"/>
        <v>podkarpackie_krośnieński_Krościenko Wyżne</v>
      </c>
      <c r="F1405" t="s">
        <v>1370</v>
      </c>
    </row>
    <row r="1406" spans="1:6" x14ac:dyDescent="0.3">
      <c r="A1406" t="s">
        <v>5380</v>
      </c>
      <c r="B1406" t="s">
        <v>4868</v>
      </c>
      <c r="C1406" t="str">
        <f t="shared" si="42"/>
        <v>podkarpackie_krośnieński</v>
      </c>
      <c r="D1406" t="s">
        <v>3613</v>
      </c>
      <c r="E1406" t="str">
        <f t="shared" si="43"/>
        <v>podkarpackie_krośnieński_Miejsce Piastowe</v>
      </c>
      <c r="F1406" t="s">
        <v>1371</v>
      </c>
    </row>
    <row r="1407" spans="1:6" x14ac:dyDescent="0.3">
      <c r="A1407" t="s">
        <v>5380</v>
      </c>
      <c r="B1407" t="s">
        <v>4868</v>
      </c>
      <c r="C1407" t="str">
        <f t="shared" si="42"/>
        <v>podkarpackie_krośnieński</v>
      </c>
      <c r="D1407" t="s">
        <v>3614</v>
      </c>
      <c r="E1407" t="str">
        <f t="shared" si="43"/>
        <v>podkarpackie_krośnieński_Rymanów</v>
      </c>
      <c r="F1407" t="s">
        <v>1372</v>
      </c>
    </row>
    <row r="1408" spans="1:6" x14ac:dyDescent="0.3">
      <c r="A1408" t="s">
        <v>5380</v>
      </c>
      <c r="B1408" t="s">
        <v>4868</v>
      </c>
      <c r="C1408" t="str">
        <f t="shared" si="42"/>
        <v>podkarpackie_krośnieński</v>
      </c>
      <c r="D1408" t="s">
        <v>3615</v>
      </c>
      <c r="E1408" t="str">
        <f t="shared" si="43"/>
        <v>podkarpackie_krośnieński_Wojaszówka</v>
      </c>
      <c r="F1408" t="s">
        <v>1373</v>
      </c>
    </row>
    <row r="1409" spans="1:6" x14ac:dyDescent="0.3">
      <c r="A1409" t="s">
        <v>5380</v>
      </c>
      <c r="B1409" t="s">
        <v>4982</v>
      </c>
      <c r="C1409" t="str">
        <f t="shared" ref="C1409:C1472" si="44">CONCATENATE(A1409,"_",B1409)</f>
        <v>podkarpackie_leski</v>
      </c>
      <c r="D1409" t="s">
        <v>3695</v>
      </c>
      <c r="E1409" t="str">
        <f t="shared" ref="E1409:E1472" si="45">C1409&amp;"_"&amp;D1409</f>
        <v>podkarpackie_leski_Baligród</v>
      </c>
      <c r="F1409" t="s">
        <v>1469</v>
      </c>
    </row>
    <row r="1410" spans="1:6" x14ac:dyDescent="0.3">
      <c r="A1410" t="s">
        <v>5380</v>
      </c>
      <c r="B1410" t="s">
        <v>4982</v>
      </c>
      <c r="C1410" t="str">
        <f t="shared" si="44"/>
        <v>podkarpackie_leski</v>
      </c>
      <c r="D1410" t="s">
        <v>3696</v>
      </c>
      <c r="E1410" t="str">
        <f t="shared" si="45"/>
        <v>podkarpackie_leski_Cisna</v>
      </c>
      <c r="F1410" t="s">
        <v>1470</v>
      </c>
    </row>
    <row r="1411" spans="1:6" x14ac:dyDescent="0.3">
      <c r="A1411" t="s">
        <v>5380</v>
      </c>
      <c r="B1411" t="s">
        <v>4982</v>
      </c>
      <c r="C1411" t="str">
        <f t="shared" si="44"/>
        <v>podkarpackie_leski</v>
      </c>
      <c r="D1411" t="s">
        <v>3697</v>
      </c>
      <c r="E1411" t="str">
        <f t="shared" si="45"/>
        <v>podkarpackie_leski_Lesko</v>
      </c>
      <c r="F1411" t="s">
        <v>1471</v>
      </c>
    </row>
    <row r="1412" spans="1:6" x14ac:dyDescent="0.3">
      <c r="A1412" t="s">
        <v>5380</v>
      </c>
      <c r="B1412" t="s">
        <v>4982</v>
      </c>
      <c r="C1412" t="str">
        <f t="shared" si="44"/>
        <v>podkarpackie_leski</v>
      </c>
      <c r="D1412" t="s">
        <v>3698</v>
      </c>
      <c r="E1412" t="str">
        <f t="shared" si="45"/>
        <v>podkarpackie_leski_Olszanica</v>
      </c>
      <c r="F1412" t="s">
        <v>1472</v>
      </c>
    </row>
    <row r="1413" spans="1:6" x14ac:dyDescent="0.3">
      <c r="A1413" t="s">
        <v>5380</v>
      </c>
      <c r="B1413" t="s">
        <v>4982</v>
      </c>
      <c r="C1413" t="str">
        <f t="shared" si="44"/>
        <v>podkarpackie_leski</v>
      </c>
      <c r="D1413" t="s">
        <v>3699</v>
      </c>
      <c r="E1413" t="str">
        <f t="shared" si="45"/>
        <v>podkarpackie_leski_Solina</v>
      </c>
      <c r="F1413" t="s">
        <v>1473</v>
      </c>
    </row>
    <row r="1414" spans="1:6" x14ac:dyDescent="0.3">
      <c r="A1414" t="s">
        <v>5380</v>
      </c>
      <c r="B1414" t="s">
        <v>4969</v>
      </c>
      <c r="C1414" t="str">
        <f t="shared" si="44"/>
        <v>podkarpackie_leżajski</v>
      </c>
      <c r="D1414" t="s">
        <v>3616</v>
      </c>
      <c r="E1414" t="str">
        <f t="shared" si="45"/>
        <v>podkarpackie_leżajski_Grodzisko Dolne</v>
      </c>
      <c r="F1414" t="s">
        <v>1375</v>
      </c>
    </row>
    <row r="1415" spans="1:6" x14ac:dyDescent="0.3">
      <c r="A1415" t="s">
        <v>5380</v>
      </c>
      <c r="B1415" t="s">
        <v>4969</v>
      </c>
      <c r="C1415" t="str">
        <f t="shared" si="44"/>
        <v>podkarpackie_leżajski</v>
      </c>
      <c r="D1415" t="s">
        <v>3617</v>
      </c>
      <c r="E1415" t="str">
        <f t="shared" si="45"/>
        <v>podkarpackie_leżajski_Kuryłówka</v>
      </c>
      <c r="F1415" t="s">
        <v>1376</v>
      </c>
    </row>
    <row r="1416" spans="1:6" x14ac:dyDescent="0.3">
      <c r="A1416" t="s">
        <v>5380</v>
      </c>
      <c r="B1416" t="s">
        <v>4969</v>
      </c>
      <c r="C1416" t="str">
        <f t="shared" si="44"/>
        <v>podkarpackie_leżajski</v>
      </c>
      <c r="D1416" t="s">
        <v>3618</v>
      </c>
      <c r="E1416" t="str">
        <f t="shared" si="45"/>
        <v>podkarpackie_leżajski_Nowa Sarzyna</v>
      </c>
      <c r="F1416" t="s">
        <v>1378</v>
      </c>
    </row>
    <row r="1417" spans="1:6" x14ac:dyDescent="0.3">
      <c r="A1417" t="s">
        <v>5380</v>
      </c>
      <c r="B1417" t="s">
        <v>4969</v>
      </c>
      <c r="C1417" t="str">
        <f t="shared" si="44"/>
        <v>podkarpackie_leżajski</v>
      </c>
      <c r="D1417" t="s">
        <v>4666</v>
      </c>
      <c r="E1417" t="str">
        <f t="shared" si="45"/>
        <v>podkarpackie_leżajski_Leżajsk (gm. miejska)</v>
      </c>
      <c r="F1417" t="s">
        <v>1374</v>
      </c>
    </row>
    <row r="1418" spans="1:6" x14ac:dyDescent="0.3">
      <c r="A1418" t="s">
        <v>5380</v>
      </c>
      <c r="B1418" t="s">
        <v>4969</v>
      </c>
      <c r="C1418" t="str">
        <f t="shared" si="44"/>
        <v>podkarpackie_leżajski</v>
      </c>
      <c r="D1418" t="s">
        <v>4667</v>
      </c>
      <c r="E1418" t="str">
        <f t="shared" si="45"/>
        <v>podkarpackie_leżajski_Leżajsk (gm. wiejska)</v>
      </c>
      <c r="F1418" t="s">
        <v>1377</v>
      </c>
    </row>
    <row r="1419" spans="1:6" x14ac:dyDescent="0.3">
      <c r="A1419" t="s">
        <v>5380</v>
      </c>
      <c r="B1419" t="s">
        <v>4970</v>
      </c>
      <c r="C1419" t="str">
        <f t="shared" si="44"/>
        <v>podkarpackie_lubaczowski</v>
      </c>
      <c r="D1419" t="s">
        <v>3619</v>
      </c>
      <c r="E1419" t="str">
        <f t="shared" si="45"/>
        <v>podkarpackie_lubaczowski_Cieszanów</v>
      </c>
      <c r="F1419" t="s">
        <v>1380</v>
      </c>
    </row>
    <row r="1420" spans="1:6" x14ac:dyDescent="0.3">
      <c r="A1420" t="s">
        <v>5380</v>
      </c>
      <c r="B1420" t="s">
        <v>4970</v>
      </c>
      <c r="C1420" t="str">
        <f t="shared" si="44"/>
        <v>podkarpackie_lubaczowski</v>
      </c>
      <c r="D1420" t="s">
        <v>3620</v>
      </c>
      <c r="E1420" t="str">
        <f t="shared" si="45"/>
        <v>podkarpackie_lubaczowski_Horyniec-Zdrój</v>
      </c>
      <c r="F1420" t="s">
        <v>1381</v>
      </c>
    </row>
    <row r="1421" spans="1:6" x14ac:dyDescent="0.3">
      <c r="A1421" t="s">
        <v>5380</v>
      </c>
      <c r="B1421" t="s">
        <v>4970</v>
      </c>
      <c r="C1421" t="str">
        <f t="shared" si="44"/>
        <v>podkarpackie_lubaczowski</v>
      </c>
      <c r="D1421" t="s">
        <v>3621</v>
      </c>
      <c r="E1421" t="str">
        <f t="shared" si="45"/>
        <v>podkarpackie_lubaczowski_Narol</v>
      </c>
      <c r="F1421" t="s">
        <v>1383</v>
      </c>
    </row>
    <row r="1422" spans="1:6" x14ac:dyDescent="0.3">
      <c r="A1422" t="s">
        <v>5380</v>
      </c>
      <c r="B1422" t="s">
        <v>4970</v>
      </c>
      <c r="C1422" t="str">
        <f t="shared" si="44"/>
        <v>podkarpackie_lubaczowski</v>
      </c>
      <c r="D1422" t="s">
        <v>3622</v>
      </c>
      <c r="E1422" t="str">
        <f t="shared" si="45"/>
        <v>podkarpackie_lubaczowski_Oleszyce</v>
      </c>
      <c r="F1422" t="s">
        <v>1384</v>
      </c>
    </row>
    <row r="1423" spans="1:6" x14ac:dyDescent="0.3">
      <c r="A1423" t="s">
        <v>5380</v>
      </c>
      <c r="B1423" t="s">
        <v>4970</v>
      </c>
      <c r="C1423" t="str">
        <f t="shared" si="44"/>
        <v>podkarpackie_lubaczowski</v>
      </c>
      <c r="D1423" t="s">
        <v>3623</v>
      </c>
      <c r="E1423" t="str">
        <f t="shared" si="45"/>
        <v>podkarpackie_lubaczowski_Stary Dzików</v>
      </c>
      <c r="F1423" t="s">
        <v>1385</v>
      </c>
    </row>
    <row r="1424" spans="1:6" x14ac:dyDescent="0.3">
      <c r="A1424" t="s">
        <v>5380</v>
      </c>
      <c r="B1424" t="s">
        <v>4970</v>
      </c>
      <c r="C1424" t="str">
        <f t="shared" si="44"/>
        <v>podkarpackie_lubaczowski</v>
      </c>
      <c r="D1424" t="s">
        <v>3624</v>
      </c>
      <c r="E1424" t="str">
        <f t="shared" si="45"/>
        <v>podkarpackie_lubaczowski_Wielkie Oczy</v>
      </c>
      <c r="F1424" t="s">
        <v>1386</v>
      </c>
    </row>
    <row r="1425" spans="1:6" x14ac:dyDescent="0.3">
      <c r="A1425" t="s">
        <v>5380</v>
      </c>
      <c r="B1425" t="s">
        <v>4970</v>
      </c>
      <c r="C1425" t="str">
        <f t="shared" si="44"/>
        <v>podkarpackie_lubaczowski</v>
      </c>
      <c r="D1425" t="s">
        <v>4668</v>
      </c>
      <c r="E1425" t="str">
        <f t="shared" si="45"/>
        <v>podkarpackie_lubaczowski_Lubaczów (gm. miejska)</v>
      </c>
      <c r="F1425" t="s">
        <v>1379</v>
      </c>
    </row>
    <row r="1426" spans="1:6" x14ac:dyDescent="0.3">
      <c r="A1426" t="s">
        <v>5380</v>
      </c>
      <c r="B1426" t="s">
        <v>4970</v>
      </c>
      <c r="C1426" t="str">
        <f t="shared" si="44"/>
        <v>podkarpackie_lubaczowski</v>
      </c>
      <c r="D1426" t="s">
        <v>4669</v>
      </c>
      <c r="E1426" t="str">
        <f t="shared" si="45"/>
        <v>podkarpackie_lubaczowski_Lubaczów (gm. wiejska)</v>
      </c>
      <c r="F1426" t="s">
        <v>1382</v>
      </c>
    </row>
    <row r="1427" spans="1:6" x14ac:dyDescent="0.3">
      <c r="A1427" t="s">
        <v>5380</v>
      </c>
      <c r="B1427" t="s">
        <v>4971</v>
      </c>
      <c r="C1427" t="str">
        <f t="shared" si="44"/>
        <v>podkarpackie_łańcucki</v>
      </c>
      <c r="D1427" t="s">
        <v>3235</v>
      </c>
      <c r="E1427" t="str">
        <f t="shared" si="45"/>
        <v>podkarpackie_łańcucki_Białobrzegi</v>
      </c>
      <c r="F1427" t="s">
        <v>1388</v>
      </c>
    </row>
    <row r="1428" spans="1:6" x14ac:dyDescent="0.3">
      <c r="A1428" t="s">
        <v>5380</v>
      </c>
      <c r="B1428" t="s">
        <v>4971</v>
      </c>
      <c r="C1428" t="str">
        <f t="shared" si="44"/>
        <v>podkarpackie_łańcucki</v>
      </c>
      <c r="D1428" t="s">
        <v>3573</v>
      </c>
      <c r="E1428" t="str">
        <f t="shared" si="45"/>
        <v>podkarpackie_łańcucki_Czarna</v>
      </c>
      <c r="F1428" t="s">
        <v>1389</v>
      </c>
    </row>
    <row r="1429" spans="1:6" x14ac:dyDescent="0.3">
      <c r="A1429" t="s">
        <v>5380</v>
      </c>
      <c r="B1429" t="s">
        <v>4971</v>
      </c>
      <c r="C1429" t="str">
        <f t="shared" si="44"/>
        <v>podkarpackie_łańcucki</v>
      </c>
      <c r="D1429" t="s">
        <v>3625</v>
      </c>
      <c r="E1429" t="str">
        <f t="shared" si="45"/>
        <v>podkarpackie_łańcucki_Markowa</v>
      </c>
      <c r="F1429" t="s">
        <v>1391</v>
      </c>
    </row>
    <row r="1430" spans="1:6" x14ac:dyDescent="0.3">
      <c r="A1430" t="s">
        <v>5380</v>
      </c>
      <c r="B1430" t="s">
        <v>4971</v>
      </c>
      <c r="C1430" t="str">
        <f t="shared" si="44"/>
        <v>podkarpackie_łańcucki</v>
      </c>
      <c r="D1430" t="s">
        <v>3626</v>
      </c>
      <c r="E1430" t="str">
        <f t="shared" si="45"/>
        <v>podkarpackie_łańcucki_Rakszawa</v>
      </c>
      <c r="F1430" t="s">
        <v>1392</v>
      </c>
    </row>
    <row r="1431" spans="1:6" x14ac:dyDescent="0.3">
      <c r="A1431" t="s">
        <v>5380</v>
      </c>
      <c r="B1431" t="s">
        <v>4971</v>
      </c>
      <c r="C1431" t="str">
        <f t="shared" si="44"/>
        <v>podkarpackie_łańcucki</v>
      </c>
      <c r="D1431" t="s">
        <v>3627</v>
      </c>
      <c r="E1431" t="str">
        <f t="shared" si="45"/>
        <v>podkarpackie_łańcucki_Żołynia</v>
      </c>
      <c r="F1431" t="s">
        <v>1393</v>
      </c>
    </row>
    <row r="1432" spans="1:6" x14ac:dyDescent="0.3">
      <c r="A1432" t="s">
        <v>5380</v>
      </c>
      <c r="B1432" t="s">
        <v>4971</v>
      </c>
      <c r="C1432" t="str">
        <f t="shared" si="44"/>
        <v>podkarpackie_łańcucki</v>
      </c>
      <c r="D1432" t="s">
        <v>4670</v>
      </c>
      <c r="E1432" t="str">
        <f t="shared" si="45"/>
        <v>podkarpackie_łańcucki_Łańcut (gm. miejska)</v>
      </c>
      <c r="F1432" t="s">
        <v>1387</v>
      </c>
    </row>
    <row r="1433" spans="1:6" x14ac:dyDescent="0.3">
      <c r="A1433" t="s">
        <v>5380</v>
      </c>
      <c r="B1433" t="s">
        <v>4971</v>
      </c>
      <c r="C1433" t="str">
        <f t="shared" si="44"/>
        <v>podkarpackie_łańcucki</v>
      </c>
      <c r="D1433" t="s">
        <v>4671</v>
      </c>
      <c r="E1433" t="str">
        <f t="shared" si="45"/>
        <v>podkarpackie_łańcucki_Łańcut (gm. wiejska)</v>
      </c>
      <c r="F1433" t="s">
        <v>1390</v>
      </c>
    </row>
    <row r="1434" spans="1:6" x14ac:dyDescent="0.3">
      <c r="A1434" t="s">
        <v>5380</v>
      </c>
      <c r="B1434" t="s">
        <v>4972</v>
      </c>
      <c r="C1434" t="str">
        <f t="shared" si="44"/>
        <v>podkarpackie_mielecki</v>
      </c>
      <c r="D1434" t="s">
        <v>3628</v>
      </c>
      <c r="E1434" t="str">
        <f t="shared" si="45"/>
        <v>podkarpackie_mielecki_Borowa</v>
      </c>
      <c r="F1434" t="s">
        <v>1395</v>
      </c>
    </row>
    <row r="1435" spans="1:6" x14ac:dyDescent="0.3">
      <c r="A1435" t="s">
        <v>5380</v>
      </c>
      <c r="B1435" t="s">
        <v>4972</v>
      </c>
      <c r="C1435" t="str">
        <f t="shared" si="44"/>
        <v>podkarpackie_mielecki</v>
      </c>
      <c r="D1435" t="s">
        <v>3629</v>
      </c>
      <c r="E1435" t="str">
        <f t="shared" si="45"/>
        <v>podkarpackie_mielecki_Czermin</v>
      </c>
      <c r="F1435" t="s">
        <v>1396</v>
      </c>
    </row>
    <row r="1436" spans="1:6" x14ac:dyDescent="0.3">
      <c r="A1436" t="s">
        <v>5380</v>
      </c>
      <c r="B1436" t="s">
        <v>4972</v>
      </c>
      <c r="C1436" t="str">
        <f t="shared" si="44"/>
        <v>podkarpackie_mielecki</v>
      </c>
      <c r="D1436" t="s">
        <v>3630</v>
      </c>
      <c r="E1436" t="str">
        <f t="shared" si="45"/>
        <v>podkarpackie_mielecki_Gawłuszowice</v>
      </c>
      <c r="F1436" t="s">
        <v>1397</v>
      </c>
    </row>
    <row r="1437" spans="1:6" x14ac:dyDescent="0.3">
      <c r="A1437" t="s">
        <v>5380</v>
      </c>
      <c r="B1437" t="s">
        <v>4972</v>
      </c>
      <c r="C1437" t="str">
        <f t="shared" si="44"/>
        <v>podkarpackie_mielecki</v>
      </c>
      <c r="D1437" t="s">
        <v>3631</v>
      </c>
      <c r="E1437" t="str">
        <f t="shared" si="45"/>
        <v>podkarpackie_mielecki_Padew Narodowa</v>
      </c>
      <c r="F1437" t="s">
        <v>1399</v>
      </c>
    </row>
    <row r="1438" spans="1:6" x14ac:dyDescent="0.3">
      <c r="A1438" t="s">
        <v>5380</v>
      </c>
      <c r="B1438" t="s">
        <v>4972</v>
      </c>
      <c r="C1438" t="str">
        <f t="shared" si="44"/>
        <v>podkarpackie_mielecki</v>
      </c>
      <c r="D1438" t="s">
        <v>3632</v>
      </c>
      <c r="E1438" t="str">
        <f t="shared" si="45"/>
        <v>podkarpackie_mielecki_Przecław</v>
      </c>
      <c r="F1438" t="s">
        <v>5172</v>
      </c>
    </row>
    <row r="1439" spans="1:6" x14ac:dyDescent="0.3">
      <c r="A1439" t="s">
        <v>5380</v>
      </c>
      <c r="B1439" t="s">
        <v>4972</v>
      </c>
      <c r="C1439" t="str">
        <f t="shared" si="44"/>
        <v>podkarpackie_mielecki</v>
      </c>
      <c r="D1439" t="s">
        <v>3633</v>
      </c>
      <c r="E1439" t="str">
        <f t="shared" si="45"/>
        <v>podkarpackie_mielecki_Radomyśl Wielki</v>
      </c>
      <c r="F1439" t="s">
        <v>1400</v>
      </c>
    </row>
    <row r="1440" spans="1:6" x14ac:dyDescent="0.3">
      <c r="A1440" t="s">
        <v>5380</v>
      </c>
      <c r="B1440" t="s">
        <v>4972</v>
      </c>
      <c r="C1440" t="str">
        <f t="shared" si="44"/>
        <v>podkarpackie_mielecki</v>
      </c>
      <c r="D1440" t="s">
        <v>3634</v>
      </c>
      <c r="E1440" t="str">
        <f t="shared" si="45"/>
        <v>podkarpackie_mielecki_Tuszów Narodowy</v>
      </c>
      <c r="F1440" t="s">
        <v>1401</v>
      </c>
    </row>
    <row r="1441" spans="1:6" x14ac:dyDescent="0.3">
      <c r="A1441" t="s">
        <v>5380</v>
      </c>
      <c r="B1441" t="s">
        <v>4972</v>
      </c>
      <c r="C1441" t="str">
        <f t="shared" si="44"/>
        <v>podkarpackie_mielecki</v>
      </c>
      <c r="D1441" t="s">
        <v>3635</v>
      </c>
      <c r="E1441" t="str">
        <f t="shared" si="45"/>
        <v>podkarpackie_mielecki_Wadowice Górne</v>
      </c>
      <c r="F1441" t="s">
        <v>1402</v>
      </c>
    </row>
    <row r="1442" spans="1:6" x14ac:dyDescent="0.3">
      <c r="A1442" t="s">
        <v>5380</v>
      </c>
      <c r="B1442" t="s">
        <v>4972</v>
      </c>
      <c r="C1442" t="str">
        <f t="shared" si="44"/>
        <v>podkarpackie_mielecki</v>
      </c>
      <c r="D1442" t="s">
        <v>4672</v>
      </c>
      <c r="E1442" t="str">
        <f t="shared" si="45"/>
        <v>podkarpackie_mielecki_Mielec (gm. miejska)</v>
      </c>
      <c r="F1442" t="s">
        <v>1394</v>
      </c>
    </row>
    <row r="1443" spans="1:6" x14ac:dyDescent="0.3">
      <c r="A1443" t="s">
        <v>5380</v>
      </c>
      <c r="B1443" t="s">
        <v>4972</v>
      </c>
      <c r="C1443" t="str">
        <f t="shared" si="44"/>
        <v>podkarpackie_mielecki</v>
      </c>
      <c r="D1443" t="s">
        <v>4673</v>
      </c>
      <c r="E1443" t="str">
        <f t="shared" si="45"/>
        <v>podkarpackie_mielecki_Mielec (gm. wiejska)</v>
      </c>
      <c r="F1443" t="s">
        <v>1398</v>
      </c>
    </row>
    <row r="1444" spans="1:6" x14ac:dyDescent="0.3">
      <c r="A1444" t="s">
        <v>5380</v>
      </c>
      <c r="B1444" t="s">
        <v>4973</v>
      </c>
      <c r="C1444" t="str">
        <f t="shared" si="44"/>
        <v>podkarpackie_niżański</v>
      </c>
      <c r="D1444" t="s">
        <v>3636</v>
      </c>
      <c r="E1444" t="str">
        <f t="shared" si="45"/>
        <v>podkarpackie_niżański_Harasiuki</v>
      </c>
      <c r="F1444" t="s">
        <v>1403</v>
      </c>
    </row>
    <row r="1445" spans="1:6" x14ac:dyDescent="0.3">
      <c r="A1445" t="s">
        <v>5380</v>
      </c>
      <c r="B1445" t="s">
        <v>4973</v>
      </c>
      <c r="C1445" t="str">
        <f t="shared" si="44"/>
        <v>podkarpackie_niżański</v>
      </c>
      <c r="D1445" t="s">
        <v>3637</v>
      </c>
      <c r="E1445" t="str">
        <f t="shared" si="45"/>
        <v>podkarpackie_niżański_Jarocin</v>
      </c>
      <c r="F1445" t="s">
        <v>1404</v>
      </c>
    </row>
    <row r="1446" spans="1:6" x14ac:dyDescent="0.3">
      <c r="A1446" t="s">
        <v>5380</v>
      </c>
      <c r="B1446" t="s">
        <v>4973</v>
      </c>
      <c r="C1446" t="str">
        <f t="shared" si="44"/>
        <v>podkarpackie_niżański</v>
      </c>
      <c r="D1446" t="s">
        <v>3638</v>
      </c>
      <c r="E1446" t="str">
        <f t="shared" si="45"/>
        <v>podkarpackie_niżański_Jeżowe</v>
      </c>
      <c r="F1446" t="s">
        <v>1405</v>
      </c>
    </row>
    <row r="1447" spans="1:6" x14ac:dyDescent="0.3">
      <c r="A1447" t="s">
        <v>5380</v>
      </c>
      <c r="B1447" t="s">
        <v>4973</v>
      </c>
      <c r="C1447" t="str">
        <f t="shared" si="44"/>
        <v>podkarpackie_niżański</v>
      </c>
      <c r="D1447" t="s">
        <v>3639</v>
      </c>
      <c r="E1447" t="str">
        <f t="shared" si="45"/>
        <v>podkarpackie_niżański_Krzeszów</v>
      </c>
      <c r="F1447" t="s">
        <v>1406</v>
      </c>
    </row>
    <row r="1448" spans="1:6" x14ac:dyDescent="0.3">
      <c r="A1448" t="s">
        <v>5380</v>
      </c>
      <c r="B1448" t="s">
        <v>4973</v>
      </c>
      <c r="C1448" t="str">
        <f t="shared" si="44"/>
        <v>podkarpackie_niżański</v>
      </c>
      <c r="D1448" t="s">
        <v>3640</v>
      </c>
      <c r="E1448" t="str">
        <f t="shared" si="45"/>
        <v>podkarpackie_niżański_Nisko</v>
      </c>
      <c r="F1448" t="s">
        <v>1407</v>
      </c>
    </row>
    <row r="1449" spans="1:6" x14ac:dyDescent="0.3">
      <c r="A1449" t="s">
        <v>5380</v>
      </c>
      <c r="B1449" t="s">
        <v>4973</v>
      </c>
      <c r="C1449" t="str">
        <f t="shared" si="44"/>
        <v>podkarpackie_niżański</v>
      </c>
      <c r="D1449" t="s">
        <v>3641</v>
      </c>
      <c r="E1449" t="str">
        <f t="shared" si="45"/>
        <v>podkarpackie_niżański_Rudnik nad Sanem</v>
      </c>
      <c r="F1449" t="s">
        <v>1408</v>
      </c>
    </row>
    <row r="1450" spans="1:6" x14ac:dyDescent="0.3">
      <c r="A1450" t="s">
        <v>5380</v>
      </c>
      <c r="B1450" t="s">
        <v>4973</v>
      </c>
      <c r="C1450" t="str">
        <f t="shared" si="44"/>
        <v>podkarpackie_niżański</v>
      </c>
      <c r="D1450" t="s">
        <v>3642</v>
      </c>
      <c r="E1450" t="str">
        <f t="shared" si="45"/>
        <v>podkarpackie_niżański_Ulanów</v>
      </c>
      <c r="F1450" t="s">
        <v>1409</v>
      </c>
    </row>
    <row r="1451" spans="1:6" x14ac:dyDescent="0.3">
      <c r="A1451" t="s">
        <v>5380</v>
      </c>
      <c r="B1451" t="s">
        <v>4974</v>
      </c>
      <c r="C1451" t="str">
        <f t="shared" si="44"/>
        <v>podkarpackie_przemyski</v>
      </c>
      <c r="D1451" t="s">
        <v>3643</v>
      </c>
      <c r="E1451" t="str">
        <f t="shared" si="45"/>
        <v>podkarpackie_przemyski_Bircza</v>
      </c>
      <c r="F1451" t="s">
        <v>5521</v>
      </c>
    </row>
    <row r="1452" spans="1:6" x14ac:dyDescent="0.3">
      <c r="A1452" t="s">
        <v>5380</v>
      </c>
      <c r="B1452" t="s">
        <v>4974</v>
      </c>
      <c r="C1452" t="str">
        <f t="shared" si="44"/>
        <v>podkarpackie_przemyski</v>
      </c>
      <c r="D1452" t="s">
        <v>3644</v>
      </c>
      <c r="E1452" t="str">
        <f t="shared" si="45"/>
        <v>podkarpackie_przemyski_Dubiecko</v>
      </c>
      <c r="F1452" t="s">
        <v>5401</v>
      </c>
    </row>
    <row r="1453" spans="1:6" x14ac:dyDescent="0.3">
      <c r="A1453" t="s">
        <v>5380</v>
      </c>
      <c r="B1453" t="s">
        <v>4974</v>
      </c>
      <c r="C1453" t="str">
        <f t="shared" si="44"/>
        <v>podkarpackie_przemyski</v>
      </c>
      <c r="D1453" t="s">
        <v>3645</v>
      </c>
      <c r="E1453" t="str">
        <f t="shared" si="45"/>
        <v>podkarpackie_przemyski_Fredropol</v>
      </c>
      <c r="F1453" t="s">
        <v>1411</v>
      </c>
    </row>
    <row r="1454" spans="1:6" x14ac:dyDescent="0.3">
      <c r="A1454" t="s">
        <v>5380</v>
      </c>
      <c r="B1454" t="s">
        <v>4974</v>
      </c>
      <c r="C1454" t="str">
        <f t="shared" si="44"/>
        <v>podkarpackie_przemyski</v>
      </c>
      <c r="D1454" t="s">
        <v>3646</v>
      </c>
      <c r="E1454" t="str">
        <f t="shared" si="45"/>
        <v>podkarpackie_przemyski_Krasiczyn</v>
      </c>
      <c r="F1454" t="s">
        <v>1412</v>
      </c>
    </row>
    <row r="1455" spans="1:6" x14ac:dyDescent="0.3">
      <c r="A1455" t="s">
        <v>5380</v>
      </c>
      <c r="B1455" t="s">
        <v>4974</v>
      </c>
      <c r="C1455" t="str">
        <f t="shared" si="44"/>
        <v>podkarpackie_przemyski</v>
      </c>
      <c r="D1455" t="s">
        <v>3647</v>
      </c>
      <c r="E1455" t="str">
        <f t="shared" si="45"/>
        <v>podkarpackie_przemyski_Krzywcza</v>
      </c>
      <c r="F1455" t="s">
        <v>1413</v>
      </c>
    </row>
    <row r="1456" spans="1:6" x14ac:dyDescent="0.3">
      <c r="A1456" t="s">
        <v>5380</v>
      </c>
      <c r="B1456" t="s">
        <v>4974</v>
      </c>
      <c r="C1456" t="str">
        <f t="shared" si="44"/>
        <v>podkarpackie_przemyski</v>
      </c>
      <c r="D1456" t="s">
        <v>3648</v>
      </c>
      <c r="E1456" t="str">
        <f t="shared" si="45"/>
        <v>podkarpackie_przemyski_Medyka</v>
      </c>
      <c r="F1456" t="s">
        <v>1414</v>
      </c>
    </row>
    <row r="1457" spans="1:6" x14ac:dyDescent="0.3">
      <c r="A1457" t="s">
        <v>5380</v>
      </c>
      <c r="B1457" t="s">
        <v>4974</v>
      </c>
      <c r="C1457" t="str">
        <f t="shared" si="44"/>
        <v>podkarpackie_przemyski</v>
      </c>
      <c r="D1457" t="s">
        <v>3649</v>
      </c>
      <c r="E1457" t="str">
        <f t="shared" si="45"/>
        <v>podkarpackie_przemyski_Orły</v>
      </c>
      <c r="F1457" t="s">
        <v>1415</v>
      </c>
    </row>
    <row r="1458" spans="1:6" x14ac:dyDescent="0.3">
      <c r="A1458" t="s">
        <v>5380</v>
      </c>
      <c r="B1458" t="s">
        <v>4974</v>
      </c>
      <c r="C1458" t="str">
        <f t="shared" si="44"/>
        <v>podkarpackie_przemyski</v>
      </c>
      <c r="D1458" t="s">
        <v>3650</v>
      </c>
      <c r="E1458" t="str">
        <f t="shared" si="45"/>
        <v>podkarpackie_przemyski_Przemyśl</v>
      </c>
      <c r="F1458" t="s">
        <v>1416</v>
      </c>
    </row>
    <row r="1459" spans="1:6" x14ac:dyDescent="0.3">
      <c r="A1459" t="s">
        <v>5380</v>
      </c>
      <c r="B1459" t="s">
        <v>4974</v>
      </c>
      <c r="C1459" t="str">
        <f t="shared" si="44"/>
        <v>podkarpackie_przemyski</v>
      </c>
      <c r="D1459" t="s">
        <v>3651</v>
      </c>
      <c r="E1459" t="str">
        <f t="shared" si="45"/>
        <v>podkarpackie_przemyski_Stubno</v>
      </c>
      <c r="F1459" t="s">
        <v>1417</v>
      </c>
    </row>
    <row r="1460" spans="1:6" x14ac:dyDescent="0.3">
      <c r="A1460" t="s">
        <v>5380</v>
      </c>
      <c r="B1460" t="s">
        <v>4974</v>
      </c>
      <c r="C1460" t="str">
        <f t="shared" si="44"/>
        <v>podkarpackie_przemyski</v>
      </c>
      <c r="D1460" t="s">
        <v>3652</v>
      </c>
      <c r="E1460" t="str">
        <f t="shared" si="45"/>
        <v>podkarpackie_przemyski_Żurawica</v>
      </c>
      <c r="F1460" t="s">
        <v>1418</v>
      </c>
    </row>
    <row r="1461" spans="1:6" x14ac:dyDescent="0.3">
      <c r="A1461" t="s">
        <v>5380</v>
      </c>
      <c r="B1461" t="s">
        <v>3650</v>
      </c>
      <c r="C1461" t="str">
        <f t="shared" si="44"/>
        <v>podkarpackie_Przemyśl</v>
      </c>
      <c r="D1461" t="s">
        <v>3650</v>
      </c>
      <c r="E1461" t="str">
        <f t="shared" si="45"/>
        <v>podkarpackie_Przemyśl_Przemyśl</v>
      </c>
      <c r="F1461" t="s">
        <v>1475</v>
      </c>
    </row>
    <row r="1462" spans="1:6" x14ac:dyDescent="0.3">
      <c r="A1462" t="s">
        <v>5380</v>
      </c>
      <c r="B1462" t="s">
        <v>4975</v>
      </c>
      <c r="C1462" t="str">
        <f t="shared" si="44"/>
        <v>podkarpackie_przeworski</v>
      </c>
      <c r="D1462" t="s">
        <v>3653</v>
      </c>
      <c r="E1462" t="str">
        <f t="shared" si="45"/>
        <v>podkarpackie_przeworski_Adamówka</v>
      </c>
      <c r="F1462" t="s">
        <v>1420</v>
      </c>
    </row>
    <row r="1463" spans="1:6" x14ac:dyDescent="0.3">
      <c r="A1463" t="s">
        <v>5380</v>
      </c>
      <c r="B1463" t="s">
        <v>4975</v>
      </c>
      <c r="C1463" t="str">
        <f t="shared" si="44"/>
        <v>podkarpackie_przeworski</v>
      </c>
      <c r="D1463" t="s">
        <v>3654</v>
      </c>
      <c r="E1463" t="str">
        <f t="shared" si="45"/>
        <v>podkarpackie_przeworski_Gać</v>
      </c>
      <c r="F1463" t="s">
        <v>1421</v>
      </c>
    </row>
    <row r="1464" spans="1:6" x14ac:dyDescent="0.3">
      <c r="A1464" t="s">
        <v>5380</v>
      </c>
      <c r="B1464" t="s">
        <v>4975</v>
      </c>
      <c r="C1464" t="str">
        <f t="shared" si="44"/>
        <v>podkarpackie_przeworski</v>
      </c>
      <c r="D1464" t="s">
        <v>3655</v>
      </c>
      <c r="E1464" t="str">
        <f t="shared" si="45"/>
        <v>podkarpackie_przeworski_Jawornik Polski</v>
      </c>
      <c r="F1464" t="s">
        <v>5522</v>
      </c>
    </row>
    <row r="1465" spans="1:6" x14ac:dyDescent="0.3">
      <c r="A1465" t="s">
        <v>5380</v>
      </c>
      <c r="B1465" t="s">
        <v>4975</v>
      </c>
      <c r="C1465" t="str">
        <f t="shared" si="44"/>
        <v>podkarpackie_przeworski</v>
      </c>
      <c r="D1465" t="s">
        <v>3656</v>
      </c>
      <c r="E1465" t="str">
        <f t="shared" si="45"/>
        <v>podkarpackie_przeworski_Kańczuga</v>
      </c>
      <c r="F1465" t="s">
        <v>1423</v>
      </c>
    </row>
    <row r="1466" spans="1:6" x14ac:dyDescent="0.3">
      <c r="A1466" t="s">
        <v>5380</v>
      </c>
      <c r="B1466" t="s">
        <v>4975</v>
      </c>
      <c r="C1466" t="str">
        <f t="shared" si="44"/>
        <v>podkarpackie_przeworski</v>
      </c>
      <c r="D1466" t="s">
        <v>3657</v>
      </c>
      <c r="E1466" t="str">
        <f t="shared" si="45"/>
        <v>podkarpackie_przeworski_Sieniawa</v>
      </c>
      <c r="F1466" t="s">
        <v>1425</v>
      </c>
    </row>
    <row r="1467" spans="1:6" x14ac:dyDescent="0.3">
      <c r="A1467" t="s">
        <v>5380</v>
      </c>
      <c r="B1467" t="s">
        <v>4975</v>
      </c>
      <c r="C1467" t="str">
        <f t="shared" si="44"/>
        <v>podkarpackie_przeworski</v>
      </c>
      <c r="D1467" t="s">
        <v>3658</v>
      </c>
      <c r="E1467" t="str">
        <f t="shared" si="45"/>
        <v>podkarpackie_przeworski_Tryńcza</v>
      </c>
      <c r="F1467" t="s">
        <v>1426</v>
      </c>
    </row>
    <row r="1468" spans="1:6" x14ac:dyDescent="0.3">
      <c r="A1468" t="s">
        <v>5380</v>
      </c>
      <c r="B1468" t="s">
        <v>4975</v>
      </c>
      <c r="C1468" t="str">
        <f t="shared" si="44"/>
        <v>podkarpackie_przeworski</v>
      </c>
      <c r="D1468" t="s">
        <v>3659</v>
      </c>
      <c r="E1468" t="str">
        <f t="shared" si="45"/>
        <v>podkarpackie_przeworski_Zarzecze</v>
      </c>
      <c r="F1468" t="s">
        <v>1427</v>
      </c>
    </row>
    <row r="1469" spans="1:6" x14ac:dyDescent="0.3">
      <c r="A1469" t="s">
        <v>5380</v>
      </c>
      <c r="B1469" t="s">
        <v>4975</v>
      </c>
      <c r="C1469" t="str">
        <f t="shared" si="44"/>
        <v>podkarpackie_przeworski</v>
      </c>
      <c r="D1469" t="s">
        <v>4674</v>
      </c>
      <c r="E1469" t="str">
        <f t="shared" si="45"/>
        <v>podkarpackie_przeworski_Przeworsk (gm. miejska)</v>
      </c>
      <c r="F1469" t="s">
        <v>1419</v>
      </c>
    </row>
    <row r="1470" spans="1:6" x14ac:dyDescent="0.3">
      <c r="A1470" t="s">
        <v>5380</v>
      </c>
      <c r="B1470" t="s">
        <v>4975</v>
      </c>
      <c r="C1470" t="str">
        <f t="shared" si="44"/>
        <v>podkarpackie_przeworski</v>
      </c>
      <c r="D1470" t="s">
        <v>4675</v>
      </c>
      <c r="E1470" t="str">
        <f t="shared" si="45"/>
        <v>podkarpackie_przeworski_Przeworsk (gm. wiejska)</v>
      </c>
      <c r="F1470" t="s">
        <v>1424</v>
      </c>
    </row>
    <row r="1471" spans="1:6" x14ac:dyDescent="0.3">
      <c r="A1471" t="s">
        <v>5380</v>
      </c>
      <c r="B1471" t="s">
        <v>4976</v>
      </c>
      <c r="C1471" t="str">
        <f t="shared" si="44"/>
        <v>podkarpackie_ropczycko-sędziszowski</v>
      </c>
      <c r="D1471" t="s">
        <v>3660</v>
      </c>
      <c r="E1471" t="str">
        <f t="shared" si="45"/>
        <v>podkarpackie_ropczycko-sędziszowski_Iwierzyce</v>
      </c>
      <c r="F1471" t="s">
        <v>1428</v>
      </c>
    </row>
    <row r="1472" spans="1:6" x14ac:dyDescent="0.3">
      <c r="A1472" t="s">
        <v>5380</v>
      </c>
      <c r="B1472" t="s">
        <v>4976</v>
      </c>
      <c r="C1472" t="str">
        <f t="shared" si="44"/>
        <v>podkarpackie_ropczycko-sędziszowski</v>
      </c>
      <c r="D1472" t="s">
        <v>3661</v>
      </c>
      <c r="E1472" t="str">
        <f t="shared" si="45"/>
        <v>podkarpackie_ropczycko-sędziszowski_Ostrów</v>
      </c>
      <c r="F1472" t="s">
        <v>1429</v>
      </c>
    </row>
    <row r="1473" spans="1:6" x14ac:dyDescent="0.3">
      <c r="A1473" t="s">
        <v>5380</v>
      </c>
      <c r="B1473" t="s">
        <v>4976</v>
      </c>
      <c r="C1473" t="str">
        <f t="shared" ref="C1473:C1536" si="46">CONCATENATE(A1473,"_",B1473)</f>
        <v>podkarpackie_ropczycko-sędziszowski</v>
      </c>
      <c r="D1473" t="s">
        <v>3662</v>
      </c>
      <c r="E1473" t="str">
        <f t="shared" ref="E1473:E1536" si="47">C1473&amp;"_"&amp;D1473</f>
        <v>podkarpackie_ropczycko-sędziszowski_Ropczyce</v>
      </c>
      <c r="F1473" t="s">
        <v>1430</v>
      </c>
    </row>
    <row r="1474" spans="1:6" x14ac:dyDescent="0.3">
      <c r="A1474" t="s">
        <v>5380</v>
      </c>
      <c r="B1474" t="s">
        <v>4976</v>
      </c>
      <c r="C1474" t="str">
        <f t="shared" si="46"/>
        <v>podkarpackie_ropczycko-sędziszowski</v>
      </c>
      <c r="D1474" t="s">
        <v>3663</v>
      </c>
      <c r="E1474" t="str">
        <f t="shared" si="47"/>
        <v>podkarpackie_ropczycko-sędziszowski_Sędziszów Małopolski</v>
      </c>
      <c r="F1474" t="s">
        <v>1431</v>
      </c>
    </row>
    <row r="1475" spans="1:6" x14ac:dyDescent="0.3">
      <c r="A1475" t="s">
        <v>5380</v>
      </c>
      <c r="B1475" t="s">
        <v>4976</v>
      </c>
      <c r="C1475" t="str">
        <f t="shared" si="46"/>
        <v>podkarpackie_ropczycko-sędziszowski</v>
      </c>
      <c r="D1475" t="s">
        <v>3664</v>
      </c>
      <c r="E1475" t="str">
        <f t="shared" si="47"/>
        <v>podkarpackie_ropczycko-sędziszowski_Wielopole Skrzyńskie</v>
      </c>
      <c r="F1475" t="s">
        <v>1432</v>
      </c>
    </row>
    <row r="1476" spans="1:6" x14ac:dyDescent="0.3">
      <c r="A1476" t="s">
        <v>5380</v>
      </c>
      <c r="B1476" t="s">
        <v>4977</v>
      </c>
      <c r="C1476" t="str">
        <f t="shared" si="46"/>
        <v>podkarpackie_rzeszowski</v>
      </c>
      <c r="D1476" t="s">
        <v>3665</v>
      </c>
      <c r="E1476" t="str">
        <f t="shared" si="47"/>
        <v>podkarpackie_rzeszowski_Błażowa</v>
      </c>
      <c r="F1476" t="s">
        <v>1434</v>
      </c>
    </row>
    <row r="1477" spans="1:6" x14ac:dyDescent="0.3">
      <c r="A1477" t="s">
        <v>5380</v>
      </c>
      <c r="B1477" t="s">
        <v>4977</v>
      </c>
      <c r="C1477" t="str">
        <f t="shared" si="46"/>
        <v>podkarpackie_rzeszowski</v>
      </c>
      <c r="D1477" t="s">
        <v>3666</v>
      </c>
      <c r="E1477" t="str">
        <f t="shared" si="47"/>
        <v>podkarpackie_rzeszowski_Boguchwała</v>
      </c>
      <c r="F1477" s="48" t="s">
        <v>1435</v>
      </c>
    </row>
    <row r="1478" spans="1:6" x14ac:dyDescent="0.3">
      <c r="A1478" t="s">
        <v>5380</v>
      </c>
      <c r="B1478" t="s">
        <v>4977</v>
      </c>
      <c r="C1478" t="str">
        <f t="shared" si="46"/>
        <v>podkarpackie_rzeszowski</v>
      </c>
      <c r="D1478" t="s">
        <v>3667</v>
      </c>
      <c r="E1478" t="str">
        <f t="shared" si="47"/>
        <v>podkarpackie_rzeszowski_Chmielnik</v>
      </c>
      <c r="F1478" t="s">
        <v>1436</v>
      </c>
    </row>
    <row r="1479" spans="1:6" x14ac:dyDescent="0.3">
      <c r="A1479" t="s">
        <v>5380</v>
      </c>
      <c r="B1479" t="s">
        <v>4977</v>
      </c>
      <c r="C1479" t="str">
        <f t="shared" si="46"/>
        <v>podkarpackie_rzeszowski</v>
      </c>
      <c r="D1479" t="s">
        <v>3668</v>
      </c>
      <c r="E1479" t="str">
        <f t="shared" si="47"/>
        <v>podkarpackie_rzeszowski_Głogów Małopolski</v>
      </c>
      <c r="F1479" t="s">
        <v>1438</v>
      </c>
    </row>
    <row r="1480" spans="1:6" x14ac:dyDescent="0.3">
      <c r="A1480" t="s">
        <v>5380</v>
      </c>
      <c r="B1480" t="s">
        <v>4977</v>
      </c>
      <c r="C1480" t="str">
        <f t="shared" si="46"/>
        <v>podkarpackie_rzeszowski</v>
      </c>
      <c r="D1480" t="s">
        <v>3669</v>
      </c>
      <c r="E1480" t="str">
        <f t="shared" si="47"/>
        <v>podkarpackie_rzeszowski_Hyżne</v>
      </c>
      <c r="F1480" t="s">
        <v>1439</v>
      </c>
    </row>
    <row r="1481" spans="1:6" x14ac:dyDescent="0.3">
      <c r="A1481" t="s">
        <v>5380</v>
      </c>
      <c r="B1481" t="s">
        <v>4977</v>
      </c>
      <c r="C1481" t="str">
        <f t="shared" si="46"/>
        <v>podkarpackie_rzeszowski</v>
      </c>
      <c r="D1481" t="s">
        <v>2708</v>
      </c>
      <c r="E1481" t="str">
        <f t="shared" si="47"/>
        <v>podkarpackie_rzeszowski_Kamień</v>
      </c>
      <c r="F1481" t="s">
        <v>1440</v>
      </c>
    </row>
    <row r="1482" spans="1:6" x14ac:dyDescent="0.3">
      <c r="A1482" t="s">
        <v>5380</v>
      </c>
      <c r="B1482" t="s">
        <v>4977</v>
      </c>
      <c r="C1482" t="str">
        <f t="shared" si="46"/>
        <v>podkarpackie_rzeszowski</v>
      </c>
      <c r="D1482" t="s">
        <v>3396</v>
      </c>
      <c r="E1482" t="str">
        <f t="shared" si="47"/>
        <v>podkarpackie_rzeszowski_Krasne</v>
      </c>
      <c r="F1482" s="48" t="s">
        <v>1441</v>
      </c>
    </row>
    <row r="1483" spans="1:6" x14ac:dyDescent="0.3">
      <c r="A1483" t="s">
        <v>5380</v>
      </c>
      <c r="B1483" t="s">
        <v>4977</v>
      </c>
      <c r="C1483" t="str">
        <f t="shared" si="46"/>
        <v>podkarpackie_rzeszowski</v>
      </c>
      <c r="D1483" t="s">
        <v>3670</v>
      </c>
      <c r="E1483" t="str">
        <f t="shared" si="47"/>
        <v>podkarpackie_rzeszowski_Lubenia</v>
      </c>
      <c r="F1483" t="s">
        <v>1442</v>
      </c>
    </row>
    <row r="1484" spans="1:6" x14ac:dyDescent="0.3">
      <c r="A1484" t="s">
        <v>5380</v>
      </c>
      <c r="B1484" t="s">
        <v>4977</v>
      </c>
      <c r="C1484" t="str">
        <f t="shared" si="46"/>
        <v>podkarpackie_rzeszowski</v>
      </c>
      <c r="D1484" t="s">
        <v>3671</v>
      </c>
      <c r="E1484" t="str">
        <f t="shared" si="47"/>
        <v>podkarpackie_rzeszowski_Sokołów Małopolski</v>
      </c>
      <c r="F1484" t="s">
        <v>1443</v>
      </c>
    </row>
    <row r="1485" spans="1:6" x14ac:dyDescent="0.3">
      <c r="A1485" t="s">
        <v>5380</v>
      </c>
      <c r="B1485" t="s">
        <v>4977</v>
      </c>
      <c r="C1485" t="str">
        <f t="shared" si="46"/>
        <v>podkarpackie_rzeszowski</v>
      </c>
      <c r="D1485" t="s">
        <v>3672</v>
      </c>
      <c r="E1485" t="str">
        <f t="shared" si="47"/>
        <v>podkarpackie_rzeszowski_Świlcza</v>
      </c>
      <c r="F1485" t="s">
        <v>1444</v>
      </c>
    </row>
    <row r="1486" spans="1:6" x14ac:dyDescent="0.3">
      <c r="A1486" t="s">
        <v>5380</v>
      </c>
      <c r="B1486" t="s">
        <v>4977</v>
      </c>
      <c r="C1486" t="str">
        <f t="shared" si="46"/>
        <v>podkarpackie_rzeszowski</v>
      </c>
      <c r="D1486" t="s">
        <v>3673</v>
      </c>
      <c r="E1486" t="str">
        <f t="shared" si="47"/>
        <v>podkarpackie_rzeszowski_Trzebownisko</v>
      </c>
      <c r="F1486" t="s">
        <v>1445</v>
      </c>
    </row>
    <row r="1487" spans="1:6" x14ac:dyDescent="0.3">
      <c r="A1487" t="s">
        <v>5380</v>
      </c>
      <c r="B1487" t="s">
        <v>4977</v>
      </c>
      <c r="C1487" t="str">
        <f t="shared" si="46"/>
        <v>podkarpackie_rzeszowski</v>
      </c>
      <c r="D1487" t="s">
        <v>3674</v>
      </c>
      <c r="E1487" t="str">
        <f t="shared" si="47"/>
        <v>podkarpackie_rzeszowski_Tyczyn</v>
      </c>
      <c r="F1487" s="48" t="s">
        <v>1446</v>
      </c>
    </row>
    <row r="1488" spans="1:6" x14ac:dyDescent="0.3">
      <c r="A1488" t="s">
        <v>5380</v>
      </c>
      <c r="B1488" t="s">
        <v>4977</v>
      </c>
      <c r="C1488" t="str">
        <f t="shared" si="46"/>
        <v>podkarpackie_rzeszowski</v>
      </c>
      <c r="D1488" t="s">
        <v>4676</v>
      </c>
      <c r="E1488" t="str">
        <f t="shared" si="47"/>
        <v>podkarpackie_rzeszowski_Dynów (gm. miejska)</v>
      </c>
      <c r="F1488" t="s">
        <v>1433</v>
      </c>
    </row>
    <row r="1489" spans="1:6" x14ac:dyDescent="0.3">
      <c r="A1489" t="s">
        <v>5380</v>
      </c>
      <c r="B1489" t="s">
        <v>4977</v>
      </c>
      <c r="C1489" t="str">
        <f t="shared" si="46"/>
        <v>podkarpackie_rzeszowski</v>
      </c>
      <c r="D1489" t="s">
        <v>4677</v>
      </c>
      <c r="E1489" t="str">
        <f t="shared" si="47"/>
        <v>podkarpackie_rzeszowski_Dynów (gm. wiejska)</v>
      </c>
      <c r="F1489" t="s">
        <v>1437</v>
      </c>
    </row>
    <row r="1490" spans="1:6" x14ac:dyDescent="0.3">
      <c r="A1490" t="s">
        <v>5380</v>
      </c>
      <c r="B1490" t="s">
        <v>3701</v>
      </c>
      <c r="C1490" t="str">
        <f t="shared" si="46"/>
        <v>podkarpackie_Rzeszów</v>
      </c>
      <c r="D1490" t="s">
        <v>3701</v>
      </c>
      <c r="E1490" t="str">
        <f t="shared" si="47"/>
        <v>podkarpackie_Rzeszów_Rzeszów</v>
      </c>
      <c r="F1490" t="s">
        <v>1476</v>
      </c>
    </row>
    <row r="1491" spans="1:6" x14ac:dyDescent="0.3">
      <c r="A1491" t="s">
        <v>5380</v>
      </c>
      <c r="B1491" t="s">
        <v>4978</v>
      </c>
      <c r="C1491" t="str">
        <f t="shared" si="46"/>
        <v>podkarpackie_sanocki</v>
      </c>
      <c r="D1491" t="s">
        <v>3675</v>
      </c>
      <c r="E1491" t="str">
        <f t="shared" si="47"/>
        <v>podkarpackie_sanocki_Besko</v>
      </c>
      <c r="F1491" t="s">
        <v>1448</v>
      </c>
    </row>
    <row r="1492" spans="1:6" x14ac:dyDescent="0.3">
      <c r="A1492" t="s">
        <v>5380</v>
      </c>
      <c r="B1492" t="s">
        <v>4978</v>
      </c>
      <c r="C1492" t="str">
        <f t="shared" si="46"/>
        <v>podkarpackie_sanocki</v>
      </c>
      <c r="D1492" t="s">
        <v>3676</v>
      </c>
      <c r="E1492" t="str">
        <f t="shared" si="47"/>
        <v>podkarpackie_sanocki_Bukowsko</v>
      </c>
      <c r="F1492" t="s">
        <v>1449</v>
      </c>
    </row>
    <row r="1493" spans="1:6" x14ac:dyDescent="0.3">
      <c r="A1493" t="s">
        <v>5380</v>
      </c>
      <c r="B1493" t="s">
        <v>4978</v>
      </c>
      <c r="C1493" t="str">
        <f t="shared" si="46"/>
        <v>podkarpackie_sanocki</v>
      </c>
      <c r="D1493" t="s">
        <v>3677</v>
      </c>
      <c r="E1493" t="str">
        <f t="shared" si="47"/>
        <v>podkarpackie_sanocki_Komańcza</v>
      </c>
      <c r="F1493" t="s">
        <v>1450</v>
      </c>
    </row>
    <row r="1494" spans="1:6" x14ac:dyDescent="0.3">
      <c r="A1494" t="s">
        <v>5380</v>
      </c>
      <c r="B1494" t="s">
        <v>4978</v>
      </c>
      <c r="C1494" t="str">
        <f t="shared" si="46"/>
        <v>podkarpackie_sanocki</v>
      </c>
      <c r="D1494" t="s">
        <v>3678</v>
      </c>
      <c r="E1494" t="str">
        <f t="shared" si="47"/>
        <v>podkarpackie_sanocki_Tyrawa Wołoska</v>
      </c>
      <c r="F1494" t="s">
        <v>1452</v>
      </c>
    </row>
    <row r="1495" spans="1:6" x14ac:dyDescent="0.3">
      <c r="A1495" t="s">
        <v>5380</v>
      </c>
      <c r="B1495" t="s">
        <v>4978</v>
      </c>
      <c r="C1495" t="str">
        <f t="shared" si="46"/>
        <v>podkarpackie_sanocki</v>
      </c>
      <c r="D1495" t="s">
        <v>3679</v>
      </c>
      <c r="E1495" t="str">
        <f t="shared" si="47"/>
        <v>podkarpackie_sanocki_Zagórz</v>
      </c>
      <c r="F1495" t="s">
        <v>1453</v>
      </c>
    </row>
    <row r="1496" spans="1:6" x14ac:dyDescent="0.3">
      <c r="A1496" t="s">
        <v>5380</v>
      </c>
      <c r="B1496" t="s">
        <v>4978</v>
      </c>
      <c r="C1496" t="str">
        <f t="shared" si="46"/>
        <v>podkarpackie_sanocki</v>
      </c>
      <c r="D1496" t="s">
        <v>3680</v>
      </c>
      <c r="E1496" t="str">
        <f t="shared" si="47"/>
        <v>podkarpackie_sanocki_Zarszyn</v>
      </c>
      <c r="F1496" t="s">
        <v>1454</v>
      </c>
    </row>
    <row r="1497" spans="1:6" x14ac:dyDescent="0.3">
      <c r="A1497" t="s">
        <v>5380</v>
      </c>
      <c r="B1497" t="s">
        <v>4978</v>
      </c>
      <c r="C1497" t="str">
        <f t="shared" si="46"/>
        <v>podkarpackie_sanocki</v>
      </c>
      <c r="D1497" t="s">
        <v>4678</v>
      </c>
      <c r="E1497" t="str">
        <f t="shared" si="47"/>
        <v>podkarpackie_sanocki_Sanok (gm. miejska)</v>
      </c>
      <c r="F1497" t="s">
        <v>1447</v>
      </c>
    </row>
    <row r="1498" spans="1:6" x14ac:dyDescent="0.3">
      <c r="A1498" t="s">
        <v>5380</v>
      </c>
      <c r="B1498" t="s">
        <v>4978</v>
      </c>
      <c r="C1498" t="str">
        <f t="shared" si="46"/>
        <v>podkarpackie_sanocki</v>
      </c>
      <c r="D1498" t="s">
        <v>4679</v>
      </c>
      <c r="E1498" t="str">
        <f t="shared" si="47"/>
        <v>podkarpackie_sanocki_Sanok (gm. wiejska)</v>
      </c>
      <c r="F1498" t="s">
        <v>1451</v>
      </c>
    </row>
    <row r="1499" spans="1:6" x14ac:dyDescent="0.3">
      <c r="A1499" t="s">
        <v>5380</v>
      </c>
      <c r="B1499" t="s">
        <v>4979</v>
      </c>
      <c r="C1499" t="str">
        <f t="shared" si="46"/>
        <v>podkarpackie_stalowowolski</v>
      </c>
      <c r="D1499" t="s">
        <v>3682</v>
      </c>
      <c r="E1499" t="str">
        <f t="shared" si="47"/>
        <v>podkarpackie_stalowowolski_Bojanów</v>
      </c>
      <c r="F1499" t="s">
        <v>1456</v>
      </c>
    </row>
    <row r="1500" spans="1:6" x14ac:dyDescent="0.3">
      <c r="A1500" t="s">
        <v>5380</v>
      </c>
      <c r="B1500" t="s">
        <v>4979</v>
      </c>
      <c r="C1500" t="str">
        <f t="shared" si="46"/>
        <v>podkarpackie_stalowowolski</v>
      </c>
      <c r="D1500" t="s">
        <v>3683</v>
      </c>
      <c r="E1500" t="str">
        <f t="shared" si="47"/>
        <v>podkarpackie_stalowowolski_Pysznica</v>
      </c>
      <c r="F1500" t="s">
        <v>1457</v>
      </c>
    </row>
    <row r="1501" spans="1:6" x14ac:dyDescent="0.3">
      <c r="A1501" t="s">
        <v>5380</v>
      </c>
      <c r="B1501" t="s">
        <v>4979</v>
      </c>
      <c r="C1501" t="str">
        <f t="shared" si="46"/>
        <v>podkarpackie_stalowowolski</v>
      </c>
      <c r="D1501" t="s">
        <v>3684</v>
      </c>
      <c r="E1501" t="str">
        <f t="shared" si="47"/>
        <v>podkarpackie_stalowowolski_Radomyśl nad Sanem</v>
      </c>
      <c r="F1501" t="s">
        <v>1458</v>
      </c>
    </row>
    <row r="1502" spans="1:6" x14ac:dyDescent="0.3">
      <c r="A1502" t="s">
        <v>5380</v>
      </c>
      <c r="B1502" t="s">
        <v>4979</v>
      </c>
      <c r="C1502" t="str">
        <f t="shared" si="46"/>
        <v>podkarpackie_stalowowolski</v>
      </c>
      <c r="D1502" t="s">
        <v>3681</v>
      </c>
      <c r="E1502" t="str">
        <f t="shared" si="47"/>
        <v>podkarpackie_stalowowolski_Stalowa Wola</v>
      </c>
      <c r="F1502" t="s">
        <v>1455</v>
      </c>
    </row>
    <row r="1503" spans="1:6" x14ac:dyDescent="0.3">
      <c r="A1503" t="s">
        <v>5380</v>
      </c>
      <c r="B1503" t="s">
        <v>4979</v>
      </c>
      <c r="C1503" t="str">
        <f t="shared" si="46"/>
        <v>podkarpackie_stalowowolski</v>
      </c>
      <c r="D1503" t="s">
        <v>3685</v>
      </c>
      <c r="E1503" t="str">
        <f t="shared" si="47"/>
        <v>podkarpackie_stalowowolski_Zaklików</v>
      </c>
      <c r="F1503" t="s">
        <v>5173</v>
      </c>
    </row>
    <row r="1504" spans="1:6" x14ac:dyDescent="0.3">
      <c r="A1504" t="s">
        <v>5380</v>
      </c>
      <c r="B1504" t="s">
        <v>4979</v>
      </c>
      <c r="C1504" t="str">
        <f t="shared" si="46"/>
        <v>podkarpackie_stalowowolski</v>
      </c>
      <c r="D1504" t="s">
        <v>3686</v>
      </c>
      <c r="E1504" t="str">
        <f t="shared" si="47"/>
        <v>podkarpackie_stalowowolski_Zaleszany</v>
      </c>
      <c r="F1504" t="s">
        <v>1459</v>
      </c>
    </row>
    <row r="1505" spans="1:6" x14ac:dyDescent="0.3">
      <c r="A1505" t="s">
        <v>5380</v>
      </c>
      <c r="B1505" t="s">
        <v>4980</v>
      </c>
      <c r="C1505" t="str">
        <f t="shared" si="46"/>
        <v>podkarpackie_strzyżowski</v>
      </c>
      <c r="D1505" t="s">
        <v>3687</v>
      </c>
      <c r="E1505" t="str">
        <f t="shared" si="47"/>
        <v>podkarpackie_strzyżowski_Czudec</v>
      </c>
      <c r="F1505" t="s">
        <v>1460</v>
      </c>
    </row>
    <row r="1506" spans="1:6" x14ac:dyDescent="0.3">
      <c r="A1506" t="s">
        <v>5380</v>
      </c>
      <c r="B1506" t="s">
        <v>4980</v>
      </c>
      <c r="C1506" t="str">
        <f t="shared" si="46"/>
        <v>podkarpackie_strzyżowski</v>
      </c>
      <c r="D1506" t="s">
        <v>3688</v>
      </c>
      <c r="E1506" t="str">
        <f t="shared" si="47"/>
        <v>podkarpackie_strzyżowski_Frysztak</v>
      </c>
      <c r="F1506" t="s">
        <v>1461</v>
      </c>
    </row>
    <row r="1507" spans="1:6" x14ac:dyDescent="0.3">
      <c r="A1507" t="s">
        <v>5380</v>
      </c>
      <c r="B1507" t="s">
        <v>4980</v>
      </c>
      <c r="C1507" t="str">
        <f t="shared" si="46"/>
        <v>podkarpackie_strzyżowski</v>
      </c>
      <c r="D1507" t="s">
        <v>3689</v>
      </c>
      <c r="E1507" t="str">
        <f t="shared" si="47"/>
        <v>podkarpackie_strzyżowski_Niebylec</v>
      </c>
      <c r="F1507" t="s">
        <v>1462</v>
      </c>
    </row>
    <row r="1508" spans="1:6" x14ac:dyDescent="0.3">
      <c r="A1508" t="s">
        <v>5380</v>
      </c>
      <c r="B1508" t="s">
        <v>4980</v>
      </c>
      <c r="C1508" t="str">
        <f t="shared" si="46"/>
        <v>podkarpackie_strzyżowski</v>
      </c>
      <c r="D1508" t="s">
        <v>3690</v>
      </c>
      <c r="E1508" t="str">
        <f t="shared" si="47"/>
        <v>podkarpackie_strzyżowski_Strzyżów</v>
      </c>
      <c r="F1508" t="s">
        <v>1463</v>
      </c>
    </row>
    <row r="1509" spans="1:6" x14ac:dyDescent="0.3">
      <c r="A1509" t="s">
        <v>5380</v>
      </c>
      <c r="B1509" t="s">
        <v>4980</v>
      </c>
      <c r="C1509" t="str">
        <f t="shared" si="46"/>
        <v>podkarpackie_strzyżowski</v>
      </c>
      <c r="D1509" t="s">
        <v>3148</v>
      </c>
      <c r="E1509" t="str">
        <f t="shared" si="47"/>
        <v>podkarpackie_strzyżowski_Wiśniowa</v>
      </c>
      <c r="F1509" t="s">
        <v>1464</v>
      </c>
    </row>
    <row r="1510" spans="1:6" x14ac:dyDescent="0.3">
      <c r="A1510" t="s">
        <v>5380</v>
      </c>
      <c r="B1510" t="s">
        <v>3702</v>
      </c>
      <c r="C1510" t="str">
        <f t="shared" si="46"/>
        <v>podkarpackie_Tarnobrzeg</v>
      </c>
      <c r="D1510" t="s">
        <v>3702</v>
      </c>
      <c r="E1510" t="str">
        <f t="shared" si="47"/>
        <v>podkarpackie_Tarnobrzeg_Tarnobrzeg</v>
      </c>
      <c r="F1510" t="s">
        <v>1477</v>
      </c>
    </row>
    <row r="1511" spans="1:6" x14ac:dyDescent="0.3">
      <c r="A1511" t="s">
        <v>5380</v>
      </c>
      <c r="B1511" t="s">
        <v>4981</v>
      </c>
      <c r="C1511" t="str">
        <f t="shared" si="46"/>
        <v>podkarpackie_tarnobrzeski</v>
      </c>
      <c r="D1511" t="s">
        <v>3691</v>
      </c>
      <c r="E1511" t="str">
        <f t="shared" si="47"/>
        <v>podkarpackie_tarnobrzeski_Baranów Sandomierski</v>
      </c>
      <c r="F1511" t="s">
        <v>1465</v>
      </c>
    </row>
    <row r="1512" spans="1:6" x14ac:dyDescent="0.3">
      <c r="A1512" t="s">
        <v>5380</v>
      </c>
      <c r="B1512" t="s">
        <v>4981</v>
      </c>
      <c r="C1512" t="str">
        <f t="shared" si="46"/>
        <v>podkarpackie_tarnobrzeski</v>
      </c>
      <c r="D1512" t="s">
        <v>3692</v>
      </c>
      <c r="E1512" t="str">
        <f t="shared" si="47"/>
        <v>podkarpackie_tarnobrzeski_Gorzyce</v>
      </c>
      <c r="F1512" t="s">
        <v>1466</v>
      </c>
    </row>
    <row r="1513" spans="1:6" x14ac:dyDescent="0.3">
      <c r="A1513" t="s">
        <v>5380</v>
      </c>
      <c r="B1513" t="s">
        <v>4981</v>
      </c>
      <c r="C1513" t="str">
        <f t="shared" si="46"/>
        <v>podkarpackie_tarnobrzeski</v>
      </c>
      <c r="D1513" t="s">
        <v>3693</v>
      </c>
      <c r="E1513" t="str">
        <f t="shared" si="47"/>
        <v>podkarpackie_tarnobrzeski_Grębów</v>
      </c>
      <c r="F1513" t="s">
        <v>1467</v>
      </c>
    </row>
    <row r="1514" spans="1:6" x14ac:dyDescent="0.3">
      <c r="A1514" t="s">
        <v>5380</v>
      </c>
      <c r="B1514" t="s">
        <v>4981</v>
      </c>
      <c r="C1514" t="str">
        <f t="shared" si="46"/>
        <v>podkarpackie_tarnobrzeski</v>
      </c>
      <c r="D1514" t="s">
        <v>3694</v>
      </c>
      <c r="E1514" t="str">
        <f t="shared" si="47"/>
        <v>podkarpackie_tarnobrzeski_Nowa Dęba</v>
      </c>
      <c r="F1514" t="s">
        <v>1468</v>
      </c>
    </row>
    <row r="1515" spans="1:6" x14ac:dyDescent="0.3">
      <c r="A1515" t="s">
        <v>5385</v>
      </c>
      <c r="B1515" t="s">
        <v>4983</v>
      </c>
      <c r="C1515" t="str">
        <f t="shared" si="46"/>
        <v>podlaskie_augustowski</v>
      </c>
      <c r="D1515" t="s">
        <v>3703</v>
      </c>
      <c r="E1515" t="str">
        <f t="shared" si="47"/>
        <v>podlaskie_augustowski_Bargłów Kościelny</v>
      </c>
      <c r="F1515" t="s">
        <v>1480</v>
      </c>
    </row>
    <row r="1516" spans="1:6" x14ac:dyDescent="0.3">
      <c r="A1516" t="s">
        <v>5385</v>
      </c>
      <c r="B1516" t="s">
        <v>4983</v>
      </c>
      <c r="C1516" t="str">
        <f t="shared" si="46"/>
        <v>podlaskie_augustowski</v>
      </c>
      <c r="D1516" t="s">
        <v>3704</v>
      </c>
      <c r="E1516" t="str">
        <f t="shared" si="47"/>
        <v>podlaskie_augustowski_Lipsk</v>
      </c>
      <c r="F1516" t="s">
        <v>1481</v>
      </c>
    </row>
    <row r="1517" spans="1:6" x14ac:dyDescent="0.3">
      <c r="A1517" t="s">
        <v>5385</v>
      </c>
      <c r="B1517" t="s">
        <v>4983</v>
      </c>
      <c r="C1517" t="str">
        <f t="shared" si="46"/>
        <v>podlaskie_augustowski</v>
      </c>
      <c r="D1517" t="s">
        <v>3705</v>
      </c>
      <c r="E1517" t="str">
        <f t="shared" si="47"/>
        <v>podlaskie_augustowski_Nowinka</v>
      </c>
      <c r="F1517" t="s">
        <v>1482</v>
      </c>
    </row>
    <row r="1518" spans="1:6" x14ac:dyDescent="0.3">
      <c r="A1518" t="s">
        <v>5385</v>
      </c>
      <c r="B1518" t="s">
        <v>4983</v>
      </c>
      <c r="C1518" t="str">
        <f t="shared" si="46"/>
        <v>podlaskie_augustowski</v>
      </c>
      <c r="D1518" t="s">
        <v>3706</v>
      </c>
      <c r="E1518" t="str">
        <f t="shared" si="47"/>
        <v>podlaskie_augustowski_Płaska</v>
      </c>
      <c r="F1518" t="s">
        <v>1483</v>
      </c>
    </row>
    <row r="1519" spans="1:6" x14ac:dyDescent="0.3">
      <c r="A1519" t="s">
        <v>5385</v>
      </c>
      <c r="B1519" t="s">
        <v>4983</v>
      </c>
      <c r="C1519" t="str">
        <f t="shared" si="46"/>
        <v>podlaskie_augustowski</v>
      </c>
      <c r="D1519" t="s">
        <v>3707</v>
      </c>
      <c r="E1519" t="str">
        <f t="shared" si="47"/>
        <v>podlaskie_augustowski_Sztabin</v>
      </c>
      <c r="F1519" t="s">
        <v>1484</v>
      </c>
    </row>
    <row r="1520" spans="1:6" x14ac:dyDescent="0.3">
      <c r="A1520" t="s">
        <v>5385</v>
      </c>
      <c r="B1520" t="s">
        <v>4983</v>
      </c>
      <c r="C1520" t="str">
        <f t="shared" si="46"/>
        <v>podlaskie_augustowski</v>
      </c>
      <c r="D1520" t="s">
        <v>4680</v>
      </c>
      <c r="E1520" t="str">
        <f t="shared" si="47"/>
        <v>podlaskie_augustowski_Augustów (gm. miejska)</v>
      </c>
      <c r="F1520" t="s">
        <v>1478</v>
      </c>
    </row>
    <row r="1521" spans="1:6" x14ac:dyDescent="0.3">
      <c r="A1521" t="s">
        <v>5385</v>
      </c>
      <c r="B1521" t="s">
        <v>4983</v>
      </c>
      <c r="C1521" t="str">
        <f t="shared" si="46"/>
        <v>podlaskie_augustowski</v>
      </c>
      <c r="D1521" t="s">
        <v>4681</v>
      </c>
      <c r="E1521" t="str">
        <f t="shared" si="47"/>
        <v>podlaskie_augustowski_Augustów (gm. wiejska)</v>
      </c>
      <c r="F1521" t="s">
        <v>1479</v>
      </c>
    </row>
    <row r="1522" spans="1:6" x14ac:dyDescent="0.3">
      <c r="A1522" t="s">
        <v>5385</v>
      </c>
      <c r="B1522" t="s">
        <v>4984</v>
      </c>
      <c r="C1522" t="str">
        <f t="shared" si="46"/>
        <v>podlaskie_białostocki</v>
      </c>
      <c r="D1522" t="s">
        <v>3708</v>
      </c>
      <c r="E1522" t="str">
        <f t="shared" si="47"/>
        <v>podlaskie_białostocki_Choroszcz</v>
      </c>
      <c r="F1522" t="s">
        <v>1485</v>
      </c>
    </row>
    <row r="1523" spans="1:6" x14ac:dyDescent="0.3">
      <c r="A1523" t="s">
        <v>5385</v>
      </c>
      <c r="B1523" t="s">
        <v>4984</v>
      </c>
      <c r="C1523" t="str">
        <f t="shared" si="46"/>
        <v>podlaskie_białostocki</v>
      </c>
      <c r="D1523" t="s">
        <v>3709</v>
      </c>
      <c r="E1523" t="str">
        <f t="shared" si="47"/>
        <v>podlaskie_białostocki_Czarna Białostocka</v>
      </c>
      <c r="F1523" t="s">
        <v>1486</v>
      </c>
    </row>
    <row r="1524" spans="1:6" x14ac:dyDescent="0.3">
      <c r="A1524" t="s">
        <v>5385</v>
      </c>
      <c r="B1524" t="s">
        <v>4984</v>
      </c>
      <c r="C1524" t="str">
        <f t="shared" si="46"/>
        <v>podlaskie_białostocki</v>
      </c>
      <c r="D1524" t="s">
        <v>3710</v>
      </c>
      <c r="E1524" t="str">
        <f t="shared" si="47"/>
        <v>podlaskie_białostocki_Dobrzyniewo Duże</v>
      </c>
      <c r="F1524" t="s">
        <v>1487</v>
      </c>
    </row>
    <row r="1525" spans="1:6" x14ac:dyDescent="0.3">
      <c r="A1525" t="s">
        <v>5385</v>
      </c>
      <c r="B1525" t="s">
        <v>4984</v>
      </c>
      <c r="C1525" t="str">
        <f t="shared" si="46"/>
        <v>podlaskie_białostocki</v>
      </c>
      <c r="D1525" t="s">
        <v>5543</v>
      </c>
      <c r="E1525" t="str">
        <f t="shared" si="47"/>
        <v>podlaskie_białostocki_Grabówka</v>
      </c>
      <c r="F1525" t="s">
        <v>5545</v>
      </c>
    </row>
    <row r="1526" spans="1:6" x14ac:dyDescent="0.3">
      <c r="A1526" t="s">
        <v>5385</v>
      </c>
      <c r="B1526" t="s">
        <v>4984</v>
      </c>
      <c r="C1526" t="str">
        <f t="shared" si="46"/>
        <v>podlaskie_białostocki</v>
      </c>
      <c r="D1526" t="s">
        <v>3711</v>
      </c>
      <c r="E1526" t="str">
        <f t="shared" si="47"/>
        <v>podlaskie_białostocki_Gródek</v>
      </c>
      <c r="F1526" t="s">
        <v>1488</v>
      </c>
    </row>
    <row r="1527" spans="1:6" x14ac:dyDescent="0.3">
      <c r="A1527" t="s">
        <v>5385</v>
      </c>
      <c r="B1527" t="s">
        <v>4984</v>
      </c>
      <c r="C1527" t="str">
        <f t="shared" si="46"/>
        <v>podlaskie_białostocki</v>
      </c>
      <c r="D1527" t="s">
        <v>3712</v>
      </c>
      <c r="E1527" t="str">
        <f t="shared" si="47"/>
        <v>podlaskie_białostocki_Juchnowiec Kościelny</v>
      </c>
      <c r="F1527" t="s">
        <v>1489</v>
      </c>
    </row>
    <row r="1528" spans="1:6" x14ac:dyDescent="0.3">
      <c r="A1528" t="s">
        <v>5385</v>
      </c>
      <c r="B1528" t="s">
        <v>4984</v>
      </c>
      <c r="C1528" t="str">
        <f t="shared" si="46"/>
        <v>podlaskie_białostocki</v>
      </c>
      <c r="D1528" t="s">
        <v>3713</v>
      </c>
      <c r="E1528" t="str">
        <f t="shared" si="47"/>
        <v>podlaskie_białostocki_Łapy</v>
      </c>
      <c r="F1528" t="s">
        <v>1490</v>
      </c>
    </row>
    <row r="1529" spans="1:6" x14ac:dyDescent="0.3">
      <c r="A1529" t="s">
        <v>5385</v>
      </c>
      <c r="B1529" t="s">
        <v>4984</v>
      </c>
      <c r="C1529" t="str">
        <f t="shared" si="46"/>
        <v>podlaskie_białostocki</v>
      </c>
      <c r="D1529" t="s">
        <v>3714</v>
      </c>
      <c r="E1529" t="str">
        <f t="shared" si="47"/>
        <v>podlaskie_białostocki_Michałowo</v>
      </c>
      <c r="F1529" t="s">
        <v>1491</v>
      </c>
    </row>
    <row r="1530" spans="1:6" x14ac:dyDescent="0.3">
      <c r="A1530" t="s">
        <v>5385</v>
      </c>
      <c r="B1530" t="s">
        <v>4984</v>
      </c>
      <c r="C1530" t="str">
        <f t="shared" si="46"/>
        <v>podlaskie_białostocki</v>
      </c>
      <c r="D1530" t="s">
        <v>2976</v>
      </c>
      <c r="E1530" t="str">
        <f t="shared" si="47"/>
        <v>podlaskie_białostocki_Poświętne</v>
      </c>
      <c r="F1530" t="s">
        <v>1492</v>
      </c>
    </row>
    <row r="1531" spans="1:6" x14ac:dyDescent="0.3">
      <c r="A1531" t="s">
        <v>5385</v>
      </c>
      <c r="B1531" t="s">
        <v>4984</v>
      </c>
      <c r="C1531" t="str">
        <f t="shared" si="46"/>
        <v>podlaskie_białostocki</v>
      </c>
      <c r="D1531" t="s">
        <v>3715</v>
      </c>
      <c r="E1531" t="str">
        <f t="shared" si="47"/>
        <v>podlaskie_białostocki_Supraśl</v>
      </c>
      <c r="F1531" t="s">
        <v>1493</v>
      </c>
    </row>
    <row r="1532" spans="1:6" x14ac:dyDescent="0.3">
      <c r="A1532" t="s">
        <v>5385</v>
      </c>
      <c r="B1532" t="s">
        <v>4984</v>
      </c>
      <c r="C1532" t="str">
        <f t="shared" si="46"/>
        <v>podlaskie_białostocki</v>
      </c>
      <c r="D1532" t="s">
        <v>3716</v>
      </c>
      <c r="E1532" t="str">
        <f t="shared" si="47"/>
        <v>podlaskie_białostocki_Suraż</v>
      </c>
      <c r="F1532" t="s">
        <v>1494</v>
      </c>
    </row>
    <row r="1533" spans="1:6" x14ac:dyDescent="0.3">
      <c r="A1533" t="s">
        <v>5385</v>
      </c>
      <c r="B1533" t="s">
        <v>4984</v>
      </c>
      <c r="C1533" t="str">
        <f t="shared" si="46"/>
        <v>podlaskie_białostocki</v>
      </c>
      <c r="D1533" t="s">
        <v>3717</v>
      </c>
      <c r="E1533" t="str">
        <f t="shared" si="47"/>
        <v>podlaskie_białostocki_Turośń Kościelna</v>
      </c>
      <c r="F1533" t="s">
        <v>1495</v>
      </c>
    </row>
    <row r="1534" spans="1:6" x14ac:dyDescent="0.3">
      <c r="A1534" t="s">
        <v>5385</v>
      </c>
      <c r="B1534" t="s">
        <v>4984</v>
      </c>
      <c r="C1534" t="str">
        <f t="shared" si="46"/>
        <v>podlaskie_białostocki</v>
      </c>
      <c r="D1534" t="s">
        <v>3718</v>
      </c>
      <c r="E1534" t="str">
        <f t="shared" si="47"/>
        <v>podlaskie_białostocki_Tykocin</v>
      </c>
      <c r="F1534" t="s">
        <v>1496</v>
      </c>
    </row>
    <row r="1535" spans="1:6" x14ac:dyDescent="0.3">
      <c r="A1535" t="s">
        <v>5385</v>
      </c>
      <c r="B1535" t="s">
        <v>4984</v>
      </c>
      <c r="C1535" t="str">
        <f t="shared" si="46"/>
        <v>podlaskie_białostocki</v>
      </c>
      <c r="D1535" t="s">
        <v>3719</v>
      </c>
      <c r="E1535" t="str">
        <f t="shared" si="47"/>
        <v>podlaskie_białostocki_Wasilków</v>
      </c>
      <c r="F1535" t="s">
        <v>1497</v>
      </c>
    </row>
    <row r="1536" spans="1:6" x14ac:dyDescent="0.3">
      <c r="A1536" t="s">
        <v>5385</v>
      </c>
      <c r="B1536" t="s">
        <v>4984</v>
      </c>
      <c r="C1536" t="str">
        <f t="shared" si="46"/>
        <v>podlaskie_białostocki</v>
      </c>
      <c r="D1536" t="s">
        <v>3720</v>
      </c>
      <c r="E1536" t="str">
        <f t="shared" si="47"/>
        <v>podlaskie_białostocki_Zabłudów</v>
      </c>
      <c r="F1536" t="s">
        <v>1498</v>
      </c>
    </row>
    <row r="1537" spans="1:6" x14ac:dyDescent="0.3">
      <c r="A1537" t="s">
        <v>5385</v>
      </c>
      <c r="B1537" t="s">
        <v>4984</v>
      </c>
      <c r="C1537" t="str">
        <f t="shared" ref="C1537:C1600" si="48">CONCATENATE(A1537,"_",B1537)</f>
        <v>podlaskie_białostocki</v>
      </c>
      <c r="D1537" t="s">
        <v>3721</v>
      </c>
      <c r="E1537" t="str">
        <f t="shared" ref="E1537:E1600" si="49">C1537&amp;"_"&amp;D1537</f>
        <v>podlaskie_białostocki_Zawady</v>
      </c>
      <c r="F1537" t="s">
        <v>1499</v>
      </c>
    </row>
    <row r="1538" spans="1:6" x14ac:dyDescent="0.3">
      <c r="A1538" t="s">
        <v>5385</v>
      </c>
      <c r="B1538" t="s">
        <v>3796</v>
      </c>
      <c r="C1538" t="str">
        <f t="shared" si="48"/>
        <v>podlaskie_Białystok</v>
      </c>
      <c r="D1538" t="s">
        <v>3796</v>
      </c>
      <c r="E1538" t="str">
        <f t="shared" si="49"/>
        <v>podlaskie_Białystok_Białystok</v>
      </c>
      <c r="F1538" t="s">
        <v>1591</v>
      </c>
    </row>
    <row r="1539" spans="1:6" x14ac:dyDescent="0.3">
      <c r="A1539" t="s">
        <v>5385</v>
      </c>
      <c r="B1539" t="s">
        <v>4985</v>
      </c>
      <c r="C1539" t="str">
        <f t="shared" si="48"/>
        <v>podlaskie_bielski</v>
      </c>
      <c r="D1539" t="s">
        <v>3722</v>
      </c>
      <c r="E1539" t="str">
        <f t="shared" si="49"/>
        <v>podlaskie_bielski_Boćki</v>
      </c>
      <c r="F1539" t="s">
        <v>1503</v>
      </c>
    </row>
    <row r="1540" spans="1:6" x14ac:dyDescent="0.3">
      <c r="A1540" t="s">
        <v>5385</v>
      </c>
      <c r="B1540" t="s">
        <v>4985</v>
      </c>
      <c r="C1540" t="str">
        <f t="shared" si="48"/>
        <v>podlaskie_bielski</v>
      </c>
      <c r="D1540" t="s">
        <v>3723</v>
      </c>
      <c r="E1540" t="str">
        <f t="shared" si="49"/>
        <v>podlaskie_bielski_Orla</v>
      </c>
      <c r="F1540" t="s">
        <v>1505</v>
      </c>
    </row>
    <row r="1541" spans="1:6" x14ac:dyDescent="0.3">
      <c r="A1541" t="s">
        <v>5385</v>
      </c>
      <c r="B1541" t="s">
        <v>4985</v>
      </c>
      <c r="C1541" t="str">
        <f t="shared" si="48"/>
        <v>podlaskie_bielski</v>
      </c>
      <c r="D1541" t="s">
        <v>3724</v>
      </c>
      <c r="E1541" t="str">
        <f t="shared" si="49"/>
        <v>podlaskie_bielski_Rudka</v>
      </c>
      <c r="F1541" t="s">
        <v>1506</v>
      </c>
    </row>
    <row r="1542" spans="1:6" x14ac:dyDescent="0.3">
      <c r="A1542" t="s">
        <v>5385</v>
      </c>
      <c r="B1542" t="s">
        <v>4985</v>
      </c>
      <c r="C1542" t="str">
        <f t="shared" si="48"/>
        <v>podlaskie_bielski</v>
      </c>
      <c r="D1542" t="s">
        <v>3725</v>
      </c>
      <c r="E1542" t="str">
        <f t="shared" si="49"/>
        <v>podlaskie_bielski_Wyszki</v>
      </c>
      <c r="F1542" t="s">
        <v>1507</v>
      </c>
    </row>
    <row r="1543" spans="1:6" x14ac:dyDescent="0.3">
      <c r="A1543" t="s">
        <v>5385</v>
      </c>
      <c r="B1543" t="s">
        <v>4985</v>
      </c>
      <c r="C1543" t="str">
        <f t="shared" si="48"/>
        <v>podlaskie_bielski</v>
      </c>
      <c r="D1543" t="s">
        <v>4682</v>
      </c>
      <c r="E1543" t="str">
        <f t="shared" si="49"/>
        <v>podlaskie_bielski_Bielsk Podlaski (gm. miejska)</v>
      </c>
      <c r="F1543" t="s">
        <v>1500</v>
      </c>
    </row>
    <row r="1544" spans="1:6" x14ac:dyDescent="0.3">
      <c r="A1544" t="s">
        <v>5385</v>
      </c>
      <c r="B1544" t="s">
        <v>4985</v>
      </c>
      <c r="C1544" t="str">
        <f t="shared" si="48"/>
        <v>podlaskie_bielski</v>
      </c>
      <c r="D1544" t="s">
        <v>4683</v>
      </c>
      <c r="E1544" t="str">
        <f t="shared" si="49"/>
        <v>podlaskie_bielski_Brańsk (gm. miejska)</v>
      </c>
      <c r="F1544" t="s">
        <v>1501</v>
      </c>
    </row>
    <row r="1545" spans="1:6" x14ac:dyDescent="0.3">
      <c r="A1545" t="s">
        <v>5385</v>
      </c>
      <c r="B1545" t="s">
        <v>4985</v>
      </c>
      <c r="C1545" t="str">
        <f t="shared" si="48"/>
        <v>podlaskie_bielski</v>
      </c>
      <c r="D1545" t="s">
        <v>4684</v>
      </c>
      <c r="E1545" t="str">
        <f t="shared" si="49"/>
        <v>podlaskie_bielski_Bielsk Podlaski (gm. wiejska)</v>
      </c>
      <c r="F1545" t="s">
        <v>1502</v>
      </c>
    </row>
    <row r="1546" spans="1:6" x14ac:dyDescent="0.3">
      <c r="A1546" t="s">
        <v>5385</v>
      </c>
      <c r="B1546" t="s">
        <v>4985</v>
      </c>
      <c r="C1546" t="str">
        <f t="shared" si="48"/>
        <v>podlaskie_bielski</v>
      </c>
      <c r="D1546" t="s">
        <v>4685</v>
      </c>
      <c r="E1546" t="str">
        <f t="shared" si="49"/>
        <v>podlaskie_bielski_Brańsk (gm. wiejska)</v>
      </c>
      <c r="F1546" t="s">
        <v>1504</v>
      </c>
    </row>
    <row r="1547" spans="1:6" x14ac:dyDescent="0.3">
      <c r="A1547" t="s">
        <v>5385</v>
      </c>
      <c r="B1547" t="s">
        <v>4986</v>
      </c>
      <c r="C1547" t="str">
        <f t="shared" si="48"/>
        <v>podlaskie_grajewski</v>
      </c>
      <c r="D1547" t="s">
        <v>3726</v>
      </c>
      <c r="E1547" t="str">
        <f t="shared" si="49"/>
        <v>podlaskie_grajewski_Radziłów</v>
      </c>
      <c r="F1547" t="s">
        <v>1510</v>
      </c>
    </row>
    <row r="1548" spans="1:6" x14ac:dyDescent="0.3">
      <c r="A1548" t="s">
        <v>5385</v>
      </c>
      <c r="B1548" t="s">
        <v>4986</v>
      </c>
      <c r="C1548" t="str">
        <f t="shared" si="48"/>
        <v>podlaskie_grajewski</v>
      </c>
      <c r="D1548" t="s">
        <v>3727</v>
      </c>
      <c r="E1548" t="str">
        <f t="shared" si="49"/>
        <v>podlaskie_grajewski_Rajgród</v>
      </c>
      <c r="F1548" t="s">
        <v>1511</v>
      </c>
    </row>
    <row r="1549" spans="1:6" x14ac:dyDescent="0.3">
      <c r="A1549" t="s">
        <v>5385</v>
      </c>
      <c r="B1549" t="s">
        <v>4986</v>
      </c>
      <c r="C1549" t="str">
        <f t="shared" si="48"/>
        <v>podlaskie_grajewski</v>
      </c>
      <c r="D1549" t="s">
        <v>3728</v>
      </c>
      <c r="E1549" t="str">
        <f t="shared" si="49"/>
        <v>podlaskie_grajewski_Szczuczyn</v>
      </c>
      <c r="F1549" t="s">
        <v>1512</v>
      </c>
    </row>
    <row r="1550" spans="1:6" x14ac:dyDescent="0.3">
      <c r="A1550" t="s">
        <v>5385</v>
      </c>
      <c r="B1550" t="s">
        <v>4986</v>
      </c>
      <c r="C1550" t="str">
        <f t="shared" si="48"/>
        <v>podlaskie_grajewski</v>
      </c>
      <c r="D1550" t="s">
        <v>2429</v>
      </c>
      <c r="E1550" t="str">
        <f t="shared" si="49"/>
        <v>podlaskie_grajewski_Wąsosz</v>
      </c>
      <c r="F1550" t="s">
        <v>1513</v>
      </c>
    </row>
    <row r="1551" spans="1:6" x14ac:dyDescent="0.3">
      <c r="A1551" t="s">
        <v>5385</v>
      </c>
      <c r="B1551" t="s">
        <v>4986</v>
      </c>
      <c r="C1551" t="str">
        <f t="shared" si="48"/>
        <v>podlaskie_grajewski</v>
      </c>
      <c r="D1551" t="s">
        <v>4686</v>
      </c>
      <c r="E1551" t="str">
        <f t="shared" si="49"/>
        <v>podlaskie_grajewski_Grajewo (gm. miejska)</v>
      </c>
      <c r="F1551" t="s">
        <v>1508</v>
      </c>
    </row>
    <row r="1552" spans="1:6" x14ac:dyDescent="0.3">
      <c r="A1552" t="s">
        <v>5385</v>
      </c>
      <c r="B1552" t="s">
        <v>4986</v>
      </c>
      <c r="C1552" t="str">
        <f t="shared" si="48"/>
        <v>podlaskie_grajewski</v>
      </c>
      <c r="D1552" t="s">
        <v>4687</v>
      </c>
      <c r="E1552" t="str">
        <f t="shared" si="49"/>
        <v>podlaskie_grajewski_Grajewo (gm. wiejska)</v>
      </c>
      <c r="F1552" t="s">
        <v>1509</v>
      </c>
    </row>
    <row r="1553" spans="1:6" x14ac:dyDescent="0.3">
      <c r="A1553" t="s">
        <v>5385</v>
      </c>
      <c r="B1553" t="s">
        <v>4987</v>
      </c>
      <c r="C1553" t="str">
        <f t="shared" si="48"/>
        <v>podlaskie_hajnowski</v>
      </c>
      <c r="D1553" t="s">
        <v>3729</v>
      </c>
      <c r="E1553" t="str">
        <f t="shared" si="49"/>
        <v>podlaskie_hajnowski_Białowieża</v>
      </c>
      <c r="F1553" t="s">
        <v>1515</v>
      </c>
    </row>
    <row r="1554" spans="1:6" x14ac:dyDescent="0.3">
      <c r="A1554" t="s">
        <v>5385</v>
      </c>
      <c r="B1554" t="s">
        <v>4987</v>
      </c>
      <c r="C1554" t="str">
        <f t="shared" si="48"/>
        <v>podlaskie_hajnowski</v>
      </c>
      <c r="D1554" t="s">
        <v>3730</v>
      </c>
      <c r="E1554" t="str">
        <f t="shared" si="49"/>
        <v>podlaskie_hajnowski_Czeremcha</v>
      </c>
      <c r="F1554" t="s">
        <v>1516</v>
      </c>
    </row>
    <row r="1555" spans="1:6" x14ac:dyDescent="0.3">
      <c r="A1555" t="s">
        <v>5385</v>
      </c>
      <c r="B1555" t="s">
        <v>4987</v>
      </c>
      <c r="C1555" t="str">
        <f t="shared" si="48"/>
        <v>podlaskie_hajnowski</v>
      </c>
      <c r="D1555" t="s">
        <v>3731</v>
      </c>
      <c r="E1555" t="str">
        <f t="shared" si="49"/>
        <v>podlaskie_hajnowski_Czyże</v>
      </c>
      <c r="F1555" t="s">
        <v>1517</v>
      </c>
    </row>
    <row r="1556" spans="1:6" x14ac:dyDescent="0.3">
      <c r="A1556" t="s">
        <v>5385</v>
      </c>
      <c r="B1556" t="s">
        <v>4987</v>
      </c>
      <c r="C1556" t="str">
        <f t="shared" si="48"/>
        <v>podlaskie_hajnowski</v>
      </c>
      <c r="D1556" t="s">
        <v>3732</v>
      </c>
      <c r="E1556" t="str">
        <f t="shared" si="49"/>
        <v>podlaskie_hajnowski_Dubicze Cerkiewne</v>
      </c>
      <c r="F1556" t="s">
        <v>1518</v>
      </c>
    </row>
    <row r="1557" spans="1:6" x14ac:dyDescent="0.3">
      <c r="A1557" t="s">
        <v>5385</v>
      </c>
      <c r="B1557" t="s">
        <v>4987</v>
      </c>
      <c r="C1557" t="str">
        <f t="shared" si="48"/>
        <v>podlaskie_hajnowski</v>
      </c>
      <c r="D1557" t="s">
        <v>3733</v>
      </c>
      <c r="E1557" t="str">
        <f t="shared" si="49"/>
        <v>podlaskie_hajnowski_Kleszczele</v>
      </c>
      <c r="F1557" t="s">
        <v>1520</v>
      </c>
    </row>
    <row r="1558" spans="1:6" x14ac:dyDescent="0.3">
      <c r="A1558" t="s">
        <v>5385</v>
      </c>
      <c r="B1558" t="s">
        <v>4987</v>
      </c>
      <c r="C1558" t="str">
        <f t="shared" si="48"/>
        <v>podlaskie_hajnowski</v>
      </c>
      <c r="D1558" t="s">
        <v>3734</v>
      </c>
      <c r="E1558" t="str">
        <f t="shared" si="49"/>
        <v>podlaskie_hajnowski_Narew</v>
      </c>
      <c r="F1558" t="s">
        <v>1521</v>
      </c>
    </row>
    <row r="1559" spans="1:6" x14ac:dyDescent="0.3">
      <c r="A1559" t="s">
        <v>5385</v>
      </c>
      <c r="B1559" t="s">
        <v>4987</v>
      </c>
      <c r="C1559" t="str">
        <f t="shared" si="48"/>
        <v>podlaskie_hajnowski</v>
      </c>
      <c r="D1559" t="s">
        <v>3735</v>
      </c>
      <c r="E1559" t="str">
        <f t="shared" si="49"/>
        <v>podlaskie_hajnowski_Narewka</v>
      </c>
      <c r="F1559" t="s">
        <v>1522</v>
      </c>
    </row>
    <row r="1560" spans="1:6" x14ac:dyDescent="0.3">
      <c r="A1560" t="s">
        <v>5385</v>
      </c>
      <c r="B1560" t="s">
        <v>4987</v>
      </c>
      <c r="C1560" t="str">
        <f t="shared" si="48"/>
        <v>podlaskie_hajnowski</v>
      </c>
      <c r="D1560" t="s">
        <v>4688</v>
      </c>
      <c r="E1560" t="str">
        <f t="shared" si="49"/>
        <v>podlaskie_hajnowski_Hajnówka (gm. miejska)</v>
      </c>
      <c r="F1560" t="s">
        <v>1514</v>
      </c>
    </row>
    <row r="1561" spans="1:6" x14ac:dyDescent="0.3">
      <c r="A1561" t="s">
        <v>5385</v>
      </c>
      <c r="B1561" t="s">
        <v>4987</v>
      </c>
      <c r="C1561" t="str">
        <f t="shared" si="48"/>
        <v>podlaskie_hajnowski</v>
      </c>
      <c r="D1561" t="s">
        <v>4689</v>
      </c>
      <c r="E1561" t="str">
        <f t="shared" si="49"/>
        <v>podlaskie_hajnowski_Hajnówka (gm. wiejska)</v>
      </c>
      <c r="F1561" t="s">
        <v>1519</v>
      </c>
    </row>
    <row r="1562" spans="1:6" x14ac:dyDescent="0.3">
      <c r="A1562" t="s">
        <v>5385</v>
      </c>
      <c r="B1562" t="s">
        <v>4988</v>
      </c>
      <c r="C1562" t="str">
        <f t="shared" si="48"/>
        <v>podlaskie_kolneński</v>
      </c>
      <c r="D1562" t="s">
        <v>3737</v>
      </c>
      <c r="E1562" t="str">
        <f t="shared" si="49"/>
        <v>podlaskie_kolneński_Grabowo</v>
      </c>
      <c r="F1562" t="s">
        <v>1524</v>
      </c>
    </row>
    <row r="1563" spans="1:6" x14ac:dyDescent="0.3">
      <c r="A1563" t="s">
        <v>5385</v>
      </c>
      <c r="B1563" t="s">
        <v>4988</v>
      </c>
      <c r="C1563" t="str">
        <f t="shared" si="48"/>
        <v>podlaskie_kolneński</v>
      </c>
      <c r="D1563" t="s">
        <v>3738</v>
      </c>
      <c r="E1563" t="str">
        <f t="shared" si="49"/>
        <v>podlaskie_kolneński_Mały Płock</v>
      </c>
      <c r="F1563" t="s">
        <v>1526</v>
      </c>
    </row>
    <row r="1564" spans="1:6" x14ac:dyDescent="0.3">
      <c r="A1564" t="s">
        <v>5385</v>
      </c>
      <c r="B1564" t="s">
        <v>4988</v>
      </c>
      <c r="C1564" t="str">
        <f t="shared" si="48"/>
        <v>podlaskie_kolneński</v>
      </c>
      <c r="D1564" t="s">
        <v>3739</v>
      </c>
      <c r="E1564" t="str">
        <f t="shared" si="49"/>
        <v>podlaskie_kolneński_Stawiski</v>
      </c>
      <c r="F1564" t="s">
        <v>1527</v>
      </c>
    </row>
    <row r="1565" spans="1:6" x14ac:dyDescent="0.3">
      <c r="A1565" t="s">
        <v>5385</v>
      </c>
      <c r="B1565" t="s">
        <v>4988</v>
      </c>
      <c r="C1565" t="str">
        <f t="shared" si="48"/>
        <v>podlaskie_kolneński</v>
      </c>
      <c r="D1565" t="s">
        <v>3740</v>
      </c>
      <c r="E1565" t="str">
        <f t="shared" si="49"/>
        <v>podlaskie_kolneński_Turośl</v>
      </c>
      <c r="F1565" t="s">
        <v>1528</v>
      </c>
    </row>
    <row r="1566" spans="1:6" x14ac:dyDescent="0.3">
      <c r="A1566" t="s">
        <v>5385</v>
      </c>
      <c r="B1566" t="s">
        <v>4988</v>
      </c>
      <c r="C1566" t="str">
        <f t="shared" si="48"/>
        <v>podlaskie_kolneński</v>
      </c>
      <c r="D1566" t="s">
        <v>4690</v>
      </c>
      <c r="E1566" t="str">
        <f t="shared" si="49"/>
        <v>podlaskie_kolneński_Kolno (gm. miejska)</v>
      </c>
      <c r="F1566" t="s">
        <v>1523</v>
      </c>
    </row>
    <row r="1567" spans="1:6" x14ac:dyDescent="0.3">
      <c r="A1567" t="s">
        <v>5385</v>
      </c>
      <c r="B1567" t="s">
        <v>4988</v>
      </c>
      <c r="C1567" t="str">
        <f t="shared" si="48"/>
        <v>podlaskie_kolneński</v>
      </c>
      <c r="D1567" t="s">
        <v>4691</v>
      </c>
      <c r="E1567" t="str">
        <f t="shared" si="49"/>
        <v>podlaskie_kolneński_Kolno (gm. wiejska)</v>
      </c>
      <c r="F1567" t="s">
        <v>1525</v>
      </c>
    </row>
    <row r="1568" spans="1:6" x14ac:dyDescent="0.3">
      <c r="A1568" t="s">
        <v>5385</v>
      </c>
      <c r="B1568" t="s">
        <v>3742</v>
      </c>
      <c r="C1568" t="str">
        <f t="shared" si="48"/>
        <v>podlaskie_Łomża</v>
      </c>
      <c r="D1568" t="s">
        <v>3742</v>
      </c>
      <c r="E1568" t="str">
        <f t="shared" si="49"/>
        <v>podlaskie_Łomża_Łomża</v>
      </c>
      <c r="F1568" t="s">
        <v>1592</v>
      </c>
    </row>
    <row r="1569" spans="1:6" x14ac:dyDescent="0.3">
      <c r="A1569" t="s">
        <v>5385</v>
      </c>
      <c r="B1569" t="s">
        <v>4989</v>
      </c>
      <c r="C1569" t="str">
        <f t="shared" si="48"/>
        <v>podlaskie_łomżyński</v>
      </c>
      <c r="D1569" t="s">
        <v>3741</v>
      </c>
      <c r="E1569" t="str">
        <f t="shared" si="49"/>
        <v>podlaskie_łomżyński_Jedwabne</v>
      </c>
      <c r="F1569" t="s">
        <v>1529</v>
      </c>
    </row>
    <row r="1570" spans="1:6" x14ac:dyDescent="0.3">
      <c r="A1570" t="s">
        <v>5385</v>
      </c>
      <c r="B1570" t="s">
        <v>4989</v>
      </c>
      <c r="C1570" t="str">
        <f t="shared" si="48"/>
        <v>podlaskie_łomżyński</v>
      </c>
      <c r="D1570" t="s">
        <v>3742</v>
      </c>
      <c r="E1570" t="str">
        <f t="shared" si="49"/>
        <v>podlaskie_łomżyński_Łomża</v>
      </c>
      <c r="F1570" t="s">
        <v>1530</v>
      </c>
    </row>
    <row r="1571" spans="1:6" x14ac:dyDescent="0.3">
      <c r="A1571" t="s">
        <v>5385</v>
      </c>
      <c r="B1571" t="s">
        <v>4989</v>
      </c>
      <c r="C1571" t="str">
        <f t="shared" si="48"/>
        <v>podlaskie_łomżyński</v>
      </c>
      <c r="D1571" t="s">
        <v>3743</v>
      </c>
      <c r="E1571" t="str">
        <f t="shared" si="49"/>
        <v>podlaskie_łomżyński_Miastkowo</v>
      </c>
      <c r="F1571" t="s">
        <v>1531</v>
      </c>
    </row>
    <row r="1572" spans="1:6" x14ac:dyDescent="0.3">
      <c r="A1572" t="s">
        <v>5385</v>
      </c>
      <c r="B1572" t="s">
        <v>4989</v>
      </c>
      <c r="C1572" t="str">
        <f t="shared" si="48"/>
        <v>podlaskie_łomżyński</v>
      </c>
      <c r="D1572" t="s">
        <v>3744</v>
      </c>
      <c r="E1572" t="str">
        <f t="shared" si="49"/>
        <v>podlaskie_łomżyński_Nowogród</v>
      </c>
      <c r="F1572" t="s">
        <v>1532</v>
      </c>
    </row>
    <row r="1573" spans="1:6" x14ac:dyDescent="0.3">
      <c r="A1573" t="s">
        <v>5385</v>
      </c>
      <c r="B1573" t="s">
        <v>4989</v>
      </c>
      <c r="C1573" t="str">
        <f t="shared" si="48"/>
        <v>podlaskie_łomżyński</v>
      </c>
      <c r="D1573" t="s">
        <v>3745</v>
      </c>
      <c r="E1573" t="str">
        <f t="shared" si="49"/>
        <v>podlaskie_łomżyński_Piątnica</v>
      </c>
      <c r="F1573" t="s">
        <v>1533</v>
      </c>
    </row>
    <row r="1574" spans="1:6" x14ac:dyDescent="0.3">
      <c r="A1574" t="s">
        <v>5385</v>
      </c>
      <c r="B1574" t="s">
        <v>4989</v>
      </c>
      <c r="C1574" t="str">
        <f t="shared" si="48"/>
        <v>podlaskie_łomżyński</v>
      </c>
      <c r="D1574" t="s">
        <v>3746</v>
      </c>
      <c r="E1574" t="str">
        <f t="shared" si="49"/>
        <v>podlaskie_łomżyński_Przytuły</v>
      </c>
      <c r="F1574" t="s">
        <v>1534</v>
      </c>
    </row>
    <row r="1575" spans="1:6" x14ac:dyDescent="0.3">
      <c r="A1575" t="s">
        <v>5385</v>
      </c>
      <c r="B1575" t="s">
        <v>4989</v>
      </c>
      <c r="C1575" t="str">
        <f t="shared" si="48"/>
        <v>podlaskie_łomżyński</v>
      </c>
      <c r="D1575" t="s">
        <v>3747</v>
      </c>
      <c r="E1575" t="str">
        <f t="shared" si="49"/>
        <v>podlaskie_łomżyński_Śniadowo</v>
      </c>
      <c r="F1575" t="s">
        <v>1535</v>
      </c>
    </row>
    <row r="1576" spans="1:6" x14ac:dyDescent="0.3">
      <c r="A1576" t="s">
        <v>5385</v>
      </c>
      <c r="B1576" t="s">
        <v>4989</v>
      </c>
      <c r="C1576" t="str">
        <f t="shared" si="48"/>
        <v>podlaskie_łomżyński</v>
      </c>
      <c r="D1576" t="s">
        <v>3748</v>
      </c>
      <c r="E1576" t="str">
        <f t="shared" si="49"/>
        <v>podlaskie_łomżyński_Wizna</v>
      </c>
      <c r="F1576" s="48" t="s">
        <v>1536</v>
      </c>
    </row>
    <row r="1577" spans="1:6" x14ac:dyDescent="0.3">
      <c r="A1577" t="s">
        <v>5385</v>
      </c>
      <c r="B1577" t="s">
        <v>4989</v>
      </c>
      <c r="C1577" t="str">
        <f t="shared" si="48"/>
        <v>podlaskie_łomżyński</v>
      </c>
      <c r="D1577" t="s">
        <v>3749</v>
      </c>
      <c r="E1577" t="str">
        <f t="shared" si="49"/>
        <v>podlaskie_łomżyński_Zbójna</v>
      </c>
      <c r="F1577" t="s">
        <v>1537</v>
      </c>
    </row>
    <row r="1578" spans="1:6" x14ac:dyDescent="0.3">
      <c r="A1578" t="s">
        <v>5385</v>
      </c>
      <c r="B1578" t="s">
        <v>4990</v>
      </c>
      <c r="C1578" t="str">
        <f t="shared" si="48"/>
        <v>podlaskie_moniecki</v>
      </c>
      <c r="D1578" t="s">
        <v>3750</v>
      </c>
      <c r="E1578" t="str">
        <f t="shared" si="49"/>
        <v>podlaskie_moniecki_Goniądz</v>
      </c>
      <c r="F1578" t="s">
        <v>1538</v>
      </c>
    </row>
    <row r="1579" spans="1:6" x14ac:dyDescent="0.3">
      <c r="A1579" t="s">
        <v>5385</v>
      </c>
      <c r="B1579" t="s">
        <v>4990</v>
      </c>
      <c r="C1579" t="str">
        <f t="shared" si="48"/>
        <v>podlaskie_moniecki</v>
      </c>
      <c r="D1579" t="s">
        <v>3751</v>
      </c>
      <c r="E1579" t="str">
        <f t="shared" si="49"/>
        <v>podlaskie_moniecki_Jasionówka</v>
      </c>
      <c r="F1579" t="s">
        <v>1539</v>
      </c>
    </row>
    <row r="1580" spans="1:6" x14ac:dyDescent="0.3">
      <c r="A1580" t="s">
        <v>5385</v>
      </c>
      <c r="B1580" t="s">
        <v>4990</v>
      </c>
      <c r="C1580" t="str">
        <f t="shared" si="48"/>
        <v>podlaskie_moniecki</v>
      </c>
      <c r="D1580" t="s">
        <v>3752</v>
      </c>
      <c r="E1580" t="str">
        <f t="shared" si="49"/>
        <v>podlaskie_moniecki_Jaświły</v>
      </c>
      <c r="F1580" t="s">
        <v>1540</v>
      </c>
    </row>
    <row r="1581" spans="1:6" x14ac:dyDescent="0.3">
      <c r="A1581" t="s">
        <v>5385</v>
      </c>
      <c r="B1581" t="s">
        <v>4990</v>
      </c>
      <c r="C1581" t="str">
        <f t="shared" si="48"/>
        <v>podlaskie_moniecki</v>
      </c>
      <c r="D1581" t="s">
        <v>3753</v>
      </c>
      <c r="E1581" t="str">
        <f t="shared" si="49"/>
        <v>podlaskie_moniecki_Knyszyn</v>
      </c>
      <c r="F1581" t="s">
        <v>1541</v>
      </c>
    </row>
    <row r="1582" spans="1:6" x14ac:dyDescent="0.3">
      <c r="A1582" t="s">
        <v>5385</v>
      </c>
      <c r="B1582" t="s">
        <v>4990</v>
      </c>
      <c r="C1582" t="str">
        <f t="shared" si="48"/>
        <v>podlaskie_moniecki</v>
      </c>
      <c r="D1582" t="s">
        <v>3754</v>
      </c>
      <c r="E1582" t="str">
        <f t="shared" si="49"/>
        <v>podlaskie_moniecki_Krypno</v>
      </c>
      <c r="F1582" t="s">
        <v>1542</v>
      </c>
    </row>
    <row r="1583" spans="1:6" x14ac:dyDescent="0.3">
      <c r="A1583" t="s">
        <v>5385</v>
      </c>
      <c r="B1583" t="s">
        <v>4990</v>
      </c>
      <c r="C1583" t="str">
        <f t="shared" si="48"/>
        <v>podlaskie_moniecki</v>
      </c>
      <c r="D1583" t="s">
        <v>3755</v>
      </c>
      <c r="E1583" t="str">
        <f t="shared" si="49"/>
        <v>podlaskie_moniecki_Mońki</v>
      </c>
      <c r="F1583" t="s">
        <v>1543</v>
      </c>
    </row>
    <row r="1584" spans="1:6" x14ac:dyDescent="0.3">
      <c r="A1584" t="s">
        <v>5385</v>
      </c>
      <c r="B1584" t="s">
        <v>4990</v>
      </c>
      <c r="C1584" t="str">
        <f t="shared" si="48"/>
        <v>podlaskie_moniecki</v>
      </c>
      <c r="D1584" t="s">
        <v>3756</v>
      </c>
      <c r="E1584" t="str">
        <f t="shared" si="49"/>
        <v>podlaskie_moniecki_Trzcianne</v>
      </c>
      <c r="F1584" t="s">
        <v>1544</v>
      </c>
    </row>
    <row r="1585" spans="1:6" x14ac:dyDescent="0.3">
      <c r="A1585" t="s">
        <v>5385</v>
      </c>
      <c r="B1585" t="s">
        <v>4991</v>
      </c>
      <c r="C1585" t="str">
        <f t="shared" si="48"/>
        <v>podlaskie_sejneński</v>
      </c>
      <c r="D1585" t="s">
        <v>3757</v>
      </c>
      <c r="E1585" t="str">
        <f t="shared" si="49"/>
        <v>podlaskie_sejneński_Giby</v>
      </c>
      <c r="F1585" t="s">
        <v>1546</v>
      </c>
    </row>
    <row r="1586" spans="1:6" x14ac:dyDescent="0.3">
      <c r="A1586" t="s">
        <v>5385</v>
      </c>
      <c r="B1586" t="s">
        <v>4991</v>
      </c>
      <c r="C1586" t="str">
        <f t="shared" si="48"/>
        <v>podlaskie_sejneński</v>
      </c>
      <c r="D1586" t="s">
        <v>3758</v>
      </c>
      <c r="E1586" t="str">
        <f t="shared" si="49"/>
        <v>podlaskie_sejneński_Krasnopol</v>
      </c>
      <c r="F1586" t="s">
        <v>1547</v>
      </c>
    </row>
    <row r="1587" spans="1:6" x14ac:dyDescent="0.3">
      <c r="A1587" t="s">
        <v>5385</v>
      </c>
      <c r="B1587" t="s">
        <v>4991</v>
      </c>
      <c r="C1587" t="str">
        <f t="shared" si="48"/>
        <v>podlaskie_sejneński</v>
      </c>
      <c r="D1587" t="s">
        <v>3759</v>
      </c>
      <c r="E1587" t="str">
        <f t="shared" si="49"/>
        <v>podlaskie_sejneński_Puńsk</v>
      </c>
      <c r="F1587" t="s">
        <v>1548</v>
      </c>
    </row>
    <row r="1588" spans="1:6" x14ac:dyDescent="0.3">
      <c r="A1588" t="s">
        <v>5385</v>
      </c>
      <c r="B1588" t="s">
        <v>4991</v>
      </c>
      <c r="C1588" t="str">
        <f t="shared" si="48"/>
        <v>podlaskie_sejneński</v>
      </c>
      <c r="D1588" t="s">
        <v>4692</v>
      </c>
      <c r="E1588" t="str">
        <f t="shared" si="49"/>
        <v>podlaskie_sejneński_Sejny (gm. miejska)</v>
      </c>
      <c r="F1588" t="s">
        <v>1545</v>
      </c>
    </row>
    <row r="1589" spans="1:6" x14ac:dyDescent="0.3">
      <c r="A1589" t="s">
        <v>5385</v>
      </c>
      <c r="B1589" t="s">
        <v>4991</v>
      </c>
      <c r="C1589" t="str">
        <f t="shared" si="48"/>
        <v>podlaskie_sejneński</v>
      </c>
      <c r="D1589" t="s">
        <v>4693</v>
      </c>
      <c r="E1589" t="str">
        <f t="shared" si="49"/>
        <v>podlaskie_sejneński_Sejny (gm. wiejska)</v>
      </c>
      <c r="F1589" t="s">
        <v>1549</v>
      </c>
    </row>
    <row r="1590" spans="1:6" x14ac:dyDescent="0.3">
      <c r="A1590" t="s">
        <v>5385</v>
      </c>
      <c r="B1590" t="s">
        <v>4992</v>
      </c>
      <c r="C1590" t="str">
        <f t="shared" si="48"/>
        <v>podlaskie_siemiatycki</v>
      </c>
      <c r="D1590" t="s">
        <v>3760</v>
      </c>
      <c r="E1590" t="str">
        <f t="shared" si="49"/>
        <v>podlaskie_siemiatycki_Drohiczyn</v>
      </c>
      <c r="F1590" t="s">
        <v>1551</v>
      </c>
    </row>
    <row r="1591" spans="1:6" x14ac:dyDescent="0.3">
      <c r="A1591" t="s">
        <v>5385</v>
      </c>
      <c r="B1591" t="s">
        <v>4992</v>
      </c>
      <c r="C1591" t="str">
        <f t="shared" si="48"/>
        <v>podlaskie_siemiatycki</v>
      </c>
      <c r="D1591" t="s">
        <v>3761</v>
      </c>
      <c r="E1591" t="str">
        <f t="shared" si="49"/>
        <v>podlaskie_siemiatycki_Dziadkowice</v>
      </c>
      <c r="F1591" t="s">
        <v>1552</v>
      </c>
    </row>
    <row r="1592" spans="1:6" x14ac:dyDescent="0.3">
      <c r="A1592" t="s">
        <v>5385</v>
      </c>
      <c r="B1592" t="s">
        <v>4992</v>
      </c>
      <c r="C1592" t="str">
        <f t="shared" si="48"/>
        <v>podlaskie_siemiatycki</v>
      </c>
      <c r="D1592" t="s">
        <v>3762</v>
      </c>
      <c r="E1592" t="str">
        <f t="shared" si="49"/>
        <v>podlaskie_siemiatycki_Grodzisk</v>
      </c>
      <c r="F1592" t="s">
        <v>1553</v>
      </c>
    </row>
    <row r="1593" spans="1:6" x14ac:dyDescent="0.3">
      <c r="A1593" t="s">
        <v>5385</v>
      </c>
      <c r="B1593" t="s">
        <v>4992</v>
      </c>
      <c r="C1593" t="str">
        <f t="shared" si="48"/>
        <v>podlaskie_siemiatycki</v>
      </c>
      <c r="D1593" t="s">
        <v>3763</v>
      </c>
      <c r="E1593" t="str">
        <f t="shared" si="49"/>
        <v>podlaskie_siemiatycki_Mielnik</v>
      </c>
      <c r="F1593" t="s">
        <v>1554</v>
      </c>
    </row>
    <row r="1594" spans="1:6" x14ac:dyDescent="0.3">
      <c r="A1594" t="s">
        <v>5385</v>
      </c>
      <c r="B1594" t="s">
        <v>4992</v>
      </c>
      <c r="C1594" t="str">
        <f t="shared" si="48"/>
        <v>podlaskie_siemiatycki</v>
      </c>
      <c r="D1594" t="s">
        <v>3764</v>
      </c>
      <c r="E1594" t="str">
        <f t="shared" si="49"/>
        <v>podlaskie_siemiatycki_Milejczyce</v>
      </c>
      <c r="F1594" t="s">
        <v>1555</v>
      </c>
    </row>
    <row r="1595" spans="1:6" x14ac:dyDescent="0.3">
      <c r="A1595" t="s">
        <v>5385</v>
      </c>
      <c r="B1595" t="s">
        <v>4992</v>
      </c>
      <c r="C1595" t="str">
        <f t="shared" si="48"/>
        <v>podlaskie_siemiatycki</v>
      </c>
      <c r="D1595" t="s">
        <v>3765</v>
      </c>
      <c r="E1595" t="str">
        <f t="shared" si="49"/>
        <v>podlaskie_siemiatycki_Nurzec-Stacja</v>
      </c>
      <c r="F1595" t="s">
        <v>1556</v>
      </c>
    </row>
    <row r="1596" spans="1:6" x14ac:dyDescent="0.3">
      <c r="A1596" t="s">
        <v>5385</v>
      </c>
      <c r="B1596" t="s">
        <v>4992</v>
      </c>
      <c r="C1596" t="str">
        <f t="shared" si="48"/>
        <v>podlaskie_siemiatycki</v>
      </c>
      <c r="D1596" t="s">
        <v>3766</v>
      </c>
      <c r="E1596" t="str">
        <f t="shared" si="49"/>
        <v>podlaskie_siemiatycki_Perlejewo</v>
      </c>
      <c r="F1596" t="s">
        <v>1557</v>
      </c>
    </row>
    <row r="1597" spans="1:6" x14ac:dyDescent="0.3">
      <c r="A1597" t="s">
        <v>5385</v>
      </c>
      <c r="B1597" t="s">
        <v>4992</v>
      </c>
      <c r="C1597" t="str">
        <f t="shared" si="48"/>
        <v>podlaskie_siemiatycki</v>
      </c>
      <c r="D1597" t="s">
        <v>4694</v>
      </c>
      <c r="E1597" t="str">
        <f t="shared" si="49"/>
        <v>podlaskie_siemiatycki_Siemiatycze (gm. miejska)</v>
      </c>
      <c r="F1597" t="s">
        <v>1550</v>
      </c>
    </row>
    <row r="1598" spans="1:6" x14ac:dyDescent="0.3">
      <c r="A1598" t="s">
        <v>5385</v>
      </c>
      <c r="B1598" t="s">
        <v>4992</v>
      </c>
      <c r="C1598" t="str">
        <f t="shared" si="48"/>
        <v>podlaskie_siemiatycki</v>
      </c>
      <c r="D1598" t="s">
        <v>4695</v>
      </c>
      <c r="E1598" t="str">
        <f t="shared" si="49"/>
        <v>podlaskie_siemiatycki_Siemiatycze (gm. wiejska)</v>
      </c>
      <c r="F1598" t="s">
        <v>1558</v>
      </c>
    </row>
    <row r="1599" spans="1:6" x14ac:dyDescent="0.3">
      <c r="A1599" t="s">
        <v>5385</v>
      </c>
      <c r="B1599" t="s">
        <v>4993</v>
      </c>
      <c r="C1599" t="str">
        <f t="shared" si="48"/>
        <v>podlaskie_sokólski</v>
      </c>
      <c r="D1599" t="s">
        <v>3767</v>
      </c>
      <c r="E1599" t="str">
        <f t="shared" si="49"/>
        <v>podlaskie_sokólski_Dąbrowa Białostocka</v>
      </c>
      <c r="F1599" t="s">
        <v>1559</v>
      </c>
    </row>
    <row r="1600" spans="1:6" x14ac:dyDescent="0.3">
      <c r="A1600" t="s">
        <v>5385</v>
      </c>
      <c r="B1600" t="s">
        <v>4993</v>
      </c>
      <c r="C1600" t="str">
        <f t="shared" si="48"/>
        <v>podlaskie_sokólski</v>
      </c>
      <c r="D1600" t="s">
        <v>3768</v>
      </c>
      <c r="E1600" t="str">
        <f t="shared" si="49"/>
        <v>podlaskie_sokólski_Janów</v>
      </c>
      <c r="F1600" t="s">
        <v>1560</v>
      </c>
    </row>
    <row r="1601" spans="1:6" x14ac:dyDescent="0.3">
      <c r="A1601" t="s">
        <v>5385</v>
      </c>
      <c r="B1601" t="s">
        <v>4993</v>
      </c>
      <c r="C1601" t="str">
        <f t="shared" ref="C1601:C1664" si="50">CONCATENATE(A1601,"_",B1601)</f>
        <v>podlaskie_sokólski</v>
      </c>
      <c r="D1601" t="s">
        <v>3769</v>
      </c>
      <c r="E1601" t="str">
        <f t="shared" ref="E1601:E1664" si="51">C1601&amp;"_"&amp;D1601</f>
        <v>podlaskie_sokólski_Korycin</v>
      </c>
      <c r="F1601" t="s">
        <v>1561</v>
      </c>
    </row>
    <row r="1602" spans="1:6" x14ac:dyDescent="0.3">
      <c r="A1602" t="s">
        <v>5385</v>
      </c>
      <c r="B1602" t="s">
        <v>4993</v>
      </c>
      <c r="C1602" t="str">
        <f t="shared" si="50"/>
        <v>podlaskie_sokólski</v>
      </c>
      <c r="D1602" t="s">
        <v>3770</v>
      </c>
      <c r="E1602" t="str">
        <f t="shared" si="51"/>
        <v>podlaskie_sokólski_Krynki</v>
      </c>
      <c r="F1602" t="s">
        <v>1562</v>
      </c>
    </row>
    <row r="1603" spans="1:6" x14ac:dyDescent="0.3">
      <c r="A1603" t="s">
        <v>5385</v>
      </c>
      <c r="B1603" t="s">
        <v>4993</v>
      </c>
      <c r="C1603" t="str">
        <f t="shared" si="50"/>
        <v>podlaskie_sokólski</v>
      </c>
      <c r="D1603" t="s">
        <v>3771</v>
      </c>
      <c r="E1603" t="str">
        <f t="shared" si="51"/>
        <v>podlaskie_sokólski_Kuźnica</v>
      </c>
      <c r="F1603" t="s">
        <v>1563</v>
      </c>
    </row>
    <row r="1604" spans="1:6" x14ac:dyDescent="0.3">
      <c r="A1604" t="s">
        <v>5385</v>
      </c>
      <c r="B1604" t="s">
        <v>4993</v>
      </c>
      <c r="C1604" t="str">
        <f t="shared" si="50"/>
        <v>podlaskie_sokólski</v>
      </c>
      <c r="D1604" t="s">
        <v>3772</v>
      </c>
      <c r="E1604" t="str">
        <f t="shared" si="51"/>
        <v>podlaskie_sokólski_Nowy Dwór</v>
      </c>
      <c r="F1604" t="s">
        <v>1564</v>
      </c>
    </row>
    <row r="1605" spans="1:6" x14ac:dyDescent="0.3">
      <c r="A1605" t="s">
        <v>5385</v>
      </c>
      <c r="B1605" t="s">
        <v>4993</v>
      </c>
      <c r="C1605" t="str">
        <f t="shared" si="50"/>
        <v>podlaskie_sokólski</v>
      </c>
      <c r="D1605" t="s">
        <v>3773</v>
      </c>
      <c r="E1605" t="str">
        <f t="shared" si="51"/>
        <v>podlaskie_sokólski_Sidra</v>
      </c>
      <c r="F1605" t="s">
        <v>1565</v>
      </c>
    </row>
    <row r="1606" spans="1:6" x14ac:dyDescent="0.3">
      <c r="A1606" t="s">
        <v>5385</v>
      </c>
      <c r="B1606" t="s">
        <v>4993</v>
      </c>
      <c r="C1606" t="str">
        <f t="shared" si="50"/>
        <v>podlaskie_sokólski</v>
      </c>
      <c r="D1606" t="s">
        <v>3774</v>
      </c>
      <c r="E1606" t="str">
        <f t="shared" si="51"/>
        <v>podlaskie_sokólski_Sokółka</v>
      </c>
      <c r="F1606" t="s">
        <v>1566</v>
      </c>
    </row>
    <row r="1607" spans="1:6" x14ac:dyDescent="0.3">
      <c r="A1607" t="s">
        <v>5385</v>
      </c>
      <c r="B1607" t="s">
        <v>4993</v>
      </c>
      <c r="C1607" t="str">
        <f t="shared" si="50"/>
        <v>podlaskie_sokólski</v>
      </c>
      <c r="D1607" t="s">
        <v>3775</v>
      </c>
      <c r="E1607" t="str">
        <f t="shared" si="51"/>
        <v>podlaskie_sokólski_Suchowola</v>
      </c>
      <c r="F1607" t="s">
        <v>1567</v>
      </c>
    </row>
    <row r="1608" spans="1:6" x14ac:dyDescent="0.3">
      <c r="A1608" t="s">
        <v>5385</v>
      </c>
      <c r="B1608" t="s">
        <v>4993</v>
      </c>
      <c r="C1608" t="str">
        <f t="shared" si="50"/>
        <v>podlaskie_sokólski</v>
      </c>
      <c r="D1608" t="s">
        <v>3776</v>
      </c>
      <c r="E1608" t="str">
        <f t="shared" si="51"/>
        <v>podlaskie_sokólski_Szudziałowo</v>
      </c>
      <c r="F1608" t="s">
        <v>1568</v>
      </c>
    </row>
    <row r="1609" spans="1:6" x14ac:dyDescent="0.3">
      <c r="A1609" t="s">
        <v>5385</v>
      </c>
      <c r="B1609" t="s">
        <v>4994</v>
      </c>
      <c r="C1609" t="str">
        <f t="shared" si="50"/>
        <v>podlaskie_suwalski</v>
      </c>
      <c r="D1609" t="s">
        <v>3777</v>
      </c>
      <c r="E1609" t="str">
        <f t="shared" si="51"/>
        <v>podlaskie_suwalski_Bakałarzewo</v>
      </c>
      <c r="F1609" t="s">
        <v>1569</v>
      </c>
    </row>
    <row r="1610" spans="1:6" x14ac:dyDescent="0.3">
      <c r="A1610" t="s">
        <v>5385</v>
      </c>
      <c r="B1610" t="s">
        <v>4994</v>
      </c>
      <c r="C1610" t="str">
        <f t="shared" si="50"/>
        <v>podlaskie_suwalski</v>
      </c>
      <c r="D1610" t="s">
        <v>3778</v>
      </c>
      <c r="E1610" t="str">
        <f t="shared" si="51"/>
        <v>podlaskie_suwalski_Filipów</v>
      </c>
      <c r="F1610" t="s">
        <v>1570</v>
      </c>
    </row>
    <row r="1611" spans="1:6" x14ac:dyDescent="0.3">
      <c r="A1611" t="s">
        <v>5385</v>
      </c>
      <c r="B1611" t="s">
        <v>4994</v>
      </c>
      <c r="C1611" t="str">
        <f t="shared" si="50"/>
        <v>podlaskie_suwalski</v>
      </c>
      <c r="D1611" t="s">
        <v>3779</v>
      </c>
      <c r="E1611" t="str">
        <f t="shared" si="51"/>
        <v>podlaskie_suwalski_Jeleniewo</v>
      </c>
      <c r="F1611" t="s">
        <v>1571</v>
      </c>
    </row>
    <row r="1612" spans="1:6" x14ac:dyDescent="0.3">
      <c r="A1612" t="s">
        <v>5385</v>
      </c>
      <c r="B1612" t="s">
        <v>4994</v>
      </c>
      <c r="C1612" t="str">
        <f t="shared" si="50"/>
        <v>podlaskie_suwalski</v>
      </c>
      <c r="D1612" t="s">
        <v>3780</v>
      </c>
      <c r="E1612" t="str">
        <f t="shared" si="51"/>
        <v>podlaskie_suwalski_Przerośl</v>
      </c>
      <c r="F1612" t="s">
        <v>1572</v>
      </c>
    </row>
    <row r="1613" spans="1:6" x14ac:dyDescent="0.3">
      <c r="A1613" t="s">
        <v>5385</v>
      </c>
      <c r="B1613" t="s">
        <v>4994</v>
      </c>
      <c r="C1613" t="str">
        <f t="shared" si="50"/>
        <v>podlaskie_suwalski</v>
      </c>
      <c r="D1613" t="s">
        <v>3781</v>
      </c>
      <c r="E1613" t="str">
        <f t="shared" si="51"/>
        <v>podlaskie_suwalski_Raczki</v>
      </c>
      <c r="F1613" t="s">
        <v>1573</v>
      </c>
    </row>
    <row r="1614" spans="1:6" x14ac:dyDescent="0.3">
      <c r="A1614" t="s">
        <v>5385</v>
      </c>
      <c r="B1614" t="s">
        <v>4994</v>
      </c>
      <c r="C1614" t="str">
        <f t="shared" si="50"/>
        <v>podlaskie_suwalski</v>
      </c>
      <c r="D1614" t="s">
        <v>3782</v>
      </c>
      <c r="E1614" t="str">
        <f t="shared" si="51"/>
        <v>podlaskie_suwalski_Rutka-Tartak</v>
      </c>
      <c r="F1614" t="s">
        <v>1574</v>
      </c>
    </row>
    <row r="1615" spans="1:6" x14ac:dyDescent="0.3">
      <c r="A1615" t="s">
        <v>5385</v>
      </c>
      <c r="B1615" t="s">
        <v>4994</v>
      </c>
      <c r="C1615" t="str">
        <f t="shared" si="50"/>
        <v>podlaskie_suwalski</v>
      </c>
      <c r="D1615" t="s">
        <v>3783</v>
      </c>
      <c r="E1615" t="str">
        <f t="shared" si="51"/>
        <v>podlaskie_suwalski_Suwałki</v>
      </c>
      <c r="F1615" t="s">
        <v>1575</v>
      </c>
    </row>
    <row r="1616" spans="1:6" x14ac:dyDescent="0.3">
      <c r="A1616" t="s">
        <v>5385</v>
      </c>
      <c r="B1616" t="s">
        <v>4994</v>
      </c>
      <c r="C1616" t="str">
        <f t="shared" si="50"/>
        <v>podlaskie_suwalski</v>
      </c>
      <c r="D1616" t="s">
        <v>3784</v>
      </c>
      <c r="E1616" t="str">
        <f t="shared" si="51"/>
        <v>podlaskie_suwalski_Szypliszki</v>
      </c>
      <c r="F1616" t="s">
        <v>1576</v>
      </c>
    </row>
    <row r="1617" spans="1:6" x14ac:dyDescent="0.3">
      <c r="A1617" t="s">
        <v>5385</v>
      </c>
      <c r="B1617" t="s">
        <v>4994</v>
      </c>
      <c r="C1617" t="str">
        <f t="shared" si="50"/>
        <v>podlaskie_suwalski</v>
      </c>
      <c r="D1617" t="s">
        <v>3785</v>
      </c>
      <c r="E1617" t="str">
        <f t="shared" si="51"/>
        <v>podlaskie_suwalski_Wiżajny</v>
      </c>
      <c r="F1617" t="s">
        <v>1577</v>
      </c>
    </row>
    <row r="1618" spans="1:6" x14ac:dyDescent="0.3">
      <c r="A1618" t="s">
        <v>5385</v>
      </c>
      <c r="B1618" t="s">
        <v>3783</v>
      </c>
      <c r="C1618" t="str">
        <f t="shared" si="50"/>
        <v>podlaskie_Suwałki</v>
      </c>
      <c r="D1618" t="s">
        <v>3783</v>
      </c>
      <c r="E1618" t="str">
        <f t="shared" si="51"/>
        <v>podlaskie_Suwałki_Suwałki</v>
      </c>
      <c r="F1618" t="s">
        <v>1593</v>
      </c>
    </row>
    <row r="1619" spans="1:6" x14ac:dyDescent="0.3">
      <c r="A1619" t="s">
        <v>5385</v>
      </c>
      <c r="B1619" t="s">
        <v>4995</v>
      </c>
      <c r="C1619" t="str">
        <f t="shared" si="50"/>
        <v>podlaskie_wysokomazowiecki</v>
      </c>
      <c r="D1619" t="s">
        <v>3786</v>
      </c>
      <c r="E1619" t="str">
        <f t="shared" si="51"/>
        <v>podlaskie_wysokomazowiecki_Ciechanowiec</v>
      </c>
      <c r="F1619" t="s">
        <v>1579</v>
      </c>
    </row>
    <row r="1620" spans="1:6" x14ac:dyDescent="0.3">
      <c r="A1620" t="s">
        <v>5385</v>
      </c>
      <c r="B1620" t="s">
        <v>4995</v>
      </c>
      <c r="C1620" t="str">
        <f t="shared" si="50"/>
        <v>podlaskie_wysokomazowiecki</v>
      </c>
      <c r="D1620" t="s">
        <v>5175</v>
      </c>
      <c r="E1620" t="str">
        <f t="shared" si="51"/>
        <v>podlaskie_wysokomazowiecki_Czyżew</v>
      </c>
      <c r="F1620" t="s">
        <v>5174</v>
      </c>
    </row>
    <row r="1621" spans="1:6" x14ac:dyDescent="0.3">
      <c r="A1621" t="s">
        <v>5385</v>
      </c>
      <c r="B1621" t="s">
        <v>4995</v>
      </c>
      <c r="C1621" t="str">
        <f t="shared" si="50"/>
        <v>podlaskie_wysokomazowiecki</v>
      </c>
      <c r="D1621" t="s">
        <v>3787</v>
      </c>
      <c r="E1621" t="str">
        <f t="shared" si="51"/>
        <v>podlaskie_wysokomazowiecki_Klukowo</v>
      </c>
      <c r="F1621" t="s">
        <v>1580</v>
      </c>
    </row>
    <row r="1622" spans="1:6" x14ac:dyDescent="0.3">
      <c r="A1622" t="s">
        <v>5385</v>
      </c>
      <c r="B1622" t="s">
        <v>4995</v>
      </c>
      <c r="C1622" t="str">
        <f t="shared" si="50"/>
        <v>podlaskie_wysokomazowiecki</v>
      </c>
      <c r="D1622" t="s">
        <v>3788</v>
      </c>
      <c r="E1622" t="str">
        <f t="shared" si="51"/>
        <v>podlaskie_wysokomazowiecki_Kobylin-Borzymy</v>
      </c>
      <c r="F1622" t="s">
        <v>1581</v>
      </c>
    </row>
    <row r="1623" spans="1:6" x14ac:dyDescent="0.3">
      <c r="A1623" t="s">
        <v>5385</v>
      </c>
      <c r="B1623" t="s">
        <v>4995</v>
      </c>
      <c r="C1623" t="str">
        <f t="shared" si="50"/>
        <v>podlaskie_wysokomazowiecki</v>
      </c>
      <c r="D1623" t="s">
        <v>3789</v>
      </c>
      <c r="E1623" t="str">
        <f t="shared" si="51"/>
        <v>podlaskie_wysokomazowiecki_Kulesze Kościelne</v>
      </c>
      <c r="F1623" t="s">
        <v>1582</v>
      </c>
    </row>
    <row r="1624" spans="1:6" x14ac:dyDescent="0.3">
      <c r="A1624" t="s">
        <v>5385</v>
      </c>
      <c r="B1624" t="s">
        <v>4995</v>
      </c>
      <c r="C1624" t="str">
        <f t="shared" si="50"/>
        <v>podlaskie_wysokomazowiecki</v>
      </c>
      <c r="D1624" t="s">
        <v>3790</v>
      </c>
      <c r="E1624" t="str">
        <f t="shared" si="51"/>
        <v>podlaskie_wysokomazowiecki_Nowe Piekuty</v>
      </c>
      <c r="F1624" t="s">
        <v>1583</v>
      </c>
    </row>
    <row r="1625" spans="1:6" x14ac:dyDescent="0.3">
      <c r="A1625" t="s">
        <v>5385</v>
      </c>
      <c r="B1625" t="s">
        <v>4995</v>
      </c>
      <c r="C1625" t="str">
        <f t="shared" si="50"/>
        <v>podlaskie_wysokomazowiecki</v>
      </c>
      <c r="D1625" t="s">
        <v>3791</v>
      </c>
      <c r="E1625" t="str">
        <f t="shared" si="51"/>
        <v>podlaskie_wysokomazowiecki_Sokoły</v>
      </c>
      <c r="F1625" t="s">
        <v>1584</v>
      </c>
    </row>
    <row r="1626" spans="1:6" x14ac:dyDescent="0.3">
      <c r="A1626" t="s">
        <v>5385</v>
      </c>
      <c r="B1626" t="s">
        <v>4995</v>
      </c>
      <c r="C1626" t="str">
        <f t="shared" si="50"/>
        <v>podlaskie_wysokomazowiecki</v>
      </c>
      <c r="D1626" t="s">
        <v>3792</v>
      </c>
      <c r="E1626" t="str">
        <f t="shared" si="51"/>
        <v>podlaskie_wysokomazowiecki_Szepietowo</v>
      </c>
      <c r="F1626" t="s">
        <v>5176</v>
      </c>
    </row>
    <row r="1627" spans="1:6" x14ac:dyDescent="0.3">
      <c r="A1627" t="s">
        <v>5385</v>
      </c>
      <c r="B1627" t="s">
        <v>4995</v>
      </c>
      <c r="C1627" t="str">
        <f t="shared" si="50"/>
        <v>podlaskie_wysokomazowiecki</v>
      </c>
      <c r="D1627" t="s">
        <v>4696</v>
      </c>
      <c r="E1627" t="str">
        <f t="shared" si="51"/>
        <v>podlaskie_wysokomazowiecki_Wysokie Mazowieckie (gm. miejska)</v>
      </c>
      <c r="F1627" t="s">
        <v>1578</v>
      </c>
    </row>
    <row r="1628" spans="1:6" x14ac:dyDescent="0.3">
      <c r="A1628" t="s">
        <v>5385</v>
      </c>
      <c r="B1628" t="s">
        <v>4995</v>
      </c>
      <c r="C1628" t="str">
        <f t="shared" si="50"/>
        <v>podlaskie_wysokomazowiecki</v>
      </c>
      <c r="D1628" t="s">
        <v>4697</v>
      </c>
      <c r="E1628" t="str">
        <f t="shared" si="51"/>
        <v>podlaskie_wysokomazowiecki_Wysokie Mazowieckie (gm. wiejska)</v>
      </c>
      <c r="F1628" t="s">
        <v>1585</v>
      </c>
    </row>
    <row r="1629" spans="1:6" x14ac:dyDescent="0.3">
      <c r="A1629" t="s">
        <v>5385</v>
      </c>
      <c r="B1629" t="s">
        <v>4996</v>
      </c>
      <c r="C1629" t="str">
        <f t="shared" si="50"/>
        <v>podlaskie_zambrowski</v>
      </c>
      <c r="D1629" t="s">
        <v>3793</v>
      </c>
      <c r="E1629" t="str">
        <f t="shared" si="51"/>
        <v>podlaskie_zambrowski_Kołaki Kościelne</v>
      </c>
      <c r="F1629" t="s">
        <v>1587</v>
      </c>
    </row>
    <row r="1630" spans="1:6" x14ac:dyDescent="0.3">
      <c r="A1630" t="s">
        <v>5385</v>
      </c>
      <c r="B1630" t="s">
        <v>4996</v>
      </c>
      <c r="C1630" t="str">
        <f t="shared" si="50"/>
        <v>podlaskie_zambrowski</v>
      </c>
      <c r="D1630" t="s">
        <v>3794</v>
      </c>
      <c r="E1630" t="str">
        <f t="shared" si="51"/>
        <v>podlaskie_zambrowski_Rutki</v>
      </c>
      <c r="F1630" t="s">
        <v>1588</v>
      </c>
    </row>
    <row r="1631" spans="1:6" x14ac:dyDescent="0.3">
      <c r="A1631" t="s">
        <v>5385</v>
      </c>
      <c r="B1631" t="s">
        <v>4996</v>
      </c>
      <c r="C1631" t="str">
        <f t="shared" si="50"/>
        <v>podlaskie_zambrowski</v>
      </c>
      <c r="D1631" t="s">
        <v>3795</v>
      </c>
      <c r="E1631" t="str">
        <f t="shared" si="51"/>
        <v>podlaskie_zambrowski_Szumowo</v>
      </c>
      <c r="F1631" t="s">
        <v>1589</v>
      </c>
    </row>
    <row r="1632" spans="1:6" x14ac:dyDescent="0.3">
      <c r="A1632" t="s">
        <v>5385</v>
      </c>
      <c r="B1632" t="s">
        <v>4996</v>
      </c>
      <c r="C1632" t="str">
        <f t="shared" si="50"/>
        <v>podlaskie_zambrowski</v>
      </c>
      <c r="D1632" t="s">
        <v>4698</v>
      </c>
      <c r="E1632" t="str">
        <f t="shared" si="51"/>
        <v>podlaskie_zambrowski_Zambrów (gm. miejska)</v>
      </c>
      <c r="F1632" t="s">
        <v>1586</v>
      </c>
    </row>
    <row r="1633" spans="1:6" x14ac:dyDescent="0.3">
      <c r="A1633" t="s">
        <v>5385</v>
      </c>
      <c r="B1633" t="s">
        <v>4996</v>
      </c>
      <c r="C1633" t="str">
        <f t="shared" si="50"/>
        <v>podlaskie_zambrowski</v>
      </c>
      <c r="D1633" t="s">
        <v>4699</v>
      </c>
      <c r="E1633" t="str">
        <f t="shared" si="51"/>
        <v>podlaskie_zambrowski_Zambrów (gm. wiejska)</v>
      </c>
      <c r="F1633" t="s">
        <v>1590</v>
      </c>
    </row>
    <row r="1634" spans="1:6" x14ac:dyDescent="0.3">
      <c r="A1634" t="s">
        <v>5394</v>
      </c>
      <c r="B1634" t="s">
        <v>4997</v>
      </c>
      <c r="C1634" t="str">
        <f t="shared" si="50"/>
        <v>pomorskie_bytowski</v>
      </c>
      <c r="D1634" t="s">
        <v>3797</v>
      </c>
      <c r="E1634" t="str">
        <f t="shared" si="51"/>
        <v>pomorskie_bytowski_Borzytuchom</v>
      </c>
      <c r="F1634" t="s">
        <v>1594</v>
      </c>
    </row>
    <row r="1635" spans="1:6" x14ac:dyDescent="0.3">
      <c r="A1635" t="s">
        <v>5394</v>
      </c>
      <c r="B1635" t="s">
        <v>4997</v>
      </c>
      <c r="C1635" t="str">
        <f t="shared" si="50"/>
        <v>pomorskie_bytowski</v>
      </c>
      <c r="D1635" t="s">
        <v>3798</v>
      </c>
      <c r="E1635" t="str">
        <f t="shared" si="51"/>
        <v>pomorskie_bytowski_Bytów</v>
      </c>
      <c r="F1635" t="s">
        <v>1595</v>
      </c>
    </row>
    <row r="1636" spans="1:6" x14ac:dyDescent="0.3">
      <c r="A1636" t="s">
        <v>5394</v>
      </c>
      <c r="B1636" t="s">
        <v>4997</v>
      </c>
      <c r="C1636" t="str">
        <f t="shared" si="50"/>
        <v>pomorskie_bytowski</v>
      </c>
      <c r="D1636" t="s">
        <v>3799</v>
      </c>
      <c r="E1636" t="str">
        <f t="shared" si="51"/>
        <v>pomorskie_bytowski_Czarna Dąbrówka</v>
      </c>
      <c r="F1636" t="s">
        <v>1596</v>
      </c>
    </row>
    <row r="1637" spans="1:6" x14ac:dyDescent="0.3">
      <c r="A1637" t="s">
        <v>5394</v>
      </c>
      <c r="B1637" t="s">
        <v>4997</v>
      </c>
      <c r="C1637" t="str">
        <f t="shared" si="50"/>
        <v>pomorskie_bytowski</v>
      </c>
      <c r="D1637" t="s">
        <v>3800</v>
      </c>
      <c r="E1637" t="str">
        <f t="shared" si="51"/>
        <v>pomorskie_bytowski_Kołczygłowy</v>
      </c>
      <c r="F1637" t="s">
        <v>1597</v>
      </c>
    </row>
    <row r="1638" spans="1:6" x14ac:dyDescent="0.3">
      <c r="A1638" t="s">
        <v>5394</v>
      </c>
      <c r="B1638" t="s">
        <v>4997</v>
      </c>
      <c r="C1638" t="str">
        <f t="shared" si="50"/>
        <v>pomorskie_bytowski</v>
      </c>
      <c r="D1638" t="s">
        <v>3801</v>
      </c>
      <c r="E1638" t="str">
        <f t="shared" si="51"/>
        <v>pomorskie_bytowski_Lipnica</v>
      </c>
      <c r="F1638" t="s">
        <v>1598</v>
      </c>
    </row>
    <row r="1639" spans="1:6" x14ac:dyDescent="0.3">
      <c r="A1639" t="s">
        <v>5394</v>
      </c>
      <c r="B1639" t="s">
        <v>4997</v>
      </c>
      <c r="C1639" t="str">
        <f t="shared" si="50"/>
        <v>pomorskie_bytowski</v>
      </c>
      <c r="D1639" t="s">
        <v>3802</v>
      </c>
      <c r="E1639" t="str">
        <f t="shared" si="51"/>
        <v>pomorskie_bytowski_Miastko</v>
      </c>
      <c r="F1639" t="s">
        <v>1599</v>
      </c>
    </row>
    <row r="1640" spans="1:6" x14ac:dyDescent="0.3">
      <c r="A1640" t="s">
        <v>5394</v>
      </c>
      <c r="B1640" t="s">
        <v>4997</v>
      </c>
      <c r="C1640" t="str">
        <f t="shared" si="50"/>
        <v>pomorskie_bytowski</v>
      </c>
      <c r="D1640" t="s">
        <v>3803</v>
      </c>
      <c r="E1640" t="str">
        <f t="shared" si="51"/>
        <v>pomorskie_bytowski_Parchowo</v>
      </c>
      <c r="F1640" t="s">
        <v>1600</v>
      </c>
    </row>
    <row r="1641" spans="1:6" x14ac:dyDescent="0.3">
      <c r="A1641" t="s">
        <v>5394</v>
      </c>
      <c r="B1641" t="s">
        <v>4997</v>
      </c>
      <c r="C1641" t="str">
        <f t="shared" si="50"/>
        <v>pomorskie_bytowski</v>
      </c>
      <c r="D1641" t="s">
        <v>3804</v>
      </c>
      <c r="E1641" t="str">
        <f t="shared" si="51"/>
        <v>pomorskie_bytowski_Studzienice</v>
      </c>
      <c r="F1641" t="s">
        <v>1601</v>
      </c>
    </row>
    <row r="1642" spans="1:6" x14ac:dyDescent="0.3">
      <c r="A1642" t="s">
        <v>5394</v>
      </c>
      <c r="B1642" t="s">
        <v>4997</v>
      </c>
      <c r="C1642" t="str">
        <f t="shared" si="50"/>
        <v>pomorskie_bytowski</v>
      </c>
      <c r="D1642" t="s">
        <v>3805</v>
      </c>
      <c r="E1642" t="str">
        <f t="shared" si="51"/>
        <v>pomorskie_bytowski_Trzebielino</v>
      </c>
      <c r="F1642" t="s">
        <v>1602</v>
      </c>
    </row>
    <row r="1643" spans="1:6" x14ac:dyDescent="0.3">
      <c r="A1643" t="s">
        <v>5394</v>
      </c>
      <c r="B1643" t="s">
        <v>4997</v>
      </c>
      <c r="C1643" t="str">
        <f t="shared" si="50"/>
        <v>pomorskie_bytowski</v>
      </c>
      <c r="D1643" t="s">
        <v>3806</v>
      </c>
      <c r="E1643" t="str">
        <f t="shared" si="51"/>
        <v>pomorskie_bytowski_Tuchomie</v>
      </c>
      <c r="F1643" t="s">
        <v>1603</v>
      </c>
    </row>
    <row r="1644" spans="1:6" x14ac:dyDescent="0.3">
      <c r="A1644" t="s">
        <v>5394</v>
      </c>
      <c r="B1644" t="s">
        <v>4998</v>
      </c>
      <c r="C1644" t="str">
        <f t="shared" si="50"/>
        <v>pomorskie_chojnicki</v>
      </c>
      <c r="D1644" t="s">
        <v>3807</v>
      </c>
      <c r="E1644" t="str">
        <f t="shared" si="51"/>
        <v>pomorskie_chojnicki_Brusy</v>
      </c>
      <c r="F1644" t="s">
        <v>1605</v>
      </c>
    </row>
    <row r="1645" spans="1:6" x14ac:dyDescent="0.3">
      <c r="A1645" t="s">
        <v>5394</v>
      </c>
      <c r="B1645" t="s">
        <v>4998</v>
      </c>
      <c r="C1645" t="str">
        <f t="shared" si="50"/>
        <v>pomorskie_chojnicki</v>
      </c>
      <c r="D1645" t="s">
        <v>3808</v>
      </c>
      <c r="E1645" t="str">
        <f t="shared" si="51"/>
        <v>pomorskie_chojnicki_Czersk</v>
      </c>
      <c r="F1645" t="s">
        <v>1607</v>
      </c>
    </row>
    <row r="1646" spans="1:6" x14ac:dyDescent="0.3">
      <c r="A1646" t="s">
        <v>5394</v>
      </c>
      <c r="B1646" t="s">
        <v>4998</v>
      </c>
      <c r="C1646" t="str">
        <f t="shared" si="50"/>
        <v>pomorskie_chojnicki</v>
      </c>
      <c r="D1646" t="s">
        <v>3809</v>
      </c>
      <c r="E1646" t="str">
        <f t="shared" si="51"/>
        <v>pomorskie_chojnicki_Konarzyny</v>
      </c>
      <c r="F1646" t="s">
        <v>1608</v>
      </c>
    </row>
    <row r="1647" spans="1:6" x14ac:dyDescent="0.3">
      <c r="A1647" t="s">
        <v>5394</v>
      </c>
      <c r="B1647" t="s">
        <v>4998</v>
      </c>
      <c r="C1647" t="str">
        <f t="shared" si="50"/>
        <v>pomorskie_chojnicki</v>
      </c>
      <c r="D1647" t="s">
        <v>4700</v>
      </c>
      <c r="E1647" t="str">
        <f t="shared" si="51"/>
        <v>pomorskie_chojnicki_Chojnice (gm. miejska)</v>
      </c>
      <c r="F1647" t="s">
        <v>1604</v>
      </c>
    </row>
    <row r="1648" spans="1:6" x14ac:dyDescent="0.3">
      <c r="A1648" t="s">
        <v>5394</v>
      </c>
      <c r="B1648" t="s">
        <v>4998</v>
      </c>
      <c r="C1648" t="str">
        <f t="shared" si="50"/>
        <v>pomorskie_chojnicki</v>
      </c>
      <c r="D1648" t="s">
        <v>4701</v>
      </c>
      <c r="E1648" t="str">
        <f t="shared" si="51"/>
        <v>pomorskie_chojnicki_Chojnice (gm. wiejska)</v>
      </c>
      <c r="F1648" t="s">
        <v>1606</v>
      </c>
    </row>
    <row r="1649" spans="1:6" x14ac:dyDescent="0.3">
      <c r="A1649" t="s">
        <v>5394</v>
      </c>
      <c r="B1649" t="s">
        <v>4999</v>
      </c>
      <c r="C1649" t="str">
        <f t="shared" si="50"/>
        <v>pomorskie_człuchowski</v>
      </c>
      <c r="D1649" t="s">
        <v>3810</v>
      </c>
      <c r="E1649" t="str">
        <f t="shared" si="51"/>
        <v>pomorskie_człuchowski_Czarne</v>
      </c>
      <c r="F1649" t="s">
        <v>1610</v>
      </c>
    </row>
    <row r="1650" spans="1:6" x14ac:dyDescent="0.3">
      <c r="A1650" t="s">
        <v>5394</v>
      </c>
      <c r="B1650" t="s">
        <v>4999</v>
      </c>
      <c r="C1650" t="str">
        <f t="shared" si="50"/>
        <v>pomorskie_człuchowski</v>
      </c>
      <c r="D1650" t="s">
        <v>3811</v>
      </c>
      <c r="E1650" t="str">
        <f t="shared" si="51"/>
        <v>pomorskie_człuchowski_Debrzno</v>
      </c>
      <c r="F1650" t="s">
        <v>1612</v>
      </c>
    </row>
    <row r="1651" spans="1:6" x14ac:dyDescent="0.3">
      <c r="A1651" t="s">
        <v>5394</v>
      </c>
      <c r="B1651" t="s">
        <v>4999</v>
      </c>
      <c r="C1651" t="str">
        <f t="shared" si="50"/>
        <v>pomorskie_człuchowski</v>
      </c>
      <c r="D1651" t="s">
        <v>3812</v>
      </c>
      <c r="E1651" t="str">
        <f t="shared" si="51"/>
        <v>pomorskie_człuchowski_Koczała</v>
      </c>
      <c r="F1651" t="s">
        <v>1613</v>
      </c>
    </row>
    <row r="1652" spans="1:6" x14ac:dyDescent="0.3">
      <c r="A1652" t="s">
        <v>5394</v>
      </c>
      <c r="B1652" t="s">
        <v>4999</v>
      </c>
      <c r="C1652" t="str">
        <f t="shared" si="50"/>
        <v>pomorskie_człuchowski</v>
      </c>
      <c r="D1652" t="s">
        <v>3813</v>
      </c>
      <c r="E1652" t="str">
        <f t="shared" si="51"/>
        <v>pomorskie_człuchowski_Przechlewo</v>
      </c>
      <c r="F1652" t="s">
        <v>1614</v>
      </c>
    </row>
    <row r="1653" spans="1:6" x14ac:dyDescent="0.3">
      <c r="A1653" t="s">
        <v>5394</v>
      </c>
      <c r="B1653" t="s">
        <v>4999</v>
      </c>
      <c r="C1653" t="str">
        <f t="shared" si="50"/>
        <v>pomorskie_człuchowski</v>
      </c>
      <c r="D1653" t="s">
        <v>3814</v>
      </c>
      <c r="E1653" t="str">
        <f t="shared" si="51"/>
        <v>pomorskie_człuchowski_Rzeczenica</v>
      </c>
      <c r="F1653" t="s">
        <v>1615</v>
      </c>
    </row>
    <row r="1654" spans="1:6" x14ac:dyDescent="0.3">
      <c r="A1654" t="s">
        <v>5394</v>
      </c>
      <c r="B1654" t="s">
        <v>4999</v>
      </c>
      <c r="C1654" t="str">
        <f t="shared" si="50"/>
        <v>pomorskie_człuchowski</v>
      </c>
      <c r="D1654" t="s">
        <v>4702</v>
      </c>
      <c r="E1654" t="str">
        <f t="shared" si="51"/>
        <v>pomorskie_człuchowski_Człuchów (gm. miejska)</v>
      </c>
      <c r="F1654" t="s">
        <v>1609</v>
      </c>
    </row>
    <row r="1655" spans="1:6" x14ac:dyDescent="0.3">
      <c r="A1655" t="s">
        <v>5394</v>
      </c>
      <c r="B1655" t="s">
        <v>4999</v>
      </c>
      <c r="C1655" t="str">
        <f t="shared" si="50"/>
        <v>pomorskie_człuchowski</v>
      </c>
      <c r="D1655" t="s">
        <v>4703</v>
      </c>
      <c r="E1655" t="str">
        <f t="shared" si="51"/>
        <v>pomorskie_człuchowski_Człuchów (gm. wiejska)</v>
      </c>
      <c r="F1655" t="s">
        <v>1611</v>
      </c>
    </row>
    <row r="1656" spans="1:6" x14ac:dyDescent="0.3">
      <c r="A1656" t="s">
        <v>5394</v>
      </c>
      <c r="B1656" t="s">
        <v>3890</v>
      </c>
      <c r="C1656" t="str">
        <f t="shared" si="50"/>
        <v>pomorskie_Gdańsk</v>
      </c>
      <c r="D1656" t="s">
        <v>3890</v>
      </c>
      <c r="E1656" t="str">
        <f t="shared" si="51"/>
        <v>pomorskie_Gdańsk_Gdańsk</v>
      </c>
      <c r="F1656" t="s">
        <v>1710</v>
      </c>
    </row>
    <row r="1657" spans="1:6" x14ac:dyDescent="0.3">
      <c r="A1657" t="s">
        <v>5394</v>
      </c>
      <c r="B1657" t="s">
        <v>5000</v>
      </c>
      <c r="C1657" t="str">
        <f t="shared" si="50"/>
        <v>pomorskie_gdański</v>
      </c>
      <c r="D1657" t="s">
        <v>3815</v>
      </c>
      <c r="E1657" t="str">
        <f t="shared" si="51"/>
        <v>pomorskie_gdański_Cedry Wielkie</v>
      </c>
      <c r="F1657" t="s">
        <v>1617</v>
      </c>
    </row>
    <row r="1658" spans="1:6" x14ac:dyDescent="0.3">
      <c r="A1658" t="s">
        <v>5394</v>
      </c>
      <c r="B1658" t="s">
        <v>5000</v>
      </c>
      <c r="C1658" t="str">
        <f t="shared" si="50"/>
        <v>pomorskie_gdański</v>
      </c>
      <c r="D1658" t="s">
        <v>3816</v>
      </c>
      <c r="E1658" t="str">
        <f t="shared" si="51"/>
        <v>pomorskie_gdański_Kolbudy</v>
      </c>
      <c r="F1658" t="s">
        <v>1618</v>
      </c>
    </row>
    <row r="1659" spans="1:6" x14ac:dyDescent="0.3">
      <c r="A1659" t="s">
        <v>5394</v>
      </c>
      <c r="B1659" t="s">
        <v>5000</v>
      </c>
      <c r="C1659" t="str">
        <f t="shared" si="50"/>
        <v>pomorskie_gdański</v>
      </c>
      <c r="D1659" t="s">
        <v>3817</v>
      </c>
      <c r="E1659" t="str">
        <f t="shared" si="51"/>
        <v>pomorskie_gdański_Przywidz</v>
      </c>
      <c r="F1659" t="s">
        <v>1620</v>
      </c>
    </row>
    <row r="1660" spans="1:6" x14ac:dyDescent="0.3">
      <c r="A1660" t="s">
        <v>5394</v>
      </c>
      <c r="B1660" t="s">
        <v>5000</v>
      </c>
      <c r="C1660" t="str">
        <f t="shared" si="50"/>
        <v>pomorskie_gdański</v>
      </c>
      <c r="D1660" t="s">
        <v>3818</v>
      </c>
      <c r="E1660" t="str">
        <f t="shared" si="51"/>
        <v>pomorskie_gdański_Pszczółki</v>
      </c>
      <c r="F1660" t="s">
        <v>1621</v>
      </c>
    </row>
    <row r="1661" spans="1:6" x14ac:dyDescent="0.3">
      <c r="A1661" t="s">
        <v>5394</v>
      </c>
      <c r="B1661" t="s">
        <v>5000</v>
      </c>
      <c r="C1661" t="str">
        <f t="shared" si="50"/>
        <v>pomorskie_gdański</v>
      </c>
      <c r="D1661" t="s">
        <v>3819</v>
      </c>
      <c r="E1661" t="str">
        <f t="shared" si="51"/>
        <v>pomorskie_gdański_Suchy Dąb</v>
      </c>
      <c r="F1661" t="s">
        <v>1622</v>
      </c>
    </row>
    <row r="1662" spans="1:6" x14ac:dyDescent="0.3">
      <c r="A1662" t="s">
        <v>5394</v>
      </c>
      <c r="B1662" t="s">
        <v>5000</v>
      </c>
      <c r="C1662" t="str">
        <f t="shared" si="50"/>
        <v>pomorskie_gdański</v>
      </c>
      <c r="D1662" t="s">
        <v>3820</v>
      </c>
      <c r="E1662" t="str">
        <f t="shared" si="51"/>
        <v>pomorskie_gdański_Trąbki Wielkie</v>
      </c>
      <c r="F1662" t="s">
        <v>1623</v>
      </c>
    </row>
    <row r="1663" spans="1:6" x14ac:dyDescent="0.3">
      <c r="A1663" t="s">
        <v>5394</v>
      </c>
      <c r="B1663" t="s">
        <v>5000</v>
      </c>
      <c r="C1663" t="str">
        <f t="shared" si="50"/>
        <v>pomorskie_gdański</v>
      </c>
      <c r="D1663" t="s">
        <v>4704</v>
      </c>
      <c r="E1663" t="str">
        <f t="shared" si="51"/>
        <v>pomorskie_gdański_Pruszcz Gdański (gm. miejska)</v>
      </c>
      <c r="F1663" t="s">
        <v>1616</v>
      </c>
    </row>
    <row r="1664" spans="1:6" x14ac:dyDescent="0.3">
      <c r="A1664" t="s">
        <v>5394</v>
      </c>
      <c r="B1664" t="s">
        <v>5000</v>
      </c>
      <c r="C1664" t="str">
        <f t="shared" si="50"/>
        <v>pomorskie_gdański</v>
      </c>
      <c r="D1664" t="s">
        <v>4705</v>
      </c>
      <c r="E1664" t="str">
        <f t="shared" si="51"/>
        <v>pomorskie_gdański_Pruszcz Gdański (gm. wiejska)</v>
      </c>
      <c r="F1664" t="s">
        <v>1619</v>
      </c>
    </row>
    <row r="1665" spans="1:6" x14ac:dyDescent="0.3">
      <c r="A1665" t="s">
        <v>5394</v>
      </c>
      <c r="B1665" t="s">
        <v>3891</v>
      </c>
      <c r="C1665" t="str">
        <f t="shared" ref="C1665:C1728" si="52">CONCATENATE(A1665,"_",B1665)</f>
        <v>pomorskie_Gdynia</v>
      </c>
      <c r="D1665" t="s">
        <v>3891</v>
      </c>
      <c r="E1665" t="str">
        <f t="shared" ref="E1665:E1728" si="53">C1665&amp;"_"&amp;D1665</f>
        <v>pomorskie_Gdynia_Gdynia</v>
      </c>
      <c r="F1665" t="s">
        <v>1711</v>
      </c>
    </row>
    <row r="1666" spans="1:6" x14ac:dyDescent="0.3">
      <c r="A1666" t="s">
        <v>5394</v>
      </c>
      <c r="B1666" t="s">
        <v>5001</v>
      </c>
      <c r="C1666" t="str">
        <f t="shared" si="52"/>
        <v>pomorskie_kartuski</v>
      </c>
      <c r="D1666" t="s">
        <v>3821</v>
      </c>
      <c r="E1666" t="str">
        <f t="shared" si="53"/>
        <v>pomorskie_kartuski_Chmielno</v>
      </c>
      <c r="F1666" t="s">
        <v>1624</v>
      </c>
    </row>
    <row r="1667" spans="1:6" x14ac:dyDescent="0.3">
      <c r="A1667" t="s">
        <v>5394</v>
      </c>
      <c r="B1667" t="s">
        <v>5001</v>
      </c>
      <c r="C1667" t="str">
        <f t="shared" si="52"/>
        <v>pomorskie_kartuski</v>
      </c>
      <c r="D1667" t="s">
        <v>3822</v>
      </c>
      <c r="E1667" t="str">
        <f t="shared" si="53"/>
        <v>pomorskie_kartuski_Kartuzy</v>
      </c>
      <c r="F1667" t="s">
        <v>1625</v>
      </c>
    </row>
    <row r="1668" spans="1:6" x14ac:dyDescent="0.3">
      <c r="A1668" t="s">
        <v>5394</v>
      </c>
      <c r="B1668" t="s">
        <v>5001</v>
      </c>
      <c r="C1668" t="str">
        <f t="shared" si="52"/>
        <v>pomorskie_kartuski</v>
      </c>
      <c r="D1668" t="s">
        <v>3823</v>
      </c>
      <c r="E1668" t="str">
        <f t="shared" si="53"/>
        <v>pomorskie_kartuski_Przodkowo</v>
      </c>
      <c r="F1668" t="s">
        <v>1626</v>
      </c>
    </row>
    <row r="1669" spans="1:6" x14ac:dyDescent="0.3">
      <c r="A1669" t="s">
        <v>5394</v>
      </c>
      <c r="B1669" t="s">
        <v>5001</v>
      </c>
      <c r="C1669" t="str">
        <f t="shared" si="52"/>
        <v>pomorskie_kartuski</v>
      </c>
      <c r="D1669" t="s">
        <v>3824</v>
      </c>
      <c r="E1669" t="str">
        <f t="shared" si="53"/>
        <v>pomorskie_kartuski_Sierakowice</v>
      </c>
      <c r="F1669" t="s">
        <v>1627</v>
      </c>
    </row>
    <row r="1670" spans="1:6" x14ac:dyDescent="0.3">
      <c r="A1670" t="s">
        <v>5394</v>
      </c>
      <c r="B1670" t="s">
        <v>5001</v>
      </c>
      <c r="C1670" t="str">
        <f t="shared" si="52"/>
        <v>pomorskie_kartuski</v>
      </c>
      <c r="D1670" t="s">
        <v>3825</v>
      </c>
      <c r="E1670" t="str">
        <f t="shared" si="53"/>
        <v>pomorskie_kartuski_Somonino</v>
      </c>
      <c r="F1670" t="s">
        <v>1628</v>
      </c>
    </row>
    <row r="1671" spans="1:6" x14ac:dyDescent="0.3">
      <c r="A1671" t="s">
        <v>5394</v>
      </c>
      <c r="B1671" t="s">
        <v>5001</v>
      </c>
      <c r="C1671" t="str">
        <f t="shared" si="52"/>
        <v>pomorskie_kartuski</v>
      </c>
      <c r="D1671" t="s">
        <v>2819</v>
      </c>
      <c r="E1671" t="str">
        <f t="shared" si="53"/>
        <v>pomorskie_kartuski_Stężyca</v>
      </c>
      <c r="F1671" t="s">
        <v>1629</v>
      </c>
    </row>
    <row r="1672" spans="1:6" x14ac:dyDescent="0.3">
      <c r="A1672" t="s">
        <v>5394</v>
      </c>
      <c r="B1672" t="s">
        <v>5001</v>
      </c>
      <c r="C1672" t="str">
        <f t="shared" si="52"/>
        <v>pomorskie_kartuski</v>
      </c>
      <c r="D1672" t="s">
        <v>3826</v>
      </c>
      <c r="E1672" t="str">
        <f t="shared" si="53"/>
        <v>pomorskie_kartuski_Sulęczyno</v>
      </c>
      <c r="F1672" t="s">
        <v>1630</v>
      </c>
    </row>
    <row r="1673" spans="1:6" x14ac:dyDescent="0.3">
      <c r="A1673" t="s">
        <v>5394</v>
      </c>
      <c r="B1673" t="s">
        <v>5001</v>
      </c>
      <c r="C1673" t="str">
        <f t="shared" si="52"/>
        <v>pomorskie_kartuski</v>
      </c>
      <c r="D1673" t="s">
        <v>3827</v>
      </c>
      <c r="E1673" t="str">
        <f t="shared" si="53"/>
        <v>pomorskie_kartuski_Żukowo</v>
      </c>
      <c r="F1673" t="s">
        <v>1631</v>
      </c>
    </row>
    <row r="1674" spans="1:6" x14ac:dyDescent="0.3">
      <c r="A1674" t="s">
        <v>5394</v>
      </c>
      <c r="B1674" t="s">
        <v>5002</v>
      </c>
      <c r="C1674" t="str">
        <f t="shared" si="52"/>
        <v>pomorskie_kościerski</v>
      </c>
      <c r="D1674" t="s">
        <v>3828</v>
      </c>
      <c r="E1674" t="str">
        <f t="shared" si="53"/>
        <v>pomorskie_kościerski_Dziemiany</v>
      </c>
      <c r="F1674" t="s">
        <v>1633</v>
      </c>
    </row>
    <row r="1675" spans="1:6" x14ac:dyDescent="0.3">
      <c r="A1675" t="s">
        <v>5394</v>
      </c>
      <c r="B1675" t="s">
        <v>5002</v>
      </c>
      <c r="C1675" t="str">
        <f t="shared" si="52"/>
        <v>pomorskie_kościerski</v>
      </c>
      <c r="D1675" t="s">
        <v>3829</v>
      </c>
      <c r="E1675" t="str">
        <f t="shared" si="53"/>
        <v>pomorskie_kościerski_Karsin</v>
      </c>
      <c r="F1675" t="s">
        <v>1634</v>
      </c>
    </row>
    <row r="1676" spans="1:6" x14ac:dyDescent="0.3">
      <c r="A1676" t="s">
        <v>5394</v>
      </c>
      <c r="B1676" t="s">
        <v>5002</v>
      </c>
      <c r="C1676" t="str">
        <f t="shared" si="52"/>
        <v>pomorskie_kościerski</v>
      </c>
      <c r="D1676" t="s">
        <v>3830</v>
      </c>
      <c r="E1676" t="str">
        <f t="shared" si="53"/>
        <v>pomorskie_kościerski_Liniewo</v>
      </c>
      <c r="F1676" t="s">
        <v>1636</v>
      </c>
    </row>
    <row r="1677" spans="1:6" x14ac:dyDescent="0.3">
      <c r="A1677" t="s">
        <v>5394</v>
      </c>
      <c r="B1677" t="s">
        <v>5002</v>
      </c>
      <c r="C1677" t="str">
        <f t="shared" si="52"/>
        <v>pomorskie_kościerski</v>
      </c>
      <c r="D1677" t="s">
        <v>3831</v>
      </c>
      <c r="E1677" t="str">
        <f t="shared" si="53"/>
        <v>pomorskie_kościerski_Lipusz</v>
      </c>
      <c r="F1677" t="s">
        <v>1637</v>
      </c>
    </row>
    <row r="1678" spans="1:6" x14ac:dyDescent="0.3">
      <c r="A1678" t="s">
        <v>5394</v>
      </c>
      <c r="B1678" t="s">
        <v>5002</v>
      </c>
      <c r="C1678" t="str">
        <f t="shared" si="52"/>
        <v>pomorskie_kościerski</v>
      </c>
      <c r="D1678" t="s">
        <v>3832</v>
      </c>
      <c r="E1678" t="str">
        <f t="shared" si="53"/>
        <v>pomorskie_kościerski_Nowa Karczma</v>
      </c>
      <c r="F1678" t="s">
        <v>1638</v>
      </c>
    </row>
    <row r="1679" spans="1:6" x14ac:dyDescent="0.3">
      <c r="A1679" t="s">
        <v>5394</v>
      </c>
      <c r="B1679" t="s">
        <v>5002</v>
      </c>
      <c r="C1679" t="str">
        <f t="shared" si="52"/>
        <v>pomorskie_kościerski</v>
      </c>
      <c r="D1679" t="s">
        <v>3833</v>
      </c>
      <c r="E1679" t="str">
        <f t="shared" si="53"/>
        <v>pomorskie_kościerski_Stara Kiszewa</v>
      </c>
      <c r="F1679" t="s">
        <v>1639</v>
      </c>
    </row>
    <row r="1680" spans="1:6" x14ac:dyDescent="0.3">
      <c r="A1680" t="s">
        <v>5394</v>
      </c>
      <c r="B1680" t="s">
        <v>5002</v>
      </c>
      <c r="C1680" t="str">
        <f t="shared" si="52"/>
        <v>pomorskie_kościerski</v>
      </c>
      <c r="D1680" t="s">
        <v>4706</v>
      </c>
      <c r="E1680" t="str">
        <f t="shared" si="53"/>
        <v>pomorskie_kościerski_Kościerzyna (gm. miejska)</v>
      </c>
      <c r="F1680" t="s">
        <v>1632</v>
      </c>
    </row>
    <row r="1681" spans="1:6" x14ac:dyDescent="0.3">
      <c r="A1681" t="s">
        <v>5394</v>
      </c>
      <c r="B1681" t="s">
        <v>5002</v>
      </c>
      <c r="C1681" t="str">
        <f t="shared" si="52"/>
        <v>pomorskie_kościerski</v>
      </c>
      <c r="D1681" t="s">
        <v>4707</v>
      </c>
      <c r="E1681" t="str">
        <f t="shared" si="53"/>
        <v>pomorskie_kościerski_Kościerzyna (gm. wiejska)</v>
      </c>
      <c r="F1681" t="s">
        <v>1635</v>
      </c>
    </row>
    <row r="1682" spans="1:6" x14ac:dyDescent="0.3">
      <c r="A1682" t="s">
        <v>5394</v>
      </c>
      <c r="B1682" t="s">
        <v>5003</v>
      </c>
      <c r="C1682" t="str">
        <f t="shared" si="52"/>
        <v>pomorskie_kwidzyński</v>
      </c>
      <c r="D1682" t="s">
        <v>3834</v>
      </c>
      <c r="E1682" t="str">
        <f t="shared" si="53"/>
        <v>pomorskie_kwidzyński_Gardeja</v>
      </c>
      <c r="F1682" t="s">
        <v>1641</v>
      </c>
    </row>
    <row r="1683" spans="1:6" x14ac:dyDescent="0.3">
      <c r="A1683" t="s">
        <v>5394</v>
      </c>
      <c r="B1683" t="s">
        <v>5003</v>
      </c>
      <c r="C1683" t="str">
        <f t="shared" si="52"/>
        <v>pomorskie_kwidzyński</v>
      </c>
      <c r="D1683" t="s">
        <v>3835</v>
      </c>
      <c r="E1683" t="str">
        <f t="shared" si="53"/>
        <v>pomorskie_kwidzyński_Prabuty</v>
      </c>
      <c r="F1683" t="s">
        <v>1643</v>
      </c>
    </row>
    <row r="1684" spans="1:6" x14ac:dyDescent="0.3">
      <c r="A1684" t="s">
        <v>5394</v>
      </c>
      <c r="B1684" t="s">
        <v>5003</v>
      </c>
      <c r="C1684" t="str">
        <f t="shared" si="52"/>
        <v>pomorskie_kwidzyński</v>
      </c>
      <c r="D1684" t="s">
        <v>3836</v>
      </c>
      <c r="E1684" t="str">
        <f t="shared" si="53"/>
        <v>pomorskie_kwidzyński_Ryjewo</v>
      </c>
      <c r="F1684" t="s">
        <v>1644</v>
      </c>
    </row>
    <row r="1685" spans="1:6" x14ac:dyDescent="0.3">
      <c r="A1685" t="s">
        <v>5394</v>
      </c>
      <c r="B1685" t="s">
        <v>5003</v>
      </c>
      <c r="C1685" t="str">
        <f t="shared" si="52"/>
        <v>pomorskie_kwidzyński</v>
      </c>
      <c r="D1685" t="s">
        <v>3837</v>
      </c>
      <c r="E1685" t="str">
        <f t="shared" si="53"/>
        <v>pomorskie_kwidzyński_Sadlinki</v>
      </c>
      <c r="F1685" t="s">
        <v>1645</v>
      </c>
    </row>
    <row r="1686" spans="1:6" x14ac:dyDescent="0.3">
      <c r="A1686" t="s">
        <v>5394</v>
      </c>
      <c r="B1686" t="s">
        <v>5003</v>
      </c>
      <c r="C1686" t="str">
        <f t="shared" si="52"/>
        <v>pomorskie_kwidzyński</v>
      </c>
      <c r="D1686" t="s">
        <v>4708</v>
      </c>
      <c r="E1686" t="str">
        <f t="shared" si="53"/>
        <v>pomorskie_kwidzyński_Kwidzyn (gm. miejska)</v>
      </c>
      <c r="F1686" t="s">
        <v>1640</v>
      </c>
    </row>
    <row r="1687" spans="1:6" x14ac:dyDescent="0.3">
      <c r="A1687" t="s">
        <v>5394</v>
      </c>
      <c r="B1687" t="s">
        <v>5003</v>
      </c>
      <c r="C1687" t="str">
        <f t="shared" si="52"/>
        <v>pomorskie_kwidzyński</v>
      </c>
      <c r="D1687" t="s">
        <v>4709</v>
      </c>
      <c r="E1687" t="str">
        <f t="shared" si="53"/>
        <v>pomorskie_kwidzyński_Kwidzyn (gm. wiejska)</v>
      </c>
      <c r="F1687" t="s">
        <v>1642</v>
      </c>
    </row>
    <row r="1688" spans="1:6" x14ac:dyDescent="0.3">
      <c r="A1688" t="s">
        <v>5394</v>
      </c>
      <c r="B1688" t="s">
        <v>5004</v>
      </c>
      <c r="C1688" t="str">
        <f t="shared" si="52"/>
        <v>pomorskie_lęborski</v>
      </c>
      <c r="D1688" t="s">
        <v>3840</v>
      </c>
      <c r="E1688" t="str">
        <f t="shared" si="53"/>
        <v>pomorskie_lęborski_Cewice</v>
      </c>
      <c r="F1688" t="s">
        <v>1648</v>
      </c>
    </row>
    <row r="1689" spans="1:6" x14ac:dyDescent="0.3">
      <c r="A1689" t="s">
        <v>5394</v>
      </c>
      <c r="B1689" t="s">
        <v>5004</v>
      </c>
      <c r="C1689" t="str">
        <f t="shared" si="52"/>
        <v>pomorskie_lęborski</v>
      </c>
      <c r="D1689" t="s">
        <v>3838</v>
      </c>
      <c r="E1689" t="str">
        <f t="shared" si="53"/>
        <v>pomorskie_lęborski_Lębork</v>
      </c>
      <c r="F1689" t="s">
        <v>1646</v>
      </c>
    </row>
    <row r="1690" spans="1:6" x14ac:dyDescent="0.3">
      <c r="A1690" t="s">
        <v>5394</v>
      </c>
      <c r="B1690" t="s">
        <v>5004</v>
      </c>
      <c r="C1690" t="str">
        <f t="shared" si="52"/>
        <v>pomorskie_lęborski</v>
      </c>
      <c r="D1690" t="s">
        <v>3839</v>
      </c>
      <c r="E1690" t="str">
        <f t="shared" si="53"/>
        <v>pomorskie_lęborski_Łeba</v>
      </c>
      <c r="F1690" t="s">
        <v>1647</v>
      </c>
    </row>
    <row r="1691" spans="1:6" x14ac:dyDescent="0.3">
      <c r="A1691" t="s">
        <v>5394</v>
      </c>
      <c r="B1691" t="s">
        <v>5004</v>
      </c>
      <c r="C1691" t="str">
        <f t="shared" si="52"/>
        <v>pomorskie_lęborski</v>
      </c>
      <c r="D1691" t="s">
        <v>3841</v>
      </c>
      <c r="E1691" t="str">
        <f t="shared" si="53"/>
        <v>pomorskie_lęborski_Nowa Wieś Lęborska</v>
      </c>
      <c r="F1691" t="s">
        <v>1649</v>
      </c>
    </row>
    <row r="1692" spans="1:6" x14ac:dyDescent="0.3">
      <c r="A1692" t="s">
        <v>5394</v>
      </c>
      <c r="B1692" t="s">
        <v>5004</v>
      </c>
      <c r="C1692" t="str">
        <f t="shared" si="52"/>
        <v>pomorskie_lęborski</v>
      </c>
      <c r="D1692" t="s">
        <v>3842</v>
      </c>
      <c r="E1692" t="str">
        <f t="shared" si="53"/>
        <v>pomorskie_lęborski_Wicko</v>
      </c>
      <c r="F1692" t="s">
        <v>1650</v>
      </c>
    </row>
    <row r="1693" spans="1:6" x14ac:dyDescent="0.3">
      <c r="A1693" t="s">
        <v>5394</v>
      </c>
      <c r="B1693" t="s">
        <v>5005</v>
      </c>
      <c r="C1693" t="str">
        <f t="shared" si="52"/>
        <v>pomorskie_malborski</v>
      </c>
      <c r="D1693" t="s">
        <v>3843</v>
      </c>
      <c r="E1693" t="str">
        <f t="shared" si="53"/>
        <v>pomorskie_malborski_Lichnowy</v>
      </c>
      <c r="F1693" t="s">
        <v>1652</v>
      </c>
    </row>
    <row r="1694" spans="1:6" x14ac:dyDescent="0.3">
      <c r="A1694" t="s">
        <v>5394</v>
      </c>
      <c r="B1694" t="s">
        <v>5005</v>
      </c>
      <c r="C1694" t="str">
        <f t="shared" si="52"/>
        <v>pomorskie_malborski</v>
      </c>
      <c r="D1694" t="s">
        <v>3844</v>
      </c>
      <c r="E1694" t="str">
        <f t="shared" si="53"/>
        <v>pomorskie_malborski_Miłoradz</v>
      </c>
      <c r="F1694" t="s">
        <v>1654</v>
      </c>
    </row>
    <row r="1695" spans="1:6" x14ac:dyDescent="0.3">
      <c r="A1695" t="s">
        <v>5394</v>
      </c>
      <c r="B1695" t="s">
        <v>5005</v>
      </c>
      <c r="C1695" t="str">
        <f t="shared" si="52"/>
        <v>pomorskie_malborski</v>
      </c>
      <c r="D1695" t="s">
        <v>3845</v>
      </c>
      <c r="E1695" t="str">
        <f t="shared" si="53"/>
        <v>pomorskie_malborski_Nowy Staw</v>
      </c>
      <c r="F1695" t="s">
        <v>1655</v>
      </c>
    </row>
    <row r="1696" spans="1:6" x14ac:dyDescent="0.3">
      <c r="A1696" t="s">
        <v>5394</v>
      </c>
      <c r="B1696" t="s">
        <v>5005</v>
      </c>
      <c r="C1696" t="str">
        <f t="shared" si="52"/>
        <v>pomorskie_malborski</v>
      </c>
      <c r="D1696" t="s">
        <v>3846</v>
      </c>
      <c r="E1696" t="str">
        <f t="shared" si="53"/>
        <v>pomorskie_malborski_Stare Pole</v>
      </c>
      <c r="F1696" t="s">
        <v>1656</v>
      </c>
    </row>
    <row r="1697" spans="1:6" x14ac:dyDescent="0.3">
      <c r="A1697" t="s">
        <v>5394</v>
      </c>
      <c r="B1697" t="s">
        <v>5005</v>
      </c>
      <c r="C1697" t="str">
        <f t="shared" si="52"/>
        <v>pomorskie_malborski</v>
      </c>
      <c r="D1697" t="s">
        <v>4710</v>
      </c>
      <c r="E1697" t="str">
        <f t="shared" si="53"/>
        <v>pomorskie_malborski_Malbork (gm. miejska)</v>
      </c>
      <c r="F1697" t="s">
        <v>1651</v>
      </c>
    </row>
    <row r="1698" spans="1:6" x14ac:dyDescent="0.3">
      <c r="A1698" t="s">
        <v>5394</v>
      </c>
      <c r="B1698" t="s">
        <v>5005</v>
      </c>
      <c r="C1698" t="str">
        <f t="shared" si="52"/>
        <v>pomorskie_malborski</v>
      </c>
      <c r="D1698" t="s">
        <v>4711</v>
      </c>
      <c r="E1698" t="str">
        <f t="shared" si="53"/>
        <v>pomorskie_malborski_Malbork (gm. wiejska)</v>
      </c>
      <c r="F1698" t="s">
        <v>1653</v>
      </c>
    </row>
    <row r="1699" spans="1:6" x14ac:dyDescent="0.3">
      <c r="A1699" t="s">
        <v>5394</v>
      </c>
      <c r="B1699" t="s">
        <v>4931</v>
      </c>
      <c r="C1699" t="str">
        <f t="shared" si="52"/>
        <v>pomorskie_nowodworski</v>
      </c>
      <c r="D1699" t="s">
        <v>3847</v>
      </c>
      <c r="E1699" t="str">
        <f t="shared" si="53"/>
        <v>pomorskie_nowodworski_Krynica Morska</v>
      </c>
      <c r="F1699" t="s">
        <v>1657</v>
      </c>
    </row>
    <row r="1700" spans="1:6" x14ac:dyDescent="0.3">
      <c r="A1700" t="s">
        <v>5394</v>
      </c>
      <c r="B1700" t="s">
        <v>4931</v>
      </c>
      <c r="C1700" t="str">
        <f t="shared" si="52"/>
        <v>pomorskie_nowodworski</v>
      </c>
      <c r="D1700" t="s">
        <v>3848</v>
      </c>
      <c r="E1700" t="str">
        <f t="shared" si="53"/>
        <v>pomorskie_nowodworski_Nowy Dwór Gdański</v>
      </c>
      <c r="F1700" t="s">
        <v>1658</v>
      </c>
    </row>
    <row r="1701" spans="1:6" x14ac:dyDescent="0.3">
      <c r="A1701" t="s">
        <v>5394</v>
      </c>
      <c r="B1701" t="s">
        <v>4931</v>
      </c>
      <c r="C1701" t="str">
        <f t="shared" si="52"/>
        <v>pomorskie_nowodworski</v>
      </c>
      <c r="D1701" t="s">
        <v>3849</v>
      </c>
      <c r="E1701" t="str">
        <f t="shared" si="53"/>
        <v>pomorskie_nowodworski_Ostaszewo</v>
      </c>
      <c r="F1701" t="s">
        <v>1659</v>
      </c>
    </row>
    <row r="1702" spans="1:6" x14ac:dyDescent="0.3">
      <c r="A1702" t="s">
        <v>5394</v>
      </c>
      <c r="B1702" t="s">
        <v>4931</v>
      </c>
      <c r="C1702" t="str">
        <f t="shared" si="52"/>
        <v>pomorskie_nowodworski</v>
      </c>
      <c r="D1702" t="s">
        <v>3850</v>
      </c>
      <c r="E1702" t="str">
        <f t="shared" si="53"/>
        <v>pomorskie_nowodworski_Stegna</v>
      </c>
      <c r="F1702" t="s">
        <v>1660</v>
      </c>
    </row>
    <row r="1703" spans="1:6" x14ac:dyDescent="0.3">
      <c r="A1703" t="s">
        <v>5394</v>
      </c>
      <c r="B1703" t="s">
        <v>4931</v>
      </c>
      <c r="C1703" t="str">
        <f t="shared" si="52"/>
        <v>pomorskie_nowodworski</v>
      </c>
      <c r="D1703" t="s">
        <v>3851</v>
      </c>
      <c r="E1703" t="str">
        <f t="shared" si="53"/>
        <v>pomorskie_nowodworski_Sztutowo</v>
      </c>
      <c r="F1703" t="s">
        <v>1661</v>
      </c>
    </row>
    <row r="1704" spans="1:6" x14ac:dyDescent="0.3">
      <c r="A1704" t="s">
        <v>5394</v>
      </c>
      <c r="B1704" t="s">
        <v>5006</v>
      </c>
      <c r="C1704" t="str">
        <f t="shared" si="52"/>
        <v>pomorskie_pucki</v>
      </c>
      <c r="D1704" t="s">
        <v>3852</v>
      </c>
      <c r="E1704" t="str">
        <f t="shared" si="53"/>
        <v>pomorskie_pucki_Hel</v>
      </c>
      <c r="F1704" t="s">
        <v>1662</v>
      </c>
    </row>
    <row r="1705" spans="1:6" x14ac:dyDescent="0.3">
      <c r="A1705" t="s">
        <v>5394</v>
      </c>
      <c r="B1705" t="s">
        <v>5006</v>
      </c>
      <c r="C1705" t="str">
        <f t="shared" si="52"/>
        <v>pomorskie_pucki</v>
      </c>
      <c r="D1705" t="s">
        <v>3853</v>
      </c>
      <c r="E1705" t="str">
        <f t="shared" si="53"/>
        <v>pomorskie_pucki_Jastarnia</v>
      </c>
      <c r="F1705" t="s">
        <v>5405</v>
      </c>
    </row>
    <row r="1706" spans="1:6" x14ac:dyDescent="0.3">
      <c r="A1706" t="s">
        <v>5394</v>
      </c>
      <c r="B1706" t="s">
        <v>5006</v>
      </c>
      <c r="C1706" t="str">
        <f t="shared" si="52"/>
        <v>pomorskie_pucki</v>
      </c>
      <c r="D1706" t="s">
        <v>3855</v>
      </c>
      <c r="E1706" t="str">
        <f t="shared" si="53"/>
        <v>pomorskie_pucki_Kosakowo</v>
      </c>
      <c r="F1706" t="s">
        <v>1664</v>
      </c>
    </row>
    <row r="1707" spans="1:6" x14ac:dyDescent="0.3">
      <c r="A1707" t="s">
        <v>5394</v>
      </c>
      <c r="B1707" t="s">
        <v>5006</v>
      </c>
      <c r="C1707" t="str">
        <f t="shared" si="52"/>
        <v>pomorskie_pucki</v>
      </c>
      <c r="D1707" t="s">
        <v>3856</v>
      </c>
      <c r="E1707" t="str">
        <f t="shared" si="53"/>
        <v>pomorskie_pucki_Krokowa</v>
      </c>
      <c r="F1707" t="s">
        <v>1665</v>
      </c>
    </row>
    <row r="1708" spans="1:6" x14ac:dyDescent="0.3">
      <c r="A1708" t="s">
        <v>5394</v>
      </c>
      <c r="B1708" t="s">
        <v>5006</v>
      </c>
      <c r="C1708" t="str">
        <f t="shared" si="52"/>
        <v>pomorskie_pucki</v>
      </c>
      <c r="D1708" t="s">
        <v>3854</v>
      </c>
      <c r="E1708" t="str">
        <f t="shared" si="53"/>
        <v>pomorskie_pucki_Władysławowo</v>
      </c>
      <c r="F1708" t="s">
        <v>5452</v>
      </c>
    </row>
    <row r="1709" spans="1:6" x14ac:dyDescent="0.3">
      <c r="A1709" t="s">
        <v>5394</v>
      </c>
      <c r="B1709" t="s">
        <v>5006</v>
      </c>
      <c r="C1709" t="str">
        <f t="shared" si="52"/>
        <v>pomorskie_pucki</v>
      </c>
      <c r="D1709" t="s">
        <v>4712</v>
      </c>
      <c r="E1709" t="str">
        <f t="shared" si="53"/>
        <v>pomorskie_pucki_Puck (gm. miejska)</v>
      </c>
      <c r="F1709" t="s">
        <v>1663</v>
      </c>
    </row>
    <row r="1710" spans="1:6" x14ac:dyDescent="0.3">
      <c r="A1710" t="s">
        <v>5394</v>
      </c>
      <c r="B1710" t="s">
        <v>5006</v>
      </c>
      <c r="C1710" t="str">
        <f t="shared" si="52"/>
        <v>pomorskie_pucki</v>
      </c>
      <c r="D1710" t="s">
        <v>4713</v>
      </c>
      <c r="E1710" t="str">
        <f t="shared" si="53"/>
        <v>pomorskie_pucki_Puck (gm. wiejska)</v>
      </c>
      <c r="F1710" t="s">
        <v>1666</v>
      </c>
    </row>
    <row r="1711" spans="1:6" x14ac:dyDescent="0.3">
      <c r="A1711" t="s">
        <v>5394</v>
      </c>
      <c r="B1711" t="s">
        <v>3863</v>
      </c>
      <c r="C1711" t="str">
        <f t="shared" si="52"/>
        <v>pomorskie_Słupsk</v>
      </c>
      <c r="D1711" t="s">
        <v>3863</v>
      </c>
      <c r="E1711" t="str">
        <f t="shared" si="53"/>
        <v>pomorskie_Słupsk_Słupsk</v>
      </c>
      <c r="F1711" t="s">
        <v>1712</v>
      </c>
    </row>
    <row r="1712" spans="1:6" x14ac:dyDescent="0.3">
      <c r="A1712" t="s">
        <v>5394</v>
      </c>
      <c r="B1712" t="s">
        <v>5007</v>
      </c>
      <c r="C1712" t="str">
        <f t="shared" si="52"/>
        <v>pomorskie_słupski</v>
      </c>
      <c r="D1712" t="s">
        <v>3857</v>
      </c>
      <c r="E1712" t="str">
        <f t="shared" si="53"/>
        <v>pomorskie_słupski_Damnica</v>
      </c>
      <c r="F1712" t="s">
        <v>1668</v>
      </c>
    </row>
    <row r="1713" spans="1:6" x14ac:dyDescent="0.3">
      <c r="A1713" t="s">
        <v>5394</v>
      </c>
      <c r="B1713" t="s">
        <v>5007</v>
      </c>
      <c r="C1713" t="str">
        <f t="shared" si="52"/>
        <v>pomorskie_słupski</v>
      </c>
      <c r="D1713" t="s">
        <v>3858</v>
      </c>
      <c r="E1713" t="str">
        <f t="shared" si="53"/>
        <v>pomorskie_słupski_Dębnica Kaszubska</v>
      </c>
      <c r="F1713" t="s">
        <v>1669</v>
      </c>
    </row>
    <row r="1714" spans="1:6" x14ac:dyDescent="0.3">
      <c r="A1714" t="s">
        <v>5394</v>
      </c>
      <c r="B1714" t="s">
        <v>5007</v>
      </c>
      <c r="C1714" t="str">
        <f t="shared" si="52"/>
        <v>pomorskie_słupski</v>
      </c>
      <c r="D1714" t="s">
        <v>3859</v>
      </c>
      <c r="E1714" t="str">
        <f t="shared" si="53"/>
        <v>pomorskie_słupski_Główczyce</v>
      </c>
      <c r="F1714" t="s">
        <v>1670</v>
      </c>
    </row>
    <row r="1715" spans="1:6" x14ac:dyDescent="0.3">
      <c r="A1715" t="s">
        <v>5394</v>
      </c>
      <c r="B1715" t="s">
        <v>5007</v>
      </c>
      <c r="C1715" t="str">
        <f t="shared" si="52"/>
        <v>pomorskie_słupski</v>
      </c>
      <c r="D1715" t="s">
        <v>3860</v>
      </c>
      <c r="E1715" t="str">
        <f t="shared" si="53"/>
        <v>pomorskie_słupski_Kępice</v>
      </c>
      <c r="F1715" t="s">
        <v>1671</v>
      </c>
    </row>
    <row r="1716" spans="1:6" x14ac:dyDescent="0.3">
      <c r="A1716" t="s">
        <v>5394</v>
      </c>
      <c r="B1716" t="s">
        <v>5007</v>
      </c>
      <c r="C1716" t="str">
        <f t="shared" si="52"/>
        <v>pomorskie_słupski</v>
      </c>
      <c r="D1716" t="s">
        <v>3861</v>
      </c>
      <c r="E1716" t="str">
        <f t="shared" si="53"/>
        <v>pomorskie_słupski_Kobylnica</v>
      </c>
      <c r="F1716" t="s">
        <v>5523</v>
      </c>
    </row>
    <row r="1717" spans="1:6" x14ac:dyDescent="0.3">
      <c r="A1717" t="s">
        <v>5394</v>
      </c>
      <c r="B1717" t="s">
        <v>5007</v>
      </c>
      <c r="C1717" t="str">
        <f t="shared" si="52"/>
        <v>pomorskie_słupski</v>
      </c>
      <c r="D1717" t="s">
        <v>3862</v>
      </c>
      <c r="E1717" t="str">
        <f t="shared" si="53"/>
        <v>pomorskie_słupski_Potęgowo</v>
      </c>
      <c r="F1717" t="s">
        <v>1673</v>
      </c>
    </row>
    <row r="1718" spans="1:6" x14ac:dyDescent="0.3">
      <c r="A1718" t="s">
        <v>5394</v>
      </c>
      <c r="B1718" t="s">
        <v>5007</v>
      </c>
      <c r="C1718" t="str">
        <f t="shared" si="52"/>
        <v>pomorskie_słupski</v>
      </c>
      <c r="D1718" t="s">
        <v>5540</v>
      </c>
      <c r="E1718" t="str">
        <f t="shared" si="53"/>
        <v>pomorskie_słupski_Redzikowo</v>
      </c>
      <c r="F1718" t="s">
        <v>1674</v>
      </c>
    </row>
    <row r="1719" spans="1:6" x14ac:dyDescent="0.3">
      <c r="A1719" t="s">
        <v>5394</v>
      </c>
      <c r="B1719" t="s">
        <v>5007</v>
      </c>
      <c r="C1719" t="str">
        <f t="shared" si="52"/>
        <v>pomorskie_słupski</v>
      </c>
      <c r="D1719" t="s">
        <v>3864</v>
      </c>
      <c r="E1719" t="str">
        <f t="shared" si="53"/>
        <v>pomorskie_słupski_Smołdzino</v>
      </c>
      <c r="F1719" t="s">
        <v>1675</v>
      </c>
    </row>
    <row r="1720" spans="1:6" x14ac:dyDescent="0.3">
      <c r="A1720" t="s">
        <v>5394</v>
      </c>
      <c r="B1720" t="s">
        <v>5007</v>
      </c>
      <c r="C1720" t="str">
        <f t="shared" si="52"/>
        <v>pomorskie_słupski</v>
      </c>
      <c r="D1720" t="s">
        <v>4714</v>
      </c>
      <c r="E1720" t="str">
        <f t="shared" si="53"/>
        <v>pomorskie_słupski_Ustka (gm. miejska)</v>
      </c>
      <c r="F1720" t="s">
        <v>1667</v>
      </c>
    </row>
    <row r="1721" spans="1:6" x14ac:dyDescent="0.3">
      <c r="A1721" t="s">
        <v>5394</v>
      </c>
      <c r="B1721" t="s">
        <v>5007</v>
      </c>
      <c r="C1721" t="str">
        <f t="shared" si="52"/>
        <v>pomorskie_słupski</v>
      </c>
      <c r="D1721" t="s">
        <v>4715</v>
      </c>
      <c r="E1721" t="str">
        <f t="shared" si="53"/>
        <v>pomorskie_słupski_Ustka (gm. wiejska)</v>
      </c>
      <c r="F1721" t="s">
        <v>1676</v>
      </c>
    </row>
    <row r="1722" spans="1:6" x14ac:dyDescent="0.3">
      <c r="A1722" t="s">
        <v>5394</v>
      </c>
      <c r="B1722" t="s">
        <v>3892</v>
      </c>
      <c r="C1722" t="str">
        <f t="shared" si="52"/>
        <v>pomorskie_Sopot</v>
      </c>
      <c r="D1722" t="s">
        <v>3892</v>
      </c>
      <c r="E1722" t="str">
        <f t="shared" si="53"/>
        <v>pomorskie_Sopot_Sopot</v>
      </c>
      <c r="F1722" t="s">
        <v>1713</v>
      </c>
    </row>
    <row r="1723" spans="1:6" x14ac:dyDescent="0.3">
      <c r="A1723" t="s">
        <v>5394</v>
      </c>
      <c r="B1723" t="s">
        <v>5008</v>
      </c>
      <c r="C1723" t="str">
        <f t="shared" si="52"/>
        <v>pomorskie_starogardzki</v>
      </c>
      <c r="D1723" t="s">
        <v>3866</v>
      </c>
      <c r="E1723" t="str">
        <f t="shared" si="53"/>
        <v>pomorskie_starogardzki_Bobowo</v>
      </c>
      <c r="F1723" t="s">
        <v>1679</v>
      </c>
    </row>
    <row r="1724" spans="1:6" x14ac:dyDescent="0.3">
      <c r="A1724" t="s">
        <v>5394</v>
      </c>
      <c r="B1724" t="s">
        <v>5008</v>
      </c>
      <c r="C1724" t="str">
        <f t="shared" si="52"/>
        <v>pomorskie_starogardzki</v>
      </c>
      <c r="D1724" t="s">
        <v>3865</v>
      </c>
      <c r="E1724" t="str">
        <f t="shared" si="53"/>
        <v>pomorskie_starogardzki_Czarna Woda</v>
      </c>
      <c r="F1724" t="s">
        <v>5177</v>
      </c>
    </row>
    <row r="1725" spans="1:6" x14ac:dyDescent="0.3">
      <c r="A1725" t="s">
        <v>5394</v>
      </c>
      <c r="B1725" t="s">
        <v>5008</v>
      </c>
      <c r="C1725" t="str">
        <f t="shared" si="52"/>
        <v>pomorskie_starogardzki</v>
      </c>
      <c r="D1725" t="s">
        <v>3867</v>
      </c>
      <c r="E1725" t="str">
        <f t="shared" si="53"/>
        <v>pomorskie_starogardzki_Kaliska</v>
      </c>
      <c r="F1725" t="s">
        <v>1680</v>
      </c>
    </row>
    <row r="1726" spans="1:6" x14ac:dyDescent="0.3">
      <c r="A1726" t="s">
        <v>5394</v>
      </c>
      <c r="B1726" t="s">
        <v>5008</v>
      </c>
      <c r="C1726" t="str">
        <f t="shared" si="52"/>
        <v>pomorskie_starogardzki</v>
      </c>
      <c r="D1726" t="s">
        <v>3868</v>
      </c>
      <c r="E1726" t="str">
        <f t="shared" si="53"/>
        <v>pomorskie_starogardzki_Lubichowo</v>
      </c>
      <c r="F1726" t="s">
        <v>1681</v>
      </c>
    </row>
    <row r="1727" spans="1:6" x14ac:dyDescent="0.3">
      <c r="A1727" t="s">
        <v>5394</v>
      </c>
      <c r="B1727" t="s">
        <v>5008</v>
      </c>
      <c r="C1727" t="str">
        <f t="shared" si="52"/>
        <v>pomorskie_starogardzki</v>
      </c>
      <c r="D1727" t="s">
        <v>3869</v>
      </c>
      <c r="E1727" t="str">
        <f t="shared" si="53"/>
        <v>pomorskie_starogardzki_Osieczna</v>
      </c>
      <c r="F1727" t="s">
        <v>1682</v>
      </c>
    </row>
    <row r="1728" spans="1:6" x14ac:dyDescent="0.3">
      <c r="A1728" t="s">
        <v>5394</v>
      </c>
      <c r="B1728" t="s">
        <v>5008</v>
      </c>
      <c r="C1728" t="str">
        <f t="shared" si="52"/>
        <v>pomorskie_starogardzki</v>
      </c>
      <c r="D1728" t="s">
        <v>2569</v>
      </c>
      <c r="E1728" t="str">
        <f t="shared" si="53"/>
        <v>pomorskie_starogardzki_Osiek</v>
      </c>
      <c r="F1728" t="s">
        <v>1683</v>
      </c>
    </row>
    <row r="1729" spans="1:6" x14ac:dyDescent="0.3">
      <c r="A1729" t="s">
        <v>5394</v>
      </c>
      <c r="B1729" t="s">
        <v>5008</v>
      </c>
      <c r="C1729" t="str">
        <f t="shared" ref="C1729:C1792" si="54">CONCATENATE(A1729,"_",B1729)</f>
        <v>pomorskie_starogardzki</v>
      </c>
      <c r="D1729" t="s">
        <v>3870</v>
      </c>
      <c r="E1729" t="str">
        <f t="shared" ref="E1729:E1792" si="55">C1729&amp;"_"&amp;D1729</f>
        <v>pomorskie_starogardzki_Skarszewy</v>
      </c>
      <c r="F1729" t="s">
        <v>1684</v>
      </c>
    </row>
    <row r="1730" spans="1:6" x14ac:dyDescent="0.3">
      <c r="A1730" t="s">
        <v>5394</v>
      </c>
      <c r="B1730" t="s">
        <v>5008</v>
      </c>
      <c r="C1730" t="str">
        <f t="shared" si="54"/>
        <v>pomorskie_starogardzki</v>
      </c>
      <c r="D1730" t="s">
        <v>3871</v>
      </c>
      <c r="E1730" t="str">
        <f t="shared" si="55"/>
        <v>pomorskie_starogardzki_Smętowo Graniczne</v>
      </c>
      <c r="F1730" t="s">
        <v>1686</v>
      </c>
    </row>
    <row r="1731" spans="1:6" x14ac:dyDescent="0.3">
      <c r="A1731" t="s">
        <v>5394</v>
      </c>
      <c r="B1731" t="s">
        <v>5008</v>
      </c>
      <c r="C1731" t="str">
        <f t="shared" si="54"/>
        <v>pomorskie_starogardzki</v>
      </c>
      <c r="D1731" t="s">
        <v>3872</v>
      </c>
      <c r="E1731" t="str">
        <f t="shared" si="55"/>
        <v>pomorskie_starogardzki_Zblewo</v>
      </c>
      <c r="F1731" t="s">
        <v>1688</v>
      </c>
    </row>
    <row r="1732" spans="1:6" x14ac:dyDescent="0.3">
      <c r="A1732" t="s">
        <v>5394</v>
      </c>
      <c r="B1732" t="s">
        <v>5008</v>
      </c>
      <c r="C1732" t="str">
        <f t="shared" si="54"/>
        <v>pomorskie_starogardzki</v>
      </c>
      <c r="D1732" t="s">
        <v>4716</v>
      </c>
      <c r="E1732" t="str">
        <f t="shared" si="55"/>
        <v>pomorskie_starogardzki_Skórcz (gm. miejska)</v>
      </c>
      <c r="F1732" t="s">
        <v>1677</v>
      </c>
    </row>
    <row r="1733" spans="1:6" x14ac:dyDescent="0.3">
      <c r="A1733" t="s">
        <v>5394</v>
      </c>
      <c r="B1733" t="s">
        <v>5008</v>
      </c>
      <c r="C1733" t="str">
        <f t="shared" si="54"/>
        <v>pomorskie_starogardzki</v>
      </c>
      <c r="D1733" t="s">
        <v>4717</v>
      </c>
      <c r="E1733" t="str">
        <f t="shared" si="55"/>
        <v>pomorskie_starogardzki_Starogard Gdański (gm. miejska)</v>
      </c>
      <c r="F1733" t="s">
        <v>1678</v>
      </c>
    </row>
    <row r="1734" spans="1:6" x14ac:dyDescent="0.3">
      <c r="A1734" t="s">
        <v>5394</v>
      </c>
      <c r="B1734" t="s">
        <v>5008</v>
      </c>
      <c r="C1734" t="str">
        <f t="shared" si="54"/>
        <v>pomorskie_starogardzki</v>
      </c>
      <c r="D1734" t="s">
        <v>4718</v>
      </c>
      <c r="E1734" t="str">
        <f t="shared" si="55"/>
        <v>pomorskie_starogardzki_Skórcz (gm. wiejska)</v>
      </c>
      <c r="F1734" t="s">
        <v>1685</v>
      </c>
    </row>
    <row r="1735" spans="1:6" x14ac:dyDescent="0.3">
      <c r="A1735" t="s">
        <v>5394</v>
      </c>
      <c r="B1735" t="s">
        <v>5008</v>
      </c>
      <c r="C1735" t="str">
        <f t="shared" si="54"/>
        <v>pomorskie_starogardzki</v>
      </c>
      <c r="D1735" t="s">
        <v>4719</v>
      </c>
      <c r="E1735" t="str">
        <f t="shared" si="55"/>
        <v>pomorskie_starogardzki_Starogard Gdański (gm. wiejska)</v>
      </c>
      <c r="F1735" t="s">
        <v>1687</v>
      </c>
    </row>
    <row r="1736" spans="1:6" x14ac:dyDescent="0.3">
      <c r="A1736" t="s">
        <v>5394</v>
      </c>
      <c r="B1736" t="s">
        <v>5011</v>
      </c>
      <c r="C1736" t="str">
        <f t="shared" si="54"/>
        <v>pomorskie_sztumski</v>
      </c>
      <c r="D1736" t="s">
        <v>3885</v>
      </c>
      <c r="E1736" t="str">
        <f t="shared" si="55"/>
        <v>pomorskie_sztumski_Dzierzgoń</v>
      </c>
      <c r="F1736" t="s">
        <v>1705</v>
      </c>
    </row>
    <row r="1737" spans="1:6" x14ac:dyDescent="0.3">
      <c r="A1737" t="s">
        <v>5394</v>
      </c>
      <c r="B1737" t="s">
        <v>5011</v>
      </c>
      <c r="C1737" t="str">
        <f t="shared" si="54"/>
        <v>pomorskie_sztumski</v>
      </c>
      <c r="D1737" t="s">
        <v>3886</v>
      </c>
      <c r="E1737" t="str">
        <f t="shared" si="55"/>
        <v>pomorskie_sztumski_Mikołajki Pomorskie</v>
      </c>
      <c r="F1737" t="s">
        <v>1706</v>
      </c>
    </row>
    <row r="1738" spans="1:6" x14ac:dyDescent="0.3">
      <c r="A1738" t="s">
        <v>5394</v>
      </c>
      <c r="B1738" t="s">
        <v>5011</v>
      </c>
      <c r="C1738" t="str">
        <f t="shared" si="54"/>
        <v>pomorskie_sztumski</v>
      </c>
      <c r="D1738" t="s">
        <v>3887</v>
      </c>
      <c r="E1738" t="str">
        <f t="shared" si="55"/>
        <v>pomorskie_sztumski_Stary Dzierzgoń</v>
      </c>
      <c r="F1738" t="s">
        <v>1707</v>
      </c>
    </row>
    <row r="1739" spans="1:6" x14ac:dyDescent="0.3">
      <c r="A1739" t="s">
        <v>5394</v>
      </c>
      <c r="B1739" t="s">
        <v>5011</v>
      </c>
      <c r="C1739" t="str">
        <f t="shared" si="54"/>
        <v>pomorskie_sztumski</v>
      </c>
      <c r="D1739" t="s">
        <v>3888</v>
      </c>
      <c r="E1739" t="str">
        <f t="shared" si="55"/>
        <v>pomorskie_sztumski_Stary Targ</v>
      </c>
      <c r="F1739" t="s">
        <v>1708</v>
      </c>
    </row>
    <row r="1740" spans="1:6" x14ac:dyDescent="0.3">
      <c r="A1740" t="s">
        <v>5394</v>
      </c>
      <c r="B1740" t="s">
        <v>5011</v>
      </c>
      <c r="C1740" t="str">
        <f t="shared" si="54"/>
        <v>pomorskie_sztumski</v>
      </c>
      <c r="D1740" t="s">
        <v>3889</v>
      </c>
      <c r="E1740" t="str">
        <f t="shared" si="55"/>
        <v>pomorskie_sztumski_Sztum</v>
      </c>
      <c r="F1740" t="s">
        <v>1709</v>
      </c>
    </row>
    <row r="1741" spans="1:6" x14ac:dyDescent="0.3">
      <c r="A1741" t="s">
        <v>5394</v>
      </c>
      <c r="B1741" t="s">
        <v>5009</v>
      </c>
      <c r="C1741" t="str">
        <f t="shared" si="54"/>
        <v>pomorskie_tczewski</v>
      </c>
      <c r="D1741" t="s">
        <v>3873</v>
      </c>
      <c r="E1741" t="str">
        <f t="shared" si="55"/>
        <v>pomorskie_tczewski_Gniew</v>
      </c>
      <c r="F1741" t="s">
        <v>1690</v>
      </c>
    </row>
    <row r="1742" spans="1:6" x14ac:dyDescent="0.3">
      <c r="A1742" t="s">
        <v>5394</v>
      </c>
      <c r="B1742" t="s">
        <v>5009</v>
      </c>
      <c r="C1742" t="str">
        <f t="shared" si="54"/>
        <v>pomorskie_tczewski</v>
      </c>
      <c r="D1742" t="s">
        <v>3874</v>
      </c>
      <c r="E1742" t="str">
        <f t="shared" si="55"/>
        <v>pomorskie_tczewski_Morzeszczyn</v>
      </c>
      <c r="F1742" t="s">
        <v>1691</v>
      </c>
    </row>
    <row r="1743" spans="1:6" x14ac:dyDescent="0.3">
      <c r="A1743" t="s">
        <v>5394</v>
      </c>
      <c r="B1743" t="s">
        <v>5009</v>
      </c>
      <c r="C1743" t="str">
        <f t="shared" si="54"/>
        <v>pomorskie_tczewski</v>
      </c>
      <c r="D1743" t="s">
        <v>3875</v>
      </c>
      <c r="E1743" t="str">
        <f t="shared" si="55"/>
        <v>pomorskie_tczewski_Pelplin</v>
      </c>
      <c r="F1743" t="s">
        <v>1692</v>
      </c>
    </row>
    <row r="1744" spans="1:6" x14ac:dyDescent="0.3">
      <c r="A1744" t="s">
        <v>5394</v>
      </c>
      <c r="B1744" t="s">
        <v>5009</v>
      </c>
      <c r="C1744" t="str">
        <f t="shared" si="54"/>
        <v>pomorskie_tczewski</v>
      </c>
      <c r="D1744" t="s">
        <v>3876</v>
      </c>
      <c r="E1744" t="str">
        <f t="shared" si="55"/>
        <v>pomorskie_tczewski_Subkowy</v>
      </c>
      <c r="F1744" t="s">
        <v>1693</v>
      </c>
    </row>
    <row r="1745" spans="1:6" x14ac:dyDescent="0.3">
      <c r="A1745" t="s">
        <v>5394</v>
      </c>
      <c r="B1745" t="s">
        <v>5009</v>
      </c>
      <c r="C1745" t="str">
        <f t="shared" si="54"/>
        <v>pomorskie_tczewski</v>
      </c>
      <c r="D1745" t="s">
        <v>4720</v>
      </c>
      <c r="E1745" t="str">
        <f t="shared" si="55"/>
        <v>pomorskie_tczewski_Tczew (gm. miejska)</v>
      </c>
      <c r="F1745" t="s">
        <v>1689</v>
      </c>
    </row>
    <row r="1746" spans="1:6" x14ac:dyDescent="0.3">
      <c r="A1746" t="s">
        <v>5394</v>
      </c>
      <c r="B1746" t="s">
        <v>5009</v>
      </c>
      <c r="C1746" t="str">
        <f t="shared" si="54"/>
        <v>pomorskie_tczewski</v>
      </c>
      <c r="D1746" t="s">
        <v>4721</v>
      </c>
      <c r="E1746" t="str">
        <f t="shared" si="55"/>
        <v>pomorskie_tczewski_Tczew (gm. wiejska)</v>
      </c>
      <c r="F1746" t="s">
        <v>1694</v>
      </c>
    </row>
    <row r="1747" spans="1:6" x14ac:dyDescent="0.3">
      <c r="A1747" t="s">
        <v>5394</v>
      </c>
      <c r="B1747" t="s">
        <v>5010</v>
      </c>
      <c r="C1747" t="str">
        <f t="shared" si="54"/>
        <v>pomorskie_wejherowski</v>
      </c>
      <c r="D1747" t="s">
        <v>3879</v>
      </c>
      <c r="E1747" t="str">
        <f t="shared" si="55"/>
        <v>pomorskie_wejherowski_Choczewo</v>
      </c>
      <c r="F1747" t="s">
        <v>1698</v>
      </c>
    </row>
    <row r="1748" spans="1:6" x14ac:dyDescent="0.3">
      <c r="A1748" t="s">
        <v>5394</v>
      </c>
      <c r="B1748" t="s">
        <v>5010</v>
      </c>
      <c r="C1748" t="str">
        <f t="shared" si="54"/>
        <v>pomorskie_wejherowski</v>
      </c>
      <c r="D1748" t="s">
        <v>3880</v>
      </c>
      <c r="E1748" t="str">
        <f t="shared" si="55"/>
        <v>pomorskie_wejherowski_Gniewino</v>
      </c>
      <c r="F1748" t="s">
        <v>1699</v>
      </c>
    </row>
    <row r="1749" spans="1:6" x14ac:dyDescent="0.3">
      <c r="A1749" t="s">
        <v>5394</v>
      </c>
      <c r="B1749" t="s">
        <v>5010</v>
      </c>
      <c r="C1749" t="str">
        <f t="shared" si="54"/>
        <v>pomorskie_wejherowski</v>
      </c>
      <c r="D1749" t="s">
        <v>3881</v>
      </c>
      <c r="E1749" t="str">
        <f t="shared" si="55"/>
        <v>pomorskie_wejherowski_Linia</v>
      </c>
      <c r="F1749" t="s">
        <v>1700</v>
      </c>
    </row>
    <row r="1750" spans="1:6" x14ac:dyDescent="0.3">
      <c r="A1750" t="s">
        <v>5394</v>
      </c>
      <c r="B1750" t="s">
        <v>5010</v>
      </c>
      <c r="C1750" t="str">
        <f t="shared" si="54"/>
        <v>pomorskie_wejherowski</v>
      </c>
      <c r="D1750" t="s">
        <v>3882</v>
      </c>
      <c r="E1750" t="str">
        <f t="shared" si="55"/>
        <v>pomorskie_wejherowski_Luzino</v>
      </c>
      <c r="F1750" t="s">
        <v>1701</v>
      </c>
    </row>
    <row r="1751" spans="1:6" x14ac:dyDescent="0.3">
      <c r="A1751" t="s">
        <v>5394</v>
      </c>
      <c r="B1751" t="s">
        <v>5010</v>
      </c>
      <c r="C1751" t="str">
        <f t="shared" si="54"/>
        <v>pomorskie_wejherowski</v>
      </c>
      <c r="D1751" t="s">
        <v>3883</v>
      </c>
      <c r="E1751" t="str">
        <f t="shared" si="55"/>
        <v>pomorskie_wejherowski_Łęczyce</v>
      </c>
      <c r="F1751" t="s">
        <v>1702</v>
      </c>
    </row>
    <row r="1752" spans="1:6" x14ac:dyDescent="0.3">
      <c r="A1752" t="s">
        <v>5394</v>
      </c>
      <c r="B1752" t="s">
        <v>5010</v>
      </c>
      <c r="C1752" t="str">
        <f t="shared" si="54"/>
        <v>pomorskie_wejherowski</v>
      </c>
      <c r="D1752" t="s">
        <v>3877</v>
      </c>
      <c r="E1752" t="str">
        <f t="shared" si="55"/>
        <v>pomorskie_wejherowski_Reda</v>
      </c>
      <c r="F1752" t="s">
        <v>1695</v>
      </c>
    </row>
    <row r="1753" spans="1:6" x14ac:dyDescent="0.3">
      <c r="A1753" t="s">
        <v>5394</v>
      </c>
      <c r="B1753" t="s">
        <v>5010</v>
      </c>
      <c r="C1753" t="str">
        <f t="shared" si="54"/>
        <v>pomorskie_wejherowski</v>
      </c>
      <c r="D1753" t="s">
        <v>3878</v>
      </c>
      <c r="E1753" t="str">
        <f t="shared" si="55"/>
        <v>pomorskie_wejherowski_Rumia</v>
      </c>
      <c r="F1753" t="s">
        <v>1696</v>
      </c>
    </row>
    <row r="1754" spans="1:6" x14ac:dyDescent="0.3">
      <c r="A1754" t="s">
        <v>5394</v>
      </c>
      <c r="B1754" t="s">
        <v>5010</v>
      </c>
      <c r="C1754" t="str">
        <f t="shared" si="54"/>
        <v>pomorskie_wejherowski</v>
      </c>
      <c r="D1754" t="s">
        <v>3884</v>
      </c>
      <c r="E1754" t="str">
        <f t="shared" si="55"/>
        <v>pomorskie_wejherowski_Szemud</v>
      </c>
      <c r="F1754" t="s">
        <v>1703</v>
      </c>
    </row>
    <row r="1755" spans="1:6" x14ac:dyDescent="0.3">
      <c r="A1755" t="s">
        <v>5394</v>
      </c>
      <c r="B1755" t="s">
        <v>5010</v>
      </c>
      <c r="C1755" t="str">
        <f t="shared" si="54"/>
        <v>pomorskie_wejherowski</v>
      </c>
      <c r="D1755" t="s">
        <v>4722</v>
      </c>
      <c r="E1755" t="str">
        <f t="shared" si="55"/>
        <v>pomorskie_wejherowski_Wejherowo (gm. miejska)</v>
      </c>
      <c r="F1755" t="s">
        <v>1697</v>
      </c>
    </row>
    <row r="1756" spans="1:6" x14ac:dyDescent="0.3">
      <c r="A1756" t="s">
        <v>5394</v>
      </c>
      <c r="B1756" t="s">
        <v>5010</v>
      </c>
      <c r="C1756" t="str">
        <f t="shared" si="54"/>
        <v>pomorskie_wejherowski</v>
      </c>
      <c r="D1756" t="s">
        <v>4723</v>
      </c>
      <c r="E1756" t="str">
        <f t="shared" si="55"/>
        <v>pomorskie_wejherowski_Wejherowo (gm. wiejska)</v>
      </c>
      <c r="F1756" t="s">
        <v>1704</v>
      </c>
    </row>
    <row r="1757" spans="1:6" x14ac:dyDescent="0.3">
      <c r="A1757" t="s">
        <v>5393</v>
      </c>
      <c r="B1757" t="s">
        <v>5012</v>
      </c>
      <c r="C1757" t="str">
        <f t="shared" si="54"/>
        <v>śląskie_będziński</v>
      </c>
      <c r="D1757" t="s">
        <v>3893</v>
      </c>
      <c r="E1757" t="str">
        <f t="shared" si="55"/>
        <v>śląskie_będziński_Będzin</v>
      </c>
      <c r="F1757" t="s">
        <v>1714</v>
      </c>
    </row>
    <row r="1758" spans="1:6" x14ac:dyDescent="0.3">
      <c r="A1758" t="s">
        <v>5393</v>
      </c>
      <c r="B1758" t="s">
        <v>5012</v>
      </c>
      <c r="C1758" t="str">
        <f t="shared" si="54"/>
        <v>śląskie_będziński</v>
      </c>
      <c r="D1758" t="s">
        <v>2603</v>
      </c>
      <c r="E1758" t="str">
        <f t="shared" si="55"/>
        <v>śląskie_będziński_Bobrowniki</v>
      </c>
      <c r="F1758" t="s">
        <v>1717</v>
      </c>
    </row>
    <row r="1759" spans="1:6" x14ac:dyDescent="0.3">
      <c r="A1759" t="s">
        <v>5393</v>
      </c>
      <c r="B1759" t="s">
        <v>5012</v>
      </c>
      <c r="C1759" t="str">
        <f t="shared" si="54"/>
        <v>śląskie_będziński</v>
      </c>
      <c r="D1759" t="s">
        <v>3894</v>
      </c>
      <c r="E1759" t="str">
        <f t="shared" si="55"/>
        <v>śląskie_będziński_Czeladź</v>
      </c>
      <c r="F1759" t="s">
        <v>1715</v>
      </c>
    </row>
    <row r="1760" spans="1:6" x14ac:dyDescent="0.3">
      <c r="A1760" t="s">
        <v>5393</v>
      </c>
      <c r="B1760" t="s">
        <v>5012</v>
      </c>
      <c r="C1760" t="str">
        <f t="shared" si="54"/>
        <v>śląskie_będziński</v>
      </c>
      <c r="D1760" t="s">
        <v>3896</v>
      </c>
      <c r="E1760" t="str">
        <f t="shared" si="55"/>
        <v>śląskie_będziński_Mierzęcice</v>
      </c>
      <c r="F1760" t="s">
        <v>1718</v>
      </c>
    </row>
    <row r="1761" spans="1:6" x14ac:dyDescent="0.3">
      <c r="A1761" t="s">
        <v>5393</v>
      </c>
      <c r="B1761" t="s">
        <v>5012</v>
      </c>
      <c r="C1761" t="str">
        <f t="shared" si="54"/>
        <v>śląskie_będziński</v>
      </c>
      <c r="D1761" t="s">
        <v>3897</v>
      </c>
      <c r="E1761" t="str">
        <f t="shared" si="55"/>
        <v>śląskie_będziński_Psary</v>
      </c>
      <c r="F1761" t="s">
        <v>1719</v>
      </c>
    </row>
    <row r="1762" spans="1:6" x14ac:dyDescent="0.3">
      <c r="A1762" t="s">
        <v>5393</v>
      </c>
      <c r="B1762" t="s">
        <v>5012</v>
      </c>
      <c r="C1762" t="str">
        <f t="shared" si="54"/>
        <v>śląskie_będziński</v>
      </c>
      <c r="D1762" t="s">
        <v>3898</v>
      </c>
      <c r="E1762" t="str">
        <f t="shared" si="55"/>
        <v>śląskie_będziński_Siewierz</v>
      </c>
      <c r="F1762" t="s">
        <v>1720</v>
      </c>
    </row>
    <row r="1763" spans="1:6" x14ac:dyDescent="0.3">
      <c r="A1763" t="s">
        <v>5393</v>
      </c>
      <c r="B1763" t="s">
        <v>5012</v>
      </c>
      <c r="C1763" t="str">
        <f t="shared" si="54"/>
        <v>śląskie_będziński</v>
      </c>
      <c r="D1763" t="s">
        <v>3899</v>
      </c>
      <c r="E1763" t="str">
        <f t="shared" si="55"/>
        <v>śląskie_będziński_Sławków</v>
      </c>
      <c r="F1763" t="s">
        <v>1721</v>
      </c>
    </row>
    <row r="1764" spans="1:6" x14ac:dyDescent="0.3">
      <c r="A1764" t="s">
        <v>5393</v>
      </c>
      <c r="B1764" t="s">
        <v>5012</v>
      </c>
      <c r="C1764" t="str">
        <f t="shared" si="54"/>
        <v>śląskie_będziński</v>
      </c>
      <c r="D1764" t="s">
        <v>3895</v>
      </c>
      <c r="E1764" t="str">
        <f t="shared" si="55"/>
        <v>śląskie_będziński_Wojkowice</v>
      </c>
      <c r="F1764" t="s">
        <v>1716</v>
      </c>
    </row>
    <row r="1765" spans="1:6" x14ac:dyDescent="0.3">
      <c r="A1765" t="s">
        <v>5393</v>
      </c>
      <c r="B1765" t="s">
        <v>4985</v>
      </c>
      <c r="C1765" t="str">
        <f t="shared" si="54"/>
        <v>śląskie_bielski</v>
      </c>
      <c r="D1765" t="s">
        <v>3901</v>
      </c>
      <c r="E1765" t="str">
        <f t="shared" si="55"/>
        <v>śląskie_bielski_Bestwina</v>
      </c>
      <c r="F1765" t="s">
        <v>1723</v>
      </c>
    </row>
    <row r="1766" spans="1:6" x14ac:dyDescent="0.3">
      <c r="A1766" t="s">
        <v>5393</v>
      </c>
      <c r="B1766" t="s">
        <v>4985</v>
      </c>
      <c r="C1766" t="str">
        <f t="shared" si="54"/>
        <v>śląskie_bielski</v>
      </c>
      <c r="D1766" t="s">
        <v>3902</v>
      </c>
      <c r="E1766" t="str">
        <f t="shared" si="55"/>
        <v>śląskie_bielski_Buczkowice</v>
      </c>
      <c r="F1766" t="s">
        <v>1724</v>
      </c>
    </row>
    <row r="1767" spans="1:6" x14ac:dyDescent="0.3">
      <c r="A1767" t="s">
        <v>5393</v>
      </c>
      <c r="B1767" t="s">
        <v>4985</v>
      </c>
      <c r="C1767" t="str">
        <f t="shared" si="54"/>
        <v>śląskie_bielski</v>
      </c>
      <c r="D1767" t="s">
        <v>3903</v>
      </c>
      <c r="E1767" t="str">
        <f t="shared" si="55"/>
        <v>śląskie_bielski_Czechowice-Dziedzice</v>
      </c>
      <c r="F1767" t="s">
        <v>1725</v>
      </c>
    </row>
    <row r="1768" spans="1:6" x14ac:dyDescent="0.3">
      <c r="A1768" t="s">
        <v>5393</v>
      </c>
      <c r="B1768" t="s">
        <v>4985</v>
      </c>
      <c r="C1768" t="str">
        <f t="shared" si="54"/>
        <v>śląskie_bielski</v>
      </c>
      <c r="D1768" t="s">
        <v>3904</v>
      </c>
      <c r="E1768" t="str">
        <f t="shared" si="55"/>
        <v>śląskie_bielski_Jasienica</v>
      </c>
      <c r="F1768" t="s">
        <v>1726</v>
      </c>
    </row>
    <row r="1769" spans="1:6" x14ac:dyDescent="0.3">
      <c r="A1769" t="s">
        <v>5393</v>
      </c>
      <c r="B1769" t="s">
        <v>4985</v>
      </c>
      <c r="C1769" t="str">
        <f t="shared" si="54"/>
        <v>śląskie_bielski</v>
      </c>
      <c r="D1769" t="s">
        <v>3905</v>
      </c>
      <c r="E1769" t="str">
        <f t="shared" si="55"/>
        <v>śląskie_bielski_Jaworze</v>
      </c>
      <c r="F1769" t="s">
        <v>1727</v>
      </c>
    </row>
    <row r="1770" spans="1:6" x14ac:dyDescent="0.3">
      <c r="A1770" t="s">
        <v>5393</v>
      </c>
      <c r="B1770" t="s">
        <v>4985</v>
      </c>
      <c r="C1770" t="str">
        <f t="shared" si="54"/>
        <v>śląskie_bielski</v>
      </c>
      <c r="D1770" t="s">
        <v>3906</v>
      </c>
      <c r="E1770" t="str">
        <f t="shared" si="55"/>
        <v>śląskie_bielski_Kozy</v>
      </c>
      <c r="F1770" t="s">
        <v>1728</v>
      </c>
    </row>
    <row r="1771" spans="1:6" x14ac:dyDescent="0.3">
      <c r="A1771" t="s">
        <v>5393</v>
      </c>
      <c r="B1771" t="s">
        <v>4985</v>
      </c>
      <c r="C1771" t="str">
        <f t="shared" si="54"/>
        <v>śląskie_bielski</v>
      </c>
      <c r="D1771" t="s">
        <v>3907</v>
      </c>
      <c r="E1771" t="str">
        <f t="shared" si="55"/>
        <v>śląskie_bielski_Porąbka</v>
      </c>
      <c r="F1771" t="s">
        <v>1729</v>
      </c>
    </row>
    <row r="1772" spans="1:6" x14ac:dyDescent="0.3">
      <c r="A1772" t="s">
        <v>5393</v>
      </c>
      <c r="B1772" t="s">
        <v>4985</v>
      </c>
      <c r="C1772" t="str">
        <f t="shared" si="54"/>
        <v>śląskie_bielski</v>
      </c>
      <c r="D1772" t="s">
        <v>3900</v>
      </c>
      <c r="E1772" t="str">
        <f t="shared" si="55"/>
        <v>śląskie_bielski_Szczyrk</v>
      </c>
      <c r="F1772" t="s">
        <v>1722</v>
      </c>
    </row>
    <row r="1773" spans="1:6" x14ac:dyDescent="0.3">
      <c r="A1773" t="s">
        <v>5393</v>
      </c>
      <c r="B1773" t="s">
        <v>4985</v>
      </c>
      <c r="C1773" t="str">
        <f t="shared" si="54"/>
        <v>śląskie_bielski</v>
      </c>
      <c r="D1773" t="s">
        <v>3908</v>
      </c>
      <c r="E1773" t="str">
        <f t="shared" si="55"/>
        <v>śląskie_bielski_Wilamowice</v>
      </c>
      <c r="F1773" t="s">
        <v>1730</v>
      </c>
    </row>
    <row r="1774" spans="1:6" x14ac:dyDescent="0.3">
      <c r="A1774" t="s">
        <v>5393</v>
      </c>
      <c r="B1774" t="s">
        <v>4985</v>
      </c>
      <c r="C1774" t="str">
        <f t="shared" si="54"/>
        <v>śląskie_bielski</v>
      </c>
      <c r="D1774" t="s">
        <v>3909</v>
      </c>
      <c r="E1774" t="str">
        <f t="shared" si="55"/>
        <v>śląskie_bielski_Wilkowice</v>
      </c>
      <c r="F1774" t="s">
        <v>1731</v>
      </c>
    </row>
    <row r="1775" spans="1:6" x14ac:dyDescent="0.3">
      <c r="A1775" t="s">
        <v>5393</v>
      </c>
      <c r="B1775" t="s">
        <v>4035</v>
      </c>
      <c r="C1775" t="str">
        <f t="shared" si="54"/>
        <v>śląskie_Bielsko-Biała</v>
      </c>
      <c r="D1775" t="s">
        <v>4035</v>
      </c>
      <c r="E1775" t="str">
        <f t="shared" si="55"/>
        <v>śląskie_Bielsko-Biała_Bielsko-Biała</v>
      </c>
      <c r="F1775" t="s">
        <v>1862</v>
      </c>
    </row>
    <row r="1776" spans="1:6" x14ac:dyDescent="0.3">
      <c r="A1776" t="s">
        <v>5393</v>
      </c>
      <c r="B1776" t="s">
        <v>5024</v>
      </c>
      <c r="C1776" t="str">
        <f t="shared" si="54"/>
        <v>śląskie_bieruńsko-lędziński</v>
      </c>
      <c r="D1776" t="s">
        <v>3998</v>
      </c>
      <c r="E1776" t="str">
        <f t="shared" si="55"/>
        <v>śląskie_bieruńsko-lędziński_Bieruń</v>
      </c>
      <c r="F1776" t="s">
        <v>1823</v>
      </c>
    </row>
    <row r="1777" spans="1:6" x14ac:dyDescent="0.3">
      <c r="A1777" t="s">
        <v>5393</v>
      </c>
      <c r="B1777" t="s">
        <v>5024</v>
      </c>
      <c r="C1777" t="str">
        <f t="shared" si="54"/>
        <v>śląskie_bieruńsko-lędziński</v>
      </c>
      <c r="D1777" t="s">
        <v>4001</v>
      </c>
      <c r="E1777" t="str">
        <f t="shared" si="55"/>
        <v>śląskie_bieruńsko-lędziński_Bojszowy</v>
      </c>
      <c r="F1777" t="s">
        <v>1826</v>
      </c>
    </row>
    <row r="1778" spans="1:6" x14ac:dyDescent="0.3">
      <c r="A1778" t="s">
        <v>5393</v>
      </c>
      <c r="B1778" t="s">
        <v>5024</v>
      </c>
      <c r="C1778" t="str">
        <f t="shared" si="54"/>
        <v>śląskie_bieruńsko-lędziński</v>
      </c>
      <c r="D1778" t="s">
        <v>4002</v>
      </c>
      <c r="E1778" t="str">
        <f t="shared" si="55"/>
        <v>śląskie_bieruńsko-lędziński_Chełm Śląski</v>
      </c>
      <c r="F1778" t="s">
        <v>1827</v>
      </c>
    </row>
    <row r="1779" spans="1:6" x14ac:dyDescent="0.3">
      <c r="A1779" t="s">
        <v>5393</v>
      </c>
      <c r="B1779" t="s">
        <v>5024</v>
      </c>
      <c r="C1779" t="str">
        <f t="shared" si="54"/>
        <v>śląskie_bieruńsko-lędziński</v>
      </c>
      <c r="D1779" t="s">
        <v>3999</v>
      </c>
      <c r="E1779" t="str">
        <f t="shared" si="55"/>
        <v>śląskie_bieruńsko-lędziński_Imielin</v>
      </c>
      <c r="F1779" t="s">
        <v>1824</v>
      </c>
    </row>
    <row r="1780" spans="1:6" x14ac:dyDescent="0.3">
      <c r="A1780" t="s">
        <v>5393</v>
      </c>
      <c r="B1780" t="s">
        <v>5024</v>
      </c>
      <c r="C1780" t="str">
        <f t="shared" si="54"/>
        <v>śląskie_bieruńsko-lędziński</v>
      </c>
      <c r="D1780" t="s">
        <v>4000</v>
      </c>
      <c r="E1780" t="str">
        <f t="shared" si="55"/>
        <v>śląskie_bieruńsko-lędziński_Lędziny</v>
      </c>
      <c r="F1780" t="s">
        <v>1825</v>
      </c>
    </row>
    <row r="1781" spans="1:6" x14ac:dyDescent="0.3">
      <c r="A1781" t="s">
        <v>5393</v>
      </c>
      <c r="B1781" t="s">
        <v>4036</v>
      </c>
      <c r="C1781" t="str">
        <f t="shared" si="54"/>
        <v>śląskie_Bytom</v>
      </c>
      <c r="D1781" t="s">
        <v>4036</v>
      </c>
      <c r="E1781" t="str">
        <f t="shared" si="55"/>
        <v>śląskie_Bytom_Bytom</v>
      </c>
      <c r="F1781" t="s">
        <v>1863</v>
      </c>
    </row>
    <row r="1782" spans="1:6" x14ac:dyDescent="0.3">
      <c r="A1782" t="s">
        <v>5393</v>
      </c>
      <c r="B1782" t="s">
        <v>4037</v>
      </c>
      <c r="C1782" t="str">
        <f t="shared" si="54"/>
        <v>śląskie_Chorzów</v>
      </c>
      <c r="D1782" t="s">
        <v>4037</v>
      </c>
      <c r="E1782" t="str">
        <f t="shared" si="55"/>
        <v>śląskie_Chorzów_Chorzów</v>
      </c>
      <c r="F1782" t="s">
        <v>1864</v>
      </c>
    </row>
    <row r="1783" spans="1:6" x14ac:dyDescent="0.3">
      <c r="A1783" t="s">
        <v>5393</v>
      </c>
      <c r="B1783" t="s">
        <v>5013</v>
      </c>
      <c r="C1783" t="str">
        <f t="shared" si="54"/>
        <v>śląskie_cieszyński</v>
      </c>
      <c r="D1783" t="s">
        <v>3913</v>
      </c>
      <c r="E1783" t="str">
        <f t="shared" si="55"/>
        <v>śląskie_cieszyński_Brenna</v>
      </c>
      <c r="F1783" t="s">
        <v>1735</v>
      </c>
    </row>
    <row r="1784" spans="1:6" x14ac:dyDescent="0.3">
      <c r="A1784" t="s">
        <v>5393</v>
      </c>
      <c r="B1784" t="s">
        <v>5013</v>
      </c>
      <c r="C1784" t="str">
        <f t="shared" si="54"/>
        <v>śląskie_cieszyński</v>
      </c>
      <c r="D1784" t="s">
        <v>3914</v>
      </c>
      <c r="E1784" t="str">
        <f t="shared" si="55"/>
        <v>śląskie_cieszyński_Chybie</v>
      </c>
      <c r="F1784" t="s">
        <v>1736</v>
      </c>
    </row>
    <row r="1785" spans="1:6" x14ac:dyDescent="0.3">
      <c r="A1785" t="s">
        <v>5393</v>
      </c>
      <c r="B1785" t="s">
        <v>5013</v>
      </c>
      <c r="C1785" t="str">
        <f t="shared" si="54"/>
        <v>śląskie_cieszyński</v>
      </c>
      <c r="D1785" t="s">
        <v>3910</v>
      </c>
      <c r="E1785" t="str">
        <f t="shared" si="55"/>
        <v>śląskie_cieszyński_Cieszyn</v>
      </c>
      <c r="F1785" t="s">
        <v>1732</v>
      </c>
    </row>
    <row r="1786" spans="1:6" x14ac:dyDescent="0.3">
      <c r="A1786" t="s">
        <v>5393</v>
      </c>
      <c r="B1786" t="s">
        <v>5013</v>
      </c>
      <c r="C1786" t="str">
        <f t="shared" si="54"/>
        <v>śląskie_cieszyński</v>
      </c>
      <c r="D1786" t="s">
        <v>3594</v>
      </c>
      <c r="E1786" t="str">
        <f t="shared" si="55"/>
        <v>śląskie_cieszyński_Dębowiec</v>
      </c>
      <c r="F1786" t="s">
        <v>1737</v>
      </c>
    </row>
    <row r="1787" spans="1:6" x14ac:dyDescent="0.3">
      <c r="A1787" t="s">
        <v>5393</v>
      </c>
      <c r="B1787" t="s">
        <v>5013</v>
      </c>
      <c r="C1787" t="str">
        <f t="shared" si="54"/>
        <v>śląskie_cieszyński</v>
      </c>
      <c r="D1787" t="s">
        <v>3915</v>
      </c>
      <c r="E1787" t="str">
        <f t="shared" si="55"/>
        <v>śląskie_cieszyński_Goleszów</v>
      </c>
      <c r="F1787" t="s">
        <v>1738</v>
      </c>
    </row>
    <row r="1788" spans="1:6" x14ac:dyDescent="0.3">
      <c r="A1788" t="s">
        <v>5393</v>
      </c>
      <c r="B1788" t="s">
        <v>5013</v>
      </c>
      <c r="C1788" t="str">
        <f t="shared" si="54"/>
        <v>śląskie_cieszyński</v>
      </c>
      <c r="D1788" t="s">
        <v>3916</v>
      </c>
      <c r="E1788" t="str">
        <f t="shared" si="55"/>
        <v>śląskie_cieszyński_Hażlach</v>
      </c>
      <c r="F1788" t="s">
        <v>1739</v>
      </c>
    </row>
    <row r="1789" spans="1:6" x14ac:dyDescent="0.3">
      <c r="A1789" t="s">
        <v>5393</v>
      </c>
      <c r="B1789" t="s">
        <v>5013</v>
      </c>
      <c r="C1789" t="str">
        <f t="shared" si="54"/>
        <v>śląskie_cieszyński</v>
      </c>
      <c r="D1789" t="s">
        <v>3917</v>
      </c>
      <c r="E1789" t="str">
        <f t="shared" si="55"/>
        <v>śląskie_cieszyński_Istebna</v>
      </c>
      <c r="F1789" t="s">
        <v>1740</v>
      </c>
    </row>
    <row r="1790" spans="1:6" x14ac:dyDescent="0.3">
      <c r="A1790" t="s">
        <v>5393</v>
      </c>
      <c r="B1790" t="s">
        <v>5013</v>
      </c>
      <c r="C1790" t="str">
        <f t="shared" si="54"/>
        <v>śląskie_cieszyński</v>
      </c>
      <c r="D1790" t="s">
        <v>3918</v>
      </c>
      <c r="E1790" t="str">
        <f t="shared" si="55"/>
        <v>śląskie_cieszyński_Skoczów</v>
      </c>
      <c r="F1790" t="s">
        <v>1741</v>
      </c>
    </row>
    <row r="1791" spans="1:6" x14ac:dyDescent="0.3">
      <c r="A1791" t="s">
        <v>5393</v>
      </c>
      <c r="B1791" t="s">
        <v>5013</v>
      </c>
      <c r="C1791" t="str">
        <f t="shared" si="54"/>
        <v>śląskie_cieszyński</v>
      </c>
      <c r="D1791" t="s">
        <v>3919</v>
      </c>
      <c r="E1791" t="str">
        <f t="shared" si="55"/>
        <v>śląskie_cieszyński_Strumień</v>
      </c>
      <c r="F1791" t="s">
        <v>1742</v>
      </c>
    </row>
    <row r="1792" spans="1:6" x14ac:dyDescent="0.3">
      <c r="A1792" t="s">
        <v>5393</v>
      </c>
      <c r="B1792" t="s">
        <v>5013</v>
      </c>
      <c r="C1792" t="str">
        <f t="shared" si="54"/>
        <v>śląskie_cieszyński</v>
      </c>
      <c r="D1792" t="s">
        <v>3911</v>
      </c>
      <c r="E1792" t="str">
        <f t="shared" si="55"/>
        <v>śląskie_cieszyński_Ustroń</v>
      </c>
      <c r="F1792" t="s">
        <v>1733</v>
      </c>
    </row>
    <row r="1793" spans="1:6" x14ac:dyDescent="0.3">
      <c r="A1793" t="s">
        <v>5393</v>
      </c>
      <c r="B1793" t="s">
        <v>5013</v>
      </c>
      <c r="C1793" t="str">
        <f t="shared" ref="C1793:C1856" si="56">CONCATENATE(A1793,"_",B1793)</f>
        <v>śląskie_cieszyński</v>
      </c>
      <c r="D1793" t="s">
        <v>3912</v>
      </c>
      <c r="E1793" t="str">
        <f t="shared" ref="E1793:E1856" si="57">C1793&amp;"_"&amp;D1793</f>
        <v>śląskie_cieszyński_Wisła</v>
      </c>
      <c r="F1793" t="s">
        <v>1734</v>
      </c>
    </row>
    <row r="1794" spans="1:6" x14ac:dyDescent="0.3">
      <c r="A1794" t="s">
        <v>5393</v>
      </c>
      <c r="B1794" t="s">
        <v>5013</v>
      </c>
      <c r="C1794" t="str">
        <f t="shared" si="56"/>
        <v>śląskie_cieszyński</v>
      </c>
      <c r="D1794" t="s">
        <v>3920</v>
      </c>
      <c r="E1794" t="str">
        <f t="shared" si="57"/>
        <v>śląskie_cieszyński_Zebrzydowice</v>
      </c>
      <c r="F1794" t="s">
        <v>1743</v>
      </c>
    </row>
    <row r="1795" spans="1:6" x14ac:dyDescent="0.3">
      <c r="A1795" t="s">
        <v>5393</v>
      </c>
      <c r="B1795" t="s">
        <v>4038</v>
      </c>
      <c r="C1795" t="str">
        <f t="shared" si="56"/>
        <v>śląskie_Częstochowa</v>
      </c>
      <c r="D1795" t="s">
        <v>4038</v>
      </c>
      <c r="E1795" t="str">
        <f t="shared" si="57"/>
        <v>śląskie_Częstochowa_Częstochowa</v>
      </c>
      <c r="F1795" t="s">
        <v>1865</v>
      </c>
    </row>
    <row r="1796" spans="1:6" x14ac:dyDescent="0.3">
      <c r="A1796" t="s">
        <v>5393</v>
      </c>
      <c r="B1796" t="s">
        <v>5014</v>
      </c>
      <c r="C1796" t="str">
        <f t="shared" si="56"/>
        <v>śląskie_częstochowski</v>
      </c>
      <c r="D1796" t="s">
        <v>3921</v>
      </c>
      <c r="E1796" t="str">
        <f t="shared" si="57"/>
        <v>śląskie_częstochowski_Blachownia</v>
      </c>
      <c r="F1796" t="s">
        <v>1744</v>
      </c>
    </row>
    <row r="1797" spans="1:6" x14ac:dyDescent="0.3">
      <c r="A1797" t="s">
        <v>5393</v>
      </c>
      <c r="B1797" t="s">
        <v>5014</v>
      </c>
      <c r="C1797" t="str">
        <f t="shared" si="56"/>
        <v>śląskie_częstochowski</v>
      </c>
      <c r="D1797" t="s">
        <v>3922</v>
      </c>
      <c r="E1797" t="str">
        <f t="shared" si="57"/>
        <v>śląskie_częstochowski_Dąbrowa Zielona</v>
      </c>
      <c r="F1797" t="s">
        <v>1745</v>
      </c>
    </row>
    <row r="1798" spans="1:6" x14ac:dyDescent="0.3">
      <c r="A1798" t="s">
        <v>5393</v>
      </c>
      <c r="B1798" t="s">
        <v>5014</v>
      </c>
      <c r="C1798" t="str">
        <f t="shared" si="56"/>
        <v>śląskie_częstochowski</v>
      </c>
      <c r="D1798" t="s">
        <v>3768</v>
      </c>
      <c r="E1798" t="str">
        <f t="shared" si="57"/>
        <v>śląskie_częstochowski_Janów</v>
      </c>
      <c r="F1798" t="s">
        <v>1746</v>
      </c>
    </row>
    <row r="1799" spans="1:6" x14ac:dyDescent="0.3">
      <c r="A1799" t="s">
        <v>5393</v>
      </c>
      <c r="B1799" t="s">
        <v>5014</v>
      </c>
      <c r="C1799" t="str">
        <f t="shared" si="56"/>
        <v>śląskie_częstochowski</v>
      </c>
      <c r="D1799" t="s">
        <v>3923</v>
      </c>
      <c r="E1799" t="str">
        <f t="shared" si="57"/>
        <v>śląskie_częstochowski_Kamienica Polska</v>
      </c>
      <c r="F1799" t="s">
        <v>1747</v>
      </c>
    </row>
    <row r="1800" spans="1:6" x14ac:dyDescent="0.3">
      <c r="A1800" t="s">
        <v>5393</v>
      </c>
      <c r="B1800" t="s">
        <v>5014</v>
      </c>
      <c r="C1800" t="str">
        <f t="shared" si="56"/>
        <v>śląskie_częstochowski</v>
      </c>
      <c r="D1800" t="s">
        <v>3924</v>
      </c>
      <c r="E1800" t="str">
        <f t="shared" si="57"/>
        <v>śląskie_częstochowski_Kłomnice</v>
      </c>
      <c r="F1800" t="s">
        <v>1748</v>
      </c>
    </row>
    <row r="1801" spans="1:6" x14ac:dyDescent="0.3">
      <c r="A1801" t="s">
        <v>5393</v>
      </c>
      <c r="B1801" t="s">
        <v>5014</v>
      </c>
      <c r="C1801" t="str">
        <f t="shared" si="56"/>
        <v>śląskie_częstochowski</v>
      </c>
      <c r="D1801" t="s">
        <v>3925</v>
      </c>
      <c r="E1801" t="str">
        <f t="shared" si="57"/>
        <v>śląskie_częstochowski_Koniecpol</v>
      </c>
      <c r="F1801" t="s">
        <v>1749</v>
      </c>
    </row>
    <row r="1802" spans="1:6" x14ac:dyDescent="0.3">
      <c r="A1802" t="s">
        <v>5393</v>
      </c>
      <c r="B1802" t="s">
        <v>5014</v>
      </c>
      <c r="C1802" t="str">
        <f t="shared" si="56"/>
        <v>śląskie_częstochowski</v>
      </c>
      <c r="D1802" t="s">
        <v>3926</v>
      </c>
      <c r="E1802" t="str">
        <f t="shared" si="57"/>
        <v>śląskie_częstochowski_Konopiska</v>
      </c>
      <c r="F1802" t="s">
        <v>1750</v>
      </c>
    </row>
    <row r="1803" spans="1:6" x14ac:dyDescent="0.3">
      <c r="A1803" t="s">
        <v>5393</v>
      </c>
      <c r="B1803" t="s">
        <v>5014</v>
      </c>
      <c r="C1803" t="str">
        <f t="shared" si="56"/>
        <v>śląskie_częstochowski</v>
      </c>
      <c r="D1803" t="s">
        <v>3927</v>
      </c>
      <c r="E1803" t="str">
        <f t="shared" si="57"/>
        <v>śląskie_częstochowski_Kruszyna</v>
      </c>
      <c r="F1803" t="s">
        <v>1751</v>
      </c>
    </row>
    <row r="1804" spans="1:6" x14ac:dyDescent="0.3">
      <c r="A1804" t="s">
        <v>5393</v>
      </c>
      <c r="B1804" t="s">
        <v>5014</v>
      </c>
      <c r="C1804" t="str">
        <f t="shared" si="56"/>
        <v>śląskie_częstochowski</v>
      </c>
      <c r="D1804" t="s">
        <v>3928</v>
      </c>
      <c r="E1804" t="str">
        <f t="shared" si="57"/>
        <v>śląskie_częstochowski_Lelów</v>
      </c>
      <c r="F1804" t="s">
        <v>1752</v>
      </c>
    </row>
    <row r="1805" spans="1:6" x14ac:dyDescent="0.3">
      <c r="A1805" t="s">
        <v>5393</v>
      </c>
      <c r="B1805" t="s">
        <v>5014</v>
      </c>
      <c r="C1805" t="str">
        <f t="shared" si="56"/>
        <v>śląskie_częstochowski</v>
      </c>
      <c r="D1805" t="s">
        <v>3929</v>
      </c>
      <c r="E1805" t="str">
        <f t="shared" si="57"/>
        <v>śląskie_częstochowski_Mstów</v>
      </c>
      <c r="F1805" s="181" t="s">
        <v>1753</v>
      </c>
    </row>
    <row r="1806" spans="1:6" x14ac:dyDescent="0.3">
      <c r="A1806" t="s">
        <v>5393</v>
      </c>
      <c r="B1806" t="s">
        <v>5014</v>
      </c>
      <c r="C1806" t="str">
        <f t="shared" si="56"/>
        <v>śląskie_częstochowski</v>
      </c>
      <c r="D1806" t="s">
        <v>3930</v>
      </c>
      <c r="E1806" t="str">
        <f t="shared" si="57"/>
        <v>śląskie_częstochowski_Mykanów</v>
      </c>
      <c r="F1806" t="s">
        <v>1754</v>
      </c>
    </row>
    <row r="1807" spans="1:6" x14ac:dyDescent="0.3">
      <c r="A1807" t="s">
        <v>5393</v>
      </c>
      <c r="B1807" t="s">
        <v>5014</v>
      </c>
      <c r="C1807" t="str">
        <f t="shared" si="56"/>
        <v>śląskie_częstochowski</v>
      </c>
      <c r="D1807" t="s">
        <v>3931</v>
      </c>
      <c r="E1807" t="str">
        <f t="shared" si="57"/>
        <v>śląskie_częstochowski_Olsztyn</v>
      </c>
      <c r="F1807" t="s">
        <v>5473</v>
      </c>
    </row>
    <row r="1808" spans="1:6" x14ac:dyDescent="0.3">
      <c r="A1808" t="s">
        <v>5393</v>
      </c>
      <c r="B1808" t="s">
        <v>5014</v>
      </c>
      <c r="C1808" t="str">
        <f t="shared" si="56"/>
        <v>śląskie_częstochowski</v>
      </c>
      <c r="D1808" t="s">
        <v>3932</v>
      </c>
      <c r="E1808" t="str">
        <f t="shared" si="57"/>
        <v>śląskie_częstochowski_Poczesna</v>
      </c>
      <c r="F1808" t="s">
        <v>1756</v>
      </c>
    </row>
    <row r="1809" spans="1:6" x14ac:dyDescent="0.3">
      <c r="A1809" t="s">
        <v>5393</v>
      </c>
      <c r="B1809" t="s">
        <v>5014</v>
      </c>
      <c r="C1809" t="str">
        <f t="shared" si="56"/>
        <v>śląskie_częstochowski</v>
      </c>
      <c r="D1809" t="s">
        <v>3933</v>
      </c>
      <c r="E1809" t="str">
        <f t="shared" si="57"/>
        <v>śląskie_częstochowski_Przyrów</v>
      </c>
      <c r="F1809" t="s">
        <v>5524</v>
      </c>
    </row>
    <row r="1810" spans="1:6" x14ac:dyDescent="0.3">
      <c r="A1810" t="s">
        <v>5393</v>
      </c>
      <c r="B1810" t="s">
        <v>5014</v>
      </c>
      <c r="C1810" t="str">
        <f t="shared" si="56"/>
        <v>śląskie_częstochowski</v>
      </c>
      <c r="D1810" t="s">
        <v>3934</v>
      </c>
      <c r="E1810" t="str">
        <f t="shared" si="57"/>
        <v>śląskie_częstochowski_Rędziny</v>
      </c>
      <c r="F1810" t="s">
        <v>1758</v>
      </c>
    </row>
    <row r="1811" spans="1:6" x14ac:dyDescent="0.3">
      <c r="A1811" t="s">
        <v>5393</v>
      </c>
      <c r="B1811" t="s">
        <v>5014</v>
      </c>
      <c r="C1811" t="str">
        <f t="shared" si="56"/>
        <v>śląskie_częstochowski</v>
      </c>
      <c r="D1811" t="s">
        <v>3935</v>
      </c>
      <c r="E1811" t="str">
        <f t="shared" si="57"/>
        <v>śląskie_częstochowski_Starcza</v>
      </c>
      <c r="F1811" t="s">
        <v>1759</v>
      </c>
    </row>
    <row r="1812" spans="1:6" x14ac:dyDescent="0.3">
      <c r="A1812" t="s">
        <v>5393</v>
      </c>
      <c r="B1812" t="s">
        <v>4039</v>
      </c>
      <c r="C1812" t="str">
        <f t="shared" si="56"/>
        <v>śląskie_Dąbrowa Górnicza</v>
      </c>
      <c r="D1812" t="s">
        <v>4039</v>
      </c>
      <c r="E1812" t="str">
        <f t="shared" si="57"/>
        <v>śląskie_Dąbrowa Górnicza_Dąbrowa Górnicza</v>
      </c>
      <c r="F1812" t="s">
        <v>1866</v>
      </c>
    </row>
    <row r="1813" spans="1:6" x14ac:dyDescent="0.3">
      <c r="A1813" t="s">
        <v>5393</v>
      </c>
      <c r="B1813" t="s">
        <v>4040</v>
      </c>
      <c r="C1813" t="str">
        <f t="shared" si="56"/>
        <v>śląskie_Gliwice</v>
      </c>
      <c r="D1813" t="s">
        <v>4040</v>
      </c>
      <c r="E1813" t="str">
        <f t="shared" si="57"/>
        <v>śląskie_Gliwice_Gliwice</v>
      </c>
      <c r="F1813" t="s">
        <v>1867</v>
      </c>
    </row>
    <row r="1814" spans="1:6" x14ac:dyDescent="0.3">
      <c r="A1814" t="s">
        <v>5393</v>
      </c>
      <c r="B1814" t="s">
        <v>5015</v>
      </c>
      <c r="C1814" t="str">
        <f t="shared" si="56"/>
        <v>śląskie_gliwicki</v>
      </c>
      <c r="D1814" t="s">
        <v>3938</v>
      </c>
      <c r="E1814" t="str">
        <f t="shared" si="57"/>
        <v>śląskie_gliwicki_Gierałtowice</v>
      </c>
      <c r="F1814" t="s">
        <v>1762</v>
      </c>
    </row>
    <row r="1815" spans="1:6" x14ac:dyDescent="0.3">
      <c r="A1815" t="s">
        <v>5393</v>
      </c>
      <c r="B1815" t="s">
        <v>5015</v>
      </c>
      <c r="C1815" t="str">
        <f t="shared" si="56"/>
        <v>śląskie_gliwicki</v>
      </c>
      <c r="D1815" t="s">
        <v>3936</v>
      </c>
      <c r="E1815" t="str">
        <f t="shared" si="57"/>
        <v>śląskie_gliwicki_Knurów</v>
      </c>
      <c r="F1815" t="s">
        <v>1760</v>
      </c>
    </row>
    <row r="1816" spans="1:6" x14ac:dyDescent="0.3">
      <c r="A1816" t="s">
        <v>5393</v>
      </c>
      <c r="B1816" t="s">
        <v>5015</v>
      </c>
      <c r="C1816" t="str">
        <f t="shared" si="56"/>
        <v>śląskie_gliwicki</v>
      </c>
      <c r="D1816" t="s">
        <v>3939</v>
      </c>
      <c r="E1816" t="str">
        <f t="shared" si="57"/>
        <v>śląskie_gliwicki_Pilchowice</v>
      </c>
      <c r="F1816" t="s">
        <v>1763</v>
      </c>
    </row>
    <row r="1817" spans="1:6" x14ac:dyDescent="0.3">
      <c r="A1817" t="s">
        <v>5393</v>
      </c>
      <c r="B1817" t="s">
        <v>5015</v>
      </c>
      <c r="C1817" t="str">
        <f t="shared" si="56"/>
        <v>śląskie_gliwicki</v>
      </c>
      <c r="D1817" t="s">
        <v>3937</v>
      </c>
      <c r="E1817" t="str">
        <f t="shared" si="57"/>
        <v>śląskie_gliwicki_Pyskowice</v>
      </c>
      <c r="F1817" t="s">
        <v>1761</v>
      </c>
    </row>
    <row r="1818" spans="1:6" x14ac:dyDescent="0.3">
      <c r="A1818" t="s">
        <v>5393</v>
      </c>
      <c r="B1818" t="s">
        <v>5015</v>
      </c>
      <c r="C1818" t="str">
        <f t="shared" si="56"/>
        <v>śląskie_gliwicki</v>
      </c>
      <c r="D1818" t="s">
        <v>3940</v>
      </c>
      <c r="E1818" t="str">
        <f t="shared" si="57"/>
        <v>śląskie_gliwicki_Rudziniec</v>
      </c>
      <c r="F1818" t="s">
        <v>1764</v>
      </c>
    </row>
    <row r="1819" spans="1:6" x14ac:dyDescent="0.3">
      <c r="A1819" t="s">
        <v>5393</v>
      </c>
      <c r="B1819" t="s">
        <v>5015</v>
      </c>
      <c r="C1819" t="str">
        <f t="shared" si="56"/>
        <v>śląskie_gliwicki</v>
      </c>
      <c r="D1819" t="s">
        <v>3941</v>
      </c>
      <c r="E1819" t="str">
        <f t="shared" si="57"/>
        <v>śląskie_gliwicki_Sośnicowice</v>
      </c>
      <c r="F1819" t="s">
        <v>1765</v>
      </c>
    </row>
    <row r="1820" spans="1:6" x14ac:dyDescent="0.3">
      <c r="A1820" t="s">
        <v>5393</v>
      </c>
      <c r="B1820" t="s">
        <v>5015</v>
      </c>
      <c r="C1820" t="str">
        <f t="shared" si="56"/>
        <v>śląskie_gliwicki</v>
      </c>
      <c r="D1820" t="s">
        <v>3942</v>
      </c>
      <c r="E1820" t="str">
        <f t="shared" si="57"/>
        <v>śląskie_gliwicki_Toszek</v>
      </c>
      <c r="F1820" t="s">
        <v>1766</v>
      </c>
    </row>
    <row r="1821" spans="1:6" x14ac:dyDescent="0.3">
      <c r="A1821" t="s">
        <v>5393</v>
      </c>
      <c r="B1821" t="s">
        <v>5015</v>
      </c>
      <c r="C1821" t="str">
        <f t="shared" si="56"/>
        <v>śląskie_gliwicki</v>
      </c>
      <c r="D1821" t="s">
        <v>3943</v>
      </c>
      <c r="E1821" t="str">
        <f t="shared" si="57"/>
        <v>śląskie_gliwicki_Wielowieś</v>
      </c>
      <c r="F1821" t="s">
        <v>1767</v>
      </c>
    </row>
    <row r="1822" spans="1:6" x14ac:dyDescent="0.3">
      <c r="A1822" t="s">
        <v>5393</v>
      </c>
      <c r="B1822" t="s">
        <v>4041</v>
      </c>
      <c r="C1822" t="str">
        <f t="shared" si="56"/>
        <v>śląskie_Jastrzębie-Zdrój</v>
      </c>
      <c r="D1822" t="s">
        <v>4041</v>
      </c>
      <c r="E1822" t="str">
        <f t="shared" si="57"/>
        <v>śląskie_Jastrzębie-Zdrój_Jastrzębie-Zdrój</v>
      </c>
      <c r="F1822" t="s">
        <v>1868</v>
      </c>
    </row>
    <row r="1823" spans="1:6" x14ac:dyDescent="0.3">
      <c r="A1823" t="s">
        <v>5393</v>
      </c>
      <c r="B1823" t="s">
        <v>4042</v>
      </c>
      <c r="C1823" t="str">
        <f t="shared" si="56"/>
        <v>śląskie_Jaworzno</v>
      </c>
      <c r="D1823" t="s">
        <v>4042</v>
      </c>
      <c r="E1823" t="str">
        <f t="shared" si="57"/>
        <v>śląskie_Jaworzno_Jaworzno</v>
      </c>
      <c r="F1823" t="s">
        <v>1869</v>
      </c>
    </row>
    <row r="1824" spans="1:6" x14ac:dyDescent="0.3">
      <c r="A1824" t="s">
        <v>5393</v>
      </c>
      <c r="B1824" t="s">
        <v>4043</v>
      </c>
      <c r="C1824" t="str">
        <f t="shared" si="56"/>
        <v>śląskie_Katowice</v>
      </c>
      <c r="D1824" t="s">
        <v>4043</v>
      </c>
      <c r="E1824" t="str">
        <f t="shared" si="57"/>
        <v>śląskie_Katowice_Katowice</v>
      </c>
      <c r="F1824" t="s">
        <v>1870</v>
      </c>
    </row>
    <row r="1825" spans="1:6" x14ac:dyDescent="0.3">
      <c r="A1825" t="s">
        <v>5393</v>
      </c>
      <c r="B1825" t="s">
        <v>5016</v>
      </c>
      <c r="C1825" t="str">
        <f t="shared" si="56"/>
        <v>śląskie_kłobucki</v>
      </c>
      <c r="D1825" t="s">
        <v>3944</v>
      </c>
      <c r="E1825" t="str">
        <f t="shared" si="57"/>
        <v>śląskie_kłobucki_Kłobuck</v>
      </c>
      <c r="F1825" t="s">
        <v>1768</v>
      </c>
    </row>
    <row r="1826" spans="1:6" x14ac:dyDescent="0.3">
      <c r="A1826" t="s">
        <v>5393</v>
      </c>
      <c r="B1826" t="s">
        <v>5016</v>
      </c>
      <c r="C1826" t="str">
        <f t="shared" si="56"/>
        <v>śląskie_kłobucki</v>
      </c>
      <c r="D1826" t="s">
        <v>3945</v>
      </c>
      <c r="E1826" t="str">
        <f t="shared" si="57"/>
        <v>śląskie_kłobucki_Krzepice</v>
      </c>
      <c r="F1826" t="s">
        <v>1769</v>
      </c>
    </row>
    <row r="1827" spans="1:6" x14ac:dyDescent="0.3">
      <c r="A1827" t="s">
        <v>5393</v>
      </c>
      <c r="B1827" t="s">
        <v>5016</v>
      </c>
      <c r="C1827" t="str">
        <f t="shared" si="56"/>
        <v>śląskie_kłobucki</v>
      </c>
      <c r="D1827" t="s">
        <v>3946</v>
      </c>
      <c r="E1827" t="str">
        <f t="shared" si="57"/>
        <v>śląskie_kłobucki_Lipie</v>
      </c>
      <c r="F1827" t="s">
        <v>1770</v>
      </c>
    </row>
    <row r="1828" spans="1:6" x14ac:dyDescent="0.3">
      <c r="A1828" t="s">
        <v>5393</v>
      </c>
      <c r="B1828" t="s">
        <v>5016</v>
      </c>
      <c r="C1828" t="str">
        <f t="shared" si="56"/>
        <v>śląskie_kłobucki</v>
      </c>
      <c r="D1828" t="s">
        <v>3947</v>
      </c>
      <c r="E1828" t="str">
        <f t="shared" si="57"/>
        <v>śląskie_kłobucki_Miedźno</v>
      </c>
      <c r="F1828" t="s">
        <v>1771</v>
      </c>
    </row>
    <row r="1829" spans="1:6" x14ac:dyDescent="0.3">
      <c r="A1829" t="s">
        <v>5393</v>
      </c>
      <c r="B1829" t="s">
        <v>5016</v>
      </c>
      <c r="C1829" t="str">
        <f t="shared" si="56"/>
        <v>śląskie_kłobucki</v>
      </c>
      <c r="D1829" t="s">
        <v>3948</v>
      </c>
      <c r="E1829" t="str">
        <f t="shared" si="57"/>
        <v>śląskie_kłobucki_Opatów</v>
      </c>
      <c r="F1829" t="s">
        <v>1772</v>
      </c>
    </row>
    <row r="1830" spans="1:6" x14ac:dyDescent="0.3">
      <c r="A1830" t="s">
        <v>5393</v>
      </c>
      <c r="B1830" t="s">
        <v>5016</v>
      </c>
      <c r="C1830" t="str">
        <f t="shared" si="56"/>
        <v>śląskie_kłobucki</v>
      </c>
      <c r="D1830" t="s">
        <v>3949</v>
      </c>
      <c r="E1830" t="str">
        <f t="shared" si="57"/>
        <v>śląskie_kłobucki_Panki</v>
      </c>
      <c r="F1830" t="s">
        <v>1773</v>
      </c>
    </row>
    <row r="1831" spans="1:6" x14ac:dyDescent="0.3">
      <c r="A1831" t="s">
        <v>5393</v>
      </c>
      <c r="B1831" t="s">
        <v>5016</v>
      </c>
      <c r="C1831" t="str">
        <f t="shared" si="56"/>
        <v>śląskie_kłobucki</v>
      </c>
      <c r="D1831" t="s">
        <v>3950</v>
      </c>
      <c r="E1831" t="str">
        <f t="shared" si="57"/>
        <v>śląskie_kłobucki_Popów</v>
      </c>
      <c r="F1831" t="s">
        <v>1774</v>
      </c>
    </row>
    <row r="1832" spans="1:6" x14ac:dyDescent="0.3">
      <c r="A1832" t="s">
        <v>5393</v>
      </c>
      <c r="B1832" t="s">
        <v>5016</v>
      </c>
      <c r="C1832" t="str">
        <f t="shared" si="56"/>
        <v>śląskie_kłobucki</v>
      </c>
      <c r="D1832" t="s">
        <v>3951</v>
      </c>
      <c r="E1832" t="str">
        <f t="shared" si="57"/>
        <v>śląskie_kłobucki_Przystajń</v>
      </c>
      <c r="F1832" t="s">
        <v>1775</v>
      </c>
    </row>
    <row r="1833" spans="1:6" x14ac:dyDescent="0.3">
      <c r="A1833" t="s">
        <v>5393</v>
      </c>
      <c r="B1833" t="s">
        <v>5016</v>
      </c>
      <c r="C1833" t="str">
        <f t="shared" si="56"/>
        <v>śląskie_kłobucki</v>
      </c>
      <c r="D1833" t="s">
        <v>3952</v>
      </c>
      <c r="E1833" t="str">
        <f t="shared" si="57"/>
        <v>śląskie_kłobucki_Wręczyca Wielka</v>
      </c>
      <c r="F1833" t="s">
        <v>1776</v>
      </c>
    </row>
    <row r="1834" spans="1:6" x14ac:dyDescent="0.3">
      <c r="A1834" t="s">
        <v>5393</v>
      </c>
      <c r="B1834" t="s">
        <v>5017</v>
      </c>
      <c r="C1834" t="str">
        <f t="shared" si="56"/>
        <v>śląskie_lubliniecki</v>
      </c>
      <c r="D1834" t="s">
        <v>3954</v>
      </c>
      <c r="E1834" t="str">
        <f t="shared" si="57"/>
        <v>śląskie_lubliniecki_Boronów</v>
      </c>
      <c r="F1834" t="s">
        <v>1778</v>
      </c>
    </row>
    <row r="1835" spans="1:6" x14ac:dyDescent="0.3">
      <c r="A1835" t="s">
        <v>5393</v>
      </c>
      <c r="B1835" t="s">
        <v>5017</v>
      </c>
      <c r="C1835" t="str">
        <f t="shared" si="56"/>
        <v>śląskie_lubliniecki</v>
      </c>
      <c r="D1835" t="s">
        <v>3955</v>
      </c>
      <c r="E1835" t="str">
        <f t="shared" si="57"/>
        <v>śląskie_lubliniecki_Ciasna</v>
      </c>
      <c r="F1835" t="s">
        <v>1779</v>
      </c>
    </row>
    <row r="1836" spans="1:6" x14ac:dyDescent="0.3">
      <c r="A1836" t="s">
        <v>5393</v>
      </c>
      <c r="B1836" t="s">
        <v>5017</v>
      </c>
      <c r="C1836" t="str">
        <f t="shared" si="56"/>
        <v>śląskie_lubliniecki</v>
      </c>
      <c r="D1836" t="s">
        <v>3956</v>
      </c>
      <c r="E1836" t="str">
        <f t="shared" si="57"/>
        <v>śląskie_lubliniecki_Herby</v>
      </c>
      <c r="F1836" t="s">
        <v>1780</v>
      </c>
    </row>
    <row r="1837" spans="1:6" x14ac:dyDescent="0.3">
      <c r="A1837" t="s">
        <v>5393</v>
      </c>
      <c r="B1837" t="s">
        <v>5017</v>
      </c>
      <c r="C1837" t="str">
        <f t="shared" si="56"/>
        <v>śląskie_lubliniecki</v>
      </c>
      <c r="D1837" t="s">
        <v>3957</v>
      </c>
      <c r="E1837" t="str">
        <f t="shared" si="57"/>
        <v>śląskie_lubliniecki_Kochanowice</v>
      </c>
      <c r="F1837" t="s">
        <v>1781</v>
      </c>
    </row>
    <row r="1838" spans="1:6" x14ac:dyDescent="0.3">
      <c r="A1838" t="s">
        <v>5393</v>
      </c>
      <c r="B1838" t="s">
        <v>5017</v>
      </c>
      <c r="C1838" t="str">
        <f t="shared" si="56"/>
        <v>śląskie_lubliniecki</v>
      </c>
      <c r="D1838" t="s">
        <v>3958</v>
      </c>
      <c r="E1838" t="str">
        <f t="shared" si="57"/>
        <v>śląskie_lubliniecki_Koszęcin</v>
      </c>
      <c r="F1838" t="s">
        <v>1782</v>
      </c>
    </row>
    <row r="1839" spans="1:6" x14ac:dyDescent="0.3">
      <c r="A1839" t="s">
        <v>5393</v>
      </c>
      <c r="B1839" t="s">
        <v>5017</v>
      </c>
      <c r="C1839" t="str">
        <f t="shared" si="56"/>
        <v>śląskie_lubliniecki</v>
      </c>
      <c r="D1839" t="s">
        <v>3953</v>
      </c>
      <c r="E1839" t="str">
        <f t="shared" si="57"/>
        <v>śląskie_lubliniecki_Lubliniec</v>
      </c>
      <c r="F1839" t="s">
        <v>1777</v>
      </c>
    </row>
    <row r="1840" spans="1:6" x14ac:dyDescent="0.3">
      <c r="A1840" t="s">
        <v>5393</v>
      </c>
      <c r="B1840" t="s">
        <v>5017</v>
      </c>
      <c r="C1840" t="str">
        <f t="shared" si="56"/>
        <v>śląskie_lubliniecki</v>
      </c>
      <c r="D1840" t="s">
        <v>3959</v>
      </c>
      <c r="E1840" t="str">
        <f t="shared" si="57"/>
        <v>śląskie_lubliniecki_Pawonków</v>
      </c>
      <c r="F1840" t="s">
        <v>1783</v>
      </c>
    </row>
    <row r="1841" spans="1:6" x14ac:dyDescent="0.3">
      <c r="A1841" t="s">
        <v>5393</v>
      </c>
      <c r="B1841" t="s">
        <v>5017</v>
      </c>
      <c r="C1841" t="str">
        <f t="shared" si="56"/>
        <v>śląskie_lubliniecki</v>
      </c>
      <c r="D1841" t="s">
        <v>3960</v>
      </c>
      <c r="E1841" t="str">
        <f t="shared" si="57"/>
        <v>śląskie_lubliniecki_Woźniki</v>
      </c>
      <c r="F1841" t="s">
        <v>1784</v>
      </c>
    </row>
    <row r="1842" spans="1:6" x14ac:dyDescent="0.3">
      <c r="A1842" t="s">
        <v>5393</v>
      </c>
      <c r="B1842" t="s">
        <v>5018</v>
      </c>
      <c r="C1842" t="str">
        <f t="shared" si="56"/>
        <v>śląskie_mikołowski</v>
      </c>
      <c r="D1842" t="s">
        <v>3961</v>
      </c>
      <c r="E1842" t="str">
        <f t="shared" si="57"/>
        <v>śląskie_mikołowski_Łaziska Górne</v>
      </c>
      <c r="F1842" t="s">
        <v>1785</v>
      </c>
    </row>
    <row r="1843" spans="1:6" x14ac:dyDescent="0.3">
      <c r="A1843" t="s">
        <v>5393</v>
      </c>
      <c r="B1843" t="s">
        <v>5018</v>
      </c>
      <c r="C1843" t="str">
        <f t="shared" si="56"/>
        <v>śląskie_mikołowski</v>
      </c>
      <c r="D1843" t="s">
        <v>3962</v>
      </c>
      <c r="E1843" t="str">
        <f t="shared" si="57"/>
        <v>śląskie_mikołowski_Mikołów</v>
      </c>
      <c r="F1843" t="s">
        <v>1786</v>
      </c>
    </row>
    <row r="1844" spans="1:6" x14ac:dyDescent="0.3">
      <c r="A1844" t="s">
        <v>5393</v>
      </c>
      <c r="B1844" t="s">
        <v>5018</v>
      </c>
      <c r="C1844" t="str">
        <f t="shared" si="56"/>
        <v>śląskie_mikołowski</v>
      </c>
      <c r="D1844" t="s">
        <v>3964</v>
      </c>
      <c r="E1844" t="str">
        <f t="shared" si="57"/>
        <v>śląskie_mikołowski_Ornontowice</v>
      </c>
      <c r="F1844" t="s">
        <v>1788</v>
      </c>
    </row>
    <row r="1845" spans="1:6" x14ac:dyDescent="0.3">
      <c r="A1845" t="s">
        <v>5393</v>
      </c>
      <c r="B1845" t="s">
        <v>5018</v>
      </c>
      <c r="C1845" t="str">
        <f t="shared" si="56"/>
        <v>śląskie_mikołowski</v>
      </c>
      <c r="D1845" t="s">
        <v>3963</v>
      </c>
      <c r="E1845" t="str">
        <f t="shared" si="57"/>
        <v>śląskie_mikołowski_Orzesze</v>
      </c>
      <c r="F1845" t="s">
        <v>1787</v>
      </c>
    </row>
    <row r="1846" spans="1:6" x14ac:dyDescent="0.3">
      <c r="A1846" t="s">
        <v>5393</v>
      </c>
      <c r="B1846" t="s">
        <v>5018</v>
      </c>
      <c r="C1846" t="str">
        <f t="shared" si="56"/>
        <v>śląskie_mikołowski</v>
      </c>
      <c r="D1846" t="s">
        <v>3965</v>
      </c>
      <c r="E1846" t="str">
        <f t="shared" si="57"/>
        <v>śląskie_mikołowski_Wyry</v>
      </c>
      <c r="F1846" t="s">
        <v>1789</v>
      </c>
    </row>
    <row r="1847" spans="1:6" x14ac:dyDescent="0.3">
      <c r="A1847" t="s">
        <v>5393</v>
      </c>
      <c r="B1847" t="s">
        <v>4044</v>
      </c>
      <c r="C1847" t="str">
        <f t="shared" si="56"/>
        <v>śląskie_Mysłowice</v>
      </c>
      <c r="D1847" t="s">
        <v>4044</v>
      </c>
      <c r="E1847" t="str">
        <f t="shared" si="57"/>
        <v>śląskie_Mysłowice_Mysłowice</v>
      </c>
      <c r="F1847" t="s">
        <v>1871</v>
      </c>
    </row>
    <row r="1848" spans="1:6" x14ac:dyDescent="0.3">
      <c r="A1848" t="s">
        <v>5393</v>
      </c>
      <c r="B1848" t="s">
        <v>5019</v>
      </c>
      <c r="C1848" t="str">
        <f t="shared" si="56"/>
        <v>śląskie_myszkowski</v>
      </c>
      <c r="D1848" t="s">
        <v>3967</v>
      </c>
      <c r="E1848" t="str">
        <f t="shared" si="57"/>
        <v>śląskie_myszkowski_Koziegłowy</v>
      </c>
      <c r="F1848" t="s">
        <v>1791</v>
      </c>
    </row>
    <row r="1849" spans="1:6" x14ac:dyDescent="0.3">
      <c r="A1849" t="s">
        <v>5393</v>
      </c>
      <c r="B1849" t="s">
        <v>5019</v>
      </c>
      <c r="C1849" t="str">
        <f t="shared" si="56"/>
        <v>śląskie_myszkowski</v>
      </c>
      <c r="D1849" t="s">
        <v>3966</v>
      </c>
      <c r="E1849" t="str">
        <f t="shared" si="57"/>
        <v>śląskie_myszkowski_Myszków</v>
      </c>
      <c r="F1849" t="s">
        <v>1790</v>
      </c>
    </row>
    <row r="1850" spans="1:6" x14ac:dyDescent="0.3">
      <c r="A1850" t="s">
        <v>5393</v>
      </c>
      <c r="B1850" t="s">
        <v>5019</v>
      </c>
      <c r="C1850" t="str">
        <f t="shared" si="56"/>
        <v>śląskie_myszkowski</v>
      </c>
      <c r="D1850" t="s">
        <v>3968</v>
      </c>
      <c r="E1850" t="str">
        <f t="shared" si="57"/>
        <v>śląskie_myszkowski_Niegowa</v>
      </c>
      <c r="F1850" t="s">
        <v>1792</v>
      </c>
    </row>
    <row r="1851" spans="1:6" x14ac:dyDescent="0.3">
      <c r="A1851" t="s">
        <v>5393</v>
      </c>
      <c r="B1851" t="s">
        <v>5019</v>
      </c>
      <c r="C1851" t="str">
        <f t="shared" si="56"/>
        <v>śląskie_myszkowski</v>
      </c>
      <c r="D1851" t="s">
        <v>3969</v>
      </c>
      <c r="E1851" t="str">
        <f t="shared" si="57"/>
        <v>śląskie_myszkowski_Poraj</v>
      </c>
      <c r="F1851" t="s">
        <v>1793</v>
      </c>
    </row>
    <row r="1852" spans="1:6" x14ac:dyDescent="0.3">
      <c r="A1852" t="s">
        <v>5393</v>
      </c>
      <c r="B1852" t="s">
        <v>5019</v>
      </c>
      <c r="C1852" t="str">
        <f t="shared" si="56"/>
        <v>śląskie_myszkowski</v>
      </c>
      <c r="D1852" t="s">
        <v>3970</v>
      </c>
      <c r="E1852" t="str">
        <f t="shared" si="57"/>
        <v>śląskie_myszkowski_Żarki</v>
      </c>
      <c r="F1852" t="s">
        <v>1794</v>
      </c>
    </row>
    <row r="1853" spans="1:6" x14ac:dyDescent="0.3">
      <c r="A1853" t="s">
        <v>5393</v>
      </c>
      <c r="B1853" t="s">
        <v>4045</v>
      </c>
      <c r="C1853" t="str">
        <f t="shared" si="56"/>
        <v>śląskie_Piekary Śląskie</v>
      </c>
      <c r="D1853" t="s">
        <v>4045</v>
      </c>
      <c r="E1853" t="str">
        <f t="shared" si="57"/>
        <v>śląskie_Piekary Śląskie_Piekary Śląskie</v>
      </c>
      <c r="F1853" t="s">
        <v>1872</v>
      </c>
    </row>
    <row r="1854" spans="1:6" x14ac:dyDescent="0.3">
      <c r="A1854" t="s">
        <v>5393</v>
      </c>
      <c r="B1854" t="s">
        <v>5020</v>
      </c>
      <c r="C1854" t="str">
        <f t="shared" si="56"/>
        <v>śląskie_pszczyński</v>
      </c>
      <c r="D1854" t="s">
        <v>3971</v>
      </c>
      <c r="E1854" t="str">
        <f t="shared" si="57"/>
        <v>śląskie_pszczyński_Goczałkowice-Zdrój</v>
      </c>
      <c r="F1854" t="s">
        <v>1795</v>
      </c>
    </row>
    <row r="1855" spans="1:6" x14ac:dyDescent="0.3">
      <c r="A1855" t="s">
        <v>5393</v>
      </c>
      <c r="B1855" t="s">
        <v>5020</v>
      </c>
      <c r="C1855" t="str">
        <f t="shared" si="56"/>
        <v>śląskie_pszczyński</v>
      </c>
      <c r="D1855" t="s">
        <v>3972</v>
      </c>
      <c r="E1855" t="str">
        <f t="shared" si="57"/>
        <v>śląskie_pszczyński_Kobiór</v>
      </c>
      <c r="F1855" t="s">
        <v>1796</v>
      </c>
    </row>
    <row r="1856" spans="1:6" x14ac:dyDescent="0.3">
      <c r="A1856" t="s">
        <v>5393</v>
      </c>
      <c r="B1856" t="s">
        <v>5020</v>
      </c>
      <c r="C1856" t="str">
        <f t="shared" si="56"/>
        <v>śląskie_pszczyński</v>
      </c>
      <c r="D1856" t="s">
        <v>3973</v>
      </c>
      <c r="E1856" t="str">
        <f t="shared" si="57"/>
        <v>śląskie_pszczyński_Miedźna</v>
      </c>
      <c r="F1856" t="s">
        <v>1797</v>
      </c>
    </row>
    <row r="1857" spans="1:6" x14ac:dyDescent="0.3">
      <c r="A1857" t="s">
        <v>5393</v>
      </c>
      <c r="B1857" t="s">
        <v>5020</v>
      </c>
      <c r="C1857" t="str">
        <f t="shared" ref="C1857:C1920" si="58">CONCATENATE(A1857,"_",B1857)</f>
        <v>śląskie_pszczyński</v>
      </c>
      <c r="D1857" t="s">
        <v>3974</v>
      </c>
      <c r="E1857" t="str">
        <f t="shared" ref="E1857:E1920" si="59">C1857&amp;"_"&amp;D1857</f>
        <v>śląskie_pszczyński_Pawłowice</v>
      </c>
      <c r="F1857" t="s">
        <v>1798</v>
      </c>
    </row>
    <row r="1858" spans="1:6" x14ac:dyDescent="0.3">
      <c r="A1858" t="s">
        <v>5393</v>
      </c>
      <c r="B1858" t="s">
        <v>5020</v>
      </c>
      <c r="C1858" t="str">
        <f t="shared" si="58"/>
        <v>śląskie_pszczyński</v>
      </c>
      <c r="D1858" t="s">
        <v>3975</v>
      </c>
      <c r="E1858" t="str">
        <f t="shared" si="59"/>
        <v>śląskie_pszczyński_Pszczyna</v>
      </c>
      <c r="F1858" t="s">
        <v>1799</v>
      </c>
    </row>
    <row r="1859" spans="1:6" x14ac:dyDescent="0.3">
      <c r="A1859" t="s">
        <v>5393</v>
      </c>
      <c r="B1859" t="s">
        <v>5020</v>
      </c>
      <c r="C1859" t="str">
        <f t="shared" si="58"/>
        <v>śląskie_pszczyński</v>
      </c>
      <c r="D1859" t="s">
        <v>3976</v>
      </c>
      <c r="E1859" t="str">
        <f t="shared" si="59"/>
        <v>śląskie_pszczyński_Suszec</v>
      </c>
      <c r="F1859" t="s">
        <v>1800</v>
      </c>
    </row>
    <row r="1860" spans="1:6" x14ac:dyDescent="0.3">
      <c r="A1860" t="s">
        <v>5393</v>
      </c>
      <c r="B1860" t="s">
        <v>5021</v>
      </c>
      <c r="C1860" t="str">
        <f t="shared" si="58"/>
        <v>śląskie_raciborski</v>
      </c>
      <c r="D1860" t="s">
        <v>3978</v>
      </c>
      <c r="E1860" t="str">
        <f t="shared" si="59"/>
        <v>śląskie_raciborski_Kornowac</v>
      </c>
      <c r="F1860" t="s">
        <v>1802</v>
      </c>
    </row>
    <row r="1861" spans="1:6" x14ac:dyDescent="0.3">
      <c r="A1861" t="s">
        <v>5393</v>
      </c>
      <c r="B1861" t="s">
        <v>5021</v>
      </c>
      <c r="C1861" t="str">
        <f t="shared" si="58"/>
        <v>śląskie_raciborski</v>
      </c>
      <c r="D1861" t="s">
        <v>3979</v>
      </c>
      <c r="E1861" t="str">
        <f t="shared" si="59"/>
        <v>śląskie_raciborski_Krzanowice</v>
      </c>
      <c r="F1861" t="s">
        <v>1803</v>
      </c>
    </row>
    <row r="1862" spans="1:6" x14ac:dyDescent="0.3">
      <c r="A1862" t="s">
        <v>5393</v>
      </c>
      <c r="B1862" t="s">
        <v>5021</v>
      </c>
      <c r="C1862" t="str">
        <f t="shared" si="58"/>
        <v>śląskie_raciborski</v>
      </c>
      <c r="D1862" t="s">
        <v>3980</v>
      </c>
      <c r="E1862" t="str">
        <f t="shared" si="59"/>
        <v>śląskie_raciborski_Krzyżanowice</v>
      </c>
      <c r="F1862" t="s">
        <v>1804</v>
      </c>
    </row>
    <row r="1863" spans="1:6" x14ac:dyDescent="0.3">
      <c r="A1863" t="s">
        <v>5393</v>
      </c>
      <c r="B1863" t="s">
        <v>5021</v>
      </c>
      <c r="C1863" t="str">
        <f t="shared" si="58"/>
        <v>śląskie_raciborski</v>
      </c>
      <c r="D1863" t="s">
        <v>3981</v>
      </c>
      <c r="E1863" t="str">
        <f t="shared" si="59"/>
        <v>śląskie_raciborski_Kuźnia Raciborska</v>
      </c>
      <c r="F1863" t="s">
        <v>1805</v>
      </c>
    </row>
    <row r="1864" spans="1:6" x14ac:dyDescent="0.3">
      <c r="A1864" t="s">
        <v>5393</v>
      </c>
      <c r="B1864" t="s">
        <v>5021</v>
      </c>
      <c r="C1864" t="str">
        <f t="shared" si="58"/>
        <v>śląskie_raciborski</v>
      </c>
      <c r="D1864" t="s">
        <v>3982</v>
      </c>
      <c r="E1864" t="str">
        <f t="shared" si="59"/>
        <v>śląskie_raciborski_Nędza</v>
      </c>
      <c r="F1864" t="s">
        <v>1806</v>
      </c>
    </row>
    <row r="1865" spans="1:6" x14ac:dyDescent="0.3">
      <c r="A1865" t="s">
        <v>5393</v>
      </c>
      <c r="B1865" t="s">
        <v>5021</v>
      </c>
      <c r="C1865" t="str">
        <f t="shared" si="58"/>
        <v>śląskie_raciborski</v>
      </c>
      <c r="D1865" t="s">
        <v>3983</v>
      </c>
      <c r="E1865" t="str">
        <f t="shared" si="59"/>
        <v>śląskie_raciborski_Pietrowice Wielkie</v>
      </c>
      <c r="F1865" t="s">
        <v>1807</v>
      </c>
    </row>
    <row r="1866" spans="1:6" x14ac:dyDescent="0.3">
      <c r="A1866" t="s">
        <v>5393</v>
      </c>
      <c r="B1866" t="s">
        <v>5021</v>
      </c>
      <c r="C1866" t="str">
        <f t="shared" si="58"/>
        <v>śląskie_raciborski</v>
      </c>
      <c r="D1866" t="s">
        <v>3977</v>
      </c>
      <c r="E1866" t="str">
        <f t="shared" si="59"/>
        <v>śląskie_raciborski_Racibórz</v>
      </c>
      <c r="F1866" t="s">
        <v>1801</v>
      </c>
    </row>
    <row r="1867" spans="1:6" x14ac:dyDescent="0.3">
      <c r="A1867" t="s">
        <v>5393</v>
      </c>
      <c r="B1867" t="s">
        <v>5021</v>
      </c>
      <c r="C1867" t="str">
        <f t="shared" si="58"/>
        <v>śląskie_raciborski</v>
      </c>
      <c r="D1867" t="s">
        <v>2735</v>
      </c>
      <c r="E1867" t="str">
        <f t="shared" si="59"/>
        <v>śląskie_raciborski_Rudnik</v>
      </c>
      <c r="F1867" t="s">
        <v>1808</v>
      </c>
    </row>
    <row r="1868" spans="1:6" x14ac:dyDescent="0.3">
      <c r="A1868" t="s">
        <v>5393</v>
      </c>
      <c r="B1868" t="s">
        <v>4046</v>
      </c>
      <c r="C1868" t="str">
        <f t="shared" si="58"/>
        <v>śląskie_Ruda Śląska</v>
      </c>
      <c r="D1868" t="s">
        <v>4046</v>
      </c>
      <c r="E1868" t="str">
        <f t="shared" si="59"/>
        <v>śląskie_Ruda Śląska_Ruda Śląska</v>
      </c>
      <c r="F1868" t="s">
        <v>1873</v>
      </c>
    </row>
    <row r="1869" spans="1:6" x14ac:dyDescent="0.3">
      <c r="A1869" t="s">
        <v>5393</v>
      </c>
      <c r="B1869" t="s">
        <v>5022</v>
      </c>
      <c r="C1869" t="str">
        <f t="shared" si="58"/>
        <v>śląskie_rybnicki</v>
      </c>
      <c r="D1869" t="s">
        <v>3984</v>
      </c>
      <c r="E1869" t="str">
        <f t="shared" si="59"/>
        <v>śląskie_rybnicki_Czerwionka-Leszczyny</v>
      </c>
      <c r="F1869" t="s">
        <v>1809</v>
      </c>
    </row>
    <row r="1870" spans="1:6" x14ac:dyDescent="0.3">
      <c r="A1870" t="s">
        <v>5393</v>
      </c>
      <c r="B1870" t="s">
        <v>5022</v>
      </c>
      <c r="C1870" t="str">
        <f t="shared" si="58"/>
        <v>śląskie_rybnicki</v>
      </c>
      <c r="D1870" t="s">
        <v>3985</v>
      </c>
      <c r="E1870" t="str">
        <f t="shared" si="59"/>
        <v>śląskie_rybnicki_Gaszowice</v>
      </c>
      <c r="F1870" t="s">
        <v>1810</v>
      </c>
    </row>
    <row r="1871" spans="1:6" x14ac:dyDescent="0.3">
      <c r="A1871" t="s">
        <v>5393</v>
      </c>
      <c r="B1871" t="s">
        <v>5022</v>
      </c>
      <c r="C1871" t="str">
        <f t="shared" si="58"/>
        <v>śląskie_rybnicki</v>
      </c>
      <c r="D1871" t="s">
        <v>3986</v>
      </c>
      <c r="E1871" t="str">
        <f t="shared" si="59"/>
        <v>śląskie_rybnicki_Jejkowice</v>
      </c>
      <c r="F1871" t="s">
        <v>1811</v>
      </c>
    </row>
    <row r="1872" spans="1:6" x14ac:dyDescent="0.3">
      <c r="A1872" t="s">
        <v>5393</v>
      </c>
      <c r="B1872" t="s">
        <v>5022</v>
      </c>
      <c r="C1872" t="str">
        <f t="shared" si="58"/>
        <v>śląskie_rybnicki</v>
      </c>
      <c r="D1872" t="s">
        <v>3987</v>
      </c>
      <c r="E1872" t="str">
        <f t="shared" si="59"/>
        <v>śląskie_rybnicki_Lyski</v>
      </c>
      <c r="F1872" t="s">
        <v>1812</v>
      </c>
    </row>
    <row r="1873" spans="1:6" x14ac:dyDescent="0.3">
      <c r="A1873" t="s">
        <v>5393</v>
      </c>
      <c r="B1873" t="s">
        <v>5022</v>
      </c>
      <c r="C1873" t="str">
        <f t="shared" si="58"/>
        <v>śląskie_rybnicki</v>
      </c>
      <c r="D1873" t="s">
        <v>3988</v>
      </c>
      <c r="E1873" t="str">
        <f t="shared" si="59"/>
        <v>śląskie_rybnicki_Świerklany</v>
      </c>
      <c r="F1873" t="s">
        <v>1813</v>
      </c>
    </row>
    <row r="1874" spans="1:6" x14ac:dyDescent="0.3">
      <c r="A1874" t="s">
        <v>5393</v>
      </c>
      <c r="B1874" t="s">
        <v>4047</v>
      </c>
      <c r="C1874" t="str">
        <f t="shared" si="58"/>
        <v>śląskie_Rybnik</v>
      </c>
      <c r="D1874" t="s">
        <v>4047</v>
      </c>
      <c r="E1874" t="str">
        <f t="shared" si="59"/>
        <v>śląskie_Rybnik_Rybnik</v>
      </c>
      <c r="F1874" t="s">
        <v>1874</v>
      </c>
    </row>
    <row r="1875" spans="1:6" x14ac:dyDescent="0.3">
      <c r="A1875" t="s">
        <v>5393</v>
      </c>
      <c r="B1875" t="s">
        <v>4048</v>
      </c>
      <c r="C1875" t="str">
        <f t="shared" si="58"/>
        <v>śląskie_Siemianowice Śląskie</v>
      </c>
      <c r="D1875" t="s">
        <v>4048</v>
      </c>
      <c r="E1875" t="str">
        <f t="shared" si="59"/>
        <v>śląskie_Siemianowice Śląskie_Siemianowice Śląskie</v>
      </c>
      <c r="F1875" t="s">
        <v>1875</v>
      </c>
    </row>
    <row r="1876" spans="1:6" x14ac:dyDescent="0.3">
      <c r="A1876" t="s">
        <v>5393</v>
      </c>
      <c r="B1876" t="s">
        <v>4049</v>
      </c>
      <c r="C1876" t="str">
        <f t="shared" si="58"/>
        <v>śląskie_Sosnowiec</v>
      </c>
      <c r="D1876" t="s">
        <v>4049</v>
      </c>
      <c r="E1876" t="str">
        <f t="shared" si="59"/>
        <v>śląskie_Sosnowiec_Sosnowiec</v>
      </c>
      <c r="F1876" t="s">
        <v>1876</v>
      </c>
    </row>
    <row r="1877" spans="1:6" x14ac:dyDescent="0.3">
      <c r="A1877" t="s">
        <v>5393</v>
      </c>
      <c r="B1877" t="s">
        <v>4050</v>
      </c>
      <c r="C1877" t="str">
        <f t="shared" si="58"/>
        <v>śląskie_Świętochłowice</v>
      </c>
      <c r="D1877" t="s">
        <v>4050</v>
      </c>
      <c r="E1877" t="str">
        <f t="shared" si="59"/>
        <v>śląskie_Świętochłowice_Świętochłowice</v>
      </c>
      <c r="F1877" t="s">
        <v>1877</v>
      </c>
    </row>
    <row r="1878" spans="1:6" x14ac:dyDescent="0.3">
      <c r="A1878" t="s">
        <v>5393</v>
      </c>
      <c r="B1878" t="s">
        <v>5023</v>
      </c>
      <c r="C1878" t="str">
        <f t="shared" si="58"/>
        <v>śląskie_tarnogórski</v>
      </c>
      <c r="D1878" t="s">
        <v>3989</v>
      </c>
      <c r="E1878" t="str">
        <f t="shared" si="59"/>
        <v>śląskie_tarnogórski_Kalety</v>
      </c>
      <c r="F1878" t="s">
        <v>1814</v>
      </c>
    </row>
    <row r="1879" spans="1:6" x14ac:dyDescent="0.3">
      <c r="A1879" t="s">
        <v>5393</v>
      </c>
      <c r="B1879" t="s">
        <v>5023</v>
      </c>
      <c r="C1879" t="str">
        <f t="shared" si="58"/>
        <v>śląskie_tarnogórski</v>
      </c>
      <c r="D1879" t="s">
        <v>3993</v>
      </c>
      <c r="E1879" t="str">
        <f t="shared" si="59"/>
        <v>śląskie_tarnogórski_Krupski Młyn</v>
      </c>
      <c r="F1879" t="s">
        <v>1818</v>
      </c>
    </row>
    <row r="1880" spans="1:6" x14ac:dyDescent="0.3">
      <c r="A1880" t="s">
        <v>5393</v>
      </c>
      <c r="B1880" t="s">
        <v>5023</v>
      </c>
      <c r="C1880" t="str">
        <f t="shared" si="58"/>
        <v>śląskie_tarnogórski</v>
      </c>
      <c r="D1880" t="s">
        <v>3990</v>
      </c>
      <c r="E1880" t="str">
        <f t="shared" si="59"/>
        <v>śląskie_tarnogórski_Miasteczko Śląskie</v>
      </c>
      <c r="F1880" t="s">
        <v>1815</v>
      </c>
    </row>
    <row r="1881" spans="1:6" x14ac:dyDescent="0.3">
      <c r="A1881" t="s">
        <v>5393</v>
      </c>
      <c r="B1881" t="s">
        <v>5023</v>
      </c>
      <c r="C1881" t="str">
        <f t="shared" si="58"/>
        <v>śląskie_tarnogórski</v>
      </c>
      <c r="D1881" t="s">
        <v>3994</v>
      </c>
      <c r="E1881" t="str">
        <f t="shared" si="59"/>
        <v>śląskie_tarnogórski_Ożarowice</v>
      </c>
      <c r="F1881" t="s">
        <v>1819</v>
      </c>
    </row>
    <row r="1882" spans="1:6" x14ac:dyDescent="0.3">
      <c r="A1882" t="s">
        <v>5393</v>
      </c>
      <c r="B1882" t="s">
        <v>5023</v>
      </c>
      <c r="C1882" t="str">
        <f t="shared" si="58"/>
        <v>śląskie_tarnogórski</v>
      </c>
      <c r="D1882" t="s">
        <v>3991</v>
      </c>
      <c r="E1882" t="str">
        <f t="shared" si="59"/>
        <v>śląskie_tarnogórski_Radzionków</v>
      </c>
      <c r="F1882" t="s">
        <v>1816</v>
      </c>
    </row>
    <row r="1883" spans="1:6" x14ac:dyDescent="0.3">
      <c r="A1883" t="s">
        <v>5393</v>
      </c>
      <c r="B1883" t="s">
        <v>5023</v>
      </c>
      <c r="C1883" t="str">
        <f t="shared" si="58"/>
        <v>śląskie_tarnogórski</v>
      </c>
      <c r="D1883" t="s">
        <v>3995</v>
      </c>
      <c r="E1883" t="str">
        <f t="shared" si="59"/>
        <v>śląskie_tarnogórski_Świerklaniec</v>
      </c>
      <c r="F1883" t="s">
        <v>1820</v>
      </c>
    </row>
    <row r="1884" spans="1:6" x14ac:dyDescent="0.3">
      <c r="A1884" t="s">
        <v>5393</v>
      </c>
      <c r="B1884" t="s">
        <v>5023</v>
      </c>
      <c r="C1884" t="str">
        <f t="shared" si="58"/>
        <v>śląskie_tarnogórski</v>
      </c>
      <c r="D1884" t="s">
        <v>3992</v>
      </c>
      <c r="E1884" t="str">
        <f t="shared" si="59"/>
        <v>śląskie_tarnogórski_Tarnowskie Góry</v>
      </c>
      <c r="F1884" t="s">
        <v>1817</v>
      </c>
    </row>
    <row r="1885" spans="1:6" x14ac:dyDescent="0.3">
      <c r="A1885" t="s">
        <v>5393</v>
      </c>
      <c r="B1885" t="s">
        <v>5023</v>
      </c>
      <c r="C1885" t="str">
        <f t="shared" si="58"/>
        <v>śląskie_tarnogórski</v>
      </c>
      <c r="D1885" t="s">
        <v>3996</v>
      </c>
      <c r="E1885" t="str">
        <f t="shared" si="59"/>
        <v>śląskie_tarnogórski_Tworóg</v>
      </c>
      <c r="F1885" t="s">
        <v>1821</v>
      </c>
    </row>
    <row r="1886" spans="1:6" x14ac:dyDescent="0.3">
      <c r="A1886" t="s">
        <v>5393</v>
      </c>
      <c r="B1886" t="s">
        <v>5023</v>
      </c>
      <c r="C1886" t="str">
        <f t="shared" si="58"/>
        <v>śląskie_tarnogórski</v>
      </c>
      <c r="D1886" t="s">
        <v>3997</v>
      </c>
      <c r="E1886" t="str">
        <f t="shared" si="59"/>
        <v>śląskie_tarnogórski_Zbrosławice</v>
      </c>
      <c r="F1886" t="s">
        <v>1822</v>
      </c>
    </row>
    <row r="1887" spans="1:6" x14ac:dyDescent="0.3">
      <c r="A1887" t="s">
        <v>5393</v>
      </c>
      <c r="B1887" t="s">
        <v>4051</v>
      </c>
      <c r="C1887" t="str">
        <f t="shared" si="58"/>
        <v>śląskie_Tychy</v>
      </c>
      <c r="D1887" t="s">
        <v>4051</v>
      </c>
      <c r="E1887" t="str">
        <f t="shared" si="59"/>
        <v>śląskie_Tychy_Tychy</v>
      </c>
      <c r="F1887" t="s">
        <v>1878</v>
      </c>
    </row>
    <row r="1888" spans="1:6" x14ac:dyDescent="0.3">
      <c r="A1888" t="s">
        <v>5393</v>
      </c>
      <c r="B1888" t="s">
        <v>5025</v>
      </c>
      <c r="C1888" t="str">
        <f t="shared" si="58"/>
        <v>śląskie_wodzisławski</v>
      </c>
      <c r="D1888" t="s">
        <v>4007</v>
      </c>
      <c r="E1888" t="str">
        <f t="shared" si="59"/>
        <v>śląskie_wodzisławski_Godów</v>
      </c>
      <c r="F1888" t="s">
        <v>1832</v>
      </c>
    </row>
    <row r="1889" spans="1:6" x14ac:dyDescent="0.3">
      <c r="A1889" t="s">
        <v>5393</v>
      </c>
      <c r="B1889" t="s">
        <v>5025</v>
      </c>
      <c r="C1889" t="str">
        <f t="shared" si="58"/>
        <v>śląskie_wodzisławski</v>
      </c>
      <c r="D1889" t="s">
        <v>3692</v>
      </c>
      <c r="E1889" t="str">
        <f t="shared" si="59"/>
        <v>śląskie_wodzisławski_Gorzyce</v>
      </c>
      <c r="F1889" t="s">
        <v>1833</v>
      </c>
    </row>
    <row r="1890" spans="1:6" x14ac:dyDescent="0.3">
      <c r="A1890" t="s">
        <v>5393</v>
      </c>
      <c r="B1890" t="s">
        <v>5025</v>
      </c>
      <c r="C1890" t="str">
        <f t="shared" si="58"/>
        <v>śląskie_wodzisławski</v>
      </c>
      <c r="D1890" t="s">
        <v>4008</v>
      </c>
      <c r="E1890" t="str">
        <f t="shared" si="59"/>
        <v>śląskie_wodzisławski_Lubomia</v>
      </c>
      <c r="F1890" t="s">
        <v>1834</v>
      </c>
    </row>
    <row r="1891" spans="1:6" x14ac:dyDescent="0.3">
      <c r="A1891" t="s">
        <v>5393</v>
      </c>
      <c r="B1891" t="s">
        <v>5025</v>
      </c>
      <c r="C1891" t="str">
        <f t="shared" si="58"/>
        <v>śląskie_wodzisławski</v>
      </c>
      <c r="D1891" t="s">
        <v>4009</v>
      </c>
      <c r="E1891" t="str">
        <f t="shared" si="59"/>
        <v>śląskie_wodzisławski_Marklowice</v>
      </c>
      <c r="F1891" t="s">
        <v>1835</v>
      </c>
    </row>
    <row r="1892" spans="1:6" x14ac:dyDescent="0.3">
      <c r="A1892" t="s">
        <v>5393</v>
      </c>
      <c r="B1892" t="s">
        <v>5025</v>
      </c>
      <c r="C1892" t="str">
        <f t="shared" si="58"/>
        <v>śląskie_wodzisławski</v>
      </c>
      <c r="D1892" t="s">
        <v>4010</v>
      </c>
      <c r="E1892" t="str">
        <f t="shared" si="59"/>
        <v>śląskie_wodzisławski_Mszana</v>
      </c>
      <c r="F1892" t="s">
        <v>1836</v>
      </c>
    </row>
    <row r="1893" spans="1:6" x14ac:dyDescent="0.3">
      <c r="A1893" t="s">
        <v>5393</v>
      </c>
      <c r="B1893" t="s">
        <v>5025</v>
      </c>
      <c r="C1893" t="str">
        <f t="shared" si="58"/>
        <v>śląskie_wodzisławski</v>
      </c>
      <c r="D1893" t="s">
        <v>4003</v>
      </c>
      <c r="E1893" t="str">
        <f t="shared" si="59"/>
        <v>śląskie_wodzisławski_Pszów</v>
      </c>
      <c r="F1893" t="s">
        <v>1828</v>
      </c>
    </row>
    <row r="1894" spans="1:6" x14ac:dyDescent="0.3">
      <c r="A1894" t="s">
        <v>5393</v>
      </c>
      <c r="B1894" t="s">
        <v>5025</v>
      </c>
      <c r="C1894" t="str">
        <f t="shared" si="58"/>
        <v>śląskie_wodzisławski</v>
      </c>
      <c r="D1894" t="s">
        <v>4004</v>
      </c>
      <c r="E1894" t="str">
        <f t="shared" si="59"/>
        <v>śląskie_wodzisławski_Radlin</v>
      </c>
      <c r="F1894" t="s">
        <v>1829</v>
      </c>
    </row>
    <row r="1895" spans="1:6" x14ac:dyDescent="0.3">
      <c r="A1895" t="s">
        <v>5393</v>
      </c>
      <c r="B1895" t="s">
        <v>5025</v>
      </c>
      <c r="C1895" t="str">
        <f t="shared" si="58"/>
        <v>śląskie_wodzisławski</v>
      </c>
      <c r="D1895" t="s">
        <v>4005</v>
      </c>
      <c r="E1895" t="str">
        <f t="shared" si="59"/>
        <v>śląskie_wodzisławski_Rydułtowy</v>
      </c>
      <c r="F1895" t="s">
        <v>1830</v>
      </c>
    </row>
    <row r="1896" spans="1:6" x14ac:dyDescent="0.3">
      <c r="A1896" t="s">
        <v>5393</v>
      </c>
      <c r="B1896" t="s">
        <v>5025</v>
      </c>
      <c r="C1896" t="str">
        <f t="shared" si="58"/>
        <v>śląskie_wodzisławski</v>
      </c>
      <c r="D1896" t="s">
        <v>4006</v>
      </c>
      <c r="E1896" t="str">
        <f t="shared" si="59"/>
        <v>śląskie_wodzisławski_Wodzisław Śląski</v>
      </c>
      <c r="F1896" t="s">
        <v>1831</v>
      </c>
    </row>
    <row r="1897" spans="1:6" x14ac:dyDescent="0.3">
      <c r="A1897" t="s">
        <v>5393</v>
      </c>
      <c r="B1897" t="s">
        <v>4052</v>
      </c>
      <c r="C1897" t="str">
        <f t="shared" si="58"/>
        <v>śląskie_Zabrze</v>
      </c>
      <c r="D1897" t="s">
        <v>4052</v>
      </c>
      <c r="E1897" t="str">
        <f t="shared" si="59"/>
        <v>śląskie_Zabrze_Zabrze</v>
      </c>
      <c r="F1897" t="s">
        <v>1879</v>
      </c>
    </row>
    <row r="1898" spans="1:6" x14ac:dyDescent="0.3">
      <c r="A1898" t="s">
        <v>5393</v>
      </c>
      <c r="B1898" t="s">
        <v>5026</v>
      </c>
      <c r="C1898" t="str">
        <f t="shared" si="58"/>
        <v>śląskie_zawierciański</v>
      </c>
      <c r="D1898" t="s">
        <v>4013</v>
      </c>
      <c r="E1898" t="str">
        <f t="shared" si="59"/>
        <v>śląskie_zawierciański_Irządze</v>
      </c>
      <c r="F1898" t="s">
        <v>1839</v>
      </c>
    </row>
    <row r="1899" spans="1:6" x14ac:dyDescent="0.3">
      <c r="A1899" t="s">
        <v>5393</v>
      </c>
      <c r="B1899" t="s">
        <v>5026</v>
      </c>
      <c r="C1899" t="str">
        <f t="shared" si="58"/>
        <v>śląskie_zawierciański</v>
      </c>
      <c r="D1899" t="s">
        <v>4014</v>
      </c>
      <c r="E1899" t="str">
        <f t="shared" si="59"/>
        <v>śląskie_zawierciański_Kroczyce</v>
      </c>
      <c r="F1899" t="s">
        <v>1840</v>
      </c>
    </row>
    <row r="1900" spans="1:6" x14ac:dyDescent="0.3">
      <c r="A1900" t="s">
        <v>5393</v>
      </c>
      <c r="B1900" t="s">
        <v>5026</v>
      </c>
      <c r="C1900" t="str">
        <f t="shared" si="58"/>
        <v>śląskie_zawierciański</v>
      </c>
      <c r="D1900" t="s">
        <v>4015</v>
      </c>
      <c r="E1900" t="str">
        <f t="shared" si="59"/>
        <v>śląskie_zawierciański_Łazy</v>
      </c>
      <c r="F1900" t="s">
        <v>1841</v>
      </c>
    </row>
    <row r="1901" spans="1:6" x14ac:dyDescent="0.3">
      <c r="A1901" t="s">
        <v>5393</v>
      </c>
      <c r="B1901" t="s">
        <v>5026</v>
      </c>
      <c r="C1901" t="str">
        <f t="shared" si="58"/>
        <v>śląskie_zawierciański</v>
      </c>
      <c r="D1901" t="s">
        <v>4016</v>
      </c>
      <c r="E1901" t="str">
        <f t="shared" si="59"/>
        <v>śląskie_zawierciański_Ogrodzieniec</v>
      </c>
      <c r="F1901" t="s">
        <v>1842</v>
      </c>
    </row>
    <row r="1902" spans="1:6" x14ac:dyDescent="0.3">
      <c r="A1902" t="s">
        <v>5393</v>
      </c>
      <c r="B1902" t="s">
        <v>5026</v>
      </c>
      <c r="C1902" t="str">
        <f t="shared" si="58"/>
        <v>śląskie_zawierciański</v>
      </c>
      <c r="D1902" t="s">
        <v>4017</v>
      </c>
      <c r="E1902" t="str">
        <f t="shared" si="59"/>
        <v>śląskie_zawierciański_Pilica</v>
      </c>
      <c r="F1902" t="s">
        <v>1843</v>
      </c>
    </row>
    <row r="1903" spans="1:6" x14ac:dyDescent="0.3">
      <c r="A1903" t="s">
        <v>5393</v>
      </c>
      <c r="B1903" t="s">
        <v>5026</v>
      </c>
      <c r="C1903" t="str">
        <f t="shared" si="58"/>
        <v>śląskie_zawierciański</v>
      </c>
      <c r="D1903" t="s">
        <v>4011</v>
      </c>
      <c r="E1903" t="str">
        <f t="shared" si="59"/>
        <v>śląskie_zawierciański_Poręba</v>
      </c>
      <c r="F1903" t="s">
        <v>1837</v>
      </c>
    </row>
    <row r="1904" spans="1:6" x14ac:dyDescent="0.3">
      <c r="A1904" t="s">
        <v>5393</v>
      </c>
      <c r="B1904" t="s">
        <v>5026</v>
      </c>
      <c r="C1904" t="str">
        <f t="shared" si="58"/>
        <v>śląskie_zawierciański</v>
      </c>
      <c r="D1904" t="s">
        <v>4018</v>
      </c>
      <c r="E1904" t="str">
        <f t="shared" si="59"/>
        <v>śląskie_zawierciański_Szczekociny</v>
      </c>
      <c r="F1904" t="s">
        <v>1844</v>
      </c>
    </row>
    <row r="1905" spans="1:6" x14ac:dyDescent="0.3">
      <c r="A1905" t="s">
        <v>5393</v>
      </c>
      <c r="B1905" t="s">
        <v>5026</v>
      </c>
      <c r="C1905" t="str">
        <f t="shared" si="58"/>
        <v>śląskie_zawierciański</v>
      </c>
      <c r="D1905" t="s">
        <v>4019</v>
      </c>
      <c r="E1905" t="str">
        <f t="shared" si="59"/>
        <v>śląskie_zawierciański_Włodowice</v>
      </c>
      <c r="F1905" t="s">
        <v>5525</v>
      </c>
    </row>
    <row r="1906" spans="1:6" x14ac:dyDescent="0.3">
      <c r="A1906" t="s">
        <v>5393</v>
      </c>
      <c r="B1906" t="s">
        <v>5026</v>
      </c>
      <c r="C1906" t="str">
        <f t="shared" si="58"/>
        <v>śląskie_zawierciański</v>
      </c>
      <c r="D1906" t="s">
        <v>4012</v>
      </c>
      <c r="E1906" t="str">
        <f t="shared" si="59"/>
        <v>śląskie_zawierciański_Zawiercie</v>
      </c>
      <c r="F1906" t="s">
        <v>1838</v>
      </c>
    </row>
    <row r="1907" spans="1:6" x14ac:dyDescent="0.3">
      <c r="A1907" t="s">
        <v>5393</v>
      </c>
      <c r="B1907" t="s">
        <v>5026</v>
      </c>
      <c r="C1907" t="str">
        <f t="shared" si="58"/>
        <v>śląskie_zawierciański</v>
      </c>
      <c r="D1907" t="s">
        <v>4020</v>
      </c>
      <c r="E1907" t="str">
        <f t="shared" si="59"/>
        <v>śląskie_zawierciański_Żarnowiec</v>
      </c>
      <c r="F1907" t="s">
        <v>1846</v>
      </c>
    </row>
    <row r="1908" spans="1:6" x14ac:dyDescent="0.3">
      <c r="A1908" t="s">
        <v>5393</v>
      </c>
      <c r="B1908" t="s">
        <v>4053</v>
      </c>
      <c r="C1908" t="str">
        <f t="shared" si="58"/>
        <v>śląskie_Żory</v>
      </c>
      <c r="D1908" t="s">
        <v>4053</v>
      </c>
      <c r="E1908" t="str">
        <f t="shared" si="59"/>
        <v>śląskie_Żory_Żory</v>
      </c>
      <c r="F1908" t="s">
        <v>1880</v>
      </c>
    </row>
    <row r="1909" spans="1:6" x14ac:dyDescent="0.3">
      <c r="A1909" t="s">
        <v>5393</v>
      </c>
      <c r="B1909" t="s">
        <v>5027</v>
      </c>
      <c r="C1909" t="str">
        <f t="shared" si="58"/>
        <v>śląskie_żywiecki</v>
      </c>
      <c r="D1909" t="s">
        <v>3108</v>
      </c>
      <c r="E1909" t="str">
        <f t="shared" si="59"/>
        <v>śląskie_żywiecki_Czernichów</v>
      </c>
      <c r="F1909" t="s">
        <v>1848</v>
      </c>
    </row>
    <row r="1910" spans="1:6" x14ac:dyDescent="0.3">
      <c r="A1910" t="s">
        <v>5393</v>
      </c>
      <c r="B1910" t="s">
        <v>5027</v>
      </c>
      <c r="C1910" t="str">
        <f t="shared" si="58"/>
        <v>śląskie_żywiecki</v>
      </c>
      <c r="D1910" t="s">
        <v>4022</v>
      </c>
      <c r="E1910" t="str">
        <f t="shared" si="59"/>
        <v>śląskie_żywiecki_Gilowice</v>
      </c>
      <c r="F1910" t="s">
        <v>1849</v>
      </c>
    </row>
    <row r="1911" spans="1:6" x14ac:dyDescent="0.3">
      <c r="A1911" t="s">
        <v>5393</v>
      </c>
      <c r="B1911" t="s">
        <v>5027</v>
      </c>
      <c r="C1911" t="str">
        <f t="shared" si="58"/>
        <v>śląskie_żywiecki</v>
      </c>
      <c r="D1911" t="s">
        <v>4023</v>
      </c>
      <c r="E1911" t="str">
        <f t="shared" si="59"/>
        <v>śląskie_żywiecki_Jeleśnia</v>
      </c>
      <c r="F1911" t="s">
        <v>1850</v>
      </c>
    </row>
    <row r="1912" spans="1:6" x14ac:dyDescent="0.3">
      <c r="A1912" t="s">
        <v>5393</v>
      </c>
      <c r="B1912" t="s">
        <v>5027</v>
      </c>
      <c r="C1912" t="str">
        <f t="shared" si="58"/>
        <v>śląskie_żywiecki</v>
      </c>
      <c r="D1912" t="s">
        <v>4024</v>
      </c>
      <c r="E1912" t="str">
        <f t="shared" si="59"/>
        <v>śląskie_żywiecki_Koszarawa</v>
      </c>
      <c r="F1912" t="s">
        <v>1851</v>
      </c>
    </row>
    <row r="1913" spans="1:6" x14ac:dyDescent="0.3">
      <c r="A1913" t="s">
        <v>5393</v>
      </c>
      <c r="B1913" t="s">
        <v>5027</v>
      </c>
      <c r="C1913" t="str">
        <f t="shared" si="58"/>
        <v>śląskie_żywiecki</v>
      </c>
      <c r="D1913" t="s">
        <v>4025</v>
      </c>
      <c r="E1913" t="str">
        <f t="shared" si="59"/>
        <v>śląskie_żywiecki_Lipowa</v>
      </c>
      <c r="F1913" t="s">
        <v>1852</v>
      </c>
    </row>
    <row r="1914" spans="1:6" x14ac:dyDescent="0.3">
      <c r="A1914" t="s">
        <v>5393</v>
      </c>
      <c r="B1914" t="s">
        <v>5027</v>
      </c>
      <c r="C1914" t="str">
        <f t="shared" si="58"/>
        <v>śląskie_żywiecki</v>
      </c>
      <c r="D1914" t="s">
        <v>4026</v>
      </c>
      <c r="E1914" t="str">
        <f t="shared" si="59"/>
        <v>śląskie_żywiecki_Łękawica</v>
      </c>
      <c r="F1914" t="s">
        <v>1853</v>
      </c>
    </row>
    <row r="1915" spans="1:6" x14ac:dyDescent="0.3">
      <c r="A1915" t="s">
        <v>5393</v>
      </c>
      <c r="B1915" t="s">
        <v>5027</v>
      </c>
      <c r="C1915" t="str">
        <f t="shared" si="58"/>
        <v>śląskie_żywiecki</v>
      </c>
      <c r="D1915" t="s">
        <v>4027</v>
      </c>
      <c r="E1915" t="str">
        <f t="shared" si="59"/>
        <v>śląskie_żywiecki_Łodygowice</v>
      </c>
      <c r="F1915" t="s">
        <v>1854</v>
      </c>
    </row>
    <row r="1916" spans="1:6" x14ac:dyDescent="0.3">
      <c r="A1916" t="s">
        <v>5393</v>
      </c>
      <c r="B1916" t="s">
        <v>5027</v>
      </c>
      <c r="C1916" t="str">
        <f t="shared" si="58"/>
        <v>śląskie_żywiecki</v>
      </c>
      <c r="D1916" t="s">
        <v>4028</v>
      </c>
      <c r="E1916" t="str">
        <f t="shared" si="59"/>
        <v>śląskie_żywiecki_Milówka</v>
      </c>
      <c r="F1916" t="s">
        <v>1855</v>
      </c>
    </row>
    <row r="1917" spans="1:6" x14ac:dyDescent="0.3">
      <c r="A1917" t="s">
        <v>5393</v>
      </c>
      <c r="B1917" t="s">
        <v>5027</v>
      </c>
      <c r="C1917" t="str">
        <f t="shared" si="58"/>
        <v>śląskie_żywiecki</v>
      </c>
      <c r="D1917" t="s">
        <v>4029</v>
      </c>
      <c r="E1917" t="str">
        <f t="shared" si="59"/>
        <v>śląskie_żywiecki_Radziechowy-Wieprz</v>
      </c>
      <c r="F1917" t="s">
        <v>1856</v>
      </c>
    </row>
    <row r="1918" spans="1:6" x14ac:dyDescent="0.3">
      <c r="A1918" t="s">
        <v>5393</v>
      </c>
      <c r="B1918" t="s">
        <v>5027</v>
      </c>
      <c r="C1918" t="str">
        <f t="shared" si="58"/>
        <v>śląskie_żywiecki</v>
      </c>
      <c r="D1918" t="s">
        <v>4030</v>
      </c>
      <c r="E1918" t="str">
        <f t="shared" si="59"/>
        <v>śląskie_żywiecki_Rajcza</v>
      </c>
      <c r="F1918" t="s">
        <v>1857</v>
      </c>
    </row>
    <row r="1919" spans="1:6" x14ac:dyDescent="0.3">
      <c r="A1919" t="s">
        <v>5393</v>
      </c>
      <c r="B1919" t="s">
        <v>5027</v>
      </c>
      <c r="C1919" t="str">
        <f t="shared" si="58"/>
        <v>śląskie_żywiecki</v>
      </c>
      <c r="D1919" t="s">
        <v>4031</v>
      </c>
      <c r="E1919" t="str">
        <f t="shared" si="59"/>
        <v>śląskie_żywiecki_Ślemień</v>
      </c>
      <c r="F1919" t="s">
        <v>1858</v>
      </c>
    </row>
    <row r="1920" spans="1:6" x14ac:dyDescent="0.3">
      <c r="A1920" t="s">
        <v>5393</v>
      </c>
      <c r="B1920" t="s">
        <v>5027</v>
      </c>
      <c r="C1920" t="str">
        <f t="shared" si="58"/>
        <v>śląskie_żywiecki</v>
      </c>
      <c r="D1920" t="s">
        <v>4032</v>
      </c>
      <c r="E1920" t="str">
        <f t="shared" si="59"/>
        <v>śląskie_żywiecki_Świnna</v>
      </c>
      <c r="F1920" t="s">
        <v>1859</v>
      </c>
    </row>
    <row r="1921" spans="1:6" x14ac:dyDescent="0.3">
      <c r="A1921" t="s">
        <v>5393</v>
      </c>
      <c r="B1921" t="s">
        <v>5027</v>
      </c>
      <c r="C1921" t="str">
        <f t="shared" ref="C1921:C1984" si="60">CONCATENATE(A1921,"_",B1921)</f>
        <v>śląskie_żywiecki</v>
      </c>
      <c r="D1921" t="s">
        <v>4033</v>
      </c>
      <c r="E1921" t="str">
        <f t="shared" ref="E1921:E1984" si="61">C1921&amp;"_"&amp;D1921</f>
        <v>śląskie_żywiecki_Ujsoły</v>
      </c>
      <c r="F1921" t="s">
        <v>1860</v>
      </c>
    </row>
    <row r="1922" spans="1:6" x14ac:dyDescent="0.3">
      <c r="A1922" t="s">
        <v>5393</v>
      </c>
      <c r="B1922" t="s">
        <v>5027</v>
      </c>
      <c r="C1922" t="str">
        <f t="shared" si="60"/>
        <v>śląskie_żywiecki</v>
      </c>
      <c r="D1922" t="s">
        <v>4034</v>
      </c>
      <c r="E1922" t="str">
        <f t="shared" si="61"/>
        <v>śląskie_żywiecki_Węgierska Górka</v>
      </c>
      <c r="F1922" t="s">
        <v>1861</v>
      </c>
    </row>
    <row r="1923" spans="1:6" x14ac:dyDescent="0.3">
      <c r="A1923" t="s">
        <v>5393</v>
      </c>
      <c r="B1923" t="s">
        <v>5027</v>
      </c>
      <c r="C1923" t="str">
        <f t="shared" si="60"/>
        <v>śląskie_żywiecki</v>
      </c>
      <c r="D1923" t="s">
        <v>4021</v>
      </c>
      <c r="E1923" t="str">
        <f t="shared" si="61"/>
        <v>śląskie_żywiecki_Żywiec</v>
      </c>
      <c r="F1923" t="s">
        <v>1847</v>
      </c>
    </row>
    <row r="1924" spans="1:6" x14ac:dyDescent="0.3">
      <c r="A1924" t="s">
        <v>5389</v>
      </c>
      <c r="B1924" t="s">
        <v>5028</v>
      </c>
      <c r="C1924" t="str">
        <f t="shared" si="60"/>
        <v>świętokrzyskie_buski</v>
      </c>
      <c r="D1924" t="s">
        <v>4054</v>
      </c>
      <c r="E1924" t="str">
        <f t="shared" si="61"/>
        <v>świętokrzyskie_buski_Busko-Zdrój</v>
      </c>
      <c r="F1924" t="s">
        <v>1881</v>
      </c>
    </row>
    <row r="1925" spans="1:6" x14ac:dyDescent="0.3">
      <c r="A1925" t="s">
        <v>5389</v>
      </c>
      <c r="B1925" t="s">
        <v>5028</v>
      </c>
      <c r="C1925" t="str">
        <f t="shared" si="60"/>
        <v>świętokrzyskie_buski</v>
      </c>
      <c r="D1925" t="s">
        <v>4055</v>
      </c>
      <c r="E1925" t="str">
        <f t="shared" si="61"/>
        <v>świętokrzyskie_buski_Gnojno</v>
      </c>
      <c r="F1925" t="s">
        <v>1882</v>
      </c>
    </row>
    <row r="1926" spans="1:6" x14ac:dyDescent="0.3">
      <c r="A1926" t="s">
        <v>5389</v>
      </c>
      <c r="B1926" t="s">
        <v>5028</v>
      </c>
      <c r="C1926" t="str">
        <f t="shared" si="60"/>
        <v>świętokrzyskie_buski</v>
      </c>
      <c r="D1926" t="s">
        <v>4056</v>
      </c>
      <c r="E1926" t="str">
        <f t="shared" si="61"/>
        <v>świętokrzyskie_buski_Nowy Korczyn</v>
      </c>
      <c r="F1926" t="s">
        <v>5421</v>
      </c>
    </row>
    <row r="1927" spans="1:6" x14ac:dyDescent="0.3">
      <c r="A1927" t="s">
        <v>5389</v>
      </c>
      <c r="B1927" t="s">
        <v>5028</v>
      </c>
      <c r="C1927" t="str">
        <f t="shared" si="60"/>
        <v>świętokrzyskie_buski</v>
      </c>
      <c r="D1927" t="s">
        <v>4057</v>
      </c>
      <c r="E1927" t="str">
        <f t="shared" si="61"/>
        <v>świętokrzyskie_buski_Pacanów</v>
      </c>
      <c r="F1927" t="s">
        <v>5426</v>
      </c>
    </row>
    <row r="1928" spans="1:6" x14ac:dyDescent="0.3">
      <c r="A1928" t="s">
        <v>5389</v>
      </c>
      <c r="B1928" t="s">
        <v>5028</v>
      </c>
      <c r="C1928" t="str">
        <f t="shared" si="60"/>
        <v>świętokrzyskie_buski</v>
      </c>
      <c r="D1928" t="s">
        <v>4058</v>
      </c>
      <c r="E1928" t="str">
        <f t="shared" si="61"/>
        <v>świętokrzyskie_buski_Solec-Zdrój</v>
      </c>
      <c r="F1928" t="s">
        <v>1883</v>
      </c>
    </row>
    <row r="1929" spans="1:6" x14ac:dyDescent="0.3">
      <c r="A1929" t="s">
        <v>5389</v>
      </c>
      <c r="B1929" t="s">
        <v>5028</v>
      </c>
      <c r="C1929" t="str">
        <f t="shared" si="60"/>
        <v>świętokrzyskie_buski</v>
      </c>
      <c r="D1929" t="s">
        <v>4059</v>
      </c>
      <c r="E1929" t="str">
        <f t="shared" si="61"/>
        <v>świętokrzyskie_buski_Stopnica</v>
      </c>
      <c r="F1929" t="s">
        <v>5443</v>
      </c>
    </row>
    <row r="1930" spans="1:6" x14ac:dyDescent="0.3">
      <c r="A1930" t="s">
        <v>5389</v>
      </c>
      <c r="B1930" t="s">
        <v>5028</v>
      </c>
      <c r="C1930" t="str">
        <f t="shared" si="60"/>
        <v>świętokrzyskie_buski</v>
      </c>
      <c r="D1930" t="s">
        <v>4060</v>
      </c>
      <c r="E1930" t="str">
        <f t="shared" si="61"/>
        <v>świętokrzyskie_buski_Tuczępy</v>
      </c>
      <c r="F1930" t="s">
        <v>1884</v>
      </c>
    </row>
    <row r="1931" spans="1:6" x14ac:dyDescent="0.3">
      <c r="A1931" t="s">
        <v>5389</v>
      </c>
      <c r="B1931" t="s">
        <v>5028</v>
      </c>
      <c r="C1931" t="str">
        <f t="shared" si="60"/>
        <v>świętokrzyskie_buski</v>
      </c>
      <c r="D1931" t="s">
        <v>4061</v>
      </c>
      <c r="E1931" t="str">
        <f t="shared" si="61"/>
        <v>świętokrzyskie_buski_Wiślica</v>
      </c>
      <c r="F1931" t="s">
        <v>5451</v>
      </c>
    </row>
    <row r="1932" spans="1:6" x14ac:dyDescent="0.3">
      <c r="A1932" t="s">
        <v>5389</v>
      </c>
      <c r="B1932" t="s">
        <v>5029</v>
      </c>
      <c r="C1932" t="str">
        <f t="shared" si="60"/>
        <v>świętokrzyskie_jędrzejowski</v>
      </c>
      <c r="D1932" t="s">
        <v>4062</v>
      </c>
      <c r="E1932" t="str">
        <f t="shared" si="61"/>
        <v>świętokrzyskie_jędrzejowski_Imielno</v>
      </c>
      <c r="F1932" t="s">
        <v>1885</v>
      </c>
    </row>
    <row r="1933" spans="1:6" x14ac:dyDescent="0.3">
      <c r="A1933" t="s">
        <v>5389</v>
      </c>
      <c r="B1933" t="s">
        <v>5029</v>
      </c>
      <c r="C1933" t="str">
        <f t="shared" si="60"/>
        <v>świętokrzyskie_jędrzejowski</v>
      </c>
      <c r="D1933" t="s">
        <v>4063</v>
      </c>
      <c r="E1933" t="str">
        <f t="shared" si="61"/>
        <v>świętokrzyskie_jędrzejowski_Jędrzejów</v>
      </c>
      <c r="F1933" t="s">
        <v>1886</v>
      </c>
    </row>
    <row r="1934" spans="1:6" x14ac:dyDescent="0.3">
      <c r="A1934" t="s">
        <v>5389</v>
      </c>
      <c r="B1934" t="s">
        <v>5029</v>
      </c>
      <c r="C1934" t="str">
        <f t="shared" si="60"/>
        <v>świętokrzyskie_jędrzejowski</v>
      </c>
      <c r="D1934" t="s">
        <v>4064</v>
      </c>
      <c r="E1934" t="str">
        <f t="shared" si="61"/>
        <v>świętokrzyskie_jędrzejowski_Małogoszcz</v>
      </c>
      <c r="F1934" t="s">
        <v>1887</v>
      </c>
    </row>
    <row r="1935" spans="1:6" x14ac:dyDescent="0.3">
      <c r="A1935" t="s">
        <v>5389</v>
      </c>
      <c r="B1935" t="s">
        <v>5029</v>
      </c>
      <c r="C1935" t="str">
        <f t="shared" si="60"/>
        <v>świętokrzyskie_jędrzejowski</v>
      </c>
      <c r="D1935" t="s">
        <v>4065</v>
      </c>
      <c r="E1935" t="str">
        <f t="shared" si="61"/>
        <v>świętokrzyskie_jędrzejowski_Nagłowice</v>
      </c>
      <c r="F1935" t="s">
        <v>1888</v>
      </c>
    </row>
    <row r="1936" spans="1:6" x14ac:dyDescent="0.3">
      <c r="A1936" t="s">
        <v>5389</v>
      </c>
      <c r="B1936" t="s">
        <v>5029</v>
      </c>
      <c r="C1936" t="str">
        <f t="shared" si="60"/>
        <v>świętokrzyskie_jędrzejowski</v>
      </c>
      <c r="D1936" t="s">
        <v>4066</v>
      </c>
      <c r="E1936" t="str">
        <f t="shared" si="61"/>
        <v>świętokrzyskie_jędrzejowski_Oksa</v>
      </c>
      <c r="F1936" t="s">
        <v>1889</v>
      </c>
    </row>
    <row r="1937" spans="1:6" x14ac:dyDescent="0.3">
      <c r="A1937" t="s">
        <v>5389</v>
      </c>
      <c r="B1937" t="s">
        <v>5029</v>
      </c>
      <c r="C1937" t="str">
        <f t="shared" si="60"/>
        <v>świętokrzyskie_jędrzejowski</v>
      </c>
      <c r="D1937" t="s">
        <v>4067</v>
      </c>
      <c r="E1937" t="str">
        <f t="shared" si="61"/>
        <v>świętokrzyskie_jędrzejowski_Sędziszów</v>
      </c>
      <c r="F1937" t="s">
        <v>1890</v>
      </c>
    </row>
    <row r="1938" spans="1:6" x14ac:dyDescent="0.3">
      <c r="A1938" t="s">
        <v>5389</v>
      </c>
      <c r="B1938" t="s">
        <v>5029</v>
      </c>
      <c r="C1938" t="str">
        <f t="shared" si="60"/>
        <v>świętokrzyskie_jędrzejowski</v>
      </c>
      <c r="D1938" t="s">
        <v>3041</v>
      </c>
      <c r="E1938" t="str">
        <f t="shared" si="61"/>
        <v>świętokrzyskie_jędrzejowski_Słupia</v>
      </c>
      <c r="F1938" t="s">
        <v>1891</v>
      </c>
    </row>
    <row r="1939" spans="1:6" x14ac:dyDescent="0.3">
      <c r="A1939" t="s">
        <v>5389</v>
      </c>
      <c r="B1939" t="s">
        <v>5029</v>
      </c>
      <c r="C1939" t="str">
        <f t="shared" si="60"/>
        <v>świętokrzyskie_jędrzejowski</v>
      </c>
      <c r="D1939" t="s">
        <v>4068</v>
      </c>
      <c r="E1939" t="str">
        <f t="shared" si="61"/>
        <v>świętokrzyskie_jędrzejowski_Sobków</v>
      </c>
      <c r="F1939" t="s">
        <v>5526</v>
      </c>
    </row>
    <row r="1940" spans="1:6" x14ac:dyDescent="0.3">
      <c r="A1940" t="s">
        <v>5389</v>
      </c>
      <c r="B1940" t="s">
        <v>5029</v>
      </c>
      <c r="C1940" t="str">
        <f t="shared" si="60"/>
        <v>świętokrzyskie_jędrzejowski</v>
      </c>
      <c r="D1940" t="s">
        <v>4069</v>
      </c>
      <c r="E1940" t="str">
        <f t="shared" si="61"/>
        <v>świętokrzyskie_jędrzejowski_Wodzisław</v>
      </c>
      <c r="F1940" t="s">
        <v>5453</v>
      </c>
    </row>
    <row r="1941" spans="1:6" x14ac:dyDescent="0.3">
      <c r="A1941" t="s">
        <v>5389</v>
      </c>
      <c r="B1941" t="s">
        <v>5030</v>
      </c>
      <c r="C1941" t="str">
        <f t="shared" si="60"/>
        <v>świętokrzyskie_kazimierski</v>
      </c>
      <c r="D1941" t="s">
        <v>4070</v>
      </c>
      <c r="E1941" t="str">
        <f t="shared" si="61"/>
        <v>świętokrzyskie_kazimierski_Bejsce</v>
      </c>
      <c r="F1941" t="s">
        <v>1893</v>
      </c>
    </row>
    <row r="1942" spans="1:6" x14ac:dyDescent="0.3">
      <c r="A1942" t="s">
        <v>5389</v>
      </c>
      <c r="B1942" t="s">
        <v>5030</v>
      </c>
      <c r="C1942" t="str">
        <f t="shared" si="60"/>
        <v>świętokrzyskie_kazimierski</v>
      </c>
      <c r="D1942" t="s">
        <v>2992</v>
      </c>
      <c r="E1942" t="str">
        <f t="shared" si="61"/>
        <v>świętokrzyskie_kazimierski_Czarnocin</v>
      </c>
      <c r="F1942" t="s">
        <v>1894</v>
      </c>
    </row>
    <row r="1943" spans="1:6" x14ac:dyDescent="0.3">
      <c r="A1943" t="s">
        <v>5389</v>
      </c>
      <c r="B1943" t="s">
        <v>5030</v>
      </c>
      <c r="C1943" t="str">
        <f t="shared" si="60"/>
        <v>świętokrzyskie_kazimierski</v>
      </c>
      <c r="D1943" t="s">
        <v>4071</v>
      </c>
      <c r="E1943" t="str">
        <f t="shared" si="61"/>
        <v>świętokrzyskie_kazimierski_Kazimierza Wielka</v>
      </c>
      <c r="F1943" t="s">
        <v>1895</v>
      </c>
    </row>
    <row r="1944" spans="1:6" x14ac:dyDescent="0.3">
      <c r="A1944" t="s">
        <v>5389</v>
      </c>
      <c r="B1944" t="s">
        <v>5030</v>
      </c>
      <c r="C1944" t="str">
        <f t="shared" si="60"/>
        <v>świętokrzyskie_kazimierski</v>
      </c>
      <c r="D1944" t="s">
        <v>4072</v>
      </c>
      <c r="E1944" t="str">
        <f t="shared" si="61"/>
        <v>świętokrzyskie_kazimierski_Opatowiec</v>
      </c>
      <c r="F1944" t="s">
        <v>5423</v>
      </c>
    </row>
    <row r="1945" spans="1:6" x14ac:dyDescent="0.3">
      <c r="A1945" t="s">
        <v>5389</v>
      </c>
      <c r="B1945" t="s">
        <v>5030</v>
      </c>
      <c r="C1945" t="str">
        <f t="shared" si="60"/>
        <v>świętokrzyskie_kazimierski</v>
      </c>
      <c r="D1945" t="s">
        <v>4073</v>
      </c>
      <c r="E1945" t="str">
        <f t="shared" si="61"/>
        <v>świętokrzyskie_kazimierski_Skalbmierz</v>
      </c>
      <c r="F1945" t="s">
        <v>1896</v>
      </c>
    </row>
    <row r="1946" spans="1:6" x14ac:dyDescent="0.3">
      <c r="A1946" t="s">
        <v>5389</v>
      </c>
      <c r="B1946" t="s">
        <v>4143</v>
      </c>
      <c r="C1946" t="str">
        <f t="shared" si="60"/>
        <v>świętokrzyskie_Kielce</v>
      </c>
      <c r="D1946" t="s">
        <v>4143</v>
      </c>
      <c r="E1946" t="str">
        <f t="shared" si="61"/>
        <v>świętokrzyskie_Kielce_Kielce</v>
      </c>
      <c r="F1946" t="s">
        <v>1968</v>
      </c>
    </row>
    <row r="1947" spans="1:6" x14ac:dyDescent="0.3">
      <c r="A1947" t="s">
        <v>5389</v>
      </c>
      <c r="B1947" t="s">
        <v>5031</v>
      </c>
      <c r="C1947" t="str">
        <f t="shared" si="60"/>
        <v>świętokrzyskie_kielecki</v>
      </c>
      <c r="D1947" t="s">
        <v>4074</v>
      </c>
      <c r="E1947" t="str">
        <f t="shared" si="61"/>
        <v>świętokrzyskie_kielecki_Bieliny</v>
      </c>
      <c r="F1947" t="s">
        <v>1897</v>
      </c>
    </row>
    <row r="1948" spans="1:6" x14ac:dyDescent="0.3">
      <c r="A1948" t="s">
        <v>5389</v>
      </c>
      <c r="B1948" t="s">
        <v>5031</v>
      </c>
      <c r="C1948" t="str">
        <f t="shared" si="60"/>
        <v>świętokrzyskie_kielecki</v>
      </c>
      <c r="D1948" t="s">
        <v>4075</v>
      </c>
      <c r="E1948" t="str">
        <f t="shared" si="61"/>
        <v>świętokrzyskie_kielecki_Bodzentyn</v>
      </c>
      <c r="F1948" t="s">
        <v>1898</v>
      </c>
    </row>
    <row r="1949" spans="1:6" x14ac:dyDescent="0.3">
      <c r="A1949" t="s">
        <v>5389</v>
      </c>
      <c r="B1949" t="s">
        <v>5031</v>
      </c>
      <c r="C1949" t="str">
        <f t="shared" si="60"/>
        <v>świętokrzyskie_kielecki</v>
      </c>
      <c r="D1949" t="s">
        <v>4076</v>
      </c>
      <c r="E1949" t="str">
        <f t="shared" si="61"/>
        <v>świętokrzyskie_kielecki_Chęciny</v>
      </c>
      <c r="F1949" t="s">
        <v>1899</v>
      </c>
    </row>
    <row r="1950" spans="1:6" x14ac:dyDescent="0.3">
      <c r="A1950" t="s">
        <v>5389</v>
      </c>
      <c r="B1950" t="s">
        <v>5031</v>
      </c>
      <c r="C1950" t="str">
        <f t="shared" si="60"/>
        <v>świętokrzyskie_kielecki</v>
      </c>
      <c r="D1950" t="s">
        <v>3667</v>
      </c>
      <c r="E1950" t="str">
        <f t="shared" si="61"/>
        <v>świętokrzyskie_kielecki_Chmielnik</v>
      </c>
      <c r="F1950" t="s">
        <v>1900</v>
      </c>
    </row>
    <row r="1951" spans="1:6" x14ac:dyDescent="0.3">
      <c r="A1951" t="s">
        <v>5389</v>
      </c>
      <c r="B1951" t="s">
        <v>5031</v>
      </c>
      <c r="C1951" t="str">
        <f t="shared" si="60"/>
        <v>świętokrzyskie_kielecki</v>
      </c>
      <c r="D1951" t="s">
        <v>4077</v>
      </c>
      <c r="E1951" t="str">
        <f t="shared" si="61"/>
        <v>świętokrzyskie_kielecki_Daleszyce</v>
      </c>
      <c r="F1951" t="s">
        <v>1901</v>
      </c>
    </row>
    <row r="1952" spans="1:6" x14ac:dyDescent="0.3">
      <c r="A1952" t="s">
        <v>5389</v>
      </c>
      <c r="B1952" t="s">
        <v>5031</v>
      </c>
      <c r="C1952" t="str">
        <f t="shared" si="60"/>
        <v>świętokrzyskie_kielecki</v>
      </c>
      <c r="D1952" t="s">
        <v>4078</v>
      </c>
      <c r="E1952" t="str">
        <f t="shared" si="61"/>
        <v>świętokrzyskie_kielecki_Górno</v>
      </c>
      <c r="F1952" t="s">
        <v>1902</v>
      </c>
    </row>
    <row r="1953" spans="1:6" x14ac:dyDescent="0.3">
      <c r="A1953" t="s">
        <v>5389</v>
      </c>
      <c r="B1953" t="s">
        <v>5031</v>
      </c>
      <c r="C1953" t="str">
        <f t="shared" si="60"/>
        <v>świętokrzyskie_kielecki</v>
      </c>
      <c r="D1953" t="s">
        <v>2898</v>
      </c>
      <c r="E1953" t="str">
        <f t="shared" si="61"/>
        <v>świętokrzyskie_kielecki_Łagów</v>
      </c>
      <c r="F1953" t="s">
        <v>5415</v>
      </c>
    </row>
    <row r="1954" spans="1:6" x14ac:dyDescent="0.3">
      <c r="A1954" t="s">
        <v>5389</v>
      </c>
      <c r="B1954" t="s">
        <v>5031</v>
      </c>
      <c r="C1954" t="str">
        <f t="shared" si="60"/>
        <v>świętokrzyskie_kielecki</v>
      </c>
      <c r="D1954" t="s">
        <v>4079</v>
      </c>
      <c r="E1954" t="str">
        <f t="shared" si="61"/>
        <v>świętokrzyskie_kielecki_Łopuszno</v>
      </c>
      <c r="F1954" t="s">
        <v>5527</v>
      </c>
    </row>
    <row r="1955" spans="1:6" x14ac:dyDescent="0.3">
      <c r="A1955" t="s">
        <v>5389</v>
      </c>
      <c r="B1955" t="s">
        <v>5031</v>
      </c>
      <c r="C1955" t="str">
        <f t="shared" si="60"/>
        <v>świętokrzyskie_kielecki</v>
      </c>
      <c r="D1955" t="s">
        <v>4080</v>
      </c>
      <c r="E1955" t="str">
        <f t="shared" si="61"/>
        <v>świętokrzyskie_kielecki_Masłów</v>
      </c>
      <c r="F1955" t="s">
        <v>1904</v>
      </c>
    </row>
    <row r="1956" spans="1:6" x14ac:dyDescent="0.3">
      <c r="A1956" t="s">
        <v>5389</v>
      </c>
      <c r="B1956" t="s">
        <v>5031</v>
      </c>
      <c r="C1956" t="str">
        <f t="shared" si="60"/>
        <v>świętokrzyskie_kielecki</v>
      </c>
      <c r="D1956" t="s">
        <v>4081</v>
      </c>
      <c r="E1956" t="str">
        <f t="shared" si="61"/>
        <v>świętokrzyskie_kielecki_Miedziana Góra</v>
      </c>
      <c r="F1956" t="s">
        <v>1905</v>
      </c>
    </row>
    <row r="1957" spans="1:6" x14ac:dyDescent="0.3">
      <c r="A1957" t="s">
        <v>5389</v>
      </c>
      <c r="B1957" t="s">
        <v>5031</v>
      </c>
      <c r="C1957" t="str">
        <f t="shared" si="60"/>
        <v>świętokrzyskie_kielecki</v>
      </c>
      <c r="D1957" t="s">
        <v>4082</v>
      </c>
      <c r="E1957" t="str">
        <f t="shared" si="61"/>
        <v>świętokrzyskie_kielecki_Mniów</v>
      </c>
      <c r="F1957" t="s">
        <v>1906</v>
      </c>
    </row>
    <row r="1958" spans="1:6" x14ac:dyDescent="0.3">
      <c r="A1958" t="s">
        <v>5389</v>
      </c>
      <c r="B1958" t="s">
        <v>5031</v>
      </c>
      <c r="C1958" t="str">
        <f t="shared" si="60"/>
        <v>świętokrzyskie_kielecki</v>
      </c>
      <c r="D1958" t="s">
        <v>4083</v>
      </c>
      <c r="E1958" t="str">
        <f t="shared" si="61"/>
        <v>świętokrzyskie_kielecki_Morawica</v>
      </c>
      <c r="F1958" t="s">
        <v>5418</v>
      </c>
    </row>
    <row r="1959" spans="1:6" x14ac:dyDescent="0.3">
      <c r="A1959" t="s">
        <v>5389</v>
      </c>
      <c r="B1959" t="s">
        <v>5031</v>
      </c>
      <c r="C1959" t="str">
        <f t="shared" si="60"/>
        <v>świętokrzyskie_kielecki</v>
      </c>
      <c r="D1959" t="s">
        <v>4084</v>
      </c>
      <c r="E1959" t="str">
        <f t="shared" si="61"/>
        <v>świętokrzyskie_kielecki_Nowa Słupia</v>
      </c>
      <c r="F1959" t="s">
        <v>5419</v>
      </c>
    </row>
    <row r="1960" spans="1:6" x14ac:dyDescent="0.3">
      <c r="A1960" t="s">
        <v>5389</v>
      </c>
      <c r="B1960" t="s">
        <v>5031</v>
      </c>
      <c r="C1960" t="str">
        <f t="shared" si="60"/>
        <v>świętokrzyskie_kielecki</v>
      </c>
      <c r="D1960" t="s">
        <v>5420</v>
      </c>
      <c r="E1960" t="str">
        <f t="shared" si="61"/>
        <v>świętokrzyskie_kielecki_Nowiny</v>
      </c>
      <c r="F1960" t="s">
        <v>1909</v>
      </c>
    </row>
    <row r="1961" spans="1:6" x14ac:dyDescent="0.3">
      <c r="A1961" t="s">
        <v>5389</v>
      </c>
      <c r="B1961" t="s">
        <v>5031</v>
      </c>
      <c r="C1961" t="str">
        <f t="shared" si="60"/>
        <v>świętokrzyskie_kielecki</v>
      </c>
      <c r="D1961" t="s">
        <v>4085</v>
      </c>
      <c r="E1961" t="str">
        <f t="shared" si="61"/>
        <v>świętokrzyskie_kielecki_Piekoszów</v>
      </c>
      <c r="F1961" t="s">
        <v>5528</v>
      </c>
    </row>
    <row r="1962" spans="1:6" x14ac:dyDescent="0.3">
      <c r="A1962" t="s">
        <v>5389</v>
      </c>
      <c r="B1962" t="s">
        <v>5031</v>
      </c>
      <c r="C1962" t="str">
        <f t="shared" si="60"/>
        <v>świętokrzyskie_kielecki</v>
      </c>
      <c r="D1962" t="s">
        <v>4086</v>
      </c>
      <c r="E1962" t="str">
        <f t="shared" si="61"/>
        <v>świętokrzyskie_kielecki_Pierzchnica</v>
      </c>
      <c r="F1962" t="s">
        <v>5428</v>
      </c>
    </row>
    <row r="1963" spans="1:6" x14ac:dyDescent="0.3">
      <c r="A1963" t="s">
        <v>5389</v>
      </c>
      <c r="B1963" t="s">
        <v>5031</v>
      </c>
      <c r="C1963" t="str">
        <f t="shared" si="60"/>
        <v>świętokrzyskie_kielecki</v>
      </c>
      <c r="D1963" t="s">
        <v>4087</v>
      </c>
      <c r="E1963" t="str">
        <f t="shared" si="61"/>
        <v>świętokrzyskie_kielecki_Raków</v>
      </c>
      <c r="F1963" t="s">
        <v>1908</v>
      </c>
    </row>
    <row r="1964" spans="1:6" x14ac:dyDescent="0.3">
      <c r="A1964" t="s">
        <v>5389</v>
      </c>
      <c r="B1964" t="s">
        <v>5031</v>
      </c>
      <c r="C1964" t="str">
        <f t="shared" si="60"/>
        <v>świętokrzyskie_kielecki</v>
      </c>
      <c r="D1964" t="s">
        <v>4088</v>
      </c>
      <c r="E1964" t="str">
        <f t="shared" si="61"/>
        <v>świętokrzyskie_kielecki_Strawczyn</v>
      </c>
      <c r="F1964" t="s">
        <v>1910</v>
      </c>
    </row>
    <row r="1965" spans="1:6" x14ac:dyDescent="0.3">
      <c r="A1965" t="s">
        <v>5389</v>
      </c>
      <c r="B1965" t="s">
        <v>5031</v>
      </c>
      <c r="C1965" t="str">
        <f t="shared" si="60"/>
        <v>świętokrzyskie_kielecki</v>
      </c>
      <c r="D1965" t="s">
        <v>4089</v>
      </c>
      <c r="E1965" t="str">
        <f t="shared" si="61"/>
        <v>świętokrzyskie_kielecki_Zagnańsk</v>
      </c>
      <c r="F1965" t="s">
        <v>1911</v>
      </c>
    </row>
    <row r="1966" spans="1:6" x14ac:dyDescent="0.3">
      <c r="A1966" t="s">
        <v>5389</v>
      </c>
      <c r="B1966" t="s">
        <v>5032</v>
      </c>
      <c r="C1966" t="str">
        <f t="shared" si="60"/>
        <v>świętokrzyskie_konecki</v>
      </c>
      <c r="D1966" t="s">
        <v>4090</v>
      </c>
      <c r="E1966" t="str">
        <f t="shared" si="61"/>
        <v>świętokrzyskie_konecki_Fałków</v>
      </c>
      <c r="F1966" t="s">
        <v>1912</v>
      </c>
    </row>
    <row r="1967" spans="1:6" x14ac:dyDescent="0.3">
      <c r="A1967" t="s">
        <v>5389</v>
      </c>
      <c r="B1967" t="s">
        <v>5032</v>
      </c>
      <c r="C1967" t="str">
        <f t="shared" si="60"/>
        <v>świętokrzyskie_konecki</v>
      </c>
      <c r="D1967" t="s">
        <v>4091</v>
      </c>
      <c r="E1967" t="str">
        <f t="shared" si="61"/>
        <v>świętokrzyskie_konecki_Gowarczów</v>
      </c>
      <c r="F1967" t="s">
        <v>5529</v>
      </c>
    </row>
    <row r="1968" spans="1:6" x14ac:dyDescent="0.3">
      <c r="A1968" t="s">
        <v>5389</v>
      </c>
      <c r="B1968" t="s">
        <v>5032</v>
      </c>
      <c r="C1968" t="str">
        <f t="shared" si="60"/>
        <v>świętokrzyskie_konecki</v>
      </c>
      <c r="D1968" t="s">
        <v>4092</v>
      </c>
      <c r="E1968" t="str">
        <f t="shared" si="61"/>
        <v>świętokrzyskie_konecki_Końskie</v>
      </c>
      <c r="F1968" t="s">
        <v>1914</v>
      </c>
    </row>
    <row r="1969" spans="1:6" x14ac:dyDescent="0.3">
      <c r="A1969" t="s">
        <v>5389</v>
      </c>
      <c r="B1969" t="s">
        <v>5032</v>
      </c>
      <c r="C1969" t="str">
        <f t="shared" si="60"/>
        <v>świętokrzyskie_konecki</v>
      </c>
      <c r="D1969" t="s">
        <v>4093</v>
      </c>
      <c r="E1969" t="str">
        <f t="shared" si="61"/>
        <v>świętokrzyskie_konecki_Radoszyce</v>
      </c>
      <c r="F1969" t="s">
        <v>5430</v>
      </c>
    </row>
    <row r="1970" spans="1:6" x14ac:dyDescent="0.3">
      <c r="A1970" t="s">
        <v>5389</v>
      </c>
      <c r="B1970" t="s">
        <v>5032</v>
      </c>
      <c r="C1970" t="str">
        <f t="shared" si="60"/>
        <v>świętokrzyskie_konecki</v>
      </c>
      <c r="D1970" t="s">
        <v>4094</v>
      </c>
      <c r="E1970" t="str">
        <f t="shared" si="61"/>
        <v>świętokrzyskie_konecki_Ruda Maleniecka</v>
      </c>
      <c r="F1970" t="s">
        <v>1915</v>
      </c>
    </row>
    <row r="1971" spans="1:6" x14ac:dyDescent="0.3">
      <c r="A1971" t="s">
        <v>5389</v>
      </c>
      <c r="B1971" t="s">
        <v>5032</v>
      </c>
      <c r="C1971" t="str">
        <f t="shared" si="60"/>
        <v>świętokrzyskie_konecki</v>
      </c>
      <c r="D1971" t="s">
        <v>5436</v>
      </c>
      <c r="E1971" t="str">
        <f t="shared" si="61"/>
        <v>świętokrzyskie_konecki_Słupia Konecka</v>
      </c>
      <c r="F1971" t="s">
        <v>1916</v>
      </c>
    </row>
    <row r="1972" spans="1:6" x14ac:dyDescent="0.3">
      <c r="A1972" t="s">
        <v>5389</v>
      </c>
      <c r="B1972" t="s">
        <v>5032</v>
      </c>
      <c r="C1972" t="str">
        <f t="shared" si="60"/>
        <v>świętokrzyskie_konecki</v>
      </c>
      <c r="D1972" t="s">
        <v>4095</v>
      </c>
      <c r="E1972" t="str">
        <f t="shared" si="61"/>
        <v>świętokrzyskie_konecki_Smyków</v>
      </c>
      <c r="F1972" t="s">
        <v>1917</v>
      </c>
    </row>
    <row r="1973" spans="1:6" x14ac:dyDescent="0.3">
      <c r="A1973" t="s">
        <v>5389</v>
      </c>
      <c r="B1973" t="s">
        <v>5032</v>
      </c>
      <c r="C1973" t="str">
        <f t="shared" si="60"/>
        <v>świętokrzyskie_konecki</v>
      </c>
      <c r="D1973" t="s">
        <v>4096</v>
      </c>
      <c r="E1973" t="str">
        <f t="shared" si="61"/>
        <v>świętokrzyskie_konecki_Stąporków</v>
      </c>
      <c r="F1973" s="181" t="s">
        <v>1918</v>
      </c>
    </row>
    <row r="1974" spans="1:6" x14ac:dyDescent="0.3">
      <c r="A1974" t="s">
        <v>5389</v>
      </c>
      <c r="B1974" t="s">
        <v>5033</v>
      </c>
      <c r="C1974" t="str">
        <f t="shared" si="60"/>
        <v>świętokrzyskie_opatowski</v>
      </c>
      <c r="D1974" t="s">
        <v>4097</v>
      </c>
      <c r="E1974" t="str">
        <f t="shared" si="61"/>
        <v>świętokrzyskie_opatowski_Baćkowice</v>
      </c>
      <c r="F1974" t="s">
        <v>1919</v>
      </c>
    </row>
    <row r="1975" spans="1:6" x14ac:dyDescent="0.3">
      <c r="A1975" t="s">
        <v>5389</v>
      </c>
      <c r="B1975" t="s">
        <v>5033</v>
      </c>
      <c r="C1975" t="str">
        <f t="shared" si="60"/>
        <v>świętokrzyskie_opatowski</v>
      </c>
      <c r="D1975" t="s">
        <v>4098</v>
      </c>
      <c r="E1975" t="str">
        <f t="shared" si="61"/>
        <v>świętokrzyskie_opatowski_Iwaniska</v>
      </c>
      <c r="F1975" t="s">
        <v>5467</v>
      </c>
    </row>
    <row r="1976" spans="1:6" x14ac:dyDescent="0.3">
      <c r="A1976" t="s">
        <v>5389</v>
      </c>
      <c r="B1976" t="s">
        <v>5033</v>
      </c>
      <c r="C1976" t="str">
        <f t="shared" si="60"/>
        <v>świętokrzyskie_opatowski</v>
      </c>
      <c r="D1976" t="s">
        <v>4099</v>
      </c>
      <c r="E1976" t="str">
        <f t="shared" si="61"/>
        <v>świętokrzyskie_opatowski_Lipnik</v>
      </c>
      <c r="F1976" t="s">
        <v>1921</v>
      </c>
    </row>
    <row r="1977" spans="1:6" x14ac:dyDescent="0.3">
      <c r="A1977" t="s">
        <v>5389</v>
      </c>
      <c r="B1977" t="s">
        <v>5033</v>
      </c>
      <c r="C1977" t="str">
        <f t="shared" si="60"/>
        <v>świętokrzyskie_opatowski</v>
      </c>
      <c r="D1977" t="s">
        <v>3948</v>
      </c>
      <c r="E1977" t="str">
        <f t="shared" si="61"/>
        <v>świętokrzyskie_opatowski_Opatów</v>
      </c>
      <c r="F1977" t="s">
        <v>1922</v>
      </c>
    </row>
    <row r="1978" spans="1:6" x14ac:dyDescent="0.3">
      <c r="A1978" t="s">
        <v>5389</v>
      </c>
      <c r="B1978" t="s">
        <v>5033</v>
      </c>
      <c r="C1978" t="str">
        <f t="shared" si="60"/>
        <v>świętokrzyskie_opatowski</v>
      </c>
      <c r="D1978" t="s">
        <v>4100</v>
      </c>
      <c r="E1978" t="str">
        <f t="shared" si="61"/>
        <v>świętokrzyskie_opatowski_Ożarów</v>
      </c>
      <c r="F1978" t="s">
        <v>1923</v>
      </c>
    </row>
    <row r="1979" spans="1:6" x14ac:dyDescent="0.3">
      <c r="A1979" t="s">
        <v>5389</v>
      </c>
      <c r="B1979" t="s">
        <v>5033</v>
      </c>
      <c r="C1979" t="str">
        <f t="shared" si="60"/>
        <v>świętokrzyskie_opatowski</v>
      </c>
      <c r="D1979" t="s">
        <v>4101</v>
      </c>
      <c r="E1979" t="str">
        <f t="shared" si="61"/>
        <v>świętokrzyskie_opatowski_Sadowie</v>
      </c>
      <c r="F1979" t="s">
        <v>1924</v>
      </c>
    </row>
    <row r="1980" spans="1:6" x14ac:dyDescent="0.3">
      <c r="A1980" t="s">
        <v>5389</v>
      </c>
      <c r="B1980" t="s">
        <v>5033</v>
      </c>
      <c r="C1980" t="str">
        <f t="shared" si="60"/>
        <v>świętokrzyskie_opatowski</v>
      </c>
      <c r="D1980" t="s">
        <v>4102</v>
      </c>
      <c r="E1980" t="str">
        <f t="shared" si="61"/>
        <v>świętokrzyskie_opatowski_Tarłów</v>
      </c>
      <c r="F1980" t="s">
        <v>1925</v>
      </c>
    </row>
    <row r="1981" spans="1:6" x14ac:dyDescent="0.3">
      <c r="A1981" t="s">
        <v>5389</v>
      </c>
      <c r="B1981" t="s">
        <v>5033</v>
      </c>
      <c r="C1981" t="str">
        <f t="shared" si="60"/>
        <v>świętokrzyskie_opatowski</v>
      </c>
      <c r="D1981" t="s">
        <v>4103</v>
      </c>
      <c r="E1981" t="str">
        <f t="shared" si="61"/>
        <v>świętokrzyskie_opatowski_Wojciechowice</v>
      </c>
      <c r="F1981" t="s">
        <v>1926</v>
      </c>
    </row>
    <row r="1982" spans="1:6" x14ac:dyDescent="0.3">
      <c r="A1982" t="s">
        <v>5389</v>
      </c>
      <c r="B1982" t="s">
        <v>5034</v>
      </c>
      <c r="C1982" t="str">
        <f t="shared" si="60"/>
        <v>świętokrzyskie_ostrowiecki</v>
      </c>
      <c r="D1982" t="s">
        <v>4105</v>
      </c>
      <c r="E1982" t="str">
        <f t="shared" si="61"/>
        <v>świętokrzyskie_ostrowiecki_Bałtów</v>
      </c>
      <c r="F1982" t="s">
        <v>1928</v>
      </c>
    </row>
    <row r="1983" spans="1:6" x14ac:dyDescent="0.3">
      <c r="A1983" t="s">
        <v>5389</v>
      </c>
      <c r="B1983" t="s">
        <v>5034</v>
      </c>
      <c r="C1983" t="str">
        <f t="shared" si="60"/>
        <v>świętokrzyskie_ostrowiecki</v>
      </c>
      <c r="D1983" t="s">
        <v>4106</v>
      </c>
      <c r="E1983" t="str">
        <f t="shared" si="61"/>
        <v>świętokrzyskie_ostrowiecki_Bodzechów</v>
      </c>
      <c r="F1983" t="s">
        <v>1929</v>
      </c>
    </row>
    <row r="1984" spans="1:6" x14ac:dyDescent="0.3">
      <c r="A1984" t="s">
        <v>5389</v>
      </c>
      <c r="B1984" t="s">
        <v>5034</v>
      </c>
      <c r="C1984" t="str">
        <f t="shared" si="60"/>
        <v>świętokrzyskie_ostrowiecki</v>
      </c>
      <c r="D1984" t="s">
        <v>4107</v>
      </c>
      <c r="E1984" t="str">
        <f t="shared" si="61"/>
        <v>świętokrzyskie_ostrowiecki_Ćmielów</v>
      </c>
      <c r="F1984" t="s">
        <v>1930</v>
      </c>
    </row>
    <row r="1985" spans="1:6" x14ac:dyDescent="0.3">
      <c r="A1985" t="s">
        <v>5389</v>
      </c>
      <c r="B1985" t="s">
        <v>5034</v>
      </c>
      <c r="C1985" t="str">
        <f t="shared" ref="C1985:C2048" si="62">CONCATENATE(A1985,"_",B1985)</f>
        <v>świętokrzyskie_ostrowiecki</v>
      </c>
      <c r="D1985" t="s">
        <v>4108</v>
      </c>
      <c r="E1985" t="str">
        <f t="shared" ref="E1985:E2048" si="63">C1985&amp;"_"&amp;D1985</f>
        <v>świętokrzyskie_ostrowiecki_Kunów</v>
      </c>
      <c r="F1985" t="s">
        <v>1931</v>
      </c>
    </row>
    <row r="1986" spans="1:6" x14ac:dyDescent="0.3">
      <c r="A1986" t="s">
        <v>5389</v>
      </c>
      <c r="B1986" t="s">
        <v>5034</v>
      </c>
      <c r="C1986" t="str">
        <f t="shared" si="62"/>
        <v>świętokrzyskie_ostrowiecki</v>
      </c>
      <c r="D1986" t="s">
        <v>4104</v>
      </c>
      <c r="E1986" t="str">
        <f t="shared" si="63"/>
        <v>świętokrzyskie_ostrowiecki_Ostrowiec Świętokrzyski</v>
      </c>
      <c r="F1986" t="s">
        <v>1927</v>
      </c>
    </row>
    <row r="1987" spans="1:6" x14ac:dyDescent="0.3">
      <c r="A1987" t="s">
        <v>5389</v>
      </c>
      <c r="B1987" t="s">
        <v>5034</v>
      </c>
      <c r="C1987" t="str">
        <f t="shared" si="62"/>
        <v>świętokrzyskie_ostrowiecki</v>
      </c>
      <c r="D1987" t="s">
        <v>4109</v>
      </c>
      <c r="E1987" t="str">
        <f t="shared" si="63"/>
        <v>świętokrzyskie_ostrowiecki_Waśniów</v>
      </c>
      <c r="F1987" t="s">
        <v>1932</v>
      </c>
    </row>
    <row r="1988" spans="1:6" x14ac:dyDescent="0.3">
      <c r="A1988" t="s">
        <v>5389</v>
      </c>
      <c r="B1988" t="s">
        <v>5035</v>
      </c>
      <c r="C1988" t="str">
        <f t="shared" si="62"/>
        <v>świętokrzyskie_pińczowski</v>
      </c>
      <c r="D1988" t="s">
        <v>4110</v>
      </c>
      <c r="E1988" t="str">
        <f t="shared" si="63"/>
        <v>świętokrzyskie_pińczowski_Działoszyce</v>
      </c>
      <c r="F1988" t="s">
        <v>1933</v>
      </c>
    </row>
    <row r="1989" spans="1:6" x14ac:dyDescent="0.3">
      <c r="A1989" t="s">
        <v>5389</v>
      </c>
      <c r="B1989" t="s">
        <v>5035</v>
      </c>
      <c r="C1989" t="str">
        <f t="shared" si="62"/>
        <v>świętokrzyskie_pińczowski</v>
      </c>
      <c r="D1989" t="s">
        <v>4111</v>
      </c>
      <c r="E1989" t="str">
        <f t="shared" si="63"/>
        <v>świętokrzyskie_pińczowski_Kije</v>
      </c>
      <c r="F1989" t="s">
        <v>1934</v>
      </c>
    </row>
    <row r="1990" spans="1:6" x14ac:dyDescent="0.3">
      <c r="A1990" t="s">
        <v>5389</v>
      </c>
      <c r="B1990" t="s">
        <v>5035</v>
      </c>
      <c r="C1990" t="str">
        <f t="shared" si="62"/>
        <v>świętokrzyskie_pińczowski</v>
      </c>
      <c r="D1990" t="s">
        <v>4112</v>
      </c>
      <c r="E1990" t="str">
        <f t="shared" si="63"/>
        <v>świętokrzyskie_pińczowski_Michałów</v>
      </c>
      <c r="F1990" t="s">
        <v>1935</v>
      </c>
    </row>
    <row r="1991" spans="1:6" x14ac:dyDescent="0.3">
      <c r="A1991" t="s">
        <v>5389</v>
      </c>
      <c r="B1991" t="s">
        <v>5035</v>
      </c>
      <c r="C1991" t="str">
        <f t="shared" si="62"/>
        <v>świętokrzyskie_pińczowski</v>
      </c>
      <c r="D1991" t="s">
        <v>4113</v>
      </c>
      <c r="E1991" t="str">
        <f t="shared" si="63"/>
        <v>świętokrzyskie_pińczowski_Pińczów</v>
      </c>
      <c r="F1991" t="s">
        <v>1936</v>
      </c>
    </row>
    <row r="1992" spans="1:6" x14ac:dyDescent="0.3">
      <c r="A1992" t="s">
        <v>5389</v>
      </c>
      <c r="B1992" t="s">
        <v>5035</v>
      </c>
      <c r="C1992" t="str">
        <f t="shared" si="62"/>
        <v>świętokrzyskie_pińczowski</v>
      </c>
      <c r="D1992" t="s">
        <v>4114</v>
      </c>
      <c r="E1992" t="str">
        <f t="shared" si="63"/>
        <v>świętokrzyskie_pińczowski_Złota</v>
      </c>
      <c r="F1992" t="s">
        <v>1937</v>
      </c>
    </row>
    <row r="1993" spans="1:6" x14ac:dyDescent="0.3">
      <c r="A1993" t="s">
        <v>5389</v>
      </c>
      <c r="B1993" t="s">
        <v>5036</v>
      </c>
      <c r="C1993" t="str">
        <f t="shared" si="62"/>
        <v>świętokrzyskie_sandomierski</v>
      </c>
      <c r="D1993" t="s">
        <v>4116</v>
      </c>
      <c r="E1993" t="str">
        <f t="shared" si="63"/>
        <v>świętokrzyskie_sandomierski_Dwikozy</v>
      </c>
      <c r="F1993" t="s">
        <v>1939</v>
      </c>
    </row>
    <row r="1994" spans="1:6" x14ac:dyDescent="0.3">
      <c r="A1994" t="s">
        <v>5389</v>
      </c>
      <c r="B1994" t="s">
        <v>5036</v>
      </c>
      <c r="C1994" t="str">
        <f t="shared" si="62"/>
        <v>świętokrzyskie_sandomierski</v>
      </c>
      <c r="D1994" t="s">
        <v>4117</v>
      </c>
      <c r="E1994" t="str">
        <f t="shared" si="63"/>
        <v>świętokrzyskie_sandomierski_Klimontów</v>
      </c>
      <c r="F1994" t="s">
        <v>5409</v>
      </c>
    </row>
    <row r="1995" spans="1:6" x14ac:dyDescent="0.3">
      <c r="A1995" t="s">
        <v>5389</v>
      </c>
      <c r="B1995" t="s">
        <v>5036</v>
      </c>
      <c r="C1995" t="str">
        <f t="shared" si="62"/>
        <v>świętokrzyskie_sandomierski</v>
      </c>
      <c r="D1995" t="s">
        <v>4118</v>
      </c>
      <c r="E1995" t="str">
        <f t="shared" si="63"/>
        <v>świętokrzyskie_sandomierski_Koprzywnica</v>
      </c>
      <c r="F1995" t="s">
        <v>1940</v>
      </c>
    </row>
    <row r="1996" spans="1:6" x14ac:dyDescent="0.3">
      <c r="A1996" t="s">
        <v>5389</v>
      </c>
      <c r="B1996" t="s">
        <v>5036</v>
      </c>
      <c r="C1996" t="str">
        <f t="shared" si="62"/>
        <v>świętokrzyskie_sandomierski</v>
      </c>
      <c r="D1996" t="s">
        <v>4119</v>
      </c>
      <c r="E1996" t="str">
        <f t="shared" si="63"/>
        <v>świętokrzyskie_sandomierski_Łoniów</v>
      </c>
      <c r="F1996" t="s">
        <v>1941</v>
      </c>
    </row>
    <row r="1997" spans="1:6" x14ac:dyDescent="0.3">
      <c r="A1997" t="s">
        <v>5389</v>
      </c>
      <c r="B1997" t="s">
        <v>5036</v>
      </c>
      <c r="C1997" t="str">
        <f t="shared" si="62"/>
        <v>świętokrzyskie_sandomierski</v>
      </c>
      <c r="D1997" t="s">
        <v>4120</v>
      </c>
      <c r="E1997" t="str">
        <f t="shared" si="63"/>
        <v>świętokrzyskie_sandomierski_Obrazów</v>
      </c>
      <c r="F1997" t="s">
        <v>1942</v>
      </c>
    </row>
    <row r="1998" spans="1:6" x14ac:dyDescent="0.3">
      <c r="A1998" t="s">
        <v>5389</v>
      </c>
      <c r="B1998" t="s">
        <v>5036</v>
      </c>
      <c r="C1998" t="str">
        <f t="shared" si="62"/>
        <v>świętokrzyskie_sandomierski</v>
      </c>
      <c r="D1998" t="s">
        <v>4121</v>
      </c>
      <c r="E1998" t="str">
        <f t="shared" si="63"/>
        <v>świętokrzyskie_sandomierski_Samborzec</v>
      </c>
      <c r="F1998" t="s">
        <v>1943</v>
      </c>
    </row>
    <row r="1999" spans="1:6" x14ac:dyDescent="0.3">
      <c r="A1999" t="s">
        <v>5389</v>
      </c>
      <c r="B1999" t="s">
        <v>5036</v>
      </c>
      <c r="C1999" t="str">
        <f t="shared" si="62"/>
        <v>świętokrzyskie_sandomierski</v>
      </c>
      <c r="D1999" t="s">
        <v>4115</v>
      </c>
      <c r="E1999" t="str">
        <f t="shared" si="63"/>
        <v>świętokrzyskie_sandomierski_Sandomierz</v>
      </c>
      <c r="F1999" t="s">
        <v>1938</v>
      </c>
    </row>
    <row r="2000" spans="1:6" x14ac:dyDescent="0.3">
      <c r="A2000" t="s">
        <v>5389</v>
      </c>
      <c r="B2000" t="s">
        <v>5036</v>
      </c>
      <c r="C2000" t="str">
        <f t="shared" si="62"/>
        <v>świętokrzyskie_sandomierski</v>
      </c>
      <c r="D2000" t="s">
        <v>4122</v>
      </c>
      <c r="E2000" t="str">
        <f t="shared" si="63"/>
        <v>świętokrzyskie_sandomierski_Wilczyce</v>
      </c>
      <c r="F2000" t="s">
        <v>1944</v>
      </c>
    </row>
    <row r="2001" spans="1:6" x14ac:dyDescent="0.3">
      <c r="A2001" t="s">
        <v>5389</v>
      </c>
      <c r="B2001" t="s">
        <v>5036</v>
      </c>
      <c r="C2001" t="str">
        <f t="shared" si="62"/>
        <v>świętokrzyskie_sandomierski</v>
      </c>
      <c r="D2001" t="s">
        <v>4123</v>
      </c>
      <c r="E2001" t="str">
        <f t="shared" si="63"/>
        <v>świętokrzyskie_sandomierski_Zawichost</v>
      </c>
      <c r="F2001" t="s">
        <v>1945</v>
      </c>
    </row>
    <row r="2002" spans="1:6" x14ac:dyDescent="0.3">
      <c r="A2002" t="s">
        <v>5389</v>
      </c>
      <c r="B2002" t="s">
        <v>5037</v>
      </c>
      <c r="C2002" t="str">
        <f t="shared" si="62"/>
        <v>świętokrzyskie_skarżyski</v>
      </c>
      <c r="D2002" t="s">
        <v>4125</v>
      </c>
      <c r="E2002" t="str">
        <f t="shared" si="63"/>
        <v>świętokrzyskie_skarżyski_Bliżyn</v>
      </c>
      <c r="F2002" t="s">
        <v>1947</v>
      </c>
    </row>
    <row r="2003" spans="1:6" x14ac:dyDescent="0.3">
      <c r="A2003" t="s">
        <v>5389</v>
      </c>
      <c r="B2003" t="s">
        <v>5037</v>
      </c>
      <c r="C2003" t="str">
        <f t="shared" si="62"/>
        <v>świętokrzyskie_skarżyski</v>
      </c>
      <c r="D2003" t="s">
        <v>4126</v>
      </c>
      <c r="E2003" t="str">
        <f t="shared" si="63"/>
        <v>świętokrzyskie_skarżyski_Łączna</v>
      </c>
      <c r="F2003" t="s">
        <v>1948</v>
      </c>
    </row>
    <row r="2004" spans="1:6" x14ac:dyDescent="0.3">
      <c r="A2004" t="s">
        <v>5389</v>
      </c>
      <c r="B2004" t="s">
        <v>5037</v>
      </c>
      <c r="C2004" t="str">
        <f t="shared" si="62"/>
        <v>świętokrzyskie_skarżyski</v>
      </c>
      <c r="D2004" t="s">
        <v>4127</v>
      </c>
      <c r="E2004" t="str">
        <f t="shared" si="63"/>
        <v>świętokrzyskie_skarżyski_Skarżysko Kościelne</v>
      </c>
      <c r="F2004" t="s">
        <v>1949</v>
      </c>
    </row>
    <row r="2005" spans="1:6" x14ac:dyDescent="0.3">
      <c r="A2005" t="s">
        <v>5389</v>
      </c>
      <c r="B2005" t="s">
        <v>5037</v>
      </c>
      <c r="C2005" t="str">
        <f t="shared" si="62"/>
        <v>świętokrzyskie_skarżyski</v>
      </c>
      <c r="D2005" t="s">
        <v>4124</v>
      </c>
      <c r="E2005" t="str">
        <f t="shared" si="63"/>
        <v>świętokrzyskie_skarżyski_Skarżysko-Kamienna</v>
      </c>
      <c r="F2005" t="s">
        <v>1946</v>
      </c>
    </row>
    <row r="2006" spans="1:6" x14ac:dyDescent="0.3">
      <c r="A2006" t="s">
        <v>5389</v>
      </c>
      <c r="B2006" t="s">
        <v>5037</v>
      </c>
      <c r="C2006" t="str">
        <f t="shared" si="62"/>
        <v>świętokrzyskie_skarżyski</v>
      </c>
      <c r="D2006" t="s">
        <v>4128</v>
      </c>
      <c r="E2006" t="str">
        <f t="shared" si="63"/>
        <v>świętokrzyskie_skarżyski_Suchedniów</v>
      </c>
      <c r="F2006" t="s">
        <v>1950</v>
      </c>
    </row>
    <row r="2007" spans="1:6" x14ac:dyDescent="0.3">
      <c r="A2007" t="s">
        <v>5389</v>
      </c>
      <c r="B2007" t="s">
        <v>5038</v>
      </c>
      <c r="C2007" t="str">
        <f t="shared" si="62"/>
        <v>świętokrzyskie_starachowicki</v>
      </c>
      <c r="D2007" t="s">
        <v>2920</v>
      </c>
      <c r="E2007" t="str">
        <f t="shared" si="63"/>
        <v>świętokrzyskie_starachowicki_Brody</v>
      </c>
      <c r="F2007" t="s">
        <v>1952</v>
      </c>
    </row>
    <row r="2008" spans="1:6" x14ac:dyDescent="0.3">
      <c r="A2008" t="s">
        <v>5389</v>
      </c>
      <c r="B2008" t="s">
        <v>5038</v>
      </c>
      <c r="C2008" t="str">
        <f t="shared" si="62"/>
        <v>świętokrzyskie_starachowicki</v>
      </c>
      <c r="D2008" t="s">
        <v>4130</v>
      </c>
      <c r="E2008" t="str">
        <f t="shared" si="63"/>
        <v>świętokrzyskie_starachowicki_Mirzec</v>
      </c>
      <c r="F2008" t="s">
        <v>1953</v>
      </c>
    </row>
    <row r="2009" spans="1:6" x14ac:dyDescent="0.3">
      <c r="A2009" t="s">
        <v>5389</v>
      </c>
      <c r="B2009" t="s">
        <v>5038</v>
      </c>
      <c r="C2009" t="str">
        <f t="shared" si="62"/>
        <v>świętokrzyskie_starachowicki</v>
      </c>
      <c r="D2009" t="s">
        <v>4131</v>
      </c>
      <c r="E2009" t="str">
        <f t="shared" si="63"/>
        <v>świętokrzyskie_starachowicki_Pawłów</v>
      </c>
      <c r="F2009" t="s">
        <v>1954</v>
      </c>
    </row>
    <row r="2010" spans="1:6" x14ac:dyDescent="0.3">
      <c r="A2010" t="s">
        <v>5389</v>
      </c>
      <c r="B2010" t="s">
        <v>5038</v>
      </c>
      <c r="C2010" t="str">
        <f t="shared" si="62"/>
        <v>świętokrzyskie_starachowicki</v>
      </c>
      <c r="D2010" t="s">
        <v>4129</v>
      </c>
      <c r="E2010" t="str">
        <f t="shared" si="63"/>
        <v>świętokrzyskie_starachowicki_Starachowice</v>
      </c>
      <c r="F2010" t="s">
        <v>1951</v>
      </c>
    </row>
    <row r="2011" spans="1:6" x14ac:dyDescent="0.3">
      <c r="A2011" t="s">
        <v>5389</v>
      </c>
      <c r="B2011" t="s">
        <v>5038</v>
      </c>
      <c r="C2011" t="str">
        <f t="shared" si="62"/>
        <v>świętokrzyskie_starachowicki</v>
      </c>
      <c r="D2011" t="s">
        <v>4132</v>
      </c>
      <c r="E2011" t="str">
        <f t="shared" si="63"/>
        <v>świętokrzyskie_starachowicki_Wąchock</v>
      </c>
      <c r="F2011" t="s">
        <v>1955</v>
      </c>
    </row>
    <row r="2012" spans="1:6" x14ac:dyDescent="0.3">
      <c r="A2012" t="s">
        <v>5389</v>
      </c>
      <c r="B2012" t="s">
        <v>5039</v>
      </c>
      <c r="C2012" t="str">
        <f t="shared" si="62"/>
        <v>świętokrzyskie_staszowski</v>
      </c>
      <c r="D2012" t="s">
        <v>4133</v>
      </c>
      <c r="E2012" t="str">
        <f t="shared" si="63"/>
        <v>świętokrzyskie_staszowski_Bogoria</v>
      </c>
      <c r="F2012" t="s">
        <v>5530</v>
      </c>
    </row>
    <row r="2013" spans="1:6" x14ac:dyDescent="0.3">
      <c r="A2013" t="s">
        <v>5389</v>
      </c>
      <c r="B2013" t="s">
        <v>5039</v>
      </c>
      <c r="C2013" t="str">
        <f t="shared" si="62"/>
        <v>świętokrzyskie_staszowski</v>
      </c>
      <c r="D2013" t="s">
        <v>3063</v>
      </c>
      <c r="E2013" t="str">
        <f t="shared" si="63"/>
        <v>świętokrzyskie_staszowski_Łubnice</v>
      </c>
      <c r="F2013" t="s">
        <v>1957</v>
      </c>
    </row>
    <row r="2014" spans="1:6" x14ac:dyDescent="0.3">
      <c r="A2014" t="s">
        <v>5389</v>
      </c>
      <c r="B2014" t="s">
        <v>5039</v>
      </c>
      <c r="C2014" t="str">
        <f t="shared" si="62"/>
        <v>świętokrzyskie_staszowski</v>
      </c>
      <c r="D2014" t="s">
        <v>2478</v>
      </c>
      <c r="E2014" t="str">
        <f t="shared" si="63"/>
        <v>świętokrzyskie_staszowski_Oleśnica</v>
      </c>
      <c r="F2014" t="s">
        <v>5422</v>
      </c>
    </row>
    <row r="2015" spans="1:6" x14ac:dyDescent="0.3">
      <c r="A2015" t="s">
        <v>5389</v>
      </c>
      <c r="B2015" t="s">
        <v>5039</v>
      </c>
      <c r="C2015" t="str">
        <f t="shared" si="62"/>
        <v>świętokrzyskie_staszowski</v>
      </c>
      <c r="D2015" t="s">
        <v>2569</v>
      </c>
      <c r="E2015" t="str">
        <f t="shared" si="63"/>
        <v>świętokrzyskie_staszowski_Osiek</v>
      </c>
      <c r="F2015" t="s">
        <v>1958</v>
      </c>
    </row>
    <row r="2016" spans="1:6" x14ac:dyDescent="0.3">
      <c r="A2016" t="s">
        <v>5389</v>
      </c>
      <c r="B2016" t="s">
        <v>5039</v>
      </c>
      <c r="C2016" t="str">
        <f t="shared" si="62"/>
        <v>świętokrzyskie_staszowski</v>
      </c>
      <c r="D2016" t="s">
        <v>4134</v>
      </c>
      <c r="E2016" t="str">
        <f t="shared" si="63"/>
        <v>świętokrzyskie_staszowski_Połaniec</v>
      </c>
      <c r="F2016" t="s">
        <v>1959</v>
      </c>
    </row>
    <row r="2017" spans="1:6" x14ac:dyDescent="0.3">
      <c r="A2017" t="s">
        <v>5389</v>
      </c>
      <c r="B2017" t="s">
        <v>5039</v>
      </c>
      <c r="C2017" t="str">
        <f t="shared" si="62"/>
        <v>świętokrzyskie_staszowski</v>
      </c>
      <c r="D2017" t="s">
        <v>4135</v>
      </c>
      <c r="E2017" t="str">
        <f t="shared" si="63"/>
        <v>świętokrzyskie_staszowski_Rytwiany</v>
      </c>
      <c r="F2017" t="s">
        <v>1960</v>
      </c>
    </row>
    <row r="2018" spans="1:6" x14ac:dyDescent="0.3">
      <c r="A2018" t="s">
        <v>5389</v>
      </c>
      <c r="B2018" t="s">
        <v>5039</v>
      </c>
      <c r="C2018" t="str">
        <f t="shared" si="62"/>
        <v>świętokrzyskie_staszowski</v>
      </c>
      <c r="D2018" t="s">
        <v>4136</v>
      </c>
      <c r="E2018" t="str">
        <f t="shared" si="63"/>
        <v>świętokrzyskie_staszowski_Staszów</v>
      </c>
      <c r="F2018" t="s">
        <v>1961</v>
      </c>
    </row>
    <row r="2019" spans="1:6" x14ac:dyDescent="0.3">
      <c r="A2019" t="s">
        <v>5389</v>
      </c>
      <c r="B2019" t="s">
        <v>5039</v>
      </c>
      <c r="C2019" t="str">
        <f t="shared" si="62"/>
        <v>świętokrzyskie_staszowski</v>
      </c>
      <c r="D2019" t="s">
        <v>4137</v>
      </c>
      <c r="E2019" t="str">
        <f t="shared" si="63"/>
        <v>świętokrzyskie_staszowski_Szydłów</v>
      </c>
      <c r="F2019" t="s">
        <v>5444</v>
      </c>
    </row>
    <row r="2020" spans="1:6" x14ac:dyDescent="0.3">
      <c r="A2020" t="s">
        <v>5389</v>
      </c>
      <c r="B2020" t="s">
        <v>5040</v>
      </c>
      <c r="C2020" t="str">
        <f t="shared" si="62"/>
        <v>świętokrzyskie_włoszczowski</v>
      </c>
      <c r="D2020" t="s">
        <v>4138</v>
      </c>
      <c r="E2020" t="str">
        <f t="shared" si="63"/>
        <v>świętokrzyskie_włoszczowski_Kluczewsko</v>
      </c>
      <c r="F2020" t="s">
        <v>1962</v>
      </c>
    </row>
    <row r="2021" spans="1:6" x14ac:dyDescent="0.3">
      <c r="A2021" t="s">
        <v>5389</v>
      </c>
      <c r="B2021" t="s">
        <v>5040</v>
      </c>
      <c r="C2021" t="str">
        <f t="shared" si="62"/>
        <v>świętokrzyskie_włoszczowski</v>
      </c>
      <c r="D2021" t="s">
        <v>4139</v>
      </c>
      <c r="E2021" t="str">
        <f t="shared" si="63"/>
        <v>świętokrzyskie_włoszczowski_Krasocin</v>
      </c>
      <c r="F2021" t="s">
        <v>1963</v>
      </c>
    </row>
    <row r="2022" spans="1:6" x14ac:dyDescent="0.3">
      <c r="A2022" t="s">
        <v>5389</v>
      </c>
      <c r="B2022" t="s">
        <v>5040</v>
      </c>
      <c r="C2022" t="str">
        <f t="shared" si="62"/>
        <v>świętokrzyskie_włoszczowski</v>
      </c>
      <c r="D2022" t="s">
        <v>4140</v>
      </c>
      <c r="E2022" t="str">
        <f t="shared" si="63"/>
        <v>świętokrzyskie_włoszczowski_Moskorzew</v>
      </c>
      <c r="F2022" t="s">
        <v>1964</v>
      </c>
    </row>
    <row r="2023" spans="1:6" x14ac:dyDescent="0.3">
      <c r="A2023" t="s">
        <v>5389</v>
      </c>
      <c r="B2023" t="s">
        <v>5040</v>
      </c>
      <c r="C2023" t="str">
        <f t="shared" si="62"/>
        <v>świętokrzyskie_włoszczowski</v>
      </c>
      <c r="D2023" t="s">
        <v>2454</v>
      </c>
      <c r="E2023" t="str">
        <f t="shared" si="63"/>
        <v>świętokrzyskie_włoszczowski_Radków</v>
      </c>
      <c r="F2023" t="s">
        <v>1965</v>
      </c>
    </row>
    <row r="2024" spans="1:6" x14ac:dyDescent="0.3">
      <c r="A2024" t="s">
        <v>5389</v>
      </c>
      <c r="B2024" t="s">
        <v>5040</v>
      </c>
      <c r="C2024" t="str">
        <f t="shared" si="62"/>
        <v>świętokrzyskie_włoszczowski</v>
      </c>
      <c r="D2024" t="s">
        <v>4141</v>
      </c>
      <c r="E2024" t="str">
        <f t="shared" si="63"/>
        <v>świętokrzyskie_włoszczowski_Secemin</v>
      </c>
      <c r="F2024" t="s">
        <v>1966</v>
      </c>
    </row>
    <row r="2025" spans="1:6" x14ac:dyDescent="0.3">
      <c r="A2025" t="s">
        <v>5389</v>
      </c>
      <c r="B2025" t="s">
        <v>5040</v>
      </c>
      <c r="C2025" t="str">
        <f t="shared" si="62"/>
        <v>świętokrzyskie_włoszczowski</v>
      </c>
      <c r="D2025" t="s">
        <v>4142</v>
      </c>
      <c r="E2025" t="str">
        <f t="shared" si="63"/>
        <v>świętokrzyskie_włoszczowski_Włoszczowa</v>
      </c>
      <c r="F2025" t="s">
        <v>1967</v>
      </c>
    </row>
    <row r="2026" spans="1:6" x14ac:dyDescent="0.3">
      <c r="A2026" t="s">
        <v>5391</v>
      </c>
      <c r="B2026" t="s">
        <v>5041</v>
      </c>
      <c r="C2026" t="str">
        <f t="shared" si="62"/>
        <v>warmińsko-mazurskie_bartoszycki</v>
      </c>
      <c r="D2026" t="s">
        <v>4144</v>
      </c>
      <c r="E2026" t="str">
        <f t="shared" si="63"/>
        <v>warmińsko-mazurskie_bartoszycki_Bisztynek</v>
      </c>
      <c r="F2026" t="s">
        <v>1972</v>
      </c>
    </row>
    <row r="2027" spans="1:6" x14ac:dyDescent="0.3">
      <c r="A2027" t="s">
        <v>5391</v>
      </c>
      <c r="B2027" t="s">
        <v>5041</v>
      </c>
      <c r="C2027" t="str">
        <f t="shared" si="62"/>
        <v>warmińsko-mazurskie_bartoszycki</v>
      </c>
      <c r="D2027" t="s">
        <v>4145</v>
      </c>
      <c r="E2027" t="str">
        <f t="shared" si="63"/>
        <v>warmińsko-mazurskie_bartoszycki_Sępopol</v>
      </c>
      <c r="F2027" t="s">
        <v>1974</v>
      </c>
    </row>
    <row r="2028" spans="1:6" x14ac:dyDescent="0.3">
      <c r="A2028" t="s">
        <v>5391</v>
      </c>
      <c r="B2028" t="s">
        <v>5041</v>
      </c>
      <c r="C2028" t="str">
        <f t="shared" si="62"/>
        <v>warmińsko-mazurskie_bartoszycki</v>
      </c>
      <c r="D2028" t="s">
        <v>4724</v>
      </c>
      <c r="E2028" t="str">
        <f t="shared" si="63"/>
        <v>warmińsko-mazurskie_bartoszycki_Bartoszyce (gm. miejska)</v>
      </c>
      <c r="F2028" t="s">
        <v>1969</v>
      </c>
    </row>
    <row r="2029" spans="1:6" x14ac:dyDescent="0.3">
      <c r="A2029" t="s">
        <v>5391</v>
      </c>
      <c r="B2029" t="s">
        <v>5041</v>
      </c>
      <c r="C2029" t="str">
        <f t="shared" si="62"/>
        <v>warmińsko-mazurskie_bartoszycki</v>
      </c>
      <c r="D2029" t="s">
        <v>4725</v>
      </c>
      <c r="E2029" t="str">
        <f t="shared" si="63"/>
        <v>warmińsko-mazurskie_bartoszycki_Górowo Iławeckie (gm. miejska)</v>
      </c>
      <c r="F2029" t="s">
        <v>1970</v>
      </c>
    </row>
    <row r="2030" spans="1:6" x14ac:dyDescent="0.3">
      <c r="A2030" t="s">
        <v>5391</v>
      </c>
      <c r="B2030" t="s">
        <v>5041</v>
      </c>
      <c r="C2030" t="str">
        <f t="shared" si="62"/>
        <v>warmińsko-mazurskie_bartoszycki</v>
      </c>
      <c r="D2030" t="s">
        <v>4726</v>
      </c>
      <c r="E2030" t="str">
        <f t="shared" si="63"/>
        <v>warmińsko-mazurskie_bartoszycki_Bartoszyce (gm. wiejska)</v>
      </c>
      <c r="F2030" t="s">
        <v>1971</v>
      </c>
    </row>
    <row r="2031" spans="1:6" x14ac:dyDescent="0.3">
      <c r="A2031" t="s">
        <v>5391</v>
      </c>
      <c r="B2031" t="s">
        <v>5041</v>
      </c>
      <c r="C2031" t="str">
        <f t="shared" si="62"/>
        <v>warmińsko-mazurskie_bartoszycki</v>
      </c>
      <c r="D2031" t="s">
        <v>4727</v>
      </c>
      <c r="E2031" t="str">
        <f t="shared" si="63"/>
        <v>warmińsko-mazurskie_bartoszycki_Górowo Iławeckie (gm. wiejska)</v>
      </c>
      <c r="F2031" t="s">
        <v>1973</v>
      </c>
    </row>
    <row r="2032" spans="1:6" x14ac:dyDescent="0.3">
      <c r="A2032" t="s">
        <v>5391</v>
      </c>
      <c r="B2032" t="s">
        <v>5042</v>
      </c>
      <c r="C2032" t="str">
        <f t="shared" si="62"/>
        <v>warmińsko-mazurskie_braniewski</v>
      </c>
      <c r="D2032" t="s">
        <v>4146</v>
      </c>
      <c r="E2032" t="str">
        <f t="shared" si="63"/>
        <v>warmińsko-mazurskie_braniewski_Frombork</v>
      </c>
      <c r="F2032" t="s">
        <v>1977</v>
      </c>
    </row>
    <row r="2033" spans="1:6" x14ac:dyDescent="0.3">
      <c r="A2033" t="s">
        <v>5391</v>
      </c>
      <c r="B2033" t="s">
        <v>5042</v>
      </c>
      <c r="C2033" t="str">
        <f t="shared" si="62"/>
        <v>warmińsko-mazurskie_braniewski</v>
      </c>
      <c r="D2033" t="s">
        <v>4147</v>
      </c>
      <c r="E2033" t="str">
        <f t="shared" si="63"/>
        <v>warmińsko-mazurskie_braniewski_Lelkowo</v>
      </c>
      <c r="F2033" t="s">
        <v>1978</v>
      </c>
    </row>
    <row r="2034" spans="1:6" x14ac:dyDescent="0.3">
      <c r="A2034" t="s">
        <v>5391</v>
      </c>
      <c r="B2034" t="s">
        <v>5042</v>
      </c>
      <c r="C2034" t="str">
        <f t="shared" si="62"/>
        <v>warmińsko-mazurskie_braniewski</v>
      </c>
      <c r="D2034" t="s">
        <v>4148</v>
      </c>
      <c r="E2034" t="str">
        <f t="shared" si="63"/>
        <v>warmińsko-mazurskie_braniewski_Pieniężno</v>
      </c>
      <c r="F2034" t="s">
        <v>1979</v>
      </c>
    </row>
    <row r="2035" spans="1:6" x14ac:dyDescent="0.3">
      <c r="A2035" t="s">
        <v>5391</v>
      </c>
      <c r="B2035" t="s">
        <v>5042</v>
      </c>
      <c r="C2035" t="str">
        <f t="shared" si="62"/>
        <v>warmińsko-mazurskie_braniewski</v>
      </c>
      <c r="D2035" t="s">
        <v>4149</v>
      </c>
      <c r="E2035" t="str">
        <f t="shared" si="63"/>
        <v>warmińsko-mazurskie_braniewski_Płoskinia</v>
      </c>
      <c r="F2035" t="s">
        <v>1980</v>
      </c>
    </row>
    <row r="2036" spans="1:6" x14ac:dyDescent="0.3">
      <c r="A2036" t="s">
        <v>5391</v>
      </c>
      <c r="B2036" t="s">
        <v>5042</v>
      </c>
      <c r="C2036" t="str">
        <f t="shared" si="62"/>
        <v>warmińsko-mazurskie_braniewski</v>
      </c>
      <c r="D2036" t="s">
        <v>4150</v>
      </c>
      <c r="E2036" t="str">
        <f t="shared" si="63"/>
        <v>warmińsko-mazurskie_braniewski_Wilczęta</v>
      </c>
      <c r="F2036" t="s">
        <v>1981</v>
      </c>
    </row>
    <row r="2037" spans="1:6" x14ac:dyDescent="0.3">
      <c r="A2037" t="s">
        <v>5391</v>
      </c>
      <c r="B2037" t="s">
        <v>5042</v>
      </c>
      <c r="C2037" t="str">
        <f t="shared" si="62"/>
        <v>warmińsko-mazurskie_braniewski</v>
      </c>
      <c r="D2037" t="s">
        <v>4728</v>
      </c>
      <c r="E2037" t="str">
        <f t="shared" si="63"/>
        <v>warmińsko-mazurskie_braniewski_Braniewo (gm. miejska)</v>
      </c>
      <c r="F2037" t="s">
        <v>1975</v>
      </c>
    </row>
    <row r="2038" spans="1:6" x14ac:dyDescent="0.3">
      <c r="A2038" t="s">
        <v>5391</v>
      </c>
      <c r="B2038" t="s">
        <v>5042</v>
      </c>
      <c r="C2038" t="str">
        <f t="shared" si="62"/>
        <v>warmińsko-mazurskie_braniewski</v>
      </c>
      <c r="D2038" t="s">
        <v>4729</v>
      </c>
      <c r="E2038" t="str">
        <f t="shared" si="63"/>
        <v>warmińsko-mazurskie_braniewski_Braniewo (gm. wiejska)</v>
      </c>
      <c r="F2038" t="s">
        <v>1976</v>
      </c>
    </row>
    <row r="2039" spans="1:6" x14ac:dyDescent="0.3">
      <c r="A2039" t="s">
        <v>5391</v>
      </c>
      <c r="B2039" t="s">
        <v>5043</v>
      </c>
      <c r="C2039" t="str">
        <f t="shared" si="62"/>
        <v>warmińsko-mazurskie_działdowski</v>
      </c>
      <c r="D2039" t="s">
        <v>4151</v>
      </c>
      <c r="E2039" t="str">
        <f t="shared" si="63"/>
        <v>warmińsko-mazurskie_działdowski_Iłowo-Osada</v>
      </c>
      <c r="F2039" t="s">
        <v>1984</v>
      </c>
    </row>
    <row r="2040" spans="1:6" x14ac:dyDescent="0.3">
      <c r="A2040" t="s">
        <v>5391</v>
      </c>
      <c r="B2040" t="s">
        <v>5043</v>
      </c>
      <c r="C2040" t="str">
        <f t="shared" si="62"/>
        <v>warmińsko-mazurskie_działdowski</v>
      </c>
      <c r="D2040" t="s">
        <v>4152</v>
      </c>
      <c r="E2040" t="str">
        <f t="shared" si="63"/>
        <v>warmińsko-mazurskie_działdowski_Lidzbark</v>
      </c>
      <c r="F2040" t="s">
        <v>1985</v>
      </c>
    </row>
    <row r="2041" spans="1:6" x14ac:dyDescent="0.3">
      <c r="A2041" t="s">
        <v>5391</v>
      </c>
      <c r="B2041" t="s">
        <v>5043</v>
      </c>
      <c r="C2041" t="str">
        <f t="shared" si="62"/>
        <v>warmińsko-mazurskie_działdowski</v>
      </c>
      <c r="D2041" t="s">
        <v>4153</v>
      </c>
      <c r="E2041" t="str">
        <f t="shared" si="63"/>
        <v>warmińsko-mazurskie_działdowski_Płośnica</v>
      </c>
      <c r="F2041" t="s">
        <v>1986</v>
      </c>
    </row>
    <row r="2042" spans="1:6" x14ac:dyDescent="0.3">
      <c r="A2042" t="s">
        <v>5391</v>
      </c>
      <c r="B2042" t="s">
        <v>5043</v>
      </c>
      <c r="C2042" t="str">
        <f t="shared" si="62"/>
        <v>warmińsko-mazurskie_działdowski</v>
      </c>
      <c r="D2042" t="s">
        <v>3444</v>
      </c>
      <c r="E2042" t="str">
        <f t="shared" si="63"/>
        <v>warmińsko-mazurskie_działdowski_Rybno</v>
      </c>
      <c r="F2042" t="s">
        <v>1987</v>
      </c>
    </row>
    <row r="2043" spans="1:6" x14ac:dyDescent="0.3">
      <c r="A2043" t="s">
        <v>5391</v>
      </c>
      <c r="B2043" t="s">
        <v>5043</v>
      </c>
      <c r="C2043" t="str">
        <f t="shared" si="62"/>
        <v>warmińsko-mazurskie_działdowski</v>
      </c>
      <c r="D2043" t="s">
        <v>4730</v>
      </c>
      <c r="E2043" t="str">
        <f t="shared" si="63"/>
        <v>warmińsko-mazurskie_działdowski_Działdowo (gm. miejska)</v>
      </c>
      <c r="F2043" t="s">
        <v>1982</v>
      </c>
    </row>
    <row r="2044" spans="1:6" x14ac:dyDescent="0.3">
      <c r="A2044" t="s">
        <v>5391</v>
      </c>
      <c r="B2044" t="s">
        <v>5043</v>
      </c>
      <c r="C2044" t="str">
        <f t="shared" si="62"/>
        <v>warmińsko-mazurskie_działdowski</v>
      </c>
      <c r="D2044" t="s">
        <v>4731</v>
      </c>
      <c r="E2044" t="str">
        <f t="shared" si="63"/>
        <v>warmińsko-mazurskie_działdowski_Działdowo (gm. wiejska)</v>
      </c>
      <c r="F2044" t="s">
        <v>1983</v>
      </c>
    </row>
    <row r="2045" spans="1:6" x14ac:dyDescent="0.3">
      <c r="A2045" t="s">
        <v>5391</v>
      </c>
      <c r="B2045" t="s">
        <v>4154</v>
      </c>
      <c r="C2045" t="str">
        <f t="shared" si="62"/>
        <v>warmińsko-mazurskie_Elbląg</v>
      </c>
      <c r="D2045" t="s">
        <v>4154</v>
      </c>
      <c r="E2045" t="str">
        <f t="shared" si="63"/>
        <v>warmińsko-mazurskie_Elbląg_Elbląg</v>
      </c>
      <c r="F2045" t="s">
        <v>2082</v>
      </c>
    </row>
    <row r="2046" spans="1:6" x14ac:dyDescent="0.3">
      <c r="A2046" t="s">
        <v>5391</v>
      </c>
      <c r="B2046" t="s">
        <v>5044</v>
      </c>
      <c r="C2046" t="str">
        <f t="shared" si="62"/>
        <v>warmińsko-mazurskie_elbląski</v>
      </c>
      <c r="D2046" t="s">
        <v>4154</v>
      </c>
      <c r="E2046" t="str">
        <f t="shared" si="63"/>
        <v>warmińsko-mazurskie_elbląski_Elbląg</v>
      </c>
      <c r="F2046" t="s">
        <v>1988</v>
      </c>
    </row>
    <row r="2047" spans="1:6" x14ac:dyDescent="0.3">
      <c r="A2047" t="s">
        <v>5391</v>
      </c>
      <c r="B2047" t="s">
        <v>5044</v>
      </c>
      <c r="C2047" t="str">
        <f t="shared" si="62"/>
        <v>warmińsko-mazurskie_elbląski</v>
      </c>
      <c r="D2047" t="s">
        <v>4155</v>
      </c>
      <c r="E2047" t="str">
        <f t="shared" si="63"/>
        <v>warmińsko-mazurskie_elbląski_Godkowo</v>
      </c>
      <c r="F2047" t="s">
        <v>1989</v>
      </c>
    </row>
    <row r="2048" spans="1:6" x14ac:dyDescent="0.3">
      <c r="A2048" t="s">
        <v>5391</v>
      </c>
      <c r="B2048" t="s">
        <v>5044</v>
      </c>
      <c r="C2048" t="str">
        <f t="shared" si="62"/>
        <v>warmińsko-mazurskie_elbląski</v>
      </c>
      <c r="D2048" t="s">
        <v>4156</v>
      </c>
      <c r="E2048" t="str">
        <f t="shared" si="63"/>
        <v>warmińsko-mazurskie_elbląski_Gronowo Elbląskie</v>
      </c>
      <c r="F2048" t="s">
        <v>1990</v>
      </c>
    </row>
    <row r="2049" spans="1:6" x14ac:dyDescent="0.3">
      <c r="A2049" t="s">
        <v>5391</v>
      </c>
      <c r="B2049" t="s">
        <v>5044</v>
      </c>
      <c r="C2049" t="str">
        <f t="shared" ref="C2049:C2112" si="64">CONCATENATE(A2049,"_",B2049)</f>
        <v>warmińsko-mazurskie_elbląski</v>
      </c>
      <c r="D2049" t="s">
        <v>4157</v>
      </c>
      <c r="E2049" t="str">
        <f t="shared" ref="E2049:E2112" si="65">C2049&amp;"_"&amp;D2049</f>
        <v>warmińsko-mazurskie_elbląski_Markusy</v>
      </c>
      <c r="F2049" t="s">
        <v>1991</v>
      </c>
    </row>
    <row r="2050" spans="1:6" x14ac:dyDescent="0.3">
      <c r="A2050" t="s">
        <v>5391</v>
      </c>
      <c r="B2050" t="s">
        <v>5044</v>
      </c>
      <c r="C2050" t="str">
        <f t="shared" si="64"/>
        <v>warmińsko-mazurskie_elbląski</v>
      </c>
      <c r="D2050" t="s">
        <v>4158</v>
      </c>
      <c r="E2050" t="str">
        <f t="shared" si="65"/>
        <v>warmińsko-mazurskie_elbląski_Milejewo</v>
      </c>
      <c r="F2050" t="s">
        <v>1992</v>
      </c>
    </row>
    <row r="2051" spans="1:6" x14ac:dyDescent="0.3">
      <c r="A2051" t="s">
        <v>5391</v>
      </c>
      <c r="B2051" t="s">
        <v>5044</v>
      </c>
      <c r="C2051" t="str">
        <f t="shared" si="64"/>
        <v>warmińsko-mazurskie_elbląski</v>
      </c>
      <c r="D2051" t="s">
        <v>4159</v>
      </c>
      <c r="E2051" t="str">
        <f t="shared" si="65"/>
        <v>warmińsko-mazurskie_elbląski_Młynary</v>
      </c>
      <c r="F2051" t="s">
        <v>1993</v>
      </c>
    </row>
    <row r="2052" spans="1:6" x14ac:dyDescent="0.3">
      <c r="A2052" t="s">
        <v>5391</v>
      </c>
      <c r="B2052" t="s">
        <v>5044</v>
      </c>
      <c r="C2052" t="str">
        <f t="shared" si="64"/>
        <v>warmińsko-mazurskie_elbląski</v>
      </c>
      <c r="D2052" t="s">
        <v>4160</v>
      </c>
      <c r="E2052" t="str">
        <f t="shared" si="65"/>
        <v>warmińsko-mazurskie_elbląski_Pasłęk</v>
      </c>
      <c r="F2052" t="s">
        <v>1994</v>
      </c>
    </row>
    <row r="2053" spans="1:6" x14ac:dyDescent="0.3">
      <c r="A2053" t="s">
        <v>5391</v>
      </c>
      <c r="B2053" t="s">
        <v>5044</v>
      </c>
      <c r="C2053" t="str">
        <f t="shared" si="64"/>
        <v>warmińsko-mazurskie_elbląski</v>
      </c>
      <c r="D2053" t="s">
        <v>4161</v>
      </c>
      <c r="E2053" t="str">
        <f t="shared" si="65"/>
        <v>warmińsko-mazurskie_elbląski_Rychliki</v>
      </c>
      <c r="F2053" t="s">
        <v>1995</v>
      </c>
    </row>
    <row r="2054" spans="1:6" x14ac:dyDescent="0.3">
      <c r="A2054" t="s">
        <v>5391</v>
      </c>
      <c r="B2054" t="s">
        <v>5044</v>
      </c>
      <c r="C2054" t="str">
        <f t="shared" si="64"/>
        <v>warmińsko-mazurskie_elbląski</v>
      </c>
      <c r="D2054" t="s">
        <v>4162</v>
      </c>
      <c r="E2054" t="str">
        <f t="shared" si="65"/>
        <v>warmińsko-mazurskie_elbląski_Tolkmicko</v>
      </c>
      <c r="F2054" t="s">
        <v>1996</v>
      </c>
    </row>
    <row r="2055" spans="1:6" x14ac:dyDescent="0.3">
      <c r="A2055" t="s">
        <v>5391</v>
      </c>
      <c r="B2055" t="s">
        <v>5045</v>
      </c>
      <c r="C2055" t="str">
        <f t="shared" si="64"/>
        <v>warmińsko-mazurskie_ełcki</v>
      </c>
      <c r="D2055" t="s">
        <v>4163</v>
      </c>
      <c r="E2055" t="str">
        <f t="shared" si="65"/>
        <v>warmińsko-mazurskie_ełcki_Kalinowo</v>
      </c>
      <c r="F2055" t="s">
        <v>1999</v>
      </c>
    </row>
    <row r="2056" spans="1:6" x14ac:dyDescent="0.3">
      <c r="A2056" t="s">
        <v>5391</v>
      </c>
      <c r="B2056" t="s">
        <v>5045</v>
      </c>
      <c r="C2056" t="str">
        <f t="shared" si="64"/>
        <v>warmińsko-mazurskie_ełcki</v>
      </c>
      <c r="D2056" t="s">
        <v>4164</v>
      </c>
      <c r="E2056" t="str">
        <f t="shared" si="65"/>
        <v>warmińsko-mazurskie_ełcki_Prostki</v>
      </c>
      <c r="F2056" t="s">
        <v>2000</v>
      </c>
    </row>
    <row r="2057" spans="1:6" x14ac:dyDescent="0.3">
      <c r="A2057" t="s">
        <v>5391</v>
      </c>
      <c r="B2057" t="s">
        <v>5045</v>
      </c>
      <c r="C2057" t="str">
        <f t="shared" si="64"/>
        <v>warmińsko-mazurskie_ełcki</v>
      </c>
      <c r="D2057" t="s">
        <v>4165</v>
      </c>
      <c r="E2057" t="str">
        <f t="shared" si="65"/>
        <v>warmińsko-mazurskie_ełcki_Stare Juchy</v>
      </c>
      <c r="F2057" t="s">
        <v>2001</v>
      </c>
    </row>
    <row r="2058" spans="1:6" x14ac:dyDescent="0.3">
      <c r="A2058" t="s">
        <v>5391</v>
      </c>
      <c r="B2058" t="s">
        <v>5045</v>
      </c>
      <c r="C2058" t="str">
        <f t="shared" si="64"/>
        <v>warmińsko-mazurskie_ełcki</v>
      </c>
      <c r="D2058" t="s">
        <v>4732</v>
      </c>
      <c r="E2058" t="str">
        <f t="shared" si="65"/>
        <v>warmińsko-mazurskie_ełcki_Ełk (gm. miejska)</v>
      </c>
      <c r="F2058" t="s">
        <v>1997</v>
      </c>
    </row>
    <row r="2059" spans="1:6" x14ac:dyDescent="0.3">
      <c r="A2059" t="s">
        <v>5391</v>
      </c>
      <c r="B2059" t="s">
        <v>5045</v>
      </c>
      <c r="C2059" t="str">
        <f t="shared" si="64"/>
        <v>warmińsko-mazurskie_ełcki</v>
      </c>
      <c r="D2059" t="s">
        <v>4733</v>
      </c>
      <c r="E2059" t="str">
        <f t="shared" si="65"/>
        <v>warmińsko-mazurskie_ełcki_Ełk (gm. wiejska)</v>
      </c>
      <c r="F2059" t="s">
        <v>1998</v>
      </c>
    </row>
    <row r="2060" spans="1:6" x14ac:dyDescent="0.3">
      <c r="A2060" t="s">
        <v>5391</v>
      </c>
      <c r="B2060" t="s">
        <v>5046</v>
      </c>
      <c r="C2060" t="str">
        <f t="shared" si="64"/>
        <v>warmińsko-mazurskie_giżycki</v>
      </c>
      <c r="D2060" t="s">
        <v>4166</v>
      </c>
      <c r="E2060" t="str">
        <f t="shared" si="65"/>
        <v>warmińsko-mazurskie_giżycki_Kruklanki</v>
      </c>
      <c r="F2060" t="s">
        <v>2004</v>
      </c>
    </row>
    <row r="2061" spans="1:6" x14ac:dyDescent="0.3">
      <c r="A2061" t="s">
        <v>5391</v>
      </c>
      <c r="B2061" t="s">
        <v>5046</v>
      </c>
      <c r="C2061" t="str">
        <f t="shared" si="64"/>
        <v>warmińsko-mazurskie_giżycki</v>
      </c>
      <c r="D2061" t="s">
        <v>4167</v>
      </c>
      <c r="E2061" t="str">
        <f t="shared" si="65"/>
        <v>warmińsko-mazurskie_giżycki_Miłki</v>
      </c>
      <c r="F2061" t="s">
        <v>2005</v>
      </c>
    </row>
    <row r="2062" spans="1:6" x14ac:dyDescent="0.3">
      <c r="A2062" t="s">
        <v>5391</v>
      </c>
      <c r="B2062" t="s">
        <v>5046</v>
      </c>
      <c r="C2062" t="str">
        <f t="shared" si="64"/>
        <v>warmińsko-mazurskie_giżycki</v>
      </c>
      <c r="D2062" t="s">
        <v>4168</v>
      </c>
      <c r="E2062" t="str">
        <f t="shared" si="65"/>
        <v>warmińsko-mazurskie_giżycki_Ryn</v>
      </c>
      <c r="F2062" t="s">
        <v>2006</v>
      </c>
    </row>
    <row r="2063" spans="1:6" x14ac:dyDescent="0.3">
      <c r="A2063" t="s">
        <v>5391</v>
      </c>
      <c r="B2063" t="s">
        <v>5046</v>
      </c>
      <c r="C2063" t="str">
        <f t="shared" si="64"/>
        <v>warmińsko-mazurskie_giżycki</v>
      </c>
      <c r="D2063" t="s">
        <v>4169</v>
      </c>
      <c r="E2063" t="str">
        <f t="shared" si="65"/>
        <v>warmińsko-mazurskie_giżycki_Wydminy</v>
      </c>
      <c r="F2063" t="s">
        <v>2007</v>
      </c>
    </row>
    <row r="2064" spans="1:6" x14ac:dyDescent="0.3">
      <c r="A2064" t="s">
        <v>5391</v>
      </c>
      <c r="B2064" t="s">
        <v>5046</v>
      </c>
      <c r="C2064" t="str">
        <f t="shared" si="64"/>
        <v>warmińsko-mazurskie_giżycki</v>
      </c>
      <c r="D2064" t="s">
        <v>4734</v>
      </c>
      <c r="E2064" t="str">
        <f t="shared" si="65"/>
        <v>warmińsko-mazurskie_giżycki_Giżycko (gm. miejska)</v>
      </c>
      <c r="F2064" t="s">
        <v>2002</v>
      </c>
    </row>
    <row r="2065" spans="1:6" x14ac:dyDescent="0.3">
      <c r="A2065" t="s">
        <v>5391</v>
      </c>
      <c r="B2065" t="s">
        <v>5046</v>
      </c>
      <c r="C2065" t="str">
        <f t="shared" si="64"/>
        <v>warmińsko-mazurskie_giżycki</v>
      </c>
      <c r="D2065" t="s">
        <v>4735</v>
      </c>
      <c r="E2065" t="str">
        <f t="shared" si="65"/>
        <v>warmińsko-mazurskie_giżycki_Giżycko (gm. wiejska)</v>
      </c>
      <c r="F2065" t="s">
        <v>2003</v>
      </c>
    </row>
    <row r="2066" spans="1:6" x14ac:dyDescent="0.3">
      <c r="A2066" t="s">
        <v>5391</v>
      </c>
      <c r="B2066" t="s">
        <v>5058</v>
      </c>
      <c r="C2066" t="str">
        <f t="shared" si="64"/>
        <v>warmińsko-mazurskie_gołdapski</v>
      </c>
      <c r="D2066" t="s">
        <v>4220</v>
      </c>
      <c r="E2066" t="str">
        <f t="shared" si="65"/>
        <v>warmińsko-mazurskie_gołdapski_Banie Mazurskie</v>
      </c>
      <c r="F2066" t="s">
        <v>2076</v>
      </c>
    </row>
    <row r="2067" spans="1:6" x14ac:dyDescent="0.3">
      <c r="A2067" t="s">
        <v>5391</v>
      </c>
      <c r="B2067" t="s">
        <v>5058</v>
      </c>
      <c r="C2067" t="str">
        <f t="shared" si="64"/>
        <v>warmińsko-mazurskie_gołdapski</v>
      </c>
      <c r="D2067" t="s">
        <v>4221</v>
      </c>
      <c r="E2067" t="str">
        <f t="shared" si="65"/>
        <v>warmińsko-mazurskie_gołdapski_Dubeninki</v>
      </c>
      <c r="F2067" t="s">
        <v>2077</v>
      </c>
    </row>
    <row r="2068" spans="1:6" x14ac:dyDescent="0.3">
      <c r="A2068" t="s">
        <v>5391</v>
      </c>
      <c r="B2068" t="s">
        <v>5058</v>
      </c>
      <c r="C2068" t="str">
        <f t="shared" si="64"/>
        <v>warmińsko-mazurskie_gołdapski</v>
      </c>
      <c r="D2068" t="s">
        <v>4222</v>
      </c>
      <c r="E2068" t="str">
        <f t="shared" si="65"/>
        <v>warmińsko-mazurskie_gołdapski_Gołdap</v>
      </c>
      <c r="F2068" t="s">
        <v>2078</v>
      </c>
    </row>
    <row r="2069" spans="1:6" x14ac:dyDescent="0.3">
      <c r="A2069" t="s">
        <v>5391</v>
      </c>
      <c r="B2069" t="s">
        <v>5047</v>
      </c>
      <c r="C2069" t="str">
        <f t="shared" si="64"/>
        <v>warmińsko-mazurskie_iławski</v>
      </c>
      <c r="D2069" t="s">
        <v>4170</v>
      </c>
      <c r="E2069" t="str">
        <f t="shared" si="65"/>
        <v>warmińsko-mazurskie_iławski_Kisielice</v>
      </c>
      <c r="F2069" t="s">
        <v>2011</v>
      </c>
    </row>
    <row r="2070" spans="1:6" x14ac:dyDescent="0.3">
      <c r="A2070" t="s">
        <v>5391</v>
      </c>
      <c r="B2070" t="s">
        <v>5047</v>
      </c>
      <c r="C2070" t="str">
        <f t="shared" si="64"/>
        <v>warmińsko-mazurskie_iławski</v>
      </c>
      <c r="D2070" t="s">
        <v>4171</v>
      </c>
      <c r="E2070" t="str">
        <f t="shared" si="65"/>
        <v>warmińsko-mazurskie_iławski_Susz</v>
      </c>
      <c r="F2070" t="s">
        <v>2013</v>
      </c>
    </row>
    <row r="2071" spans="1:6" x14ac:dyDescent="0.3">
      <c r="A2071" t="s">
        <v>5391</v>
      </c>
      <c r="B2071" t="s">
        <v>5047</v>
      </c>
      <c r="C2071" t="str">
        <f t="shared" si="64"/>
        <v>warmińsko-mazurskie_iławski</v>
      </c>
      <c r="D2071" t="s">
        <v>4172</v>
      </c>
      <c r="E2071" t="str">
        <f t="shared" si="65"/>
        <v>warmińsko-mazurskie_iławski_Zalewo</v>
      </c>
      <c r="F2071" t="s">
        <v>2014</v>
      </c>
    </row>
    <row r="2072" spans="1:6" x14ac:dyDescent="0.3">
      <c r="A2072" t="s">
        <v>5391</v>
      </c>
      <c r="B2072" t="s">
        <v>5047</v>
      </c>
      <c r="C2072" t="str">
        <f t="shared" si="64"/>
        <v>warmińsko-mazurskie_iławski</v>
      </c>
      <c r="D2072" t="s">
        <v>4736</v>
      </c>
      <c r="E2072" t="str">
        <f t="shared" si="65"/>
        <v>warmińsko-mazurskie_iławski_Iława (gm. miejska)</v>
      </c>
      <c r="F2072" t="s">
        <v>2008</v>
      </c>
    </row>
    <row r="2073" spans="1:6" x14ac:dyDescent="0.3">
      <c r="A2073" t="s">
        <v>5391</v>
      </c>
      <c r="B2073" t="s">
        <v>5047</v>
      </c>
      <c r="C2073" t="str">
        <f t="shared" si="64"/>
        <v>warmińsko-mazurskie_iławski</v>
      </c>
      <c r="D2073" t="s">
        <v>4737</v>
      </c>
      <c r="E2073" t="str">
        <f t="shared" si="65"/>
        <v>warmińsko-mazurskie_iławski_Lubawa (gm. miejska)</v>
      </c>
      <c r="F2073" t="s">
        <v>2009</v>
      </c>
    </row>
    <row r="2074" spans="1:6" x14ac:dyDescent="0.3">
      <c r="A2074" t="s">
        <v>5391</v>
      </c>
      <c r="B2074" t="s">
        <v>5047</v>
      </c>
      <c r="C2074" t="str">
        <f t="shared" si="64"/>
        <v>warmińsko-mazurskie_iławski</v>
      </c>
      <c r="D2074" t="s">
        <v>4738</v>
      </c>
      <c r="E2074" t="str">
        <f t="shared" si="65"/>
        <v>warmińsko-mazurskie_iławski_Iława (gm. wiejska)</v>
      </c>
      <c r="F2074" t="s">
        <v>2010</v>
      </c>
    </row>
    <row r="2075" spans="1:6" x14ac:dyDescent="0.3">
      <c r="A2075" t="s">
        <v>5391</v>
      </c>
      <c r="B2075" t="s">
        <v>5047</v>
      </c>
      <c r="C2075" t="str">
        <f t="shared" si="64"/>
        <v>warmińsko-mazurskie_iławski</v>
      </c>
      <c r="D2075" t="s">
        <v>4739</v>
      </c>
      <c r="E2075" t="str">
        <f t="shared" si="65"/>
        <v>warmińsko-mazurskie_iławski_Lubawa (gm. wiejska)</v>
      </c>
      <c r="F2075" t="s">
        <v>2012</v>
      </c>
    </row>
    <row r="2076" spans="1:6" x14ac:dyDescent="0.3">
      <c r="A2076" t="s">
        <v>5391</v>
      </c>
      <c r="B2076" t="s">
        <v>5048</v>
      </c>
      <c r="C2076" t="str">
        <f t="shared" si="64"/>
        <v>warmińsko-mazurskie_kętrzyński</v>
      </c>
      <c r="D2076" t="s">
        <v>4173</v>
      </c>
      <c r="E2076" t="str">
        <f t="shared" si="65"/>
        <v>warmińsko-mazurskie_kętrzyński_Barciany</v>
      </c>
      <c r="F2076" t="s">
        <v>2016</v>
      </c>
    </row>
    <row r="2077" spans="1:6" x14ac:dyDescent="0.3">
      <c r="A2077" t="s">
        <v>5391</v>
      </c>
      <c r="B2077" t="s">
        <v>5048</v>
      </c>
      <c r="C2077" t="str">
        <f t="shared" si="64"/>
        <v>warmińsko-mazurskie_kętrzyński</v>
      </c>
      <c r="D2077" t="s">
        <v>4174</v>
      </c>
      <c r="E2077" t="str">
        <f t="shared" si="65"/>
        <v>warmińsko-mazurskie_kętrzyński_Korsze</v>
      </c>
      <c r="F2077" t="s">
        <v>2018</v>
      </c>
    </row>
    <row r="2078" spans="1:6" x14ac:dyDescent="0.3">
      <c r="A2078" t="s">
        <v>5391</v>
      </c>
      <c r="B2078" t="s">
        <v>5048</v>
      </c>
      <c r="C2078" t="str">
        <f t="shared" si="64"/>
        <v>warmińsko-mazurskie_kętrzyński</v>
      </c>
      <c r="D2078" t="s">
        <v>4175</v>
      </c>
      <c r="E2078" t="str">
        <f t="shared" si="65"/>
        <v>warmińsko-mazurskie_kętrzyński_Reszel</v>
      </c>
      <c r="F2078" t="s">
        <v>2019</v>
      </c>
    </row>
    <row r="2079" spans="1:6" x14ac:dyDescent="0.3">
      <c r="A2079" t="s">
        <v>5391</v>
      </c>
      <c r="B2079" t="s">
        <v>5048</v>
      </c>
      <c r="C2079" t="str">
        <f t="shared" si="64"/>
        <v>warmińsko-mazurskie_kętrzyński</v>
      </c>
      <c r="D2079" t="s">
        <v>4176</v>
      </c>
      <c r="E2079" t="str">
        <f t="shared" si="65"/>
        <v>warmińsko-mazurskie_kętrzyński_Srokowo</v>
      </c>
      <c r="F2079" t="s">
        <v>2020</v>
      </c>
    </row>
    <row r="2080" spans="1:6" x14ac:dyDescent="0.3">
      <c r="A2080" t="s">
        <v>5391</v>
      </c>
      <c r="B2080" t="s">
        <v>5048</v>
      </c>
      <c r="C2080" t="str">
        <f t="shared" si="64"/>
        <v>warmińsko-mazurskie_kętrzyński</v>
      </c>
      <c r="D2080" t="s">
        <v>4740</v>
      </c>
      <c r="E2080" t="str">
        <f t="shared" si="65"/>
        <v>warmińsko-mazurskie_kętrzyński_Kętrzyn (gm. miejska)</v>
      </c>
      <c r="F2080" t="s">
        <v>2015</v>
      </c>
    </row>
    <row r="2081" spans="1:6" x14ac:dyDescent="0.3">
      <c r="A2081" t="s">
        <v>5391</v>
      </c>
      <c r="B2081" t="s">
        <v>5048</v>
      </c>
      <c r="C2081" t="str">
        <f t="shared" si="64"/>
        <v>warmińsko-mazurskie_kętrzyński</v>
      </c>
      <c r="D2081" t="s">
        <v>4741</v>
      </c>
      <c r="E2081" t="str">
        <f t="shared" si="65"/>
        <v>warmińsko-mazurskie_kętrzyński_Kętrzyn (gm. wiejska)</v>
      </c>
      <c r="F2081" t="s">
        <v>2017</v>
      </c>
    </row>
    <row r="2082" spans="1:6" x14ac:dyDescent="0.3">
      <c r="A2082" t="s">
        <v>5391</v>
      </c>
      <c r="B2082" t="s">
        <v>5049</v>
      </c>
      <c r="C2082" t="str">
        <f t="shared" si="64"/>
        <v>warmińsko-mazurskie_lidzbarski</v>
      </c>
      <c r="D2082" t="s">
        <v>4177</v>
      </c>
      <c r="E2082" t="str">
        <f t="shared" si="65"/>
        <v>warmińsko-mazurskie_lidzbarski_Kiwity</v>
      </c>
      <c r="F2082" t="s">
        <v>2022</v>
      </c>
    </row>
    <row r="2083" spans="1:6" x14ac:dyDescent="0.3">
      <c r="A2083" t="s">
        <v>5391</v>
      </c>
      <c r="B2083" t="s">
        <v>5049</v>
      </c>
      <c r="C2083" t="str">
        <f t="shared" si="64"/>
        <v>warmińsko-mazurskie_lidzbarski</v>
      </c>
      <c r="D2083" t="s">
        <v>4178</v>
      </c>
      <c r="E2083" t="str">
        <f t="shared" si="65"/>
        <v>warmińsko-mazurskie_lidzbarski_Lubomino</v>
      </c>
      <c r="F2083" t="s">
        <v>2024</v>
      </c>
    </row>
    <row r="2084" spans="1:6" x14ac:dyDescent="0.3">
      <c r="A2084" t="s">
        <v>5391</v>
      </c>
      <c r="B2084" t="s">
        <v>5049</v>
      </c>
      <c r="C2084" t="str">
        <f t="shared" si="64"/>
        <v>warmińsko-mazurskie_lidzbarski</v>
      </c>
      <c r="D2084" t="s">
        <v>4179</v>
      </c>
      <c r="E2084" t="str">
        <f t="shared" si="65"/>
        <v>warmińsko-mazurskie_lidzbarski_Orneta</v>
      </c>
      <c r="F2084" t="s">
        <v>2025</v>
      </c>
    </row>
    <row r="2085" spans="1:6" x14ac:dyDescent="0.3">
      <c r="A2085" t="s">
        <v>5391</v>
      </c>
      <c r="B2085" t="s">
        <v>5049</v>
      </c>
      <c r="C2085" t="str">
        <f t="shared" si="64"/>
        <v>warmińsko-mazurskie_lidzbarski</v>
      </c>
      <c r="D2085" t="s">
        <v>4742</v>
      </c>
      <c r="E2085" t="str">
        <f t="shared" si="65"/>
        <v>warmińsko-mazurskie_lidzbarski_Lidzbark Warmiński (gm. miejska)</v>
      </c>
      <c r="F2085" t="s">
        <v>2021</v>
      </c>
    </row>
    <row r="2086" spans="1:6" x14ac:dyDescent="0.3">
      <c r="A2086" t="s">
        <v>5391</v>
      </c>
      <c r="B2086" t="s">
        <v>5049</v>
      </c>
      <c r="C2086" t="str">
        <f t="shared" si="64"/>
        <v>warmińsko-mazurskie_lidzbarski</v>
      </c>
      <c r="D2086" t="s">
        <v>4743</v>
      </c>
      <c r="E2086" t="str">
        <f t="shared" si="65"/>
        <v>warmińsko-mazurskie_lidzbarski_Lidzbark Warmiński (gm. wiejska)</v>
      </c>
      <c r="F2086" t="s">
        <v>2023</v>
      </c>
    </row>
    <row r="2087" spans="1:6" x14ac:dyDescent="0.3">
      <c r="A2087" t="s">
        <v>5391</v>
      </c>
      <c r="B2087" t="s">
        <v>5050</v>
      </c>
      <c r="C2087" t="str">
        <f t="shared" si="64"/>
        <v>warmińsko-mazurskie_mrągowski</v>
      </c>
      <c r="D2087" t="s">
        <v>4180</v>
      </c>
      <c r="E2087" t="str">
        <f t="shared" si="65"/>
        <v>warmińsko-mazurskie_mrągowski_Mikołajki</v>
      </c>
      <c r="F2087" t="s">
        <v>2027</v>
      </c>
    </row>
    <row r="2088" spans="1:6" x14ac:dyDescent="0.3">
      <c r="A2088" t="s">
        <v>5391</v>
      </c>
      <c r="B2088" t="s">
        <v>5050</v>
      </c>
      <c r="C2088" t="str">
        <f t="shared" si="64"/>
        <v>warmińsko-mazurskie_mrągowski</v>
      </c>
      <c r="D2088" t="s">
        <v>4181</v>
      </c>
      <c r="E2088" t="str">
        <f t="shared" si="65"/>
        <v>warmińsko-mazurskie_mrągowski_Piecki</v>
      </c>
      <c r="F2088" t="s">
        <v>2029</v>
      </c>
    </row>
    <row r="2089" spans="1:6" x14ac:dyDescent="0.3">
      <c r="A2089" t="s">
        <v>5391</v>
      </c>
      <c r="B2089" t="s">
        <v>5050</v>
      </c>
      <c r="C2089" t="str">
        <f t="shared" si="64"/>
        <v>warmińsko-mazurskie_mrągowski</v>
      </c>
      <c r="D2089" t="s">
        <v>4182</v>
      </c>
      <c r="E2089" t="str">
        <f t="shared" si="65"/>
        <v>warmińsko-mazurskie_mrągowski_Sorkwity</v>
      </c>
      <c r="F2089" t="s">
        <v>2030</v>
      </c>
    </row>
    <row r="2090" spans="1:6" x14ac:dyDescent="0.3">
      <c r="A2090" t="s">
        <v>5391</v>
      </c>
      <c r="B2090" t="s">
        <v>5050</v>
      </c>
      <c r="C2090" t="str">
        <f t="shared" si="64"/>
        <v>warmińsko-mazurskie_mrągowski</v>
      </c>
      <c r="D2090" t="s">
        <v>4744</v>
      </c>
      <c r="E2090" t="str">
        <f t="shared" si="65"/>
        <v>warmińsko-mazurskie_mrągowski_Mrągowo (gm. miejska)</v>
      </c>
      <c r="F2090" t="s">
        <v>2026</v>
      </c>
    </row>
    <row r="2091" spans="1:6" x14ac:dyDescent="0.3">
      <c r="A2091" t="s">
        <v>5391</v>
      </c>
      <c r="B2091" t="s">
        <v>5050</v>
      </c>
      <c r="C2091" t="str">
        <f t="shared" si="64"/>
        <v>warmińsko-mazurskie_mrągowski</v>
      </c>
      <c r="D2091" t="s">
        <v>4745</v>
      </c>
      <c r="E2091" t="str">
        <f t="shared" si="65"/>
        <v>warmińsko-mazurskie_mrągowski_Mrągowo (gm. wiejska)</v>
      </c>
      <c r="F2091" t="s">
        <v>2028</v>
      </c>
    </row>
    <row r="2092" spans="1:6" x14ac:dyDescent="0.3">
      <c r="A2092" t="s">
        <v>5391</v>
      </c>
      <c r="B2092" t="s">
        <v>5051</v>
      </c>
      <c r="C2092" t="str">
        <f t="shared" si="64"/>
        <v>warmińsko-mazurskie_nidzicki</v>
      </c>
      <c r="D2092" t="s">
        <v>4183</v>
      </c>
      <c r="E2092" t="str">
        <f t="shared" si="65"/>
        <v>warmińsko-mazurskie_nidzicki_Janowiec Kościelny</v>
      </c>
      <c r="F2092" t="s">
        <v>2031</v>
      </c>
    </row>
    <row r="2093" spans="1:6" x14ac:dyDescent="0.3">
      <c r="A2093" t="s">
        <v>5391</v>
      </c>
      <c r="B2093" t="s">
        <v>5051</v>
      </c>
      <c r="C2093" t="str">
        <f t="shared" si="64"/>
        <v>warmińsko-mazurskie_nidzicki</v>
      </c>
      <c r="D2093" t="s">
        <v>4184</v>
      </c>
      <c r="E2093" t="str">
        <f t="shared" si="65"/>
        <v>warmińsko-mazurskie_nidzicki_Janowo</v>
      </c>
      <c r="F2093" t="s">
        <v>2032</v>
      </c>
    </row>
    <row r="2094" spans="1:6" x14ac:dyDescent="0.3">
      <c r="A2094" t="s">
        <v>5391</v>
      </c>
      <c r="B2094" t="s">
        <v>5051</v>
      </c>
      <c r="C2094" t="str">
        <f t="shared" si="64"/>
        <v>warmińsko-mazurskie_nidzicki</v>
      </c>
      <c r="D2094" t="s">
        <v>4185</v>
      </c>
      <c r="E2094" t="str">
        <f t="shared" si="65"/>
        <v>warmińsko-mazurskie_nidzicki_Kozłowo</v>
      </c>
      <c r="F2094" t="s">
        <v>2033</v>
      </c>
    </row>
    <row r="2095" spans="1:6" x14ac:dyDescent="0.3">
      <c r="A2095" t="s">
        <v>5391</v>
      </c>
      <c r="B2095" t="s">
        <v>5051</v>
      </c>
      <c r="C2095" t="str">
        <f t="shared" si="64"/>
        <v>warmińsko-mazurskie_nidzicki</v>
      </c>
      <c r="D2095" t="s">
        <v>4186</v>
      </c>
      <c r="E2095" t="str">
        <f t="shared" si="65"/>
        <v>warmińsko-mazurskie_nidzicki_Nidzica</v>
      </c>
      <c r="F2095" t="s">
        <v>2034</v>
      </c>
    </row>
    <row r="2096" spans="1:6" x14ac:dyDescent="0.3">
      <c r="A2096" t="s">
        <v>5391</v>
      </c>
      <c r="B2096" t="s">
        <v>5052</v>
      </c>
      <c r="C2096" t="str">
        <f t="shared" si="64"/>
        <v>warmińsko-mazurskie_nowomiejski</v>
      </c>
      <c r="D2096" t="s">
        <v>4187</v>
      </c>
      <c r="E2096" t="str">
        <f t="shared" si="65"/>
        <v>warmińsko-mazurskie_nowomiejski_Biskupiec</v>
      </c>
      <c r="F2096" t="s">
        <v>2036</v>
      </c>
    </row>
    <row r="2097" spans="1:6" x14ac:dyDescent="0.3">
      <c r="A2097" t="s">
        <v>5391</v>
      </c>
      <c r="B2097" t="s">
        <v>5052</v>
      </c>
      <c r="C2097" t="str">
        <f t="shared" si="64"/>
        <v>warmińsko-mazurskie_nowomiejski</v>
      </c>
      <c r="D2097" t="s">
        <v>4188</v>
      </c>
      <c r="E2097" t="str">
        <f t="shared" si="65"/>
        <v>warmińsko-mazurskie_nowomiejski_Grodziczno</v>
      </c>
      <c r="F2097" t="s">
        <v>2037</v>
      </c>
    </row>
    <row r="2098" spans="1:6" x14ac:dyDescent="0.3">
      <c r="A2098" t="s">
        <v>5391</v>
      </c>
      <c r="B2098" t="s">
        <v>5052</v>
      </c>
      <c r="C2098" t="str">
        <f t="shared" si="64"/>
        <v>warmińsko-mazurskie_nowomiejski</v>
      </c>
      <c r="D2098" t="s">
        <v>4189</v>
      </c>
      <c r="E2098" t="str">
        <f t="shared" si="65"/>
        <v>warmińsko-mazurskie_nowomiejski_Kurzętnik</v>
      </c>
      <c r="F2098" t="s">
        <v>2038</v>
      </c>
    </row>
    <row r="2099" spans="1:6" x14ac:dyDescent="0.3">
      <c r="A2099" t="s">
        <v>5391</v>
      </c>
      <c r="B2099" t="s">
        <v>5052</v>
      </c>
      <c r="C2099" t="str">
        <f t="shared" si="64"/>
        <v>warmińsko-mazurskie_nowomiejski</v>
      </c>
      <c r="D2099" t="s">
        <v>4746</v>
      </c>
      <c r="E2099" t="str">
        <f t="shared" si="65"/>
        <v>warmińsko-mazurskie_nowomiejski_Nowe Miasto Lubawskie (gm. miejska)</v>
      </c>
      <c r="F2099" t="s">
        <v>2035</v>
      </c>
    </row>
    <row r="2100" spans="1:6" x14ac:dyDescent="0.3">
      <c r="A2100" t="s">
        <v>5391</v>
      </c>
      <c r="B2100" t="s">
        <v>5052</v>
      </c>
      <c r="C2100" t="str">
        <f t="shared" si="64"/>
        <v>warmińsko-mazurskie_nowomiejski</v>
      </c>
      <c r="D2100" t="s">
        <v>4747</v>
      </c>
      <c r="E2100" t="str">
        <f t="shared" si="65"/>
        <v>warmińsko-mazurskie_nowomiejski_Nowe Miasto Lubawskie (gm. wiejska)</v>
      </c>
      <c r="F2100" t="s">
        <v>2039</v>
      </c>
    </row>
    <row r="2101" spans="1:6" x14ac:dyDescent="0.3">
      <c r="A2101" t="s">
        <v>5391</v>
      </c>
      <c r="B2101" t="s">
        <v>5053</v>
      </c>
      <c r="C2101" t="str">
        <f t="shared" si="64"/>
        <v>warmińsko-mazurskie_olecki</v>
      </c>
      <c r="D2101" t="s">
        <v>4190</v>
      </c>
      <c r="E2101" t="str">
        <f t="shared" si="65"/>
        <v>warmińsko-mazurskie_olecki_Kowale Oleckie</v>
      </c>
      <c r="F2101" t="s">
        <v>2040</v>
      </c>
    </row>
    <row r="2102" spans="1:6" x14ac:dyDescent="0.3">
      <c r="A2102" t="s">
        <v>5391</v>
      </c>
      <c r="B2102" t="s">
        <v>5053</v>
      </c>
      <c r="C2102" t="str">
        <f t="shared" si="64"/>
        <v>warmińsko-mazurskie_olecki</v>
      </c>
      <c r="D2102" t="s">
        <v>4191</v>
      </c>
      <c r="E2102" t="str">
        <f t="shared" si="65"/>
        <v>warmińsko-mazurskie_olecki_Olecko</v>
      </c>
      <c r="F2102" t="s">
        <v>2041</v>
      </c>
    </row>
    <row r="2103" spans="1:6" x14ac:dyDescent="0.3">
      <c r="A2103" t="s">
        <v>5391</v>
      </c>
      <c r="B2103" t="s">
        <v>5053</v>
      </c>
      <c r="C2103" t="str">
        <f t="shared" si="64"/>
        <v>warmińsko-mazurskie_olecki</v>
      </c>
      <c r="D2103" t="s">
        <v>4192</v>
      </c>
      <c r="E2103" t="str">
        <f t="shared" si="65"/>
        <v>warmińsko-mazurskie_olecki_Świętajno</v>
      </c>
      <c r="F2103" t="s">
        <v>2042</v>
      </c>
    </row>
    <row r="2104" spans="1:6" x14ac:dyDescent="0.3">
      <c r="A2104" t="s">
        <v>5391</v>
      </c>
      <c r="B2104" t="s">
        <v>5053</v>
      </c>
      <c r="C2104" t="str">
        <f t="shared" si="64"/>
        <v>warmińsko-mazurskie_olecki</v>
      </c>
      <c r="D2104" t="s">
        <v>4193</v>
      </c>
      <c r="E2104" t="str">
        <f t="shared" si="65"/>
        <v>warmińsko-mazurskie_olecki_Wieliczki</v>
      </c>
      <c r="F2104" t="s">
        <v>2043</v>
      </c>
    </row>
    <row r="2105" spans="1:6" x14ac:dyDescent="0.3">
      <c r="A2105" t="s">
        <v>5391</v>
      </c>
      <c r="B2105" t="s">
        <v>3931</v>
      </c>
      <c r="C2105" t="str">
        <f t="shared" si="64"/>
        <v>warmińsko-mazurskie_Olsztyn</v>
      </c>
      <c r="D2105" t="s">
        <v>3931</v>
      </c>
      <c r="E2105" t="str">
        <f t="shared" si="65"/>
        <v>warmińsko-mazurskie_Olsztyn_Olsztyn</v>
      </c>
      <c r="F2105" t="s">
        <v>2083</v>
      </c>
    </row>
    <row r="2106" spans="1:6" x14ac:dyDescent="0.3">
      <c r="A2106" t="s">
        <v>5391</v>
      </c>
      <c r="B2106" t="s">
        <v>5054</v>
      </c>
      <c r="C2106" t="str">
        <f t="shared" si="64"/>
        <v>warmińsko-mazurskie_olsztyński</v>
      </c>
      <c r="D2106" t="s">
        <v>4194</v>
      </c>
      <c r="E2106" t="str">
        <f t="shared" si="65"/>
        <v>warmińsko-mazurskie_olsztyński_Barczewo</v>
      </c>
      <c r="F2106" t="s">
        <v>2044</v>
      </c>
    </row>
    <row r="2107" spans="1:6" x14ac:dyDescent="0.3">
      <c r="A2107" t="s">
        <v>5391</v>
      </c>
      <c r="B2107" t="s">
        <v>5054</v>
      </c>
      <c r="C2107" t="str">
        <f t="shared" si="64"/>
        <v>warmińsko-mazurskie_olsztyński</v>
      </c>
      <c r="D2107" t="s">
        <v>4187</v>
      </c>
      <c r="E2107" t="str">
        <f t="shared" si="65"/>
        <v>warmińsko-mazurskie_olsztyński_Biskupiec</v>
      </c>
      <c r="F2107" t="s">
        <v>2045</v>
      </c>
    </row>
    <row r="2108" spans="1:6" x14ac:dyDescent="0.3">
      <c r="A2108" t="s">
        <v>5391</v>
      </c>
      <c r="B2108" t="s">
        <v>5054</v>
      </c>
      <c r="C2108" t="str">
        <f t="shared" si="64"/>
        <v>warmińsko-mazurskie_olsztyński</v>
      </c>
      <c r="D2108" t="s">
        <v>4195</v>
      </c>
      <c r="E2108" t="str">
        <f t="shared" si="65"/>
        <v>warmińsko-mazurskie_olsztyński_Dobre Miasto</v>
      </c>
      <c r="F2108" t="s">
        <v>2046</v>
      </c>
    </row>
    <row r="2109" spans="1:6" x14ac:dyDescent="0.3">
      <c r="A2109" t="s">
        <v>5391</v>
      </c>
      <c r="B2109" t="s">
        <v>5054</v>
      </c>
      <c r="C2109" t="str">
        <f t="shared" si="64"/>
        <v>warmińsko-mazurskie_olsztyński</v>
      </c>
      <c r="D2109" t="s">
        <v>4196</v>
      </c>
      <c r="E2109" t="str">
        <f t="shared" si="65"/>
        <v>warmińsko-mazurskie_olsztyński_Dywity</v>
      </c>
      <c r="F2109" t="s">
        <v>2047</v>
      </c>
    </row>
    <row r="2110" spans="1:6" x14ac:dyDescent="0.3">
      <c r="A2110" t="s">
        <v>5391</v>
      </c>
      <c r="B2110" t="s">
        <v>5054</v>
      </c>
      <c r="C2110" t="str">
        <f t="shared" si="64"/>
        <v>warmińsko-mazurskie_olsztyński</v>
      </c>
      <c r="D2110" t="s">
        <v>4197</v>
      </c>
      <c r="E2110" t="str">
        <f t="shared" si="65"/>
        <v>warmińsko-mazurskie_olsztyński_Gietrzwałd</v>
      </c>
      <c r="F2110" t="s">
        <v>2048</v>
      </c>
    </row>
    <row r="2111" spans="1:6" x14ac:dyDescent="0.3">
      <c r="A2111" t="s">
        <v>5391</v>
      </c>
      <c r="B2111" t="s">
        <v>5054</v>
      </c>
      <c r="C2111" t="str">
        <f t="shared" si="64"/>
        <v>warmińsko-mazurskie_olsztyński</v>
      </c>
      <c r="D2111" t="s">
        <v>4198</v>
      </c>
      <c r="E2111" t="str">
        <f t="shared" si="65"/>
        <v>warmińsko-mazurskie_olsztyński_Jeziorany</v>
      </c>
      <c r="F2111" t="s">
        <v>2049</v>
      </c>
    </row>
    <row r="2112" spans="1:6" x14ac:dyDescent="0.3">
      <c r="A2112" t="s">
        <v>5391</v>
      </c>
      <c r="B2112" t="s">
        <v>5054</v>
      </c>
      <c r="C2112" t="str">
        <f t="shared" si="64"/>
        <v>warmińsko-mazurskie_olsztyński</v>
      </c>
      <c r="D2112" t="s">
        <v>4199</v>
      </c>
      <c r="E2112" t="str">
        <f t="shared" si="65"/>
        <v>warmińsko-mazurskie_olsztyński_Jonkowo</v>
      </c>
      <c r="F2112" t="s">
        <v>2050</v>
      </c>
    </row>
    <row r="2113" spans="1:6" x14ac:dyDescent="0.3">
      <c r="A2113" t="s">
        <v>5391</v>
      </c>
      <c r="B2113" t="s">
        <v>5054</v>
      </c>
      <c r="C2113" t="str">
        <f t="shared" ref="C2113:C2176" si="66">CONCATENATE(A2113,"_",B2113)</f>
        <v>warmińsko-mazurskie_olsztyński</v>
      </c>
      <c r="D2113" t="s">
        <v>3736</v>
      </c>
      <c r="E2113" t="str">
        <f t="shared" ref="E2113:E2176" si="67">C2113&amp;"_"&amp;D2113</f>
        <v>warmińsko-mazurskie_olsztyński_Kolno</v>
      </c>
      <c r="F2113" t="s">
        <v>2051</v>
      </c>
    </row>
    <row r="2114" spans="1:6" x14ac:dyDescent="0.3">
      <c r="A2114" t="s">
        <v>5391</v>
      </c>
      <c r="B2114" t="s">
        <v>5054</v>
      </c>
      <c r="C2114" t="str">
        <f t="shared" si="66"/>
        <v>warmińsko-mazurskie_olsztyński</v>
      </c>
      <c r="D2114" t="s">
        <v>4200</v>
      </c>
      <c r="E2114" t="str">
        <f t="shared" si="67"/>
        <v>warmińsko-mazurskie_olsztyński_Olsztynek</v>
      </c>
      <c r="F2114" t="s">
        <v>2052</v>
      </c>
    </row>
    <row r="2115" spans="1:6" x14ac:dyDescent="0.3">
      <c r="A2115" t="s">
        <v>5391</v>
      </c>
      <c r="B2115" t="s">
        <v>5054</v>
      </c>
      <c r="C2115" t="str">
        <f t="shared" si="66"/>
        <v>warmińsko-mazurskie_olsztyński</v>
      </c>
      <c r="D2115" t="s">
        <v>4201</v>
      </c>
      <c r="E2115" t="str">
        <f t="shared" si="67"/>
        <v>warmińsko-mazurskie_olsztyński_Purda</v>
      </c>
      <c r="F2115" t="s">
        <v>2053</v>
      </c>
    </row>
    <row r="2116" spans="1:6" x14ac:dyDescent="0.3">
      <c r="A2116" t="s">
        <v>5391</v>
      </c>
      <c r="B2116" t="s">
        <v>5054</v>
      </c>
      <c r="C2116" t="str">
        <f t="shared" si="66"/>
        <v>warmińsko-mazurskie_olsztyński</v>
      </c>
      <c r="D2116" t="s">
        <v>4202</v>
      </c>
      <c r="E2116" t="str">
        <f t="shared" si="67"/>
        <v>warmińsko-mazurskie_olsztyński_Stawiguda</v>
      </c>
      <c r="F2116" t="s">
        <v>2054</v>
      </c>
    </row>
    <row r="2117" spans="1:6" x14ac:dyDescent="0.3">
      <c r="A2117" t="s">
        <v>5391</v>
      </c>
      <c r="B2117" t="s">
        <v>5054</v>
      </c>
      <c r="C2117" t="str">
        <f t="shared" si="66"/>
        <v>warmińsko-mazurskie_olsztyński</v>
      </c>
      <c r="D2117" t="s">
        <v>4203</v>
      </c>
      <c r="E2117" t="str">
        <f t="shared" si="67"/>
        <v>warmińsko-mazurskie_olsztyński_Świątki</v>
      </c>
      <c r="F2117" t="s">
        <v>2055</v>
      </c>
    </row>
    <row r="2118" spans="1:6" x14ac:dyDescent="0.3">
      <c r="A2118" t="s">
        <v>5391</v>
      </c>
      <c r="B2118" t="s">
        <v>5055</v>
      </c>
      <c r="C2118" t="str">
        <f t="shared" si="66"/>
        <v>warmińsko-mazurskie_ostródzki</v>
      </c>
      <c r="D2118" t="s">
        <v>4204</v>
      </c>
      <c r="E2118" t="str">
        <f t="shared" si="67"/>
        <v>warmińsko-mazurskie_ostródzki_Dąbrówno</v>
      </c>
      <c r="F2118" t="s">
        <v>2057</v>
      </c>
    </row>
    <row r="2119" spans="1:6" x14ac:dyDescent="0.3">
      <c r="A2119" t="s">
        <v>5391</v>
      </c>
      <c r="B2119" t="s">
        <v>5055</v>
      </c>
      <c r="C2119" t="str">
        <f t="shared" si="66"/>
        <v>warmińsko-mazurskie_ostródzki</v>
      </c>
      <c r="D2119" t="s">
        <v>4205</v>
      </c>
      <c r="E2119" t="str">
        <f t="shared" si="67"/>
        <v>warmińsko-mazurskie_ostródzki_Grunwald</v>
      </c>
      <c r="F2119" t="s">
        <v>2058</v>
      </c>
    </row>
    <row r="2120" spans="1:6" x14ac:dyDescent="0.3">
      <c r="A2120" t="s">
        <v>5391</v>
      </c>
      <c r="B2120" t="s">
        <v>5055</v>
      </c>
      <c r="C2120" t="str">
        <f t="shared" si="66"/>
        <v>warmińsko-mazurskie_ostródzki</v>
      </c>
      <c r="D2120" t="s">
        <v>4206</v>
      </c>
      <c r="E2120" t="str">
        <f t="shared" si="67"/>
        <v>warmińsko-mazurskie_ostródzki_Łukta</v>
      </c>
      <c r="F2120" t="s">
        <v>2059</v>
      </c>
    </row>
    <row r="2121" spans="1:6" x14ac:dyDescent="0.3">
      <c r="A2121" t="s">
        <v>5391</v>
      </c>
      <c r="B2121" t="s">
        <v>5055</v>
      </c>
      <c r="C2121" t="str">
        <f t="shared" si="66"/>
        <v>warmińsko-mazurskie_ostródzki</v>
      </c>
      <c r="D2121" t="s">
        <v>4207</v>
      </c>
      <c r="E2121" t="str">
        <f t="shared" si="67"/>
        <v>warmińsko-mazurskie_ostródzki_Małdyty</v>
      </c>
      <c r="F2121" t="s">
        <v>2060</v>
      </c>
    </row>
    <row r="2122" spans="1:6" x14ac:dyDescent="0.3">
      <c r="A2122" t="s">
        <v>5391</v>
      </c>
      <c r="B2122" t="s">
        <v>5055</v>
      </c>
      <c r="C2122" t="str">
        <f t="shared" si="66"/>
        <v>warmińsko-mazurskie_ostródzki</v>
      </c>
      <c r="D2122" t="s">
        <v>4208</v>
      </c>
      <c r="E2122" t="str">
        <f t="shared" si="67"/>
        <v>warmińsko-mazurskie_ostródzki_Miłakowo</v>
      </c>
      <c r="F2122" t="s">
        <v>2061</v>
      </c>
    </row>
    <row r="2123" spans="1:6" x14ac:dyDescent="0.3">
      <c r="A2123" t="s">
        <v>5391</v>
      </c>
      <c r="B2123" t="s">
        <v>5055</v>
      </c>
      <c r="C2123" t="str">
        <f t="shared" si="66"/>
        <v>warmińsko-mazurskie_ostródzki</v>
      </c>
      <c r="D2123" t="s">
        <v>4209</v>
      </c>
      <c r="E2123" t="str">
        <f t="shared" si="67"/>
        <v>warmińsko-mazurskie_ostródzki_Miłomłyn</v>
      </c>
      <c r="F2123" t="s">
        <v>2062</v>
      </c>
    </row>
    <row r="2124" spans="1:6" x14ac:dyDescent="0.3">
      <c r="A2124" t="s">
        <v>5391</v>
      </c>
      <c r="B2124" t="s">
        <v>5055</v>
      </c>
      <c r="C2124" t="str">
        <f t="shared" si="66"/>
        <v>warmińsko-mazurskie_ostródzki</v>
      </c>
      <c r="D2124" t="s">
        <v>4210</v>
      </c>
      <c r="E2124" t="str">
        <f t="shared" si="67"/>
        <v>warmińsko-mazurskie_ostródzki_Morąg</v>
      </c>
      <c r="F2124" t="s">
        <v>2063</v>
      </c>
    </row>
    <row r="2125" spans="1:6" x14ac:dyDescent="0.3">
      <c r="A2125" t="s">
        <v>5391</v>
      </c>
      <c r="B2125" t="s">
        <v>5055</v>
      </c>
      <c r="C2125" t="str">
        <f t="shared" si="66"/>
        <v>warmińsko-mazurskie_ostródzki</v>
      </c>
      <c r="D2125" t="s">
        <v>4748</v>
      </c>
      <c r="E2125" t="str">
        <f t="shared" si="67"/>
        <v>warmińsko-mazurskie_ostródzki_Ostróda (gm. miejska)</v>
      </c>
      <c r="F2125" t="s">
        <v>2056</v>
      </c>
    </row>
    <row r="2126" spans="1:6" x14ac:dyDescent="0.3">
      <c r="A2126" t="s">
        <v>5391</v>
      </c>
      <c r="B2126" t="s">
        <v>5055</v>
      </c>
      <c r="C2126" t="str">
        <f t="shared" si="66"/>
        <v>warmińsko-mazurskie_ostródzki</v>
      </c>
      <c r="D2126" t="s">
        <v>4749</v>
      </c>
      <c r="E2126" t="str">
        <f t="shared" si="67"/>
        <v>warmińsko-mazurskie_ostródzki_Ostróda (gm. wiejska)</v>
      </c>
      <c r="F2126" t="s">
        <v>2064</v>
      </c>
    </row>
    <row r="2127" spans="1:6" x14ac:dyDescent="0.3">
      <c r="A2127" t="s">
        <v>5391</v>
      </c>
      <c r="B2127" t="s">
        <v>5056</v>
      </c>
      <c r="C2127" t="str">
        <f t="shared" si="66"/>
        <v>warmińsko-mazurskie_piski</v>
      </c>
      <c r="D2127" t="s">
        <v>4211</v>
      </c>
      <c r="E2127" t="str">
        <f t="shared" si="67"/>
        <v>warmińsko-mazurskie_piski_Biała Piska</v>
      </c>
      <c r="F2127" t="s">
        <v>2065</v>
      </c>
    </row>
    <row r="2128" spans="1:6" x14ac:dyDescent="0.3">
      <c r="A2128" t="s">
        <v>5391</v>
      </c>
      <c r="B2128" t="s">
        <v>5056</v>
      </c>
      <c r="C2128" t="str">
        <f t="shared" si="66"/>
        <v>warmińsko-mazurskie_piski</v>
      </c>
      <c r="D2128" t="s">
        <v>4212</v>
      </c>
      <c r="E2128" t="str">
        <f t="shared" si="67"/>
        <v>warmińsko-mazurskie_piski_Orzysz</v>
      </c>
      <c r="F2128" t="s">
        <v>2066</v>
      </c>
    </row>
    <row r="2129" spans="1:6" x14ac:dyDescent="0.3">
      <c r="A2129" t="s">
        <v>5391</v>
      </c>
      <c r="B2129" t="s">
        <v>5056</v>
      </c>
      <c r="C2129" t="str">
        <f t="shared" si="66"/>
        <v>warmińsko-mazurskie_piski</v>
      </c>
      <c r="D2129" t="s">
        <v>4213</v>
      </c>
      <c r="E2129" t="str">
        <f t="shared" si="67"/>
        <v>warmińsko-mazurskie_piski_Pisz</v>
      </c>
      <c r="F2129" t="s">
        <v>2067</v>
      </c>
    </row>
    <row r="2130" spans="1:6" x14ac:dyDescent="0.3">
      <c r="A2130" t="s">
        <v>5391</v>
      </c>
      <c r="B2130" t="s">
        <v>5056</v>
      </c>
      <c r="C2130" t="str">
        <f t="shared" si="66"/>
        <v>warmińsko-mazurskie_piski</v>
      </c>
      <c r="D2130" t="s">
        <v>4214</v>
      </c>
      <c r="E2130" t="str">
        <f t="shared" si="67"/>
        <v>warmińsko-mazurskie_piski_Ruciane-Nida</v>
      </c>
      <c r="F2130" t="s">
        <v>2068</v>
      </c>
    </row>
    <row r="2131" spans="1:6" x14ac:dyDescent="0.3">
      <c r="A2131" t="s">
        <v>5391</v>
      </c>
      <c r="B2131" t="s">
        <v>5057</v>
      </c>
      <c r="C2131" t="str">
        <f t="shared" si="66"/>
        <v>warmińsko-mazurskie_szczycieński</v>
      </c>
      <c r="D2131" t="s">
        <v>4215</v>
      </c>
      <c r="E2131" t="str">
        <f t="shared" si="67"/>
        <v>warmińsko-mazurskie_szczycieński_Dźwierzuty</v>
      </c>
      <c r="F2131" t="s">
        <v>2070</v>
      </c>
    </row>
    <row r="2132" spans="1:6" x14ac:dyDescent="0.3">
      <c r="A2132" t="s">
        <v>5391</v>
      </c>
      <c r="B2132" t="s">
        <v>5057</v>
      </c>
      <c r="C2132" t="str">
        <f t="shared" si="66"/>
        <v>warmińsko-mazurskie_szczycieński</v>
      </c>
      <c r="D2132" t="s">
        <v>4216</v>
      </c>
      <c r="E2132" t="str">
        <f t="shared" si="67"/>
        <v>warmińsko-mazurskie_szczycieński_Jedwabno</v>
      </c>
      <c r="F2132" t="s">
        <v>2071</v>
      </c>
    </row>
    <row r="2133" spans="1:6" x14ac:dyDescent="0.3">
      <c r="A2133" t="s">
        <v>5391</v>
      </c>
      <c r="B2133" t="s">
        <v>5057</v>
      </c>
      <c r="C2133" t="str">
        <f t="shared" si="66"/>
        <v>warmińsko-mazurskie_szczycieński</v>
      </c>
      <c r="D2133" t="s">
        <v>4217</v>
      </c>
      <c r="E2133" t="str">
        <f t="shared" si="67"/>
        <v>warmińsko-mazurskie_szczycieński_Pasym</v>
      </c>
      <c r="F2133" t="s">
        <v>2072</v>
      </c>
    </row>
    <row r="2134" spans="1:6" x14ac:dyDescent="0.3">
      <c r="A2134" t="s">
        <v>5391</v>
      </c>
      <c r="B2134" t="s">
        <v>5057</v>
      </c>
      <c r="C2134" t="str">
        <f t="shared" si="66"/>
        <v>warmińsko-mazurskie_szczycieński</v>
      </c>
      <c r="D2134" t="s">
        <v>4218</v>
      </c>
      <c r="E2134" t="str">
        <f t="shared" si="67"/>
        <v>warmińsko-mazurskie_szczycieński_Rozogi</v>
      </c>
      <c r="F2134" t="s">
        <v>2073</v>
      </c>
    </row>
    <row r="2135" spans="1:6" x14ac:dyDescent="0.3">
      <c r="A2135" t="s">
        <v>5391</v>
      </c>
      <c r="B2135" t="s">
        <v>5057</v>
      </c>
      <c r="C2135" t="str">
        <f t="shared" si="66"/>
        <v>warmińsko-mazurskie_szczycieński</v>
      </c>
      <c r="D2135" t="s">
        <v>4192</v>
      </c>
      <c r="E2135" t="str">
        <f t="shared" si="67"/>
        <v>warmińsko-mazurskie_szczycieński_Świętajno</v>
      </c>
      <c r="F2135" t="s">
        <v>2075</v>
      </c>
    </row>
    <row r="2136" spans="1:6" x14ac:dyDescent="0.3">
      <c r="A2136" t="s">
        <v>5391</v>
      </c>
      <c r="B2136" t="s">
        <v>5057</v>
      </c>
      <c r="C2136" t="str">
        <f t="shared" si="66"/>
        <v>warmińsko-mazurskie_szczycieński</v>
      </c>
      <c r="D2136" t="s">
        <v>4219</v>
      </c>
      <c r="E2136" t="str">
        <f t="shared" si="67"/>
        <v>warmińsko-mazurskie_szczycieński_Wielbark</v>
      </c>
      <c r="F2136" t="s">
        <v>5449</v>
      </c>
    </row>
    <row r="2137" spans="1:6" x14ac:dyDescent="0.3">
      <c r="A2137" t="s">
        <v>5391</v>
      </c>
      <c r="B2137" t="s">
        <v>5057</v>
      </c>
      <c r="C2137" t="str">
        <f t="shared" si="66"/>
        <v>warmińsko-mazurskie_szczycieński</v>
      </c>
      <c r="D2137" t="s">
        <v>4750</v>
      </c>
      <c r="E2137" t="str">
        <f t="shared" si="67"/>
        <v>warmińsko-mazurskie_szczycieński_Szczytno (gm. miejska)</v>
      </c>
      <c r="F2137" s="58" t="s">
        <v>2069</v>
      </c>
    </row>
    <row r="2138" spans="1:6" x14ac:dyDescent="0.3">
      <c r="A2138" t="s">
        <v>5391</v>
      </c>
      <c r="B2138" t="s">
        <v>5057</v>
      </c>
      <c r="C2138" t="str">
        <f t="shared" si="66"/>
        <v>warmińsko-mazurskie_szczycieński</v>
      </c>
      <c r="D2138" t="s">
        <v>4751</v>
      </c>
      <c r="E2138" t="str">
        <f t="shared" si="67"/>
        <v>warmińsko-mazurskie_szczycieński_Szczytno (gm. wiejska)</v>
      </c>
      <c r="F2138" t="s">
        <v>2074</v>
      </c>
    </row>
    <row r="2139" spans="1:6" x14ac:dyDescent="0.3">
      <c r="A2139" t="s">
        <v>5391</v>
      </c>
      <c r="B2139" t="s">
        <v>5059</v>
      </c>
      <c r="C2139" t="str">
        <f t="shared" si="66"/>
        <v>warmińsko-mazurskie_węgorzewski</v>
      </c>
      <c r="D2139" t="s">
        <v>4223</v>
      </c>
      <c r="E2139" t="str">
        <f t="shared" si="67"/>
        <v>warmińsko-mazurskie_węgorzewski_Budry</v>
      </c>
      <c r="F2139" t="s">
        <v>2079</v>
      </c>
    </row>
    <row r="2140" spans="1:6" x14ac:dyDescent="0.3">
      <c r="A2140" t="s">
        <v>5391</v>
      </c>
      <c r="B2140" t="s">
        <v>5059</v>
      </c>
      <c r="C2140" t="str">
        <f t="shared" si="66"/>
        <v>warmińsko-mazurskie_węgorzewski</v>
      </c>
      <c r="D2140" t="s">
        <v>4224</v>
      </c>
      <c r="E2140" t="str">
        <f t="shared" si="67"/>
        <v>warmińsko-mazurskie_węgorzewski_Pozezdrze</v>
      </c>
      <c r="F2140" t="s">
        <v>2080</v>
      </c>
    </row>
    <row r="2141" spans="1:6" x14ac:dyDescent="0.3">
      <c r="A2141" t="s">
        <v>5391</v>
      </c>
      <c r="B2141" t="s">
        <v>5059</v>
      </c>
      <c r="C2141" t="str">
        <f t="shared" si="66"/>
        <v>warmińsko-mazurskie_węgorzewski</v>
      </c>
      <c r="D2141" t="s">
        <v>4225</v>
      </c>
      <c r="E2141" t="str">
        <f t="shared" si="67"/>
        <v>warmińsko-mazurskie_węgorzewski_Węgorzewo</v>
      </c>
      <c r="F2141" t="s">
        <v>2081</v>
      </c>
    </row>
    <row r="2142" spans="1:6" x14ac:dyDescent="0.3">
      <c r="A2142" t="s">
        <v>5386</v>
      </c>
      <c r="B2142" t="s">
        <v>5060</v>
      </c>
      <c r="C2142" t="str">
        <f t="shared" si="66"/>
        <v>wielkopolskie_chodzieski</v>
      </c>
      <c r="D2142" t="s">
        <v>4226</v>
      </c>
      <c r="E2142" t="str">
        <f t="shared" si="67"/>
        <v>wielkopolskie_chodzieski_Budzyń</v>
      </c>
      <c r="F2142" t="s">
        <v>5397</v>
      </c>
    </row>
    <row r="2143" spans="1:6" x14ac:dyDescent="0.3">
      <c r="A2143" t="s">
        <v>5386</v>
      </c>
      <c r="B2143" t="s">
        <v>5060</v>
      </c>
      <c r="C2143" t="str">
        <f t="shared" si="66"/>
        <v>wielkopolskie_chodzieski</v>
      </c>
      <c r="D2143" t="s">
        <v>4227</v>
      </c>
      <c r="E2143" t="str">
        <f t="shared" si="67"/>
        <v>wielkopolskie_chodzieski_Margonin</v>
      </c>
      <c r="F2143" t="s">
        <v>2086</v>
      </c>
    </row>
    <row r="2144" spans="1:6" x14ac:dyDescent="0.3">
      <c r="A2144" t="s">
        <v>5386</v>
      </c>
      <c r="B2144" t="s">
        <v>5060</v>
      </c>
      <c r="C2144" t="str">
        <f t="shared" si="66"/>
        <v>wielkopolskie_chodzieski</v>
      </c>
      <c r="D2144" t="s">
        <v>4228</v>
      </c>
      <c r="E2144" t="str">
        <f t="shared" si="67"/>
        <v>wielkopolskie_chodzieski_Szamocin</v>
      </c>
      <c r="F2144" t="s">
        <v>2087</v>
      </c>
    </row>
    <row r="2145" spans="1:6" x14ac:dyDescent="0.3">
      <c r="A2145" t="s">
        <v>5386</v>
      </c>
      <c r="B2145" t="s">
        <v>5060</v>
      </c>
      <c r="C2145" t="str">
        <f t="shared" si="66"/>
        <v>wielkopolskie_chodzieski</v>
      </c>
      <c r="D2145" t="s">
        <v>4752</v>
      </c>
      <c r="E2145" t="str">
        <f t="shared" si="67"/>
        <v>wielkopolskie_chodzieski_Chodzież (gm. miejska)</v>
      </c>
      <c r="F2145" t="s">
        <v>2084</v>
      </c>
    </row>
    <row r="2146" spans="1:6" x14ac:dyDescent="0.3">
      <c r="A2146" t="s">
        <v>5386</v>
      </c>
      <c r="B2146" t="s">
        <v>5060</v>
      </c>
      <c r="C2146" t="str">
        <f t="shared" si="66"/>
        <v>wielkopolskie_chodzieski</v>
      </c>
      <c r="D2146" t="s">
        <v>4753</v>
      </c>
      <c r="E2146" t="str">
        <f t="shared" si="67"/>
        <v>wielkopolskie_chodzieski_Chodzież (gm. wiejska)</v>
      </c>
      <c r="F2146" t="s">
        <v>2085</v>
      </c>
    </row>
    <row r="2147" spans="1:6" x14ac:dyDescent="0.3">
      <c r="A2147" t="s">
        <v>5386</v>
      </c>
      <c r="B2147" t="s">
        <v>5061</v>
      </c>
      <c r="C2147" t="str">
        <f t="shared" si="66"/>
        <v>wielkopolskie_czarnkowsko-trzcianecki</v>
      </c>
      <c r="D2147" t="s">
        <v>4229</v>
      </c>
      <c r="E2147" t="str">
        <f t="shared" si="67"/>
        <v>wielkopolskie_czarnkowsko-trzcianecki_Drawsko</v>
      </c>
      <c r="F2147" t="s">
        <v>2090</v>
      </c>
    </row>
    <row r="2148" spans="1:6" x14ac:dyDescent="0.3">
      <c r="A2148" t="s">
        <v>5386</v>
      </c>
      <c r="B2148" t="s">
        <v>5061</v>
      </c>
      <c r="C2148" t="str">
        <f t="shared" si="66"/>
        <v>wielkopolskie_czarnkowsko-trzcianecki</v>
      </c>
      <c r="D2148" t="s">
        <v>4230</v>
      </c>
      <c r="E2148" t="str">
        <f t="shared" si="67"/>
        <v>wielkopolskie_czarnkowsko-trzcianecki_Krzyż Wielkopolski</v>
      </c>
      <c r="F2148" t="s">
        <v>2091</v>
      </c>
    </row>
    <row r="2149" spans="1:6" x14ac:dyDescent="0.3">
      <c r="A2149" t="s">
        <v>5386</v>
      </c>
      <c r="B2149" t="s">
        <v>5061</v>
      </c>
      <c r="C2149" t="str">
        <f t="shared" si="66"/>
        <v>wielkopolskie_czarnkowsko-trzcianecki</v>
      </c>
      <c r="D2149" t="s">
        <v>4231</v>
      </c>
      <c r="E2149" t="str">
        <f t="shared" si="67"/>
        <v>wielkopolskie_czarnkowsko-trzcianecki_Lubasz</v>
      </c>
      <c r="F2149" t="s">
        <v>2092</v>
      </c>
    </row>
    <row r="2150" spans="1:6" x14ac:dyDescent="0.3">
      <c r="A2150" t="s">
        <v>5386</v>
      </c>
      <c r="B2150" t="s">
        <v>5061</v>
      </c>
      <c r="C2150" t="str">
        <f t="shared" si="66"/>
        <v>wielkopolskie_czarnkowsko-trzcianecki</v>
      </c>
      <c r="D2150" t="s">
        <v>4232</v>
      </c>
      <c r="E2150" t="str">
        <f t="shared" si="67"/>
        <v>wielkopolskie_czarnkowsko-trzcianecki_Połajewo</v>
      </c>
      <c r="F2150" t="s">
        <v>2093</v>
      </c>
    </row>
    <row r="2151" spans="1:6" x14ac:dyDescent="0.3">
      <c r="A2151" t="s">
        <v>5386</v>
      </c>
      <c r="B2151" t="s">
        <v>5061</v>
      </c>
      <c r="C2151" t="str">
        <f t="shared" si="66"/>
        <v>wielkopolskie_czarnkowsko-trzcianecki</v>
      </c>
      <c r="D2151" t="s">
        <v>4233</v>
      </c>
      <c r="E2151" t="str">
        <f t="shared" si="67"/>
        <v>wielkopolskie_czarnkowsko-trzcianecki_Trzcianka</v>
      </c>
      <c r="F2151" t="s">
        <v>2094</v>
      </c>
    </row>
    <row r="2152" spans="1:6" x14ac:dyDescent="0.3">
      <c r="A2152" t="s">
        <v>5386</v>
      </c>
      <c r="B2152" t="s">
        <v>5061</v>
      </c>
      <c r="C2152" t="str">
        <f t="shared" si="66"/>
        <v>wielkopolskie_czarnkowsko-trzcianecki</v>
      </c>
      <c r="D2152" t="s">
        <v>4234</v>
      </c>
      <c r="E2152" t="str">
        <f t="shared" si="67"/>
        <v>wielkopolskie_czarnkowsko-trzcianecki_Wieleń</v>
      </c>
      <c r="F2152" t="s">
        <v>2095</v>
      </c>
    </row>
    <row r="2153" spans="1:6" x14ac:dyDescent="0.3">
      <c r="A2153" t="s">
        <v>5386</v>
      </c>
      <c r="B2153" t="s">
        <v>5061</v>
      </c>
      <c r="C2153" t="str">
        <f t="shared" si="66"/>
        <v>wielkopolskie_czarnkowsko-trzcianecki</v>
      </c>
      <c r="D2153" t="s">
        <v>4754</v>
      </c>
      <c r="E2153" t="str">
        <f t="shared" si="67"/>
        <v>wielkopolskie_czarnkowsko-trzcianecki_Czarnków (gm. miejska)</v>
      </c>
      <c r="F2153" t="s">
        <v>2088</v>
      </c>
    </row>
    <row r="2154" spans="1:6" x14ac:dyDescent="0.3">
      <c r="A2154" t="s">
        <v>5386</v>
      </c>
      <c r="B2154" t="s">
        <v>5061</v>
      </c>
      <c r="C2154" t="str">
        <f t="shared" si="66"/>
        <v>wielkopolskie_czarnkowsko-trzcianecki</v>
      </c>
      <c r="D2154" t="s">
        <v>4755</v>
      </c>
      <c r="E2154" t="str">
        <f t="shared" si="67"/>
        <v>wielkopolskie_czarnkowsko-trzcianecki_Czarnków (gm. wiejska)</v>
      </c>
      <c r="F2154" t="s">
        <v>2089</v>
      </c>
    </row>
    <row r="2155" spans="1:6" x14ac:dyDescent="0.3">
      <c r="A2155" t="s">
        <v>5386</v>
      </c>
      <c r="B2155" t="s">
        <v>5062</v>
      </c>
      <c r="C2155" t="str">
        <f t="shared" si="66"/>
        <v>wielkopolskie_gnieźnieński</v>
      </c>
      <c r="D2155" t="s">
        <v>4235</v>
      </c>
      <c r="E2155" t="str">
        <f t="shared" si="67"/>
        <v>wielkopolskie_gnieźnieński_Czerniejewo</v>
      </c>
      <c r="F2155" t="s">
        <v>2097</v>
      </c>
    </row>
    <row r="2156" spans="1:6" x14ac:dyDescent="0.3">
      <c r="A2156" t="s">
        <v>5386</v>
      </c>
      <c r="B2156" t="s">
        <v>5062</v>
      </c>
      <c r="C2156" t="str">
        <f t="shared" si="66"/>
        <v>wielkopolskie_gnieźnieński</v>
      </c>
      <c r="D2156" t="s">
        <v>4236</v>
      </c>
      <c r="E2156" t="str">
        <f t="shared" si="67"/>
        <v>wielkopolskie_gnieźnieński_Kiszkowo</v>
      </c>
      <c r="F2156" t="s">
        <v>2099</v>
      </c>
    </row>
    <row r="2157" spans="1:6" x14ac:dyDescent="0.3">
      <c r="A2157" t="s">
        <v>5386</v>
      </c>
      <c r="B2157" t="s">
        <v>5062</v>
      </c>
      <c r="C2157" t="str">
        <f t="shared" si="66"/>
        <v>wielkopolskie_gnieźnieński</v>
      </c>
      <c r="D2157" t="s">
        <v>4237</v>
      </c>
      <c r="E2157" t="str">
        <f t="shared" si="67"/>
        <v>wielkopolskie_gnieźnieński_Kłecko</v>
      </c>
      <c r="F2157" t="s">
        <v>2100</v>
      </c>
    </row>
    <row r="2158" spans="1:6" x14ac:dyDescent="0.3">
      <c r="A2158" t="s">
        <v>5386</v>
      </c>
      <c r="B2158" t="s">
        <v>5062</v>
      </c>
      <c r="C2158" t="str">
        <f t="shared" si="66"/>
        <v>wielkopolskie_gnieźnieński</v>
      </c>
      <c r="D2158" t="s">
        <v>4238</v>
      </c>
      <c r="E2158" t="str">
        <f t="shared" si="67"/>
        <v>wielkopolskie_gnieźnieński_Łubowo</v>
      </c>
      <c r="F2158" t="s">
        <v>2101</v>
      </c>
    </row>
    <row r="2159" spans="1:6" x14ac:dyDescent="0.3">
      <c r="A2159" t="s">
        <v>5386</v>
      </c>
      <c r="B2159" t="s">
        <v>5062</v>
      </c>
      <c r="C2159" t="str">
        <f t="shared" si="66"/>
        <v>wielkopolskie_gnieźnieński</v>
      </c>
      <c r="D2159" t="s">
        <v>4239</v>
      </c>
      <c r="E2159" t="str">
        <f t="shared" si="67"/>
        <v>wielkopolskie_gnieźnieński_Mieleszyn</v>
      </c>
      <c r="F2159" t="s">
        <v>2102</v>
      </c>
    </row>
    <row r="2160" spans="1:6" x14ac:dyDescent="0.3">
      <c r="A2160" t="s">
        <v>5386</v>
      </c>
      <c r="B2160" t="s">
        <v>5062</v>
      </c>
      <c r="C2160" t="str">
        <f t="shared" si="66"/>
        <v>wielkopolskie_gnieźnieński</v>
      </c>
      <c r="D2160" t="s">
        <v>4240</v>
      </c>
      <c r="E2160" t="str">
        <f t="shared" si="67"/>
        <v>wielkopolskie_gnieźnieński_Niechanowo</v>
      </c>
      <c r="F2160" t="s">
        <v>2103</v>
      </c>
    </row>
    <row r="2161" spans="1:6" x14ac:dyDescent="0.3">
      <c r="A2161" t="s">
        <v>5386</v>
      </c>
      <c r="B2161" t="s">
        <v>5062</v>
      </c>
      <c r="C2161" t="str">
        <f t="shared" si="66"/>
        <v>wielkopolskie_gnieźnieński</v>
      </c>
      <c r="D2161" t="s">
        <v>4241</v>
      </c>
      <c r="E2161" t="str">
        <f t="shared" si="67"/>
        <v>wielkopolskie_gnieźnieński_Trzemeszno</v>
      </c>
      <c r="F2161" t="s">
        <v>2104</v>
      </c>
    </row>
    <row r="2162" spans="1:6" x14ac:dyDescent="0.3">
      <c r="A2162" t="s">
        <v>5386</v>
      </c>
      <c r="B2162" t="s">
        <v>5062</v>
      </c>
      <c r="C2162" t="str">
        <f t="shared" si="66"/>
        <v>wielkopolskie_gnieźnieński</v>
      </c>
      <c r="D2162" t="s">
        <v>4242</v>
      </c>
      <c r="E2162" t="str">
        <f t="shared" si="67"/>
        <v>wielkopolskie_gnieźnieński_Witkowo</v>
      </c>
      <c r="F2162" t="s">
        <v>2105</v>
      </c>
    </row>
    <row r="2163" spans="1:6" x14ac:dyDescent="0.3">
      <c r="A2163" t="s">
        <v>5386</v>
      </c>
      <c r="B2163" t="s">
        <v>5062</v>
      </c>
      <c r="C2163" t="str">
        <f t="shared" si="66"/>
        <v>wielkopolskie_gnieźnieński</v>
      </c>
      <c r="D2163" t="s">
        <v>4756</v>
      </c>
      <c r="E2163" t="str">
        <f t="shared" si="67"/>
        <v>wielkopolskie_gnieźnieński_Gniezno (gm. miejska)</v>
      </c>
      <c r="F2163" t="s">
        <v>2096</v>
      </c>
    </row>
    <row r="2164" spans="1:6" x14ac:dyDescent="0.3">
      <c r="A2164" t="s">
        <v>5386</v>
      </c>
      <c r="B2164" t="s">
        <v>5062</v>
      </c>
      <c r="C2164" t="str">
        <f t="shared" si="66"/>
        <v>wielkopolskie_gnieźnieński</v>
      </c>
      <c r="D2164" t="s">
        <v>4757</v>
      </c>
      <c r="E2164" t="str">
        <f t="shared" si="67"/>
        <v>wielkopolskie_gnieźnieński_Gniezno (gm. wiejska)</v>
      </c>
      <c r="F2164" t="s">
        <v>2098</v>
      </c>
    </row>
    <row r="2165" spans="1:6" x14ac:dyDescent="0.3">
      <c r="A2165" t="s">
        <v>5386</v>
      </c>
      <c r="B2165" t="s">
        <v>5063</v>
      </c>
      <c r="C2165" t="str">
        <f t="shared" si="66"/>
        <v>wielkopolskie_gostyński</v>
      </c>
      <c r="D2165" t="s">
        <v>4243</v>
      </c>
      <c r="E2165" t="str">
        <f t="shared" si="67"/>
        <v>wielkopolskie_gostyński_Borek Wielkopolski</v>
      </c>
      <c r="F2165" t="s">
        <v>2106</v>
      </c>
    </row>
    <row r="2166" spans="1:6" x14ac:dyDescent="0.3">
      <c r="A2166" t="s">
        <v>5386</v>
      </c>
      <c r="B2166" t="s">
        <v>5063</v>
      </c>
      <c r="C2166" t="str">
        <f t="shared" si="66"/>
        <v>wielkopolskie_gostyński</v>
      </c>
      <c r="D2166" t="s">
        <v>4244</v>
      </c>
      <c r="E2166" t="str">
        <f t="shared" si="67"/>
        <v>wielkopolskie_gostyński_Gostyń</v>
      </c>
      <c r="F2166" t="s">
        <v>2107</v>
      </c>
    </row>
    <row r="2167" spans="1:6" x14ac:dyDescent="0.3">
      <c r="A2167" t="s">
        <v>5386</v>
      </c>
      <c r="B2167" t="s">
        <v>5063</v>
      </c>
      <c r="C2167" t="str">
        <f t="shared" si="66"/>
        <v>wielkopolskie_gostyński</v>
      </c>
      <c r="D2167" t="s">
        <v>4245</v>
      </c>
      <c r="E2167" t="str">
        <f t="shared" si="67"/>
        <v>wielkopolskie_gostyński_Krobia</v>
      </c>
      <c r="F2167" t="s">
        <v>2108</v>
      </c>
    </row>
    <row r="2168" spans="1:6" x14ac:dyDescent="0.3">
      <c r="A2168" t="s">
        <v>5386</v>
      </c>
      <c r="B2168" t="s">
        <v>5063</v>
      </c>
      <c r="C2168" t="str">
        <f t="shared" si="66"/>
        <v>wielkopolskie_gostyński</v>
      </c>
      <c r="D2168" t="s">
        <v>4246</v>
      </c>
      <c r="E2168" t="str">
        <f t="shared" si="67"/>
        <v>wielkopolskie_gostyński_Pępowo</v>
      </c>
      <c r="F2168" t="s">
        <v>2109</v>
      </c>
    </row>
    <row r="2169" spans="1:6" x14ac:dyDescent="0.3">
      <c r="A2169" t="s">
        <v>5386</v>
      </c>
      <c r="B2169" t="s">
        <v>5063</v>
      </c>
      <c r="C2169" t="str">
        <f t="shared" si="66"/>
        <v>wielkopolskie_gostyński</v>
      </c>
      <c r="D2169" t="s">
        <v>2823</v>
      </c>
      <c r="E2169" t="str">
        <f t="shared" si="67"/>
        <v>wielkopolskie_gostyński_Piaski</v>
      </c>
      <c r="F2169" t="s">
        <v>2110</v>
      </c>
    </row>
    <row r="2170" spans="1:6" x14ac:dyDescent="0.3">
      <c r="A2170" t="s">
        <v>5386</v>
      </c>
      <c r="B2170" t="s">
        <v>5063</v>
      </c>
      <c r="C2170" t="str">
        <f t="shared" si="66"/>
        <v>wielkopolskie_gostyński</v>
      </c>
      <c r="D2170" t="s">
        <v>4247</v>
      </c>
      <c r="E2170" t="str">
        <f t="shared" si="67"/>
        <v>wielkopolskie_gostyński_Pogorzela</v>
      </c>
      <c r="F2170" t="s">
        <v>2111</v>
      </c>
    </row>
    <row r="2171" spans="1:6" x14ac:dyDescent="0.3">
      <c r="A2171" t="s">
        <v>5386</v>
      </c>
      <c r="B2171" t="s">
        <v>5063</v>
      </c>
      <c r="C2171" t="str">
        <f t="shared" si="66"/>
        <v>wielkopolskie_gostyński</v>
      </c>
      <c r="D2171" t="s">
        <v>4248</v>
      </c>
      <c r="E2171" t="str">
        <f t="shared" si="67"/>
        <v>wielkopolskie_gostyński_Poniec</v>
      </c>
      <c r="F2171" t="s">
        <v>2112</v>
      </c>
    </row>
    <row r="2172" spans="1:6" x14ac:dyDescent="0.3">
      <c r="A2172" t="s">
        <v>5386</v>
      </c>
      <c r="B2172" t="s">
        <v>4922</v>
      </c>
      <c r="C2172" t="str">
        <f t="shared" si="66"/>
        <v>wielkopolskie_grodziski</v>
      </c>
      <c r="D2172" t="s">
        <v>4249</v>
      </c>
      <c r="E2172" t="str">
        <f t="shared" si="67"/>
        <v>wielkopolskie_grodziski_Granowo</v>
      </c>
      <c r="F2172" t="s">
        <v>2113</v>
      </c>
    </row>
    <row r="2173" spans="1:6" x14ac:dyDescent="0.3">
      <c r="A2173" t="s">
        <v>5386</v>
      </c>
      <c r="B2173" t="s">
        <v>4922</v>
      </c>
      <c r="C2173" t="str">
        <f t="shared" si="66"/>
        <v>wielkopolskie_grodziski</v>
      </c>
      <c r="D2173" t="s">
        <v>4250</v>
      </c>
      <c r="E2173" t="str">
        <f t="shared" si="67"/>
        <v>wielkopolskie_grodziski_Grodzisk Wielkopolski</v>
      </c>
      <c r="F2173" t="s">
        <v>2114</v>
      </c>
    </row>
    <row r="2174" spans="1:6" x14ac:dyDescent="0.3">
      <c r="A2174" t="s">
        <v>5386</v>
      </c>
      <c r="B2174" t="s">
        <v>4922</v>
      </c>
      <c r="C2174" t="str">
        <f t="shared" si="66"/>
        <v>wielkopolskie_grodziski</v>
      </c>
      <c r="D2174" t="s">
        <v>4251</v>
      </c>
      <c r="E2174" t="str">
        <f t="shared" si="67"/>
        <v>wielkopolskie_grodziski_Kamieniec</v>
      </c>
      <c r="F2174" t="s">
        <v>2115</v>
      </c>
    </row>
    <row r="2175" spans="1:6" x14ac:dyDescent="0.3">
      <c r="A2175" t="s">
        <v>5386</v>
      </c>
      <c r="B2175" t="s">
        <v>4922</v>
      </c>
      <c r="C2175" t="str">
        <f t="shared" si="66"/>
        <v>wielkopolskie_grodziski</v>
      </c>
      <c r="D2175" t="s">
        <v>4252</v>
      </c>
      <c r="E2175" t="str">
        <f t="shared" si="67"/>
        <v>wielkopolskie_grodziski_Rakoniewice</v>
      </c>
      <c r="F2175" t="s">
        <v>2116</v>
      </c>
    </row>
    <row r="2176" spans="1:6" x14ac:dyDescent="0.3">
      <c r="A2176" t="s">
        <v>5386</v>
      </c>
      <c r="B2176" t="s">
        <v>4922</v>
      </c>
      <c r="C2176" t="str">
        <f t="shared" si="66"/>
        <v>wielkopolskie_grodziski</v>
      </c>
      <c r="D2176" t="s">
        <v>4253</v>
      </c>
      <c r="E2176" t="str">
        <f t="shared" si="67"/>
        <v>wielkopolskie_grodziski_Wielichowo</v>
      </c>
      <c r="F2176" t="s">
        <v>2117</v>
      </c>
    </row>
    <row r="2177" spans="1:6" x14ac:dyDescent="0.3">
      <c r="A2177" t="s">
        <v>5386</v>
      </c>
      <c r="B2177" t="s">
        <v>5064</v>
      </c>
      <c r="C2177" t="str">
        <f t="shared" ref="C2177:C2240" si="68">CONCATENATE(A2177,"_",B2177)</f>
        <v>wielkopolskie_jarociński</v>
      </c>
      <c r="D2177" t="s">
        <v>4254</v>
      </c>
      <c r="E2177" t="str">
        <f t="shared" ref="E2177:E2240" si="69">C2177&amp;"_"&amp;D2177</f>
        <v>wielkopolskie_jarociński_Jaraczewo</v>
      </c>
      <c r="F2177" t="s">
        <v>5404</v>
      </c>
    </row>
    <row r="2178" spans="1:6" x14ac:dyDescent="0.3">
      <c r="A2178" t="s">
        <v>5386</v>
      </c>
      <c r="B2178" t="s">
        <v>5064</v>
      </c>
      <c r="C2178" t="str">
        <f t="shared" si="68"/>
        <v>wielkopolskie_jarociński</v>
      </c>
      <c r="D2178" t="s">
        <v>3637</v>
      </c>
      <c r="E2178" t="str">
        <f t="shared" si="69"/>
        <v>wielkopolskie_jarociński_Jarocin</v>
      </c>
      <c r="F2178" t="s">
        <v>2118</v>
      </c>
    </row>
    <row r="2179" spans="1:6" x14ac:dyDescent="0.3">
      <c r="A2179" t="s">
        <v>5386</v>
      </c>
      <c r="B2179" t="s">
        <v>5064</v>
      </c>
      <c r="C2179" t="str">
        <f t="shared" si="68"/>
        <v>wielkopolskie_jarociński</v>
      </c>
      <c r="D2179" t="s">
        <v>4255</v>
      </c>
      <c r="E2179" t="str">
        <f t="shared" si="69"/>
        <v>wielkopolskie_jarociński_Kotlin</v>
      </c>
      <c r="F2179" t="s">
        <v>2119</v>
      </c>
    </row>
    <row r="2180" spans="1:6" x14ac:dyDescent="0.3">
      <c r="A2180" t="s">
        <v>5386</v>
      </c>
      <c r="B2180" t="s">
        <v>5064</v>
      </c>
      <c r="C2180" t="str">
        <f t="shared" si="68"/>
        <v>wielkopolskie_jarociński</v>
      </c>
      <c r="D2180" t="s">
        <v>4256</v>
      </c>
      <c r="E2180" t="str">
        <f t="shared" si="69"/>
        <v>wielkopolskie_jarociński_Żerków</v>
      </c>
      <c r="F2180" t="s">
        <v>2120</v>
      </c>
    </row>
    <row r="2181" spans="1:6" x14ac:dyDescent="0.3">
      <c r="A2181" t="s">
        <v>5386</v>
      </c>
      <c r="B2181" t="s">
        <v>5065</v>
      </c>
      <c r="C2181" t="str">
        <f t="shared" si="68"/>
        <v>wielkopolskie_kaliski</v>
      </c>
      <c r="D2181" t="s">
        <v>4257</v>
      </c>
      <c r="E2181" t="str">
        <f t="shared" si="69"/>
        <v>wielkopolskie_kaliski_Blizanów</v>
      </c>
      <c r="F2181" t="s">
        <v>2121</v>
      </c>
    </row>
    <row r="2182" spans="1:6" x14ac:dyDescent="0.3">
      <c r="A2182" t="s">
        <v>5386</v>
      </c>
      <c r="B2182" t="s">
        <v>5065</v>
      </c>
      <c r="C2182" t="str">
        <f t="shared" si="68"/>
        <v>wielkopolskie_kaliski</v>
      </c>
      <c r="D2182" t="s">
        <v>4258</v>
      </c>
      <c r="E2182" t="str">
        <f t="shared" si="69"/>
        <v>wielkopolskie_kaliski_Brzeziny</v>
      </c>
      <c r="F2182" t="s">
        <v>2122</v>
      </c>
    </row>
    <row r="2183" spans="1:6" x14ac:dyDescent="0.3">
      <c r="A2183" t="s">
        <v>5386</v>
      </c>
      <c r="B2183" t="s">
        <v>5065</v>
      </c>
      <c r="C2183" t="str">
        <f t="shared" si="68"/>
        <v>wielkopolskie_kaliski</v>
      </c>
      <c r="D2183" t="s">
        <v>4259</v>
      </c>
      <c r="E2183" t="str">
        <f t="shared" si="69"/>
        <v>wielkopolskie_kaliski_Ceków-Kolonia</v>
      </c>
      <c r="F2183" t="s">
        <v>2123</v>
      </c>
    </row>
    <row r="2184" spans="1:6" x14ac:dyDescent="0.3">
      <c r="A2184" t="s">
        <v>5386</v>
      </c>
      <c r="B2184" t="s">
        <v>5065</v>
      </c>
      <c r="C2184" t="str">
        <f t="shared" si="68"/>
        <v>wielkopolskie_kaliski</v>
      </c>
      <c r="D2184" t="s">
        <v>4260</v>
      </c>
      <c r="E2184" t="str">
        <f t="shared" si="69"/>
        <v>wielkopolskie_kaliski_Godziesze Wielkie</v>
      </c>
      <c r="F2184" t="s">
        <v>2124</v>
      </c>
    </row>
    <row r="2185" spans="1:6" x14ac:dyDescent="0.3">
      <c r="A2185" t="s">
        <v>5386</v>
      </c>
      <c r="B2185" t="s">
        <v>5065</v>
      </c>
      <c r="C2185" t="str">
        <f t="shared" si="68"/>
        <v>wielkopolskie_kaliski</v>
      </c>
      <c r="D2185" t="s">
        <v>4261</v>
      </c>
      <c r="E2185" t="str">
        <f t="shared" si="69"/>
        <v>wielkopolskie_kaliski_Koźminek</v>
      </c>
      <c r="F2185" t="s">
        <v>5411</v>
      </c>
    </row>
    <row r="2186" spans="1:6" x14ac:dyDescent="0.3">
      <c r="A2186" t="s">
        <v>5386</v>
      </c>
      <c r="B2186" t="s">
        <v>5065</v>
      </c>
      <c r="C2186" t="str">
        <f t="shared" si="68"/>
        <v>wielkopolskie_kaliski</v>
      </c>
      <c r="D2186" t="s">
        <v>4262</v>
      </c>
      <c r="E2186" t="str">
        <f t="shared" si="69"/>
        <v>wielkopolskie_kaliski_Lisków</v>
      </c>
      <c r="F2186" t="s">
        <v>2125</v>
      </c>
    </row>
    <row r="2187" spans="1:6" x14ac:dyDescent="0.3">
      <c r="A2187" t="s">
        <v>5386</v>
      </c>
      <c r="B2187" t="s">
        <v>5065</v>
      </c>
      <c r="C2187" t="str">
        <f t="shared" si="68"/>
        <v>wielkopolskie_kaliski</v>
      </c>
      <c r="D2187" t="s">
        <v>4263</v>
      </c>
      <c r="E2187" t="str">
        <f t="shared" si="69"/>
        <v>wielkopolskie_kaliski_Mycielin</v>
      </c>
      <c r="F2187" t="s">
        <v>2126</v>
      </c>
    </row>
    <row r="2188" spans="1:6" x14ac:dyDescent="0.3">
      <c r="A2188" t="s">
        <v>5386</v>
      </c>
      <c r="B2188" t="s">
        <v>5065</v>
      </c>
      <c r="C2188" t="str">
        <f t="shared" si="68"/>
        <v>wielkopolskie_kaliski</v>
      </c>
      <c r="D2188" t="s">
        <v>4264</v>
      </c>
      <c r="E2188" t="str">
        <f t="shared" si="69"/>
        <v>wielkopolskie_kaliski_Opatówek</v>
      </c>
      <c r="F2188" t="s">
        <v>5424</v>
      </c>
    </row>
    <row r="2189" spans="1:6" x14ac:dyDescent="0.3">
      <c r="A2189" t="s">
        <v>5386</v>
      </c>
      <c r="B2189" t="s">
        <v>5065</v>
      </c>
      <c r="C2189" t="str">
        <f t="shared" si="68"/>
        <v>wielkopolskie_kaliski</v>
      </c>
      <c r="D2189" t="s">
        <v>4265</v>
      </c>
      <c r="E2189" t="str">
        <f t="shared" si="69"/>
        <v>wielkopolskie_kaliski_Stawiszyn</v>
      </c>
      <c r="F2189" t="s">
        <v>2127</v>
      </c>
    </row>
    <row r="2190" spans="1:6" x14ac:dyDescent="0.3">
      <c r="A2190" t="s">
        <v>5386</v>
      </c>
      <c r="B2190" t="s">
        <v>5065</v>
      </c>
      <c r="C2190" t="str">
        <f t="shared" si="68"/>
        <v>wielkopolskie_kaliski</v>
      </c>
      <c r="D2190" t="s">
        <v>4266</v>
      </c>
      <c r="E2190" t="str">
        <f t="shared" si="69"/>
        <v>wielkopolskie_kaliski_Szczytniki</v>
      </c>
      <c r="F2190" t="s">
        <v>2128</v>
      </c>
    </row>
    <row r="2191" spans="1:6" x14ac:dyDescent="0.3">
      <c r="A2191" t="s">
        <v>5386</v>
      </c>
      <c r="B2191" t="s">
        <v>5065</v>
      </c>
      <c r="C2191" t="str">
        <f t="shared" si="68"/>
        <v>wielkopolskie_kaliski</v>
      </c>
      <c r="D2191" t="s">
        <v>4267</v>
      </c>
      <c r="E2191" t="str">
        <f t="shared" si="69"/>
        <v>wielkopolskie_kaliski_Żelazków</v>
      </c>
      <c r="F2191" t="s">
        <v>2129</v>
      </c>
    </row>
    <row r="2192" spans="1:6" x14ac:dyDescent="0.3">
      <c r="A2192" t="s">
        <v>5386</v>
      </c>
      <c r="B2192" t="s">
        <v>4409</v>
      </c>
      <c r="C2192" t="str">
        <f t="shared" si="68"/>
        <v>wielkopolskie_Kalisz</v>
      </c>
      <c r="D2192" t="s">
        <v>4409</v>
      </c>
      <c r="E2192" t="str">
        <f t="shared" si="69"/>
        <v>wielkopolskie_Kalisz_Kalisz</v>
      </c>
      <c r="F2192" t="s">
        <v>2300</v>
      </c>
    </row>
    <row r="2193" spans="1:6" x14ac:dyDescent="0.3">
      <c r="A2193" t="s">
        <v>5386</v>
      </c>
      <c r="B2193" t="s">
        <v>5066</v>
      </c>
      <c r="C2193" t="str">
        <f t="shared" si="68"/>
        <v>wielkopolskie_kępiński</v>
      </c>
      <c r="D2193" t="s">
        <v>2800</v>
      </c>
      <c r="E2193" t="str">
        <f t="shared" si="69"/>
        <v>wielkopolskie_kępiński_Baranów</v>
      </c>
      <c r="F2193" t="s">
        <v>2130</v>
      </c>
    </row>
    <row r="2194" spans="1:6" x14ac:dyDescent="0.3">
      <c r="A2194" t="s">
        <v>5386</v>
      </c>
      <c r="B2194" t="s">
        <v>5066</v>
      </c>
      <c r="C2194" t="str">
        <f t="shared" si="68"/>
        <v>wielkopolskie_kępiński</v>
      </c>
      <c r="D2194" t="s">
        <v>4268</v>
      </c>
      <c r="E2194" t="str">
        <f t="shared" si="69"/>
        <v>wielkopolskie_kępiński_Bralin</v>
      </c>
      <c r="F2194" s="48" t="s">
        <v>2131</v>
      </c>
    </row>
    <row r="2195" spans="1:6" x14ac:dyDescent="0.3">
      <c r="A2195" t="s">
        <v>5386</v>
      </c>
      <c r="B2195" t="s">
        <v>5066</v>
      </c>
      <c r="C2195" t="str">
        <f t="shared" si="68"/>
        <v>wielkopolskie_kępiński</v>
      </c>
      <c r="D2195" t="s">
        <v>4269</v>
      </c>
      <c r="E2195" t="str">
        <f t="shared" si="69"/>
        <v>wielkopolskie_kępiński_Kępno</v>
      </c>
      <c r="F2195" t="s">
        <v>2132</v>
      </c>
    </row>
    <row r="2196" spans="1:6" x14ac:dyDescent="0.3">
      <c r="A2196" t="s">
        <v>5386</v>
      </c>
      <c r="B2196" t="s">
        <v>5066</v>
      </c>
      <c r="C2196" t="str">
        <f t="shared" si="68"/>
        <v>wielkopolskie_kępiński</v>
      </c>
      <c r="D2196" t="s">
        <v>4270</v>
      </c>
      <c r="E2196" t="str">
        <f t="shared" si="69"/>
        <v>wielkopolskie_kępiński_Łęka Opatowska</v>
      </c>
      <c r="F2196" t="s">
        <v>2133</v>
      </c>
    </row>
    <row r="2197" spans="1:6" x14ac:dyDescent="0.3">
      <c r="A2197" t="s">
        <v>5386</v>
      </c>
      <c r="B2197" t="s">
        <v>5066</v>
      </c>
      <c r="C2197" t="str">
        <f t="shared" si="68"/>
        <v>wielkopolskie_kępiński</v>
      </c>
      <c r="D2197" t="s">
        <v>4271</v>
      </c>
      <c r="E2197" t="str">
        <f t="shared" si="69"/>
        <v>wielkopolskie_kępiński_Perzów</v>
      </c>
      <c r="F2197" t="s">
        <v>2134</v>
      </c>
    </row>
    <row r="2198" spans="1:6" x14ac:dyDescent="0.3">
      <c r="A2198" t="s">
        <v>5386</v>
      </c>
      <c r="B2198" t="s">
        <v>5066</v>
      </c>
      <c r="C2198" t="str">
        <f t="shared" si="68"/>
        <v>wielkopolskie_kępiński</v>
      </c>
      <c r="D2198" t="s">
        <v>4272</v>
      </c>
      <c r="E2198" t="str">
        <f t="shared" si="69"/>
        <v>wielkopolskie_kępiński_Rychtal</v>
      </c>
      <c r="F2198" t="s">
        <v>5531</v>
      </c>
    </row>
    <row r="2199" spans="1:6" x14ac:dyDescent="0.3">
      <c r="A2199" t="s">
        <v>5386</v>
      </c>
      <c r="B2199" t="s">
        <v>5066</v>
      </c>
      <c r="C2199" t="str">
        <f t="shared" si="68"/>
        <v>wielkopolskie_kępiński</v>
      </c>
      <c r="D2199" t="s">
        <v>4273</v>
      </c>
      <c r="E2199" t="str">
        <f t="shared" si="69"/>
        <v>wielkopolskie_kępiński_Trzcinica</v>
      </c>
      <c r="F2199" t="s">
        <v>2136</v>
      </c>
    </row>
    <row r="2200" spans="1:6" x14ac:dyDescent="0.3">
      <c r="A2200" t="s">
        <v>5386</v>
      </c>
      <c r="B2200" t="s">
        <v>5067</v>
      </c>
      <c r="C2200" t="str">
        <f t="shared" si="68"/>
        <v>wielkopolskie_kolski</v>
      </c>
      <c r="D2200" t="s">
        <v>4274</v>
      </c>
      <c r="E2200" t="str">
        <f t="shared" si="69"/>
        <v>wielkopolskie_kolski_Babiak</v>
      </c>
      <c r="F2200" t="s">
        <v>2138</v>
      </c>
    </row>
    <row r="2201" spans="1:6" x14ac:dyDescent="0.3">
      <c r="A2201" t="s">
        <v>5386</v>
      </c>
      <c r="B2201" t="s">
        <v>5067</v>
      </c>
      <c r="C2201" t="str">
        <f t="shared" si="68"/>
        <v>wielkopolskie_kolski</v>
      </c>
      <c r="D2201" t="s">
        <v>4275</v>
      </c>
      <c r="E2201" t="str">
        <f t="shared" si="69"/>
        <v>wielkopolskie_kolski_Chodów</v>
      </c>
      <c r="F2201" t="s">
        <v>2139</v>
      </c>
    </row>
    <row r="2202" spans="1:6" x14ac:dyDescent="0.3">
      <c r="A2202" t="s">
        <v>5386</v>
      </c>
      <c r="B2202" t="s">
        <v>5067</v>
      </c>
      <c r="C2202" t="str">
        <f t="shared" si="68"/>
        <v>wielkopolskie_kolski</v>
      </c>
      <c r="D2202" t="s">
        <v>2867</v>
      </c>
      <c r="E2202" t="str">
        <f t="shared" si="69"/>
        <v>wielkopolskie_kolski_Dąbie</v>
      </c>
      <c r="F2202" t="s">
        <v>2140</v>
      </c>
    </row>
    <row r="2203" spans="1:6" x14ac:dyDescent="0.3">
      <c r="A2203" t="s">
        <v>5386</v>
      </c>
      <c r="B2203" t="s">
        <v>5067</v>
      </c>
      <c r="C2203" t="str">
        <f t="shared" si="68"/>
        <v>wielkopolskie_kolski</v>
      </c>
      <c r="D2203" t="s">
        <v>4276</v>
      </c>
      <c r="E2203" t="str">
        <f t="shared" si="69"/>
        <v>wielkopolskie_kolski_Grzegorzew</v>
      </c>
      <c r="F2203" t="s">
        <v>2141</v>
      </c>
    </row>
    <row r="2204" spans="1:6" x14ac:dyDescent="0.3">
      <c r="A2204" t="s">
        <v>5386</v>
      </c>
      <c r="B2204" t="s">
        <v>5067</v>
      </c>
      <c r="C2204" t="str">
        <f t="shared" si="68"/>
        <v>wielkopolskie_kolski</v>
      </c>
      <c r="D2204" t="s">
        <v>2861</v>
      </c>
      <c r="E2204" t="str">
        <f t="shared" si="69"/>
        <v>wielkopolskie_kolski_Kłodawa</v>
      </c>
      <c r="F2204" t="s">
        <v>2142</v>
      </c>
    </row>
    <row r="2205" spans="1:6" x14ac:dyDescent="0.3">
      <c r="A2205" t="s">
        <v>5386</v>
      </c>
      <c r="B2205" t="s">
        <v>5067</v>
      </c>
      <c r="C2205" t="str">
        <f t="shared" si="68"/>
        <v>wielkopolskie_kolski</v>
      </c>
      <c r="D2205" t="s">
        <v>4277</v>
      </c>
      <c r="E2205" t="str">
        <f t="shared" si="69"/>
        <v>wielkopolskie_kolski_Kościelec</v>
      </c>
      <c r="F2205" t="s">
        <v>2144</v>
      </c>
    </row>
    <row r="2206" spans="1:6" x14ac:dyDescent="0.3">
      <c r="A2206" t="s">
        <v>5386</v>
      </c>
      <c r="B2206" t="s">
        <v>5067</v>
      </c>
      <c r="C2206" t="str">
        <f t="shared" si="68"/>
        <v>wielkopolskie_kolski</v>
      </c>
      <c r="D2206" t="s">
        <v>4278</v>
      </c>
      <c r="E2206" t="str">
        <f t="shared" si="69"/>
        <v>wielkopolskie_kolski_Olszówka</v>
      </c>
      <c r="F2206" t="s">
        <v>2145</v>
      </c>
    </row>
    <row r="2207" spans="1:6" x14ac:dyDescent="0.3">
      <c r="A2207" t="s">
        <v>5386</v>
      </c>
      <c r="B2207" t="s">
        <v>5067</v>
      </c>
      <c r="C2207" t="str">
        <f t="shared" si="68"/>
        <v>wielkopolskie_kolski</v>
      </c>
      <c r="D2207" t="s">
        <v>4279</v>
      </c>
      <c r="E2207" t="str">
        <f t="shared" si="69"/>
        <v>wielkopolskie_kolski_Osiek Mały</v>
      </c>
      <c r="F2207" t="s">
        <v>2146</v>
      </c>
    </row>
    <row r="2208" spans="1:6" x14ac:dyDescent="0.3">
      <c r="A2208" t="s">
        <v>5386</v>
      </c>
      <c r="B2208" t="s">
        <v>5067</v>
      </c>
      <c r="C2208" t="str">
        <f t="shared" si="68"/>
        <v>wielkopolskie_kolski</v>
      </c>
      <c r="D2208" t="s">
        <v>4280</v>
      </c>
      <c r="E2208" t="str">
        <f t="shared" si="69"/>
        <v>wielkopolskie_kolski_Przedecz</v>
      </c>
      <c r="F2208" t="s">
        <v>2147</v>
      </c>
    </row>
    <row r="2209" spans="1:6" x14ac:dyDescent="0.3">
      <c r="A2209" t="s">
        <v>5386</v>
      </c>
      <c r="B2209" t="s">
        <v>5067</v>
      </c>
      <c r="C2209" t="str">
        <f t="shared" si="68"/>
        <v>wielkopolskie_kolski</v>
      </c>
      <c r="D2209" t="s">
        <v>4758</v>
      </c>
      <c r="E2209" t="str">
        <f t="shared" si="69"/>
        <v>wielkopolskie_kolski_Koło (gm. miejska)</v>
      </c>
      <c r="F2209" t="s">
        <v>2137</v>
      </c>
    </row>
    <row r="2210" spans="1:6" x14ac:dyDescent="0.3">
      <c r="A2210" t="s">
        <v>5386</v>
      </c>
      <c r="B2210" t="s">
        <v>5067</v>
      </c>
      <c r="C2210" t="str">
        <f t="shared" si="68"/>
        <v>wielkopolskie_kolski</v>
      </c>
      <c r="D2210" t="s">
        <v>4759</v>
      </c>
      <c r="E2210" t="str">
        <f t="shared" si="69"/>
        <v>wielkopolskie_kolski_Koło (gm. wiejska)</v>
      </c>
      <c r="F2210" t="s">
        <v>2143</v>
      </c>
    </row>
    <row r="2211" spans="1:6" x14ac:dyDescent="0.3">
      <c r="A2211" t="s">
        <v>5386</v>
      </c>
      <c r="B2211" t="s">
        <v>4410</v>
      </c>
      <c r="C2211" t="str">
        <f t="shared" si="68"/>
        <v>wielkopolskie_Konin</v>
      </c>
      <c r="D2211" t="s">
        <v>4410</v>
      </c>
      <c r="E2211" t="str">
        <f t="shared" si="69"/>
        <v>wielkopolskie_Konin_Konin</v>
      </c>
      <c r="F2211" t="s">
        <v>2301</v>
      </c>
    </row>
    <row r="2212" spans="1:6" x14ac:dyDescent="0.3">
      <c r="A2212" t="s">
        <v>5386</v>
      </c>
      <c r="B2212" t="s">
        <v>5068</v>
      </c>
      <c r="C2212" t="str">
        <f t="shared" si="68"/>
        <v>wielkopolskie_koniński</v>
      </c>
      <c r="D2212" t="s">
        <v>4281</v>
      </c>
      <c r="E2212" t="str">
        <f t="shared" si="69"/>
        <v>wielkopolskie_koniński_Golina</v>
      </c>
      <c r="F2212" t="s">
        <v>2148</v>
      </c>
    </row>
    <row r="2213" spans="1:6" x14ac:dyDescent="0.3">
      <c r="A2213" t="s">
        <v>5386</v>
      </c>
      <c r="B2213" t="s">
        <v>5068</v>
      </c>
      <c r="C2213" t="str">
        <f t="shared" si="68"/>
        <v>wielkopolskie_koniński</v>
      </c>
      <c r="D2213" t="s">
        <v>4282</v>
      </c>
      <c r="E2213" t="str">
        <f t="shared" si="69"/>
        <v>wielkopolskie_koniński_Grodziec</v>
      </c>
      <c r="F2213" t="s">
        <v>2149</v>
      </c>
    </row>
    <row r="2214" spans="1:6" x14ac:dyDescent="0.3">
      <c r="A2214" t="s">
        <v>5386</v>
      </c>
      <c r="B2214" t="s">
        <v>5068</v>
      </c>
      <c r="C2214" t="str">
        <f t="shared" si="68"/>
        <v>wielkopolskie_koniński</v>
      </c>
      <c r="D2214" t="s">
        <v>4283</v>
      </c>
      <c r="E2214" t="str">
        <f t="shared" si="69"/>
        <v>wielkopolskie_koniński_Kazimierz Biskupi</v>
      </c>
      <c r="F2214" t="s">
        <v>2150</v>
      </c>
    </row>
    <row r="2215" spans="1:6" x14ac:dyDescent="0.3">
      <c r="A2215" t="s">
        <v>5386</v>
      </c>
      <c r="B2215" t="s">
        <v>5068</v>
      </c>
      <c r="C2215" t="str">
        <f t="shared" si="68"/>
        <v>wielkopolskie_koniński</v>
      </c>
      <c r="D2215" t="s">
        <v>4284</v>
      </c>
      <c r="E2215" t="str">
        <f t="shared" si="69"/>
        <v>wielkopolskie_koniński_Kleczew</v>
      </c>
      <c r="F2215" t="s">
        <v>2151</v>
      </c>
    </row>
    <row r="2216" spans="1:6" x14ac:dyDescent="0.3">
      <c r="A2216" t="s">
        <v>5386</v>
      </c>
      <c r="B2216" t="s">
        <v>5068</v>
      </c>
      <c r="C2216" t="str">
        <f t="shared" si="68"/>
        <v>wielkopolskie_koniński</v>
      </c>
      <c r="D2216" t="s">
        <v>4285</v>
      </c>
      <c r="E2216" t="str">
        <f t="shared" si="69"/>
        <v>wielkopolskie_koniński_Kramsk</v>
      </c>
      <c r="F2216" t="s">
        <v>2152</v>
      </c>
    </row>
    <row r="2217" spans="1:6" x14ac:dyDescent="0.3">
      <c r="A2217" t="s">
        <v>5386</v>
      </c>
      <c r="B2217" t="s">
        <v>5068</v>
      </c>
      <c r="C2217" t="str">
        <f t="shared" si="68"/>
        <v>wielkopolskie_koniński</v>
      </c>
      <c r="D2217" t="s">
        <v>4286</v>
      </c>
      <c r="E2217" t="str">
        <f t="shared" si="69"/>
        <v>wielkopolskie_koniński_Krzymów</v>
      </c>
      <c r="F2217" t="s">
        <v>2153</v>
      </c>
    </row>
    <row r="2218" spans="1:6" x14ac:dyDescent="0.3">
      <c r="A2218" t="s">
        <v>5386</v>
      </c>
      <c r="B2218" t="s">
        <v>5068</v>
      </c>
      <c r="C2218" t="str">
        <f t="shared" si="68"/>
        <v>wielkopolskie_koniński</v>
      </c>
      <c r="D2218" t="s">
        <v>4287</v>
      </c>
      <c r="E2218" t="str">
        <f t="shared" si="69"/>
        <v>wielkopolskie_koniński_Rychwał</v>
      </c>
      <c r="F2218" t="s">
        <v>2154</v>
      </c>
    </row>
    <row r="2219" spans="1:6" x14ac:dyDescent="0.3">
      <c r="A2219" t="s">
        <v>5386</v>
      </c>
      <c r="B2219" t="s">
        <v>5068</v>
      </c>
      <c r="C2219" t="str">
        <f t="shared" si="68"/>
        <v>wielkopolskie_koniński</v>
      </c>
      <c r="D2219" t="s">
        <v>2969</v>
      </c>
      <c r="E2219" t="str">
        <f t="shared" si="69"/>
        <v>wielkopolskie_koniński_Rzgów</v>
      </c>
      <c r="F2219" t="s">
        <v>2155</v>
      </c>
    </row>
    <row r="2220" spans="1:6" x14ac:dyDescent="0.3">
      <c r="A2220" t="s">
        <v>5386</v>
      </c>
      <c r="B2220" t="s">
        <v>5068</v>
      </c>
      <c r="C2220" t="str">
        <f t="shared" si="68"/>
        <v>wielkopolskie_koniński</v>
      </c>
      <c r="D2220" t="s">
        <v>4288</v>
      </c>
      <c r="E2220" t="str">
        <f t="shared" si="69"/>
        <v>wielkopolskie_koniński_Skulsk</v>
      </c>
      <c r="F2220" t="s">
        <v>2156</v>
      </c>
    </row>
    <row r="2221" spans="1:6" x14ac:dyDescent="0.3">
      <c r="A2221" t="s">
        <v>5386</v>
      </c>
      <c r="B2221" t="s">
        <v>5068</v>
      </c>
      <c r="C2221" t="str">
        <f t="shared" si="68"/>
        <v>wielkopolskie_koniński</v>
      </c>
      <c r="D2221" t="s">
        <v>4289</v>
      </c>
      <c r="E2221" t="str">
        <f t="shared" si="69"/>
        <v>wielkopolskie_koniński_Sompolno</v>
      </c>
      <c r="F2221" t="s">
        <v>2157</v>
      </c>
    </row>
    <row r="2222" spans="1:6" x14ac:dyDescent="0.3">
      <c r="A2222" t="s">
        <v>5386</v>
      </c>
      <c r="B2222" t="s">
        <v>5068</v>
      </c>
      <c r="C2222" t="str">
        <f t="shared" si="68"/>
        <v>wielkopolskie_koniński</v>
      </c>
      <c r="D2222" t="s">
        <v>4290</v>
      </c>
      <c r="E2222" t="str">
        <f t="shared" si="69"/>
        <v>wielkopolskie_koniński_Stare Miasto</v>
      </c>
      <c r="F2222" t="s">
        <v>2158</v>
      </c>
    </row>
    <row r="2223" spans="1:6" x14ac:dyDescent="0.3">
      <c r="A2223" t="s">
        <v>5386</v>
      </c>
      <c r="B2223" t="s">
        <v>5068</v>
      </c>
      <c r="C2223" t="str">
        <f t="shared" si="68"/>
        <v>wielkopolskie_koniński</v>
      </c>
      <c r="D2223" t="s">
        <v>4291</v>
      </c>
      <c r="E2223" t="str">
        <f t="shared" si="69"/>
        <v>wielkopolskie_koniński_Ślesin</v>
      </c>
      <c r="F2223" t="s">
        <v>2159</v>
      </c>
    </row>
    <row r="2224" spans="1:6" x14ac:dyDescent="0.3">
      <c r="A2224" t="s">
        <v>5386</v>
      </c>
      <c r="B2224" t="s">
        <v>5068</v>
      </c>
      <c r="C2224" t="str">
        <f t="shared" si="68"/>
        <v>wielkopolskie_koniński</v>
      </c>
      <c r="D2224" t="s">
        <v>4292</v>
      </c>
      <c r="E2224" t="str">
        <f t="shared" si="69"/>
        <v>wielkopolskie_koniński_Wierzbinek</v>
      </c>
      <c r="F2224" t="s">
        <v>2160</v>
      </c>
    </row>
    <row r="2225" spans="1:6" x14ac:dyDescent="0.3">
      <c r="A2225" t="s">
        <v>5386</v>
      </c>
      <c r="B2225" t="s">
        <v>5068</v>
      </c>
      <c r="C2225" t="str">
        <f t="shared" si="68"/>
        <v>wielkopolskie_koniński</v>
      </c>
      <c r="D2225" t="s">
        <v>4293</v>
      </c>
      <c r="E2225" t="str">
        <f t="shared" si="69"/>
        <v>wielkopolskie_koniński_Wilczyn</v>
      </c>
      <c r="F2225" t="s">
        <v>2161</v>
      </c>
    </row>
    <row r="2226" spans="1:6" x14ac:dyDescent="0.3">
      <c r="A2226" t="s">
        <v>5386</v>
      </c>
      <c r="B2226" t="s">
        <v>5069</v>
      </c>
      <c r="C2226" t="str">
        <f t="shared" si="68"/>
        <v>wielkopolskie_kościański</v>
      </c>
      <c r="D2226" t="s">
        <v>4294</v>
      </c>
      <c r="E2226" t="str">
        <f t="shared" si="69"/>
        <v>wielkopolskie_kościański_Czempiń</v>
      </c>
      <c r="F2226" t="s">
        <v>2163</v>
      </c>
    </row>
    <row r="2227" spans="1:6" x14ac:dyDescent="0.3">
      <c r="A2227" t="s">
        <v>5386</v>
      </c>
      <c r="B2227" t="s">
        <v>5069</v>
      </c>
      <c r="C2227" t="str">
        <f t="shared" si="68"/>
        <v>wielkopolskie_kościański</v>
      </c>
      <c r="D2227" t="s">
        <v>4295</v>
      </c>
      <c r="E2227" t="str">
        <f t="shared" si="69"/>
        <v>wielkopolskie_kościański_Krzywiń</v>
      </c>
      <c r="F2227" t="s">
        <v>2165</v>
      </c>
    </row>
    <row r="2228" spans="1:6" x14ac:dyDescent="0.3">
      <c r="A2228" t="s">
        <v>5386</v>
      </c>
      <c r="B2228" t="s">
        <v>5069</v>
      </c>
      <c r="C2228" t="str">
        <f t="shared" si="68"/>
        <v>wielkopolskie_kościański</v>
      </c>
      <c r="D2228" t="s">
        <v>4296</v>
      </c>
      <c r="E2228" t="str">
        <f t="shared" si="69"/>
        <v>wielkopolskie_kościański_Śmigiel</v>
      </c>
      <c r="F2228" t="s">
        <v>2166</v>
      </c>
    </row>
    <row r="2229" spans="1:6" x14ac:dyDescent="0.3">
      <c r="A2229" t="s">
        <v>5386</v>
      </c>
      <c r="B2229" t="s">
        <v>5069</v>
      </c>
      <c r="C2229" t="str">
        <f t="shared" si="68"/>
        <v>wielkopolskie_kościański</v>
      </c>
      <c r="D2229" t="s">
        <v>4760</v>
      </c>
      <c r="E2229" t="str">
        <f t="shared" si="69"/>
        <v>wielkopolskie_kościański_Kościan (gm. miejska)</v>
      </c>
      <c r="F2229" t="s">
        <v>2162</v>
      </c>
    </row>
    <row r="2230" spans="1:6" x14ac:dyDescent="0.3">
      <c r="A2230" t="s">
        <v>5386</v>
      </c>
      <c r="B2230" t="s">
        <v>5069</v>
      </c>
      <c r="C2230" t="str">
        <f t="shared" si="68"/>
        <v>wielkopolskie_kościański</v>
      </c>
      <c r="D2230" t="s">
        <v>4761</v>
      </c>
      <c r="E2230" t="str">
        <f t="shared" si="69"/>
        <v>wielkopolskie_kościański_Kościan (gm. wiejska)</v>
      </c>
      <c r="F2230" t="s">
        <v>2164</v>
      </c>
    </row>
    <row r="2231" spans="1:6" x14ac:dyDescent="0.3">
      <c r="A2231" t="s">
        <v>5386</v>
      </c>
      <c r="B2231" t="s">
        <v>5070</v>
      </c>
      <c r="C2231" t="str">
        <f t="shared" si="68"/>
        <v>wielkopolskie_krotoszyński</v>
      </c>
      <c r="D2231" t="s">
        <v>4297</v>
      </c>
      <c r="E2231" t="str">
        <f t="shared" si="69"/>
        <v>wielkopolskie_krotoszyński_Kobylin</v>
      </c>
      <c r="F2231" t="s">
        <v>2168</v>
      </c>
    </row>
    <row r="2232" spans="1:6" x14ac:dyDescent="0.3">
      <c r="A2232" t="s">
        <v>5386</v>
      </c>
      <c r="B2232" t="s">
        <v>5070</v>
      </c>
      <c r="C2232" t="str">
        <f t="shared" si="68"/>
        <v>wielkopolskie_krotoszyński</v>
      </c>
      <c r="D2232" t="s">
        <v>4298</v>
      </c>
      <c r="E2232" t="str">
        <f t="shared" si="69"/>
        <v>wielkopolskie_krotoszyński_Koźmin Wielkopolski</v>
      </c>
      <c r="F2232" t="s">
        <v>2169</v>
      </c>
    </row>
    <row r="2233" spans="1:6" x14ac:dyDescent="0.3">
      <c r="A2233" t="s">
        <v>5386</v>
      </c>
      <c r="B2233" t="s">
        <v>5070</v>
      </c>
      <c r="C2233" t="str">
        <f t="shared" si="68"/>
        <v>wielkopolskie_krotoszyński</v>
      </c>
      <c r="D2233" t="s">
        <v>4299</v>
      </c>
      <c r="E2233" t="str">
        <f t="shared" si="69"/>
        <v>wielkopolskie_krotoszyński_Krotoszyn</v>
      </c>
      <c r="F2233" t="s">
        <v>2170</v>
      </c>
    </row>
    <row r="2234" spans="1:6" x14ac:dyDescent="0.3">
      <c r="A2234" t="s">
        <v>5386</v>
      </c>
      <c r="B2234" t="s">
        <v>5070</v>
      </c>
      <c r="C2234" t="str">
        <f t="shared" si="68"/>
        <v>wielkopolskie_krotoszyński</v>
      </c>
      <c r="D2234" t="s">
        <v>4300</v>
      </c>
      <c r="E2234" t="str">
        <f t="shared" si="69"/>
        <v>wielkopolskie_krotoszyński_Rozdrażew</v>
      </c>
      <c r="F2234" t="s">
        <v>2171</v>
      </c>
    </row>
    <row r="2235" spans="1:6" x14ac:dyDescent="0.3">
      <c r="A2235" t="s">
        <v>5386</v>
      </c>
      <c r="B2235" t="s">
        <v>5070</v>
      </c>
      <c r="C2235" t="str">
        <f t="shared" si="68"/>
        <v>wielkopolskie_krotoszyński</v>
      </c>
      <c r="D2235" t="s">
        <v>2991</v>
      </c>
      <c r="E2235" t="str">
        <f t="shared" si="69"/>
        <v>wielkopolskie_krotoszyński_Sulmierzyce</v>
      </c>
      <c r="F2235" t="s">
        <v>2167</v>
      </c>
    </row>
    <row r="2236" spans="1:6" x14ac:dyDescent="0.3">
      <c r="A2236" t="s">
        <v>5386</v>
      </c>
      <c r="B2236" t="s">
        <v>5070</v>
      </c>
      <c r="C2236" t="str">
        <f t="shared" si="68"/>
        <v>wielkopolskie_krotoszyński</v>
      </c>
      <c r="D2236" t="s">
        <v>2964</v>
      </c>
      <c r="E2236" t="str">
        <f t="shared" si="69"/>
        <v>wielkopolskie_krotoszyński_Zduny</v>
      </c>
      <c r="F2236" t="s">
        <v>2172</v>
      </c>
    </row>
    <row r="2237" spans="1:6" x14ac:dyDescent="0.3">
      <c r="A2237" t="s">
        <v>5386</v>
      </c>
      <c r="B2237" t="s">
        <v>5071</v>
      </c>
      <c r="C2237" t="str">
        <f t="shared" si="68"/>
        <v>wielkopolskie_leszczyński</v>
      </c>
      <c r="D2237" t="s">
        <v>4301</v>
      </c>
      <c r="E2237" t="str">
        <f t="shared" si="69"/>
        <v>wielkopolskie_leszczyński_Krzemieniewo</v>
      </c>
      <c r="F2237" t="s">
        <v>2173</v>
      </c>
    </row>
    <row r="2238" spans="1:6" x14ac:dyDescent="0.3">
      <c r="A2238" t="s">
        <v>5386</v>
      </c>
      <c r="B2238" t="s">
        <v>5071</v>
      </c>
      <c r="C2238" t="str">
        <f t="shared" si="68"/>
        <v>wielkopolskie_leszczyński</v>
      </c>
      <c r="D2238" t="s">
        <v>2602</v>
      </c>
      <c r="E2238" t="str">
        <f t="shared" si="69"/>
        <v>wielkopolskie_leszczyński_Lipno</v>
      </c>
      <c r="F2238" t="s">
        <v>2174</v>
      </c>
    </row>
    <row r="2239" spans="1:6" x14ac:dyDescent="0.3">
      <c r="A2239" t="s">
        <v>5386</v>
      </c>
      <c r="B2239" t="s">
        <v>5071</v>
      </c>
      <c r="C2239" t="str">
        <f t="shared" si="68"/>
        <v>wielkopolskie_leszczyński</v>
      </c>
      <c r="D2239" t="s">
        <v>3869</v>
      </c>
      <c r="E2239" t="str">
        <f t="shared" si="69"/>
        <v>wielkopolskie_leszczyński_Osieczna</v>
      </c>
      <c r="F2239" t="s">
        <v>2175</v>
      </c>
    </row>
    <row r="2240" spans="1:6" x14ac:dyDescent="0.3">
      <c r="A2240" t="s">
        <v>5386</v>
      </c>
      <c r="B2240" t="s">
        <v>5071</v>
      </c>
      <c r="C2240" t="str">
        <f t="shared" si="68"/>
        <v>wielkopolskie_leszczyński</v>
      </c>
      <c r="D2240" t="s">
        <v>4302</v>
      </c>
      <c r="E2240" t="str">
        <f t="shared" si="69"/>
        <v>wielkopolskie_leszczyński_Rydzyna</v>
      </c>
      <c r="F2240" t="s">
        <v>2176</v>
      </c>
    </row>
    <row r="2241" spans="1:6" x14ac:dyDescent="0.3">
      <c r="A2241" t="s">
        <v>5386</v>
      </c>
      <c r="B2241" t="s">
        <v>5071</v>
      </c>
      <c r="C2241" t="str">
        <f t="shared" ref="C2241:C2304" si="70">CONCATENATE(A2241,"_",B2241)</f>
        <v>wielkopolskie_leszczyński</v>
      </c>
      <c r="D2241" t="s">
        <v>4303</v>
      </c>
      <c r="E2241" t="str">
        <f t="shared" ref="E2241:E2304" si="71">C2241&amp;"_"&amp;D2241</f>
        <v>wielkopolskie_leszczyński_Święciechowa</v>
      </c>
      <c r="F2241" t="s">
        <v>2177</v>
      </c>
    </row>
    <row r="2242" spans="1:6" x14ac:dyDescent="0.3">
      <c r="A2242" t="s">
        <v>5386</v>
      </c>
      <c r="B2242" t="s">
        <v>5071</v>
      </c>
      <c r="C2242" t="str">
        <f t="shared" si="70"/>
        <v>wielkopolskie_leszczyński</v>
      </c>
      <c r="D2242" t="s">
        <v>4304</v>
      </c>
      <c r="E2242" t="str">
        <f t="shared" si="71"/>
        <v>wielkopolskie_leszczyński_Wijewo</v>
      </c>
      <c r="F2242" t="s">
        <v>2178</v>
      </c>
    </row>
    <row r="2243" spans="1:6" x14ac:dyDescent="0.3">
      <c r="A2243" t="s">
        <v>5386</v>
      </c>
      <c r="B2243" t="s">
        <v>5071</v>
      </c>
      <c r="C2243" t="str">
        <f t="shared" si="70"/>
        <v>wielkopolskie_leszczyński</v>
      </c>
      <c r="D2243" t="s">
        <v>4305</v>
      </c>
      <c r="E2243" t="str">
        <f t="shared" si="71"/>
        <v>wielkopolskie_leszczyński_Włoszakowice</v>
      </c>
      <c r="F2243" t="s">
        <v>2179</v>
      </c>
    </row>
    <row r="2244" spans="1:6" x14ac:dyDescent="0.3">
      <c r="A2244" t="s">
        <v>5386</v>
      </c>
      <c r="B2244" t="s">
        <v>3461</v>
      </c>
      <c r="C2244" t="str">
        <f t="shared" si="70"/>
        <v>wielkopolskie_Leszno</v>
      </c>
      <c r="D2244" t="s">
        <v>3461</v>
      </c>
      <c r="E2244" t="str">
        <f t="shared" si="71"/>
        <v>wielkopolskie_Leszno_Leszno</v>
      </c>
      <c r="F2244" t="s">
        <v>2302</v>
      </c>
    </row>
    <row r="2245" spans="1:6" x14ac:dyDescent="0.3">
      <c r="A2245" t="s">
        <v>5386</v>
      </c>
      <c r="B2245" t="s">
        <v>5072</v>
      </c>
      <c r="C2245" t="str">
        <f t="shared" si="70"/>
        <v>wielkopolskie_międzychodzki</v>
      </c>
      <c r="D2245" t="s">
        <v>4306</v>
      </c>
      <c r="E2245" t="str">
        <f t="shared" si="71"/>
        <v>wielkopolskie_międzychodzki_Chrzypsko Wielkie</v>
      </c>
      <c r="F2245" t="s">
        <v>2180</v>
      </c>
    </row>
    <row r="2246" spans="1:6" x14ac:dyDescent="0.3">
      <c r="A2246" t="s">
        <v>5386</v>
      </c>
      <c r="B2246" t="s">
        <v>5072</v>
      </c>
      <c r="C2246" t="str">
        <f t="shared" si="70"/>
        <v>wielkopolskie_międzychodzki</v>
      </c>
      <c r="D2246" t="s">
        <v>4307</v>
      </c>
      <c r="E2246" t="str">
        <f t="shared" si="71"/>
        <v>wielkopolskie_międzychodzki_Kwilcz</v>
      </c>
      <c r="F2246" t="s">
        <v>2181</v>
      </c>
    </row>
    <row r="2247" spans="1:6" x14ac:dyDescent="0.3">
      <c r="A2247" t="s">
        <v>5386</v>
      </c>
      <c r="B2247" t="s">
        <v>5072</v>
      </c>
      <c r="C2247" t="str">
        <f t="shared" si="70"/>
        <v>wielkopolskie_międzychodzki</v>
      </c>
      <c r="D2247" t="s">
        <v>4308</v>
      </c>
      <c r="E2247" t="str">
        <f t="shared" si="71"/>
        <v>wielkopolskie_międzychodzki_Międzychód</v>
      </c>
      <c r="F2247" t="s">
        <v>2182</v>
      </c>
    </row>
    <row r="2248" spans="1:6" x14ac:dyDescent="0.3">
      <c r="A2248" t="s">
        <v>5386</v>
      </c>
      <c r="B2248" t="s">
        <v>5072</v>
      </c>
      <c r="C2248" t="str">
        <f t="shared" si="70"/>
        <v>wielkopolskie_międzychodzki</v>
      </c>
      <c r="D2248" t="s">
        <v>4309</v>
      </c>
      <c r="E2248" t="str">
        <f t="shared" si="71"/>
        <v>wielkopolskie_międzychodzki_Sieraków</v>
      </c>
      <c r="F2248" t="s">
        <v>2183</v>
      </c>
    </row>
    <row r="2249" spans="1:6" x14ac:dyDescent="0.3">
      <c r="A2249" t="s">
        <v>5386</v>
      </c>
      <c r="B2249" t="s">
        <v>5073</v>
      </c>
      <c r="C2249" t="str">
        <f t="shared" si="70"/>
        <v>wielkopolskie_nowotomyski</v>
      </c>
      <c r="D2249" t="s">
        <v>4310</v>
      </c>
      <c r="E2249" t="str">
        <f t="shared" si="71"/>
        <v>wielkopolskie_nowotomyski_Kuślin</v>
      </c>
      <c r="F2249" t="s">
        <v>2184</v>
      </c>
    </row>
    <row r="2250" spans="1:6" x14ac:dyDescent="0.3">
      <c r="A2250" t="s">
        <v>5386</v>
      </c>
      <c r="B2250" t="s">
        <v>5073</v>
      </c>
      <c r="C2250" t="str">
        <f t="shared" si="70"/>
        <v>wielkopolskie_nowotomyski</v>
      </c>
      <c r="D2250" t="s">
        <v>4311</v>
      </c>
      <c r="E2250" t="str">
        <f t="shared" si="71"/>
        <v>wielkopolskie_nowotomyski_Lwówek</v>
      </c>
      <c r="F2250" t="s">
        <v>2185</v>
      </c>
    </row>
    <row r="2251" spans="1:6" x14ac:dyDescent="0.3">
      <c r="A2251" t="s">
        <v>5386</v>
      </c>
      <c r="B2251" t="s">
        <v>5073</v>
      </c>
      <c r="C2251" t="str">
        <f t="shared" si="70"/>
        <v>wielkopolskie_nowotomyski</v>
      </c>
      <c r="D2251" t="s">
        <v>4312</v>
      </c>
      <c r="E2251" t="str">
        <f t="shared" si="71"/>
        <v>wielkopolskie_nowotomyski_Miedzichowo</v>
      </c>
      <c r="F2251" t="s">
        <v>2186</v>
      </c>
    </row>
    <row r="2252" spans="1:6" x14ac:dyDescent="0.3">
      <c r="A2252" t="s">
        <v>5386</v>
      </c>
      <c r="B2252" t="s">
        <v>5073</v>
      </c>
      <c r="C2252" t="str">
        <f t="shared" si="70"/>
        <v>wielkopolskie_nowotomyski</v>
      </c>
      <c r="D2252" t="s">
        <v>4313</v>
      </c>
      <c r="E2252" t="str">
        <f t="shared" si="71"/>
        <v>wielkopolskie_nowotomyski_Nowy Tomyśl</v>
      </c>
      <c r="F2252" t="s">
        <v>2187</v>
      </c>
    </row>
    <row r="2253" spans="1:6" x14ac:dyDescent="0.3">
      <c r="A2253" t="s">
        <v>5386</v>
      </c>
      <c r="B2253" t="s">
        <v>5073</v>
      </c>
      <c r="C2253" t="str">
        <f t="shared" si="70"/>
        <v>wielkopolskie_nowotomyski</v>
      </c>
      <c r="D2253" t="s">
        <v>4314</v>
      </c>
      <c r="E2253" t="str">
        <f t="shared" si="71"/>
        <v>wielkopolskie_nowotomyski_Opalenica</v>
      </c>
      <c r="F2253" t="s">
        <v>2188</v>
      </c>
    </row>
    <row r="2254" spans="1:6" x14ac:dyDescent="0.3">
      <c r="A2254" t="s">
        <v>5386</v>
      </c>
      <c r="B2254" t="s">
        <v>5073</v>
      </c>
      <c r="C2254" t="str">
        <f t="shared" si="70"/>
        <v>wielkopolskie_nowotomyski</v>
      </c>
      <c r="D2254" t="s">
        <v>4315</v>
      </c>
      <c r="E2254" t="str">
        <f t="shared" si="71"/>
        <v>wielkopolskie_nowotomyski_Zbąszyń</v>
      </c>
      <c r="F2254" t="s">
        <v>2189</v>
      </c>
    </row>
    <row r="2255" spans="1:6" x14ac:dyDescent="0.3">
      <c r="A2255" t="s">
        <v>5386</v>
      </c>
      <c r="B2255" t="s">
        <v>5074</v>
      </c>
      <c r="C2255" t="str">
        <f t="shared" si="70"/>
        <v>wielkopolskie_obornicki</v>
      </c>
      <c r="D2255" t="s">
        <v>4316</v>
      </c>
      <c r="E2255" t="str">
        <f t="shared" si="71"/>
        <v>wielkopolskie_obornicki_Oborniki</v>
      </c>
      <c r="F2255" t="s">
        <v>2190</v>
      </c>
    </row>
    <row r="2256" spans="1:6" x14ac:dyDescent="0.3">
      <c r="A2256" t="s">
        <v>5386</v>
      </c>
      <c r="B2256" t="s">
        <v>5074</v>
      </c>
      <c r="C2256" t="str">
        <f t="shared" si="70"/>
        <v>wielkopolskie_obornicki</v>
      </c>
      <c r="D2256" t="s">
        <v>4317</v>
      </c>
      <c r="E2256" t="str">
        <f t="shared" si="71"/>
        <v>wielkopolskie_obornicki_Rogoźno</v>
      </c>
      <c r="F2256" t="s">
        <v>2191</v>
      </c>
    </row>
    <row r="2257" spans="1:6" x14ac:dyDescent="0.3">
      <c r="A2257" t="s">
        <v>5386</v>
      </c>
      <c r="B2257" t="s">
        <v>5074</v>
      </c>
      <c r="C2257" t="str">
        <f t="shared" si="70"/>
        <v>wielkopolskie_obornicki</v>
      </c>
      <c r="D2257" t="s">
        <v>4318</v>
      </c>
      <c r="E2257" t="str">
        <f t="shared" si="71"/>
        <v>wielkopolskie_obornicki_Ryczywół</v>
      </c>
      <c r="F2257" t="s">
        <v>2192</v>
      </c>
    </row>
    <row r="2258" spans="1:6" x14ac:dyDescent="0.3">
      <c r="A2258" t="s">
        <v>5386</v>
      </c>
      <c r="B2258" t="s">
        <v>4787</v>
      </c>
      <c r="C2258" t="str">
        <f t="shared" si="70"/>
        <v>wielkopolskie_ostrowski</v>
      </c>
      <c r="D2258" t="s">
        <v>4319</v>
      </c>
      <c r="E2258" t="str">
        <f t="shared" si="71"/>
        <v>wielkopolskie_ostrowski_Nowe Skalmierzyce</v>
      </c>
      <c r="F2258" t="s">
        <v>2194</v>
      </c>
    </row>
    <row r="2259" spans="1:6" x14ac:dyDescent="0.3">
      <c r="A2259" t="s">
        <v>5386</v>
      </c>
      <c r="B2259" t="s">
        <v>4787</v>
      </c>
      <c r="C2259" t="str">
        <f t="shared" si="70"/>
        <v>wielkopolskie_ostrowski</v>
      </c>
      <c r="D2259" t="s">
        <v>4320</v>
      </c>
      <c r="E2259" t="str">
        <f t="shared" si="71"/>
        <v>wielkopolskie_ostrowski_Odolanów</v>
      </c>
      <c r="F2259" t="s">
        <v>2195</v>
      </c>
    </row>
    <row r="2260" spans="1:6" x14ac:dyDescent="0.3">
      <c r="A2260" t="s">
        <v>5386</v>
      </c>
      <c r="B2260" t="s">
        <v>4787</v>
      </c>
      <c r="C2260" t="str">
        <f t="shared" si="70"/>
        <v>wielkopolskie_ostrowski</v>
      </c>
      <c r="D2260" t="s">
        <v>4321</v>
      </c>
      <c r="E2260" t="str">
        <f t="shared" si="71"/>
        <v>wielkopolskie_ostrowski_Przygodzice</v>
      </c>
      <c r="F2260" t="s">
        <v>2197</v>
      </c>
    </row>
    <row r="2261" spans="1:6" x14ac:dyDescent="0.3">
      <c r="A2261" t="s">
        <v>5386</v>
      </c>
      <c r="B2261" t="s">
        <v>4787</v>
      </c>
      <c r="C2261" t="str">
        <f t="shared" si="70"/>
        <v>wielkopolskie_ostrowski</v>
      </c>
      <c r="D2261" t="s">
        <v>4322</v>
      </c>
      <c r="E2261" t="str">
        <f t="shared" si="71"/>
        <v>wielkopolskie_ostrowski_Raszków</v>
      </c>
      <c r="F2261" t="s">
        <v>2198</v>
      </c>
    </row>
    <row r="2262" spans="1:6" x14ac:dyDescent="0.3">
      <c r="A2262" t="s">
        <v>5386</v>
      </c>
      <c r="B2262" t="s">
        <v>4787</v>
      </c>
      <c r="C2262" t="str">
        <f t="shared" si="70"/>
        <v>wielkopolskie_ostrowski</v>
      </c>
      <c r="D2262" t="s">
        <v>4323</v>
      </c>
      <c r="E2262" t="str">
        <f t="shared" si="71"/>
        <v>wielkopolskie_ostrowski_Sieroszewice</v>
      </c>
      <c r="F2262" t="s">
        <v>2199</v>
      </c>
    </row>
    <row r="2263" spans="1:6" x14ac:dyDescent="0.3">
      <c r="A2263" t="s">
        <v>5386</v>
      </c>
      <c r="B2263" t="s">
        <v>4787</v>
      </c>
      <c r="C2263" t="str">
        <f t="shared" si="70"/>
        <v>wielkopolskie_ostrowski</v>
      </c>
      <c r="D2263" t="s">
        <v>4324</v>
      </c>
      <c r="E2263" t="str">
        <f t="shared" si="71"/>
        <v>wielkopolskie_ostrowski_Sośnie</v>
      </c>
      <c r="F2263" t="s">
        <v>2200</v>
      </c>
    </row>
    <row r="2264" spans="1:6" x14ac:dyDescent="0.3">
      <c r="A2264" t="s">
        <v>5386</v>
      </c>
      <c r="B2264" t="s">
        <v>4787</v>
      </c>
      <c r="C2264" t="str">
        <f t="shared" si="70"/>
        <v>wielkopolskie_ostrowski</v>
      </c>
      <c r="D2264" t="s">
        <v>4762</v>
      </c>
      <c r="E2264" t="str">
        <f t="shared" si="71"/>
        <v>wielkopolskie_ostrowski_Ostrów Wielkopolski (gm. miejska)</v>
      </c>
      <c r="F2264" t="s">
        <v>2193</v>
      </c>
    </row>
    <row r="2265" spans="1:6" x14ac:dyDescent="0.3">
      <c r="A2265" t="s">
        <v>5386</v>
      </c>
      <c r="B2265" t="s">
        <v>4787</v>
      </c>
      <c r="C2265" t="str">
        <f t="shared" si="70"/>
        <v>wielkopolskie_ostrowski</v>
      </c>
      <c r="D2265" t="s">
        <v>4763</v>
      </c>
      <c r="E2265" t="str">
        <f t="shared" si="71"/>
        <v>wielkopolskie_ostrowski_Ostrów Wielkopolski (gm. wiejska)</v>
      </c>
      <c r="F2265" t="s">
        <v>2196</v>
      </c>
    </row>
    <row r="2266" spans="1:6" x14ac:dyDescent="0.3">
      <c r="A2266" t="s">
        <v>5386</v>
      </c>
      <c r="B2266" t="s">
        <v>5075</v>
      </c>
      <c r="C2266" t="str">
        <f t="shared" si="70"/>
        <v>wielkopolskie_ostrzeszowski</v>
      </c>
      <c r="D2266" t="s">
        <v>4325</v>
      </c>
      <c r="E2266" t="str">
        <f t="shared" si="71"/>
        <v>wielkopolskie_ostrzeszowski_Czajków</v>
      </c>
      <c r="F2266" t="s">
        <v>2201</v>
      </c>
    </row>
    <row r="2267" spans="1:6" x14ac:dyDescent="0.3">
      <c r="A2267" t="s">
        <v>5386</v>
      </c>
      <c r="B2267" t="s">
        <v>5075</v>
      </c>
      <c r="C2267" t="str">
        <f t="shared" si="70"/>
        <v>wielkopolskie_ostrzeszowski</v>
      </c>
      <c r="D2267" t="s">
        <v>4326</v>
      </c>
      <c r="E2267" t="str">
        <f t="shared" si="71"/>
        <v>wielkopolskie_ostrzeszowski_Doruchów</v>
      </c>
      <c r="F2267" t="s">
        <v>2202</v>
      </c>
    </row>
    <row r="2268" spans="1:6" x14ac:dyDescent="0.3">
      <c r="A2268" t="s">
        <v>5386</v>
      </c>
      <c r="B2268" t="s">
        <v>5075</v>
      </c>
      <c r="C2268" t="str">
        <f t="shared" si="70"/>
        <v>wielkopolskie_ostrzeszowski</v>
      </c>
      <c r="D2268" t="s">
        <v>4327</v>
      </c>
      <c r="E2268" t="str">
        <f t="shared" si="71"/>
        <v>wielkopolskie_ostrzeszowski_Grabów nad Prosną</v>
      </c>
      <c r="F2268" t="s">
        <v>2203</v>
      </c>
    </row>
    <row r="2269" spans="1:6" x14ac:dyDescent="0.3">
      <c r="A2269" t="s">
        <v>5386</v>
      </c>
      <c r="B2269" t="s">
        <v>5075</v>
      </c>
      <c r="C2269" t="str">
        <f t="shared" si="70"/>
        <v>wielkopolskie_ostrzeszowski</v>
      </c>
      <c r="D2269" t="s">
        <v>4328</v>
      </c>
      <c r="E2269" t="str">
        <f t="shared" si="71"/>
        <v>wielkopolskie_ostrzeszowski_Kobyla Góra</v>
      </c>
      <c r="F2269" t="s">
        <v>2204</v>
      </c>
    </row>
    <row r="2270" spans="1:6" x14ac:dyDescent="0.3">
      <c r="A2270" t="s">
        <v>5386</v>
      </c>
      <c r="B2270" t="s">
        <v>5075</v>
      </c>
      <c r="C2270" t="str">
        <f t="shared" si="70"/>
        <v>wielkopolskie_ostrzeszowski</v>
      </c>
      <c r="D2270" t="s">
        <v>4329</v>
      </c>
      <c r="E2270" t="str">
        <f t="shared" si="71"/>
        <v>wielkopolskie_ostrzeszowski_Kraszewice</v>
      </c>
      <c r="F2270" t="s">
        <v>2205</v>
      </c>
    </row>
    <row r="2271" spans="1:6" x14ac:dyDescent="0.3">
      <c r="A2271" t="s">
        <v>5386</v>
      </c>
      <c r="B2271" t="s">
        <v>5075</v>
      </c>
      <c r="C2271" t="str">
        <f t="shared" si="70"/>
        <v>wielkopolskie_ostrzeszowski</v>
      </c>
      <c r="D2271" t="s">
        <v>4330</v>
      </c>
      <c r="E2271" t="str">
        <f t="shared" si="71"/>
        <v>wielkopolskie_ostrzeszowski_Mikstat</v>
      </c>
      <c r="F2271" t="s">
        <v>2206</v>
      </c>
    </row>
    <row r="2272" spans="1:6" x14ac:dyDescent="0.3">
      <c r="A2272" t="s">
        <v>5386</v>
      </c>
      <c r="B2272" t="s">
        <v>5075</v>
      </c>
      <c r="C2272" t="str">
        <f t="shared" si="70"/>
        <v>wielkopolskie_ostrzeszowski</v>
      </c>
      <c r="D2272" t="s">
        <v>4331</v>
      </c>
      <c r="E2272" t="str">
        <f t="shared" si="71"/>
        <v>wielkopolskie_ostrzeszowski_Ostrzeszów</v>
      </c>
      <c r="F2272" s="181" t="s">
        <v>2207</v>
      </c>
    </row>
    <row r="2273" spans="1:6" x14ac:dyDescent="0.3">
      <c r="A2273" t="s">
        <v>5386</v>
      </c>
      <c r="B2273" t="s">
        <v>5076</v>
      </c>
      <c r="C2273" t="str">
        <f t="shared" si="70"/>
        <v>wielkopolskie_pilski</v>
      </c>
      <c r="D2273" t="s">
        <v>4333</v>
      </c>
      <c r="E2273" t="str">
        <f t="shared" si="71"/>
        <v>wielkopolskie_pilski_Białośliwie</v>
      </c>
      <c r="F2273" t="s">
        <v>2209</v>
      </c>
    </row>
    <row r="2274" spans="1:6" x14ac:dyDescent="0.3">
      <c r="A2274" t="s">
        <v>5386</v>
      </c>
      <c r="B2274" t="s">
        <v>5076</v>
      </c>
      <c r="C2274" t="str">
        <f t="shared" si="70"/>
        <v>wielkopolskie_pilski</v>
      </c>
      <c r="D2274" t="s">
        <v>4334</v>
      </c>
      <c r="E2274" t="str">
        <f t="shared" si="71"/>
        <v>wielkopolskie_pilski_Kaczory</v>
      </c>
      <c r="F2274" t="s">
        <v>5470</v>
      </c>
    </row>
    <row r="2275" spans="1:6" x14ac:dyDescent="0.3">
      <c r="A2275" t="s">
        <v>5386</v>
      </c>
      <c r="B2275" t="s">
        <v>5076</v>
      </c>
      <c r="C2275" t="str">
        <f t="shared" si="70"/>
        <v>wielkopolskie_pilski</v>
      </c>
      <c r="D2275" t="s">
        <v>4335</v>
      </c>
      <c r="E2275" t="str">
        <f t="shared" si="71"/>
        <v>wielkopolskie_pilski_Łobżenica</v>
      </c>
      <c r="F2275" t="s">
        <v>2211</v>
      </c>
    </row>
    <row r="2276" spans="1:6" x14ac:dyDescent="0.3">
      <c r="A2276" t="s">
        <v>5386</v>
      </c>
      <c r="B2276" t="s">
        <v>5076</v>
      </c>
      <c r="C2276" t="str">
        <f t="shared" si="70"/>
        <v>wielkopolskie_pilski</v>
      </c>
      <c r="D2276" t="s">
        <v>4336</v>
      </c>
      <c r="E2276" t="str">
        <f t="shared" si="71"/>
        <v>wielkopolskie_pilski_Miasteczko Krajeńskie</v>
      </c>
      <c r="F2276" t="s">
        <v>5532</v>
      </c>
    </row>
    <row r="2277" spans="1:6" x14ac:dyDescent="0.3">
      <c r="A2277" t="s">
        <v>5386</v>
      </c>
      <c r="B2277" t="s">
        <v>5076</v>
      </c>
      <c r="C2277" t="str">
        <f t="shared" si="70"/>
        <v>wielkopolskie_pilski</v>
      </c>
      <c r="D2277" t="s">
        <v>4332</v>
      </c>
      <c r="E2277" t="str">
        <f t="shared" si="71"/>
        <v>wielkopolskie_pilski_Piła</v>
      </c>
      <c r="F2277" t="s">
        <v>2208</v>
      </c>
    </row>
    <row r="2278" spans="1:6" x14ac:dyDescent="0.3">
      <c r="A2278" t="s">
        <v>5386</v>
      </c>
      <c r="B2278" t="s">
        <v>5076</v>
      </c>
      <c r="C2278" t="str">
        <f t="shared" si="70"/>
        <v>wielkopolskie_pilski</v>
      </c>
      <c r="D2278" t="s">
        <v>3324</v>
      </c>
      <c r="E2278" t="str">
        <f t="shared" si="71"/>
        <v>wielkopolskie_pilski_Szydłowo</v>
      </c>
      <c r="F2278" t="s">
        <v>2213</v>
      </c>
    </row>
    <row r="2279" spans="1:6" x14ac:dyDescent="0.3">
      <c r="A2279" t="s">
        <v>5386</v>
      </c>
      <c r="B2279" t="s">
        <v>5076</v>
      </c>
      <c r="C2279" t="str">
        <f t="shared" si="70"/>
        <v>wielkopolskie_pilski</v>
      </c>
      <c r="D2279" t="s">
        <v>4337</v>
      </c>
      <c r="E2279" t="str">
        <f t="shared" si="71"/>
        <v>wielkopolskie_pilski_Ujście</v>
      </c>
      <c r="F2279" t="s">
        <v>2214</v>
      </c>
    </row>
    <row r="2280" spans="1:6" x14ac:dyDescent="0.3">
      <c r="A2280" t="s">
        <v>5386</v>
      </c>
      <c r="B2280" t="s">
        <v>5076</v>
      </c>
      <c r="C2280" t="str">
        <f t="shared" si="70"/>
        <v>wielkopolskie_pilski</v>
      </c>
      <c r="D2280" t="s">
        <v>4338</v>
      </c>
      <c r="E2280" t="str">
        <f t="shared" si="71"/>
        <v>wielkopolskie_pilski_Wyrzysk</v>
      </c>
      <c r="F2280" t="s">
        <v>2215</v>
      </c>
    </row>
    <row r="2281" spans="1:6" x14ac:dyDescent="0.3">
      <c r="A2281" t="s">
        <v>5386</v>
      </c>
      <c r="B2281" t="s">
        <v>5076</v>
      </c>
      <c r="C2281" t="str">
        <f t="shared" si="70"/>
        <v>wielkopolskie_pilski</v>
      </c>
      <c r="D2281" t="s">
        <v>4339</v>
      </c>
      <c r="E2281" t="str">
        <f t="shared" si="71"/>
        <v>wielkopolskie_pilski_Wysoka</v>
      </c>
      <c r="F2281" t="s">
        <v>2216</v>
      </c>
    </row>
    <row r="2282" spans="1:6" x14ac:dyDescent="0.3">
      <c r="A2282" t="s">
        <v>5386</v>
      </c>
      <c r="B2282" t="s">
        <v>5077</v>
      </c>
      <c r="C2282" t="str">
        <f t="shared" si="70"/>
        <v>wielkopolskie_pleszewski</v>
      </c>
      <c r="D2282" t="s">
        <v>4340</v>
      </c>
      <c r="E2282" t="str">
        <f t="shared" si="71"/>
        <v>wielkopolskie_pleszewski_Chocz</v>
      </c>
      <c r="F2282" t="s">
        <v>5398</v>
      </c>
    </row>
    <row r="2283" spans="1:6" x14ac:dyDescent="0.3">
      <c r="A2283" t="s">
        <v>5386</v>
      </c>
      <c r="B2283" t="s">
        <v>5077</v>
      </c>
      <c r="C2283" t="str">
        <f t="shared" si="70"/>
        <v>wielkopolskie_pleszewski</v>
      </c>
      <c r="D2283" t="s">
        <v>3629</v>
      </c>
      <c r="E2283" t="str">
        <f t="shared" si="71"/>
        <v>wielkopolskie_pleszewski_Czermin</v>
      </c>
      <c r="F2283" t="s">
        <v>2217</v>
      </c>
    </row>
    <row r="2284" spans="1:6" x14ac:dyDescent="0.3">
      <c r="A2284" t="s">
        <v>5386</v>
      </c>
      <c r="B2284" t="s">
        <v>5077</v>
      </c>
      <c r="C2284" t="str">
        <f t="shared" si="70"/>
        <v>wielkopolskie_pleszewski</v>
      </c>
      <c r="D2284" t="s">
        <v>4341</v>
      </c>
      <c r="E2284" t="str">
        <f t="shared" si="71"/>
        <v>wielkopolskie_pleszewski_Dobrzyca</v>
      </c>
      <c r="F2284" t="s">
        <v>5178</v>
      </c>
    </row>
    <row r="2285" spans="1:6" x14ac:dyDescent="0.3">
      <c r="A2285" t="s">
        <v>5386</v>
      </c>
      <c r="B2285" t="s">
        <v>5077</v>
      </c>
      <c r="C2285" t="str">
        <f t="shared" si="70"/>
        <v>wielkopolskie_pleszewski</v>
      </c>
      <c r="D2285" t="s">
        <v>4342</v>
      </c>
      <c r="E2285" t="str">
        <f t="shared" si="71"/>
        <v>wielkopolskie_pleszewski_Gizałki</v>
      </c>
      <c r="F2285" t="s">
        <v>2218</v>
      </c>
    </row>
    <row r="2286" spans="1:6" x14ac:dyDescent="0.3">
      <c r="A2286" t="s">
        <v>5386</v>
      </c>
      <c r="B2286" t="s">
        <v>5077</v>
      </c>
      <c r="C2286" t="str">
        <f t="shared" si="70"/>
        <v>wielkopolskie_pleszewski</v>
      </c>
      <c r="D2286" t="s">
        <v>4343</v>
      </c>
      <c r="E2286" t="str">
        <f t="shared" si="71"/>
        <v>wielkopolskie_pleszewski_Gołuchów</v>
      </c>
      <c r="F2286" t="s">
        <v>2219</v>
      </c>
    </row>
    <row r="2287" spans="1:6" x14ac:dyDescent="0.3">
      <c r="A2287" t="s">
        <v>5386</v>
      </c>
      <c r="B2287" t="s">
        <v>5077</v>
      </c>
      <c r="C2287" t="str">
        <f t="shared" si="70"/>
        <v>wielkopolskie_pleszewski</v>
      </c>
      <c r="D2287" t="s">
        <v>4344</v>
      </c>
      <c r="E2287" t="str">
        <f t="shared" si="71"/>
        <v>wielkopolskie_pleszewski_Pleszew</v>
      </c>
      <c r="F2287" t="s">
        <v>2220</v>
      </c>
    </row>
    <row r="2288" spans="1:6" x14ac:dyDescent="0.3">
      <c r="A2288" t="s">
        <v>5386</v>
      </c>
      <c r="B2288" t="s">
        <v>4411</v>
      </c>
      <c r="C2288" t="str">
        <f t="shared" si="70"/>
        <v>wielkopolskie_Poznań</v>
      </c>
      <c r="D2288" t="s">
        <v>4411</v>
      </c>
      <c r="E2288" t="str">
        <f t="shared" si="71"/>
        <v>wielkopolskie_Poznań_Poznań</v>
      </c>
      <c r="F2288" t="s">
        <v>2303</v>
      </c>
    </row>
    <row r="2289" spans="1:6" x14ac:dyDescent="0.3">
      <c r="A2289" t="s">
        <v>5386</v>
      </c>
      <c r="B2289" t="s">
        <v>5078</v>
      </c>
      <c r="C2289" t="str">
        <f t="shared" si="70"/>
        <v>wielkopolskie_poznański</v>
      </c>
      <c r="D2289" t="s">
        <v>4347</v>
      </c>
      <c r="E2289" t="str">
        <f t="shared" si="71"/>
        <v>wielkopolskie_poznański_Buk</v>
      </c>
      <c r="F2289" t="s">
        <v>2223</v>
      </c>
    </row>
    <row r="2290" spans="1:6" x14ac:dyDescent="0.3">
      <c r="A2290" t="s">
        <v>5386</v>
      </c>
      <c r="B2290" t="s">
        <v>5078</v>
      </c>
      <c r="C2290" t="str">
        <f t="shared" si="70"/>
        <v>wielkopolskie_poznański</v>
      </c>
      <c r="D2290" t="s">
        <v>4348</v>
      </c>
      <c r="E2290" t="str">
        <f t="shared" si="71"/>
        <v>wielkopolskie_poznański_Czerwonak</v>
      </c>
      <c r="F2290" t="s">
        <v>2224</v>
      </c>
    </row>
    <row r="2291" spans="1:6" x14ac:dyDescent="0.3">
      <c r="A2291" t="s">
        <v>5386</v>
      </c>
      <c r="B2291" t="s">
        <v>5078</v>
      </c>
      <c r="C2291" t="str">
        <f t="shared" si="70"/>
        <v>wielkopolskie_poznański</v>
      </c>
      <c r="D2291" t="s">
        <v>4349</v>
      </c>
      <c r="E2291" t="str">
        <f t="shared" si="71"/>
        <v>wielkopolskie_poznański_Dopiewo</v>
      </c>
      <c r="F2291" t="s">
        <v>2225</v>
      </c>
    </row>
    <row r="2292" spans="1:6" x14ac:dyDescent="0.3">
      <c r="A2292" t="s">
        <v>5386</v>
      </c>
      <c r="B2292" t="s">
        <v>5078</v>
      </c>
      <c r="C2292" t="str">
        <f t="shared" si="70"/>
        <v>wielkopolskie_poznański</v>
      </c>
      <c r="D2292" t="s">
        <v>4350</v>
      </c>
      <c r="E2292" t="str">
        <f t="shared" si="71"/>
        <v>wielkopolskie_poznański_Kleszczewo</v>
      </c>
      <c r="F2292" t="s">
        <v>2226</v>
      </c>
    </row>
    <row r="2293" spans="1:6" x14ac:dyDescent="0.3">
      <c r="A2293" t="s">
        <v>5386</v>
      </c>
      <c r="B2293" t="s">
        <v>5078</v>
      </c>
      <c r="C2293" t="str">
        <f t="shared" si="70"/>
        <v>wielkopolskie_poznański</v>
      </c>
      <c r="D2293" t="s">
        <v>4351</v>
      </c>
      <c r="E2293" t="str">
        <f t="shared" si="71"/>
        <v>wielkopolskie_poznański_Komorniki</v>
      </c>
      <c r="F2293" t="s">
        <v>2227</v>
      </c>
    </row>
    <row r="2294" spans="1:6" x14ac:dyDescent="0.3">
      <c r="A2294" t="s">
        <v>5386</v>
      </c>
      <c r="B2294" t="s">
        <v>5078</v>
      </c>
      <c r="C2294" t="str">
        <f t="shared" si="70"/>
        <v>wielkopolskie_poznański</v>
      </c>
      <c r="D2294" t="s">
        <v>4352</v>
      </c>
      <c r="E2294" t="str">
        <f t="shared" si="71"/>
        <v>wielkopolskie_poznański_Kostrzyn</v>
      </c>
      <c r="F2294" t="s">
        <v>2228</v>
      </c>
    </row>
    <row r="2295" spans="1:6" x14ac:dyDescent="0.3">
      <c r="A2295" t="s">
        <v>5386</v>
      </c>
      <c r="B2295" t="s">
        <v>5078</v>
      </c>
      <c r="C2295" t="str">
        <f t="shared" si="70"/>
        <v>wielkopolskie_poznański</v>
      </c>
      <c r="D2295" t="s">
        <v>4353</v>
      </c>
      <c r="E2295" t="str">
        <f t="shared" si="71"/>
        <v>wielkopolskie_poznański_Kórnik</v>
      </c>
      <c r="F2295" t="s">
        <v>2229</v>
      </c>
    </row>
    <row r="2296" spans="1:6" x14ac:dyDescent="0.3">
      <c r="A2296" t="s">
        <v>5386</v>
      </c>
      <c r="B2296" t="s">
        <v>5078</v>
      </c>
      <c r="C2296" t="str">
        <f t="shared" si="70"/>
        <v>wielkopolskie_poznański</v>
      </c>
      <c r="D2296" t="s">
        <v>4345</v>
      </c>
      <c r="E2296" t="str">
        <f t="shared" si="71"/>
        <v>wielkopolskie_poznański_Luboń</v>
      </c>
      <c r="F2296" t="s">
        <v>2221</v>
      </c>
    </row>
    <row r="2297" spans="1:6" x14ac:dyDescent="0.3">
      <c r="A2297" t="s">
        <v>5386</v>
      </c>
      <c r="B2297" t="s">
        <v>5078</v>
      </c>
      <c r="C2297" t="str">
        <f t="shared" si="70"/>
        <v>wielkopolskie_poznański</v>
      </c>
      <c r="D2297" t="s">
        <v>4354</v>
      </c>
      <c r="E2297" t="str">
        <f t="shared" si="71"/>
        <v>wielkopolskie_poznański_Mosina</v>
      </c>
      <c r="F2297" t="s">
        <v>2230</v>
      </c>
    </row>
    <row r="2298" spans="1:6" x14ac:dyDescent="0.3">
      <c r="A2298" t="s">
        <v>5386</v>
      </c>
      <c r="B2298" t="s">
        <v>5078</v>
      </c>
      <c r="C2298" t="str">
        <f t="shared" si="70"/>
        <v>wielkopolskie_poznański</v>
      </c>
      <c r="D2298" t="s">
        <v>4355</v>
      </c>
      <c r="E2298" t="str">
        <f t="shared" si="71"/>
        <v>wielkopolskie_poznański_Murowana Goślina</v>
      </c>
      <c r="F2298" t="s">
        <v>2231</v>
      </c>
    </row>
    <row r="2299" spans="1:6" x14ac:dyDescent="0.3">
      <c r="A2299" t="s">
        <v>5386</v>
      </c>
      <c r="B2299" t="s">
        <v>5078</v>
      </c>
      <c r="C2299" t="str">
        <f t="shared" si="70"/>
        <v>wielkopolskie_poznański</v>
      </c>
      <c r="D2299" t="s">
        <v>4356</v>
      </c>
      <c r="E2299" t="str">
        <f t="shared" si="71"/>
        <v>wielkopolskie_poznański_Pobiedziska</v>
      </c>
      <c r="F2299" t="s">
        <v>2232</v>
      </c>
    </row>
    <row r="2300" spans="1:6" x14ac:dyDescent="0.3">
      <c r="A2300" t="s">
        <v>5386</v>
      </c>
      <c r="B2300" t="s">
        <v>5078</v>
      </c>
      <c r="C2300" t="str">
        <f t="shared" si="70"/>
        <v>wielkopolskie_poznański</v>
      </c>
      <c r="D2300" t="s">
        <v>4346</v>
      </c>
      <c r="E2300" t="str">
        <f t="shared" si="71"/>
        <v>wielkopolskie_poznański_Puszczykowo</v>
      </c>
      <c r="F2300" t="s">
        <v>2222</v>
      </c>
    </row>
    <row r="2301" spans="1:6" x14ac:dyDescent="0.3">
      <c r="A2301" t="s">
        <v>5386</v>
      </c>
      <c r="B2301" t="s">
        <v>5078</v>
      </c>
      <c r="C2301" t="str">
        <f t="shared" si="70"/>
        <v>wielkopolskie_poznański</v>
      </c>
      <c r="D2301" t="s">
        <v>3590</v>
      </c>
      <c r="E2301" t="str">
        <f t="shared" si="71"/>
        <v>wielkopolskie_poznański_Rokietnica</v>
      </c>
      <c r="F2301" t="s">
        <v>2233</v>
      </c>
    </row>
    <row r="2302" spans="1:6" x14ac:dyDescent="0.3">
      <c r="A2302" t="s">
        <v>5386</v>
      </c>
      <c r="B2302" t="s">
        <v>5078</v>
      </c>
      <c r="C2302" t="str">
        <f t="shared" si="70"/>
        <v>wielkopolskie_poznański</v>
      </c>
      <c r="D2302" t="s">
        <v>4357</v>
      </c>
      <c r="E2302" t="str">
        <f t="shared" si="71"/>
        <v>wielkopolskie_poznański_Stęszew</v>
      </c>
      <c r="F2302" t="s">
        <v>2234</v>
      </c>
    </row>
    <row r="2303" spans="1:6" x14ac:dyDescent="0.3">
      <c r="A2303" t="s">
        <v>5386</v>
      </c>
      <c r="B2303" t="s">
        <v>5078</v>
      </c>
      <c r="C2303" t="str">
        <f t="shared" si="70"/>
        <v>wielkopolskie_poznański</v>
      </c>
      <c r="D2303" t="s">
        <v>4358</v>
      </c>
      <c r="E2303" t="str">
        <f t="shared" si="71"/>
        <v>wielkopolskie_poznański_Suchy Las</v>
      </c>
      <c r="F2303" t="s">
        <v>2235</v>
      </c>
    </row>
    <row r="2304" spans="1:6" x14ac:dyDescent="0.3">
      <c r="A2304" t="s">
        <v>5386</v>
      </c>
      <c r="B2304" t="s">
        <v>5078</v>
      </c>
      <c r="C2304" t="str">
        <f t="shared" si="70"/>
        <v>wielkopolskie_poznański</v>
      </c>
      <c r="D2304" t="s">
        <v>4359</v>
      </c>
      <c r="E2304" t="str">
        <f t="shared" si="71"/>
        <v>wielkopolskie_poznański_Swarzędz</v>
      </c>
      <c r="F2304" t="s">
        <v>2236</v>
      </c>
    </row>
    <row r="2305" spans="1:6" x14ac:dyDescent="0.3">
      <c r="A2305" t="s">
        <v>5386</v>
      </c>
      <c r="B2305" t="s">
        <v>5078</v>
      </c>
      <c r="C2305" t="str">
        <f t="shared" ref="C2305:C2368" si="72">CONCATENATE(A2305,"_",B2305)</f>
        <v>wielkopolskie_poznański</v>
      </c>
      <c r="D2305" t="s">
        <v>4360</v>
      </c>
      <c r="E2305" t="str">
        <f t="shared" ref="E2305:E2368" si="73">C2305&amp;"_"&amp;D2305</f>
        <v>wielkopolskie_poznański_Tarnowo Podgórne</v>
      </c>
      <c r="F2305" t="s">
        <v>2237</v>
      </c>
    </row>
    <row r="2306" spans="1:6" x14ac:dyDescent="0.3">
      <c r="A2306" t="s">
        <v>5386</v>
      </c>
      <c r="B2306" t="s">
        <v>5079</v>
      </c>
      <c r="C2306" t="str">
        <f t="shared" si="72"/>
        <v>wielkopolskie_rawicki</v>
      </c>
      <c r="D2306" t="s">
        <v>4361</v>
      </c>
      <c r="E2306" t="str">
        <f t="shared" si="73"/>
        <v>wielkopolskie_rawicki_Bojanowo</v>
      </c>
      <c r="F2306" t="s">
        <v>2238</v>
      </c>
    </row>
    <row r="2307" spans="1:6" x14ac:dyDescent="0.3">
      <c r="A2307" t="s">
        <v>5386</v>
      </c>
      <c r="B2307" t="s">
        <v>5079</v>
      </c>
      <c r="C2307" t="str">
        <f t="shared" si="72"/>
        <v>wielkopolskie_rawicki</v>
      </c>
      <c r="D2307" t="s">
        <v>4362</v>
      </c>
      <c r="E2307" t="str">
        <f t="shared" si="73"/>
        <v>wielkopolskie_rawicki_Jutrosin</v>
      </c>
      <c r="F2307" t="s">
        <v>2239</v>
      </c>
    </row>
    <row r="2308" spans="1:6" x14ac:dyDescent="0.3">
      <c r="A2308" t="s">
        <v>5386</v>
      </c>
      <c r="B2308" t="s">
        <v>5079</v>
      </c>
      <c r="C2308" t="str">
        <f t="shared" si="72"/>
        <v>wielkopolskie_rawicki</v>
      </c>
      <c r="D2308" t="s">
        <v>4363</v>
      </c>
      <c r="E2308" t="str">
        <f t="shared" si="73"/>
        <v>wielkopolskie_rawicki_Miejska Górka</v>
      </c>
      <c r="F2308" t="s">
        <v>2240</v>
      </c>
    </row>
    <row r="2309" spans="1:6" x14ac:dyDescent="0.3">
      <c r="A2309" t="s">
        <v>5386</v>
      </c>
      <c r="B2309" t="s">
        <v>5079</v>
      </c>
      <c r="C2309" t="str">
        <f t="shared" si="72"/>
        <v>wielkopolskie_rawicki</v>
      </c>
      <c r="D2309" t="s">
        <v>4364</v>
      </c>
      <c r="E2309" t="str">
        <f t="shared" si="73"/>
        <v>wielkopolskie_rawicki_Pakosław</v>
      </c>
      <c r="F2309" t="s">
        <v>2241</v>
      </c>
    </row>
    <row r="2310" spans="1:6" x14ac:dyDescent="0.3">
      <c r="A2310" t="s">
        <v>5386</v>
      </c>
      <c r="B2310" t="s">
        <v>5079</v>
      </c>
      <c r="C2310" t="str">
        <f t="shared" si="72"/>
        <v>wielkopolskie_rawicki</v>
      </c>
      <c r="D2310" t="s">
        <v>4365</v>
      </c>
      <c r="E2310" t="str">
        <f t="shared" si="73"/>
        <v>wielkopolskie_rawicki_Rawicz</v>
      </c>
      <c r="F2310" t="s">
        <v>2242</v>
      </c>
    </row>
    <row r="2311" spans="1:6" x14ac:dyDescent="0.3">
      <c r="A2311" t="s">
        <v>5386</v>
      </c>
      <c r="B2311" t="s">
        <v>5080</v>
      </c>
      <c r="C2311" t="str">
        <f t="shared" si="72"/>
        <v>wielkopolskie_słupecki</v>
      </c>
      <c r="D2311" t="s">
        <v>4366</v>
      </c>
      <c r="E2311" t="str">
        <f t="shared" si="73"/>
        <v>wielkopolskie_słupecki_Lądek</v>
      </c>
      <c r="F2311" t="s">
        <v>2244</v>
      </c>
    </row>
    <row r="2312" spans="1:6" x14ac:dyDescent="0.3">
      <c r="A2312" t="s">
        <v>5386</v>
      </c>
      <c r="B2312" t="s">
        <v>5080</v>
      </c>
      <c r="C2312" t="str">
        <f t="shared" si="72"/>
        <v>wielkopolskie_słupecki</v>
      </c>
      <c r="D2312" t="s">
        <v>4367</v>
      </c>
      <c r="E2312" t="str">
        <f t="shared" si="73"/>
        <v>wielkopolskie_słupecki_Orchowo</v>
      </c>
      <c r="F2312" t="s">
        <v>2245</v>
      </c>
    </row>
    <row r="2313" spans="1:6" x14ac:dyDescent="0.3">
      <c r="A2313" t="s">
        <v>5386</v>
      </c>
      <c r="B2313" t="s">
        <v>5080</v>
      </c>
      <c r="C2313" t="str">
        <f t="shared" si="72"/>
        <v>wielkopolskie_słupecki</v>
      </c>
      <c r="D2313" t="s">
        <v>4368</v>
      </c>
      <c r="E2313" t="str">
        <f t="shared" si="73"/>
        <v>wielkopolskie_słupecki_Ostrowite</v>
      </c>
      <c r="F2313" t="s">
        <v>2246</v>
      </c>
    </row>
    <row r="2314" spans="1:6" x14ac:dyDescent="0.3">
      <c r="A2314" t="s">
        <v>5386</v>
      </c>
      <c r="B2314" t="s">
        <v>5080</v>
      </c>
      <c r="C2314" t="str">
        <f t="shared" si="72"/>
        <v>wielkopolskie_słupecki</v>
      </c>
      <c r="D2314" t="s">
        <v>4369</v>
      </c>
      <c r="E2314" t="str">
        <f t="shared" si="73"/>
        <v>wielkopolskie_słupecki_Powidz</v>
      </c>
      <c r="F2314" t="s">
        <v>2247</v>
      </c>
    </row>
    <row r="2315" spans="1:6" x14ac:dyDescent="0.3">
      <c r="A2315" t="s">
        <v>5386</v>
      </c>
      <c r="B2315" t="s">
        <v>5080</v>
      </c>
      <c r="C2315" t="str">
        <f t="shared" si="72"/>
        <v>wielkopolskie_słupecki</v>
      </c>
      <c r="D2315" t="s">
        <v>4370</v>
      </c>
      <c r="E2315" t="str">
        <f t="shared" si="73"/>
        <v>wielkopolskie_słupecki_Strzałkowo</v>
      </c>
      <c r="F2315" t="s">
        <v>2249</v>
      </c>
    </row>
    <row r="2316" spans="1:6" x14ac:dyDescent="0.3">
      <c r="A2316" t="s">
        <v>5386</v>
      </c>
      <c r="B2316" t="s">
        <v>5080</v>
      </c>
      <c r="C2316" t="str">
        <f t="shared" si="72"/>
        <v>wielkopolskie_słupecki</v>
      </c>
      <c r="D2316" t="s">
        <v>4371</v>
      </c>
      <c r="E2316" t="str">
        <f t="shared" si="73"/>
        <v>wielkopolskie_słupecki_Zagórów</v>
      </c>
      <c r="F2316" t="s">
        <v>2250</v>
      </c>
    </row>
    <row r="2317" spans="1:6" x14ac:dyDescent="0.3">
      <c r="A2317" t="s">
        <v>5386</v>
      </c>
      <c r="B2317" t="s">
        <v>5080</v>
      </c>
      <c r="C2317" t="str">
        <f t="shared" si="72"/>
        <v>wielkopolskie_słupecki</v>
      </c>
      <c r="D2317" t="s">
        <v>4764</v>
      </c>
      <c r="E2317" t="str">
        <f t="shared" si="73"/>
        <v>wielkopolskie_słupecki_Słupca (gm. miejska)</v>
      </c>
      <c r="F2317" t="s">
        <v>2243</v>
      </c>
    </row>
    <row r="2318" spans="1:6" x14ac:dyDescent="0.3">
      <c r="A2318" t="s">
        <v>5386</v>
      </c>
      <c r="B2318" t="s">
        <v>5080</v>
      </c>
      <c r="C2318" t="str">
        <f t="shared" si="72"/>
        <v>wielkopolskie_słupecki</v>
      </c>
      <c r="D2318" t="s">
        <v>4765</v>
      </c>
      <c r="E2318" t="str">
        <f t="shared" si="73"/>
        <v>wielkopolskie_słupecki_Słupca (gm. wiejska)</v>
      </c>
      <c r="F2318" t="s">
        <v>2248</v>
      </c>
    </row>
    <row r="2319" spans="1:6" x14ac:dyDescent="0.3">
      <c r="A2319" t="s">
        <v>5386</v>
      </c>
      <c r="B2319" t="s">
        <v>5081</v>
      </c>
      <c r="C2319" t="str">
        <f t="shared" si="72"/>
        <v>wielkopolskie_szamotulski</v>
      </c>
      <c r="D2319" t="s">
        <v>4372</v>
      </c>
      <c r="E2319" t="str">
        <f t="shared" si="73"/>
        <v>wielkopolskie_szamotulski_Duszniki</v>
      </c>
      <c r="F2319" t="s">
        <v>2252</v>
      </c>
    </row>
    <row r="2320" spans="1:6" x14ac:dyDescent="0.3">
      <c r="A2320" t="s">
        <v>5386</v>
      </c>
      <c r="B2320" t="s">
        <v>5081</v>
      </c>
      <c r="C2320" t="str">
        <f t="shared" si="72"/>
        <v>wielkopolskie_szamotulski</v>
      </c>
      <c r="D2320" t="s">
        <v>4373</v>
      </c>
      <c r="E2320" t="str">
        <f t="shared" si="73"/>
        <v>wielkopolskie_szamotulski_Kaźmierz</v>
      </c>
      <c r="F2320" t="s">
        <v>2253</v>
      </c>
    </row>
    <row r="2321" spans="1:6" x14ac:dyDescent="0.3">
      <c r="A2321" t="s">
        <v>5386</v>
      </c>
      <c r="B2321" t="s">
        <v>5081</v>
      </c>
      <c r="C2321" t="str">
        <f t="shared" si="72"/>
        <v>wielkopolskie_szamotulski</v>
      </c>
      <c r="D2321" t="s">
        <v>4374</v>
      </c>
      <c r="E2321" t="str">
        <f t="shared" si="73"/>
        <v>wielkopolskie_szamotulski_Ostroróg</v>
      </c>
      <c r="F2321" t="s">
        <v>2255</v>
      </c>
    </row>
    <row r="2322" spans="1:6" x14ac:dyDescent="0.3">
      <c r="A2322" t="s">
        <v>5386</v>
      </c>
      <c r="B2322" t="s">
        <v>5081</v>
      </c>
      <c r="C2322" t="str">
        <f t="shared" si="72"/>
        <v>wielkopolskie_szamotulski</v>
      </c>
      <c r="D2322" t="s">
        <v>3273</v>
      </c>
      <c r="E2322" t="str">
        <f t="shared" si="73"/>
        <v>wielkopolskie_szamotulski_Pniewy</v>
      </c>
      <c r="F2322" t="s">
        <v>2256</v>
      </c>
    </row>
    <row r="2323" spans="1:6" x14ac:dyDescent="0.3">
      <c r="A2323" t="s">
        <v>5386</v>
      </c>
      <c r="B2323" t="s">
        <v>5081</v>
      </c>
      <c r="C2323" t="str">
        <f t="shared" si="72"/>
        <v>wielkopolskie_szamotulski</v>
      </c>
      <c r="D2323" t="s">
        <v>4375</v>
      </c>
      <c r="E2323" t="str">
        <f t="shared" si="73"/>
        <v>wielkopolskie_szamotulski_Szamotuły</v>
      </c>
      <c r="F2323" t="s">
        <v>2257</v>
      </c>
    </row>
    <row r="2324" spans="1:6" x14ac:dyDescent="0.3">
      <c r="A2324" t="s">
        <v>5386</v>
      </c>
      <c r="B2324" t="s">
        <v>5081</v>
      </c>
      <c r="C2324" t="str">
        <f t="shared" si="72"/>
        <v>wielkopolskie_szamotulski</v>
      </c>
      <c r="D2324" t="s">
        <v>4376</v>
      </c>
      <c r="E2324" t="str">
        <f t="shared" si="73"/>
        <v>wielkopolskie_szamotulski_Wronki</v>
      </c>
      <c r="F2324" t="s">
        <v>2258</v>
      </c>
    </row>
    <row r="2325" spans="1:6" x14ac:dyDescent="0.3">
      <c r="A2325" t="s">
        <v>5386</v>
      </c>
      <c r="B2325" t="s">
        <v>5081</v>
      </c>
      <c r="C2325" t="str">
        <f t="shared" si="72"/>
        <v>wielkopolskie_szamotulski</v>
      </c>
      <c r="D2325" t="s">
        <v>4766</v>
      </c>
      <c r="E2325" t="str">
        <f t="shared" si="73"/>
        <v>wielkopolskie_szamotulski_Obrzycko (gm. miejska)</v>
      </c>
      <c r="F2325" t="s">
        <v>2251</v>
      </c>
    </row>
    <row r="2326" spans="1:6" x14ac:dyDescent="0.3">
      <c r="A2326" t="s">
        <v>5386</v>
      </c>
      <c r="B2326" t="s">
        <v>5081</v>
      </c>
      <c r="C2326" t="str">
        <f t="shared" si="72"/>
        <v>wielkopolskie_szamotulski</v>
      </c>
      <c r="D2326" t="s">
        <v>4767</v>
      </c>
      <c r="E2326" t="str">
        <f t="shared" si="73"/>
        <v>wielkopolskie_szamotulski_Obrzycko (gm. wiejska)</v>
      </c>
      <c r="F2326" t="s">
        <v>2254</v>
      </c>
    </row>
    <row r="2327" spans="1:6" x14ac:dyDescent="0.3">
      <c r="A2327" t="s">
        <v>5386</v>
      </c>
      <c r="B2327" t="s">
        <v>4821</v>
      </c>
      <c r="C2327" t="str">
        <f t="shared" si="72"/>
        <v>wielkopolskie_średzki</v>
      </c>
      <c r="D2327" t="s">
        <v>4377</v>
      </c>
      <c r="E2327" t="str">
        <f t="shared" si="73"/>
        <v>wielkopolskie_średzki_Dominowo</v>
      </c>
      <c r="F2327" t="s">
        <v>2259</v>
      </c>
    </row>
    <row r="2328" spans="1:6" x14ac:dyDescent="0.3">
      <c r="A2328" t="s">
        <v>5386</v>
      </c>
      <c r="B2328" t="s">
        <v>4821</v>
      </c>
      <c r="C2328" t="str">
        <f t="shared" si="72"/>
        <v>wielkopolskie_średzki</v>
      </c>
      <c r="D2328" t="s">
        <v>4378</v>
      </c>
      <c r="E2328" t="str">
        <f t="shared" si="73"/>
        <v>wielkopolskie_średzki_Krzykosy</v>
      </c>
      <c r="F2328" t="s">
        <v>2260</v>
      </c>
    </row>
    <row r="2329" spans="1:6" x14ac:dyDescent="0.3">
      <c r="A2329" t="s">
        <v>5386</v>
      </c>
      <c r="B2329" t="s">
        <v>4821</v>
      </c>
      <c r="C2329" t="str">
        <f t="shared" si="72"/>
        <v>wielkopolskie_średzki</v>
      </c>
      <c r="D2329" t="s">
        <v>4379</v>
      </c>
      <c r="E2329" t="str">
        <f t="shared" si="73"/>
        <v>wielkopolskie_średzki_Nowe Miasto nad Wartą</v>
      </c>
      <c r="F2329" t="s">
        <v>2261</v>
      </c>
    </row>
    <row r="2330" spans="1:6" x14ac:dyDescent="0.3">
      <c r="A2330" t="s">
        <v>5386</v>
      </c>
      <c r="B2330" t="s">
        <v>4821</v>
      </c>
      <c r="C2330" t="str">
        <f t="shared" si="72"/>
        <v>wielkopolskie_średzki</v>
      </c>
      <c r="D2330" t="s">
        <v>4380</v>
      </c>
      <c r="E2330" t="str">
        <f t="shared" si="73"/>
        <v>wielkopolskie_średzki_Środa Wielkopolska</v>
      </c>
      <c r="F2330" t="s">
        <v>2262</v>
      </c>
    </row>
    <row r="2331" spans="1:6" x14ac:dyDescent="0.3">
      <c r="A2331" t="s">
        <v>5386</v>
      </c>
      <c r="B2331" t="s">
        <v>4821</v>
      </c>
      <c r="C2331" t="str">
        <f t="shared" si="72"/>
        <v>wielkopolskie_średzki</v>
      </c>
      <c r="D2331" t="s">
        <v>4381</v>
      </c>
      <c r="E2331" t="str">
        <f t="shared" si="73"/>
        <v>wielkopolskie_średzki_Zaniemyśl</v>
      </c>
      <c r="F2331" t="s">
        <v>5533</v>
      </c>
    </row>
    <row r="2332" spans="1:6" x14ac:dyDescent="0.3">
      <c r="A2332" t="s">
        <v>5386</v>
      </c>
      <c r="B2332" t="s">
        <v>5082</v>
      </c>
      <c r="C2332" t="str">
        <f t="shared" si="72"/>
        <v>wielkopolskie_śremski</v>
      </c>
      <c r="D2332" t="s">
        <v>2563</v>
      </c>
      <c r="E2332" t="str">
        <f t="shared" si="73"/>
        <v>wielkopolskie_śremski_Brodnica</v>
      </c>
      <c r="F2332" t="s">
        <v>2264</v>
      </c>
    </row>
    <row r="2333" spans="1:6" x14ac:dyDescent="0.3">
      <c r="A2333" t="s">
        <v>5386</v>
      </c>
      <c r="B2333" t="s">
        <v>5082</v>
      </c>
      <c r="C2333" t="str">
        <f t="shared" si="72"/>
        <v>wielkopolskie_śremski</v>
      </c>
      <c r="D2333" t="s">
        <v>4382</v>
      </c>
      <c r="E2333" t="str">
        <f t="shared" si="73"/>
        <v>wielkopolskie_śremski_Dolsk</v>
      </c>
      <c r="F2333" t="s">
        <v>2265</v>
      </c>
    </row>
    <row r="2334" spans="1:6" x14ac:dyDescent="0.3">
      <c r="A2334" t="s">
        <v>5386</v>
      </c>
      <c r="B2334" t="s">
        <v>5082</v>
      </c>
      <c r="C2334" t="str">
        <f t="shared" si="72"/>
        <v>wielkopolskie_śremski</v>
      </c>
      <c r="D2334" t="s">
        <v>4383</v>
      </c>
      <c r="E2334" t="str">
        <f t="shared" si="73"/>
        <v>wielkopolskie_śremski_Książ Wielkopolski</v>
      </c>
      <c r="F2334" t="s">
        <v>2266</v>
      </c>
    </row>
    <row r="2335" spans="1:6" x14ac:dyDescent="0.3">
      <c r="A2335" t="s">
        <v>5386</v>
      </c>
      <c r="B2335" t="s">
        <v>5082</v>
      </c>
      <c r="C2335" t="str">
        <f t="shared" si="72"/>
        <v>wielkopolskie_śremski</v>
      </c>
      <c r="D2335" t="s">
        <v>4384</v>
      </c>
      <c r="E2335" t="str">
        <f t="shared" si="73"/>
        <v>wielkopolskie_śremski_Śrem</v>
      </c>
      <c r="F2335" t="s">
        <v>2267</v>
      </c>
    </row>
    <row r="2336" spans="1:6" x14ac:dyDescent="0.3">
      <c r="A2336" t="s">
        <v>5386</v>
      </c>
      <c r="B2336" t="s">
        <v>5083</v>
      </c>
      <c r="C2336" t="str">
        <f t="shared" si="72"/>
        <v>wielkopolskie_turecki</v>
      </c>
      <c r="D2336" t="s">
        <v>4385</v>
      </c>
      <c r="E2336" t="str">
        <f t="shared" si="73"/>
        <v>wielkopolskie_turecki_Brudzew</v>
      </c>
      <c r="F2336" t="s">
        <v>2269</v>
      </c>
    </row>
    <row r="2337" spans="1:6" x14ac:dyDescent="0.3">
      <c r="A2337" t="s">
        <v>5386</v>
      </c>
      <c r="B2337" t="s">
        <v>5083</v>
      </c>
      <c r="C2337" t="str">
        <f t="shared" si="72"/>
        <v>wielkopolskie_turecki</v>
      </c>
      <c r="D2337" t="s">
        <v>3125</v>
      </c>
      <c r="E2337" t="str">
        <f t="shared" si="73"/>
        <v>wielkopolskie_turecki_Dobra</v>
      </c>
      <c r="F2337" t="s">
        <v>2270</v>
      </c>
    </row>
    <row r="2338" spans="1:6" x14ac:dyDescent="0.3">
      <c r="A2338" t="s">
        <v>5386</v>
      </c>
      <c r="B2338" t="s">
        <v>5083</v>
      </c>
      <c r="C2338" t="str">
        <f t="shared" si="72"/>
        <v>wielkopolskie_turecki</v>
      </c>
      <c r="D2338" t="s">
        <v>4386</v>
      </c>
      <c r="E2338" t="str">
        <f t="shared" si="73"/>
        <v>wielkopolskie_turecki_Kawęczyn</v>
      </c>
      <c r="F2338" t="s">
        <v>2271</v>
      </c>
    </row>
    <row r="2339" spans="1:6" x14ac:dyDescent="0.3">
      <c r="A2339" t="s">
        <v>5386</v>
      </c>
      <c r="B2339" t="s">
        <v>5083</v>
      </c>
      <c r="C2339" t="str">
        <f t="shared" si="72"/>
        <v>wielkopolskie_turecki</v>
      </c>
      <c r="D2339" t="s">
        <v>4387</v>
      </c>
      <c r="E2339" t="str">
        <f t="shared" si="73"/>
        <v>wielkopolskie_turecki_Malanów</v>
      </c>
      <c r="F2339" t="s">
        <v>2272</v>
      </c>
    </row>
    <row r="2340" spans="1:6" x14ac:dyDescent="0.3">
      <c r="A2340" t="s">
        <v>5386</v>
      </c>
      <c r="B2340" t="s">
        <v>5083</v>
      </c>
      <c r="C2340" t="str">
        <f t="shared" si="72"/>
        <v>wielkopolskie_turecki</v>
      </c>
      <c r="D2340" t="s">
        <v>4388</v>
      </c>
      <c r="E2340" t="str">
        <f t="shared" si="73"/>
        <v>wielkopolskie_turecki_Przykona</v>
      </c>
      <c r="F2340" t="s">
        <v>2273</v>
      </c>
    </row>
    <row r="2341" spans="1:6" x14ac:dyDescent="0.3">
      <c r="A2341" t="s">
        <v>5386</v>
      </c>
      <c r="B2341" t="s">
        <v>5083</v>
      </c>
      <c r="C2341" t="str">
        <f t="shared" si="72"/>
        <v>wielkopolskie_turecki</v>
      </c>
      <c r="D2341" t="s">
        <v>4389</v>
      </c>
      <c r="E2341" t="str">
        <f t="shared" si="73"/>
        <v>wielkopolskie_turecki_Tuliszków</v>
      </c>
      <c r="F2341" t="s">
        <v>2274</v>
      </c>
    </row>
    <row r="2342" spans="1:6" x14ac:dyDescent="0.3">
      <c r="A2342" t="s">
        <v>5386</v>
      </c>
      <c r="B2342" t="s">
        <v>5083</v>
      </c>
      <c r="C2342" t="str">
        <f t="shared" si="72"/>
        <v>wielkopolskie_turecki</v>
      </c>
      <c r="D2342" t="s">
        <v>4390</v>
      </c>
      <c r="E2342" t="str">
        <f t="shared" si="73"/>
        <v>wielkopolskie_turecki_Władysławów</v>
      </c>
      <c r="F2342" t="s">
        <v>2276</v>
      </c>
    </row>
    <row r="2343" spans="1:6" x14ac:dyDescent="0.3">
      <c r="A2343" t="s">
        <v>5386</v>
      </c>
      <c r="B2343" t="s">
        <v>5083</v>
      </c>
      <c r="C2343" t="str">
        <f t="shared" si="72"/>
        <v>wielkopolskie_turecki</v>
      </c>
      <c r="D2343" t="s">
        <v>4768</v>
      </c>
      <c r="E2343" t="str">
        <f t="shared" si="73"/>
        <v>wielkopolskie_turecki_Turek (gm. miejska)</v>
      </c>
      <c r="F2343" t="s">
        <v>2268</v>
      </c>
    </row>
    <row r="2344" spans="1:6" x14ac:dyDescent="0.3">
      <c r="A2344" t="s">
        <v>5386</v>
      </c>
      <c r="B2344" t="s">
        <v>5083</v>
      </c>
      <c r="C2344" t="str">
        <f t="shared" si="72"/>
        <v>wielkopolskie_turecki</v>
      </c>
      <c r="D2344" t="s">
        <v>4769</v>
      </c>
      <c r="E2344" t="str">
        <f t="shared" si="73"/>
        <v>wielkopolskie_turecki_Turek (gm. wiejska)</v>
      </c>
      <c r="F2344" t="s">
        <v>2275</v>
      </c>
    </row>
    <row r="2345" spans="1:6" x14ac:dyDescent="0.3">
      <c r="A2345" t="s">
        <v>5386</v>
      </c>
      <c r="B2345" t="s">
        <v>5084</v>
      </c>
      <c r="C2345" t="str">
        <f t="shared" si="72"/>
        <v>wielkopolskie_wągrowiecki</v>
      </c>
      <c r="D2345" t="s">
        <v>4391</v>
      </c>
      <c r="E2345" t="str">
        <f t="shared" si="73"/>
        <v>wielkopolskie_wągrowiecki_Damasławek</v>
      </c>
      <c r="F2345" t="s">
        <v>2278</v>
      </c>
    </row>
    <row r="2346" spans="1:6" x14ac:dyDescent="0.3">
      <c r="A2346" t="s">
        <v>5386</v>
      </c>
      <c r="B2346" t="s">
        <v>5084</v>
      </c>
      <c r="C2346" t="str">
        <f t="shared" si="72"/>
        <v>wielkopolskie_wągrowiecki</v>
      </c>
      <c r="D2346" t="s">
        <v>4392</v>
      </c>
      <c r="E2346" t="str">
        <f t="shared" si="73"/>
        <v>wielkopolskie_wągrowiecki_Gołańcz</v>
      </c>
      <c r="F2346" t="s">
        <v>2279</v>
      </c>
    </row>
    <row r="2347" spans="1:6" x14ac:dyDescent="0.3">
      <c r="A2347" t="s">
        <v>5386</v>
      </c>
      <c r="B2347" t="s">
        <v>5084</v>
      </c>
      <c r="C2347" t="str">
        <f t="shared" si="72"/>
        <v>wielkopolskie_wągrowiecki</v>
      </c>
      <c r="D2347" t="s">
        <v>4393</v>
      </c>
      <c r="E2347" t="str">
        <f t="shared" si="73"/>
        <v>wielkopolskie_wągrowiecki_Mieścisko</v>
      </c>
      <c r="F2347" t="s">
        <v>5534</v>
      </c>
    </row>
    <row r="2348" spans="1:6" x14ac:dyDescent="0.3">
      <c r="A2348" t="s">
        <v>5386</v>
      </c>
      <c r="B2348" t="s">
        <v>5084</v>
      </c>
      <c r="C2348" t="str">
        <f t="shared" si="72"/>
        <v>wielkopolskie_wągrowiecki</v>
      </c>
      <c r="D2348" t="s">
        <v>4394</v>
      </c>
      <c r="E2348" t="str">
        <f t="shared" si="73"/>
        <v>wielkopolskie_wągrowiecki_Skoki</v>
      </c>
      <c r="F2348" t="s">
        <v>2281</v>
      </c>
    </row>
    <row r="2349" spans="1:6" x14ac:dyDescent="0.3">
      <c r="A2349" t="s">
        <v>5386</v>
      </c>
      <c r="B2349" t="s">
        <v>5084</v>
      </c>
      <c r="C2349" t="str">
        <f t="shared" si="72"/>
        <v>wielkopolskie_wągrowiecki</v>
      </c>
      <c r="D2349" t="s">
        <v>4395</v>
      </c>
      <c r="E2349" t="str">
        <f t="shared" si="73"/>
        <v>wielkopolskie_wągrowiecki_Wapno</v>
      </c>
      <c r="F2349" t="s">
        <v>2282</v>
      </c>
    </row>
    <row r="2350" spans="1:6" x14ac:dyDescent="0.3">
      <c r="A2350" t="s">
        <v>5386</v>
      </c>
      <c r="B2350" t="s">
        <v>5084</v>
      </c>
      <c r="C2350" t="str">
        <f t="shared" si="72"/>
        <v>wielkopolskie_wągrowiecki</v>
      </c>
      <c r="D2350" t="s">
        <v>4770</v>
      </c>
      <c r="E2350" t="str">
        <f t="shared" si="73"/>
        <v>wielkopolskie_wągrowiecki_Wągrowiec (gm. miejska)</v>
      </c>
      <c r="F2350" t="s">
        <v>2277</v>
      </c>
    </row>
    <row r="2351" spans="1:6" x14ac:dyDescent="0.3">
      <c r="A2351" t="s">
        <v>5386</v>
      </c>
      <c r="B2351" t="s">
        <v>5084</v>
      </c>
      <c r="C2351" t="str">
        <f t="shared" si="72"/>
        <v>wielkopolskie_wągrowiecki</v>
      </c>
      <c r="D2351" t="s">
        <v>4771</v>
      </c>
      <c r="E2351" t="str">
        <f t="shared" si="73"/>
        <v>wielkopolskie_wągrowiecki_Wągrowiec (gm. wiejska)</v>
      </c>
      <c r="F2351" t="s">
        <v>2283</v>
      </c>
    </row>
    <row r="2352" spans="1:6" x14ac:dyDescent="0.3">
      <c r="A2352" t="s">
        <v>5386</v>
      </c>
      <c r="B2352" t="s">
        <v>5085</v>
      </c>
      <c r="C2352" t="str">
        <f t="shared" si="72"/>
        <v>wielkopolskie_wolsztyński</v>
      </c>
      <c r="D2352" t="s">
        <v>4396</v>
      </c>
      <c r="E2352" t="str">
        <f t="shared" si="73"/>
        <v>wielkopolskie_wolsztyński_Przemęt</v>
      </c>
      <c r="F2352" t="s">
        <v>2284</v>
      </c>
    </row>
    <row r="2353" spans="1:6" x14ac:dyDescent="0.3">
      <c r="A2353" t="s">
        <v>5386</v>
      </c>
      <c r="B2353" t="s">
        <v>5085</v>
      </c>
      <c r="C2353" t="str">
        <f t="shared" si="72"/>
        <v>wielkopolskie_wolsztyński</v>
      </c>
      <c r="D2353" t="s">
        <v>4397</v>
      </c>
      <c r="E2353" t="str">
        <f t="shared" si="73"/>
        <v>wielkopolskie_wolsztyński_Siedlec</v>
      </c>
      <c r="F2353" t="s">
        <v>2285</v>
      </c>
    </row>
    <row r="2354" spans="1:6" x14ac:dyDescent="0.3">
      <c r="A2354" t="s">
        <v>5386</v>
      </c>
      <c r="B2354" t="s">
        <v>5085</v>
      </c>
      <c r="C2354" t="str">
        <f t="shared" si="72"/>
        <v>wielkopolskie_wolsztyński</v>
      </c>
      <c r="D2354" t="s">
        <v>4398</v>
      </c>
      <c r="E2354" t="str">
        <f t="shared" si="73"/>
        <v>wielkopolskie_wolsztyński_Wolsztyn</v>
      </c>
      <c r="F2354" t="s">
        <v>2286</v>
      </c>
    </row>
    <row r="2355" spans="1:6" x14ac:dyDescent="0.3">
      <c r="A2355" t="s">
        <v>5386</v>
      </c>
      <c r="B2355" t="s">
        <v>5086</v>
      </c>
      <c r="C2355" t="str">
        <f t="shared" si="72"/>
        <v>wielkopolskie_wrzesiński</v>
      </c>
      <c r="D2355" t="s">
        <v>4399</v>
      </c>
      <c r="E2355" t="str">
        <f t="shared" si="73"/>
        <v>wielkopolskie_wrzesiński_Kołaczkowo</v>
      </c>
      <c r="F2355" t="s">
        <v>2287</v>
      </c>
    </row>
    <row r="2356" spans="1:6" x14ac:dyDescent="0.3">
      <c r="A2356" t="s">
        <v>5386</v>
      </c>
      <c r="B2356" t="s">
        <v>5086</v>
      </c>
      <c r="C2356" t="str">
        <f t="shared" si="72"/>
        <v>wielkopolskie_wrzesiński</v>
      </c>
      <c r="D2356" t="s">
        <v>4400</v>
      </c>
      <c r="E2356" t="str">
        <f t="shared" si="73"/>
        <v>wielkopolskie_wrzesiński_Miłosław</v>
      </c>
      <c r="F2356" t="s">
        <v>2288</v>
      </c>
    </row>
    <row r="2357" spans="1:6" x14ac:dyDescent="0.3">
      <c r="A2357" t="s">
        <v>5386</v>
      </c>
      <c r="B2357" t="s">
        <v>5086</v>
      </c>
      <c r="C2357" t="str">
        <f t="shared" si="72"/>
        <v>wielkopolskie_wrzesiński</v>
      </c>
      <c r="D2357" t="s">
        <v>4401</v>
      </c>
      <c r="E2357" t="str">
        <f t="shared" si="73"/>
        <v>wielkopolskie_wrzesiński_Nekla</v>
      </c>
      <c r="F2357" t="s">
        <v>2289</v>
      </c>
    </row>
    <row r="2358" spans="1:6" x14ac:dyDescent="0.3">
      <c r="A2358" t="s">
        <v>5386</v>
      </c>
      <c r="B2358" t="s">
        <v>5086</v>
      </c>
      <c r="C2358" t="str">
        <f t="shared" si="72"/>
        <v>wielkopolskie_wrzesiński</v>
      </c>
      <c r="D2358" t="s">
        <v>4402</v>
      </c>
      <c r="E2358" t="str">
        <f t="shared" si="73"/>
        <v>wielkopolskie_wrzesiński_Pyzdry</v>
      </c>
      <c r="F2358" t="s">
        <v>2290</v>
      </c>
    </row>
    <row r="2359" spans="1:6" x14ac:dyDescent="0.3">
      <c r="A2359" t="s">
        <v>5386</v>
      </c>
      <c r="B2359" t="s">
        <v>5086</v>
      </c>
      <c r="C2359" t="str">
        <f t="shared" si="72"/>
        <v>wielkopolskie_wrzesiński</v>
      </c>
      <c r="D2359" t="s">
        <v>4403</v>
      </c>
      <c r="E2359" t="str">
        <f t="shared" si="73"/>
        <v>wielkopolskie_wrzesiński_Września</v>
      </c>
      <c r="F2359" t="s">
        <v>2291</v>
      </c>
    </row>
    <row r="2360" spans="1:6" x14ac:dyDescent="0.3">
      <c r="A2360" t="s">
        <v>5386</v>
      </c>
      <c r="B2360" t="s">
        <v>5087</v>
      </c>
      <c r="C2360" t="str">
        <f t="shared" si="72"/>
        <v>wielkopolskie_złotowski</v>
      </c>
      <c r="D2360" t="s">
        <v>4404</v>
      </c>
      <c r="E2360" t="str">
        <f t="shared" si="73"/>
        <v>wielkopolskie_złotowski_Jastrowie</v>
      </c>
      <c r="F2360" t="s">
        <v>2293</v>
      </c>
    </row>
    <row r="2361" spans="1:6" x14ac:dyDescent="0.3">
      <c r="A2361" t="s">
        <v>5386</v>
      </c>
      <c r="B2361" t="s">
        <v>5087</v>
      </c>
      <c r="C2361" t="str">
        <f t="shared" si="72"/>
        <v>wielkopolskie_złotowski</v>
      </c>
      <c r="D2361" t="s">
        <v>4405</v>
      </c>
      <c r="E2361" t="str">
        <f t="shared" si="73"/>
        <v>wielkopolskie_złotowski_Krajenka</v>
      </c>
      <c r="F2361" t="s">
        <v>2294</v>
      </c>
    </row>
    <row r="2362" spans="1:6" x14ac:dyDescent="0.3">
      <c r="A2362" t="s">
        <v>5386</v>
      </c>
      <c r="B2362" t="s">
        <v>5087</v>
      </c>
      <c r="C2362" t="str">
        <f t="shared" si="72"/>
        <v>wielkopolskie_złotowski</v>
      </c>
      <c r="D2362" t="s">
        <v>4406</v>
      </c>
      <c r="E2362" t="str">
        <f t="shared" si="73"/>
        <v>wielkopolskie_złotowski_Lipka</v>
      </c>
      <c r="F2362" t="s">
        <v>2295</v>
      </c>
    </row>
    <row r="2363" spans="1:6" x14ac:dyDescent="0.3">
      <c r="A2363" t="s">
        <v>5386</v>
      </c>
      <c r="B2363" t="s">
        <v>5087</v>
      </c>
      <c r="C2363" t="str">
        <f t="shared" si="72"/>
        <v>wielkopolskie_złotowski</v>
      </c>
      <c r="D2363" t="s">
        <v>4407</v>
      </c>
      <c r="E2363" t="str">
        <f t="shared" si="73"/>
        <v>wielkopolskie_złotowski_Okonek</v>
      </c>
      <c r="F2363" t="s">
        <v>2296</v>
      </c>
    </row>
    <row r="2364" spans="1:6" x14ac:dyDescent="0.3">
      <c r="A2364" t="s">
        <v>5386</v>
      </c>
      <c r="B2364" t="s">
        <v>5087</v>
      </c>
      <c r="C2364" t="str">
        <f t="shared" si="72"/>
        <v>wielkopolskie_złotowski</v>
      </c>
      <c r="D2364" t="s">
        <v>4408</v>
      </c>
      <c r="E2364" t="str">
        <f t="shared" si="73"/>
        <v>wielkopolskie_złotowski_Tarnówka</v>
      </c>
      <c r="F2364" t="s">
        <v>2297</v>
      </c>
    </row>
    <row r="2365" spans="1:6" x14ac:dyDescent="0.3">
      <c r="A2365" t="s">
        <v>5386</v>
      </c>
      <c r="B2365" t="s">
        <v>5087</v>
      </c>
      <c r="C2365" t="str">
        <f t="shared" si="72"/>
        <v>wielkopolskie_złotowski</v>
      </c>
      <c r="D2365" t="s">
        <v>2562</v>
      </c>
      <c r="E2365" t="str">
        <f t="shared" si="73"/>
        <v>wielkopolskie_złotowski_Zakrzewo</v>
      </c>
      <c r="F2365" t="s">
        <v>2298</v>
      </c>
    </row>
    <row r="2366" spans="1:6" x14ac:dyDescent="0.3">
      <c r="A2366" t="s">
        <v>5386</v>
      </c>
      <c r="B2366" t="s">
        <v>5087</v>
      </c>
      <c r="C2366" t="str">
        <f t="shared" si="72"/>
        <v>wielkopolskie_złotowski</v>
      </c>
      <c r="D2366" t="s">
        <v>4772</v>
      </c>
      <c r="E2366" t="str">
        <f t="shared" si="73"/>
        <v>wielkopolskie_złotowski_Złotów (gm. miejska)</v>
      </c>
      <c r="F2366" t="s">
        <v>2292</v>
      </c>
    </row>
    <row r="2367" spans="1:6" x14ac:dyDescent="0.3">
      <c r="A2367" t="s">
        <v>5386</v>
      </c>
      <c r="B2367" t="s">
        <v>5087</v>
      </c>
      <c r="C2367" t="str">
        <f t="shared" si="72"/>
        <v>wielkopolskie_złotowski</v>
      </c>
      <c r="D2367" t="s">
        <v>4773</v>
      </c>
      <c r="E2367" t="str">
        <f t="shared" si="73"/>
        <v>wielkopolskie_złotowski_Złotów (gm. wiejska)</v>
      </c>
      <c r="F2367" t="s">
        <v>2299</v>
      </c>
    </row>
    <row r="2368" spans="1:6" x14ac:dyDescent="0.3">
      <c r="A2368" t="s">
        <v>5390</v>
      </c>
      <c r="B2368" t="s">
        <v>5088</v>
      </c>
      <c r="C2368" t="str">
        <f t="shared" si="72"/>
        <v>zachodniopomorskie_białogardzki</v>
      </c>
      <c r="D2368" t="s">
        <v>4412</v>
      </c>
      <c r="E2368" t="str">
        <f t="shared" si="73"/>
        <v>zachodniopomorskie_białogardzki_Karlino</v>
      </c>
      <c r="F2368" t="s">
        <v>2306</v>
      </c>
    </row>
    <row r="2369" spans="1:6" x14ac:dyDescent="0.3">
      <c r="A2369" t="s">
        <v>5390</v>
      </c>
      <c r="B2369" t="s">
        <v>5088</v>
      </c>
      <c r="C2369" t="str">
        <f t="shared" ref="C2369:C2432" si="74">CONCATENATE(A2369,"_",B2369)</f>
        <v>zachodniopomorskie_białogardzki</v>
      </c>
      <c r="D2369" t="s">
        <v>4413</v>
      </c>
      <c r="E2369" t="str">
        <f t="shared" ref="E2369:E2432" si="75">C2369&amp;"_"&amp;D2369</f>
        <v>zachodniopomorskie_białogardzki_Tychowo</v>
      </c>
      <c r="F2369" t="s">
        <v>5179</v>
      </c>
    </row>
    <row r="2370" spans="1:6" x14ac:dyDescent="0.3">
      <c r="A2370" t="s">
        <v>5390</v>
      </c>
      <c r="B2370" t="s">
        <v>5088</v>
      </c>
      <c r="C2370" t="str">
        <f t="shared" si="74"/>
        <v>zachodniopomorskie_białogardzki</v>
      </c>
      <c r="D2370" t="s">
        <v>4774</v>
      </c>
      <c r="E2370" t="str">
        <f t="shared" si="75"/>
        <v>zachodniopomorskie_białogardzki_Białogard (gm. miejska)</v>
      </c>
      <c r="F2370" t="s">
        <v>2304</v>
      </c>
    </row>
    <row r="2371" spans="1:6" x14ac:dyDescent="0.3">
      <c r="A2371" t="s">
        <v>5390</v>
      </c>
      <c r="B2371" t="s">
        <v>5088</v>
      </c>
      <c r="C2371" t="str">
        <f t="shared" si="74"/>
        <v>zachodniopomorskie_białogardzki</v>
      </c>
      <c r="D2371" t="s">
        <v>4775</v>
      </c>
      <c r="E2371" t="str">
        <f t="shared" si="75"/>
        <v>zachodniopomorskie_białogardzki_Białogard (gm. wiejska)</v>
      </c>
      <c r="F2371" t="s">
        <v>2305</v>
      </c>
    </row>
    <row r="2372" spans="1:6" x14ac:dyDescent="0.3">
      <c r="A2372" t="s">
        <v>5390</v>
      </c>
      <c r="B2372" t="s">
        <v>5089</v>
      </c>
      <c r="C2372" t="str">
        <f t="shared" si="74"/>
        <v>zachodniopomorskie_choszczeński</v>
      </c>
      <c r="D2372" t="s">
        <v>4414</v>
      </c>
      <c r="E2372" t="str">
        <f t="shared" si="75"/>
        <v>zachodniopomorskie_choszczeński_Bierzwnik</v>
      </c>
      <c r="F2372" t="s">
        <v>2307</v>
      </c>
    </row>
    <row r="2373" spans="1:6" x14ac:dyDescent="0.3">
      <c r="A2373" t="s">
        <v>5390</v>
      </c>
      <c r="B2373" t="s">
        <v>5089</v>
      </c>
      <c r="C2373" t="str">
        <f t="shared" si="74"/>
        <v>zachodniopomorskie_choszczeński</v>
      </c>
      <c r="D2373" t="s">
        <v>4415</v>
      </c>
      <c r="E2373" t="str">
        <f t="shared" si="75"/>
        <v>zachodniopomorskie_choszczeński_Choszczno</v>
      </c>
      <c r="F2373" t="s">
        <v>2308</v>
      </c>
    </row>
    <row r="2374" spans="1:6" x14ac:dyDescent="0.3">
      <c r="A2374" t="s">
        <v>5390</v>
      </c>
      <c r="B2374" t="s">
        <v>5089</v>
      </c>
      <c r="C2374" t="str">
        <f t="shared" si="74"/>
        <v>zachodniopomorskie_choszczeński</v>
      </c>
      <c r="D2374" t="s">
        <v>4416</v>
      </c>
      <c r="E2374" t="str">
        <f t="shared" si="75"/>
        <v>zachodniopomorskie_choszczeński_Drawno</v>
      </c>
      <c r="F2374" t="s">
        <v>2309</v>
      </c>
    </row>
    <row r="2375" spans="1:6" x14ac:dyDescent="0.3">
      <c r="A2375" t="s">
        <v>5390</v>
      </c>
      <c r="B2375" t="s">
        <v>5089</v>
      </c>
      <c r="C2375" t="str">
        <f t="shared" si="74"/>
        <v>zachodniopomorskie_choszczeński</v>
      </c>
      <c r="D2375" t="s">
        <v>4417</v>
      </c>
      <c r="E2375" t="str">
        <f t="shared" si="75"/>
        <v>zachodniopomorskie_choszczeński_Krzęcin</v>
      </c>
      <c r="F2375" t="s">
        <v>2310</v>
      </c>
    </row>
    <row r="2376" spans="1:6" x14ac:dyDescent="0.3">
      <c r="A2376" t="s">
        <v>5390</v>
      </c>
      <c r="B2376" t="s">
        <v>5089</v>
      </c>
      <c r="C2376" t="str">
        <f t="shared" si="74"/>
        <v>zachodniopomorskie_choszczeński</v>
      </c>
      <c r="D2376" t="s">
        <v>4418</v>
      </c>
      <c r="E2376" t="str">
        <f t="shared" si="75"/>
        <v>zachodniopomorskie_choszczeński_Pełczyce</v>
      </c>
      <c r="F2376" t="s">
        <v>2311</v>
      </c>
    </row>
    <row r="2377" spans="1:6" x14ac:dyDescent="0.3">
      <c r="A2377" t="s">
        <v>5390</v>
      </c>
      <c r="B2377" t="s">
        <v>5089</v>
      </c>
      <c r="C2377" t="str">
        <f t="shared" si="74"/>
        <v>zachodniopomorskie_choszczeński</v>
      </c>
      <c r="D2377" t="s">
        <v>4419</v>
      </c>
      <c r="E2377" t="str">
        <f t="shared" si="75"/>
        <v>zachodniopomorskie_choszczeński_Recz</v>
      </c>
      <c r="F2377" t="s">
        <v>2312</v>
      </c>
    </row>
    <row r="2378" spans="1:6" x14ac:dyDescent="0.3">
      <c r="A2378" t="s">
        <v>5390</v>
      </c>
      <c r="B2378" t="s">
        <v>5090</v>
      </c>
      <c r="C2378" t="str">
        <f t="shared" si="74"/>
        <v>zachodniopomorskie_drawski</v>
      </c>
      <c r="D2378" t="s">
        <v>4420</v>
      </c>
      <c r="E2378" t="str">
        <f t="shared" si="75"/>
        <v>zachodniopomorskie_drawski_Czaplinek</v>
      </c>
      <c r="F2378" t="s">
        <v>2313</v>
      </c>
    </row>
    <row r="2379" spans="1:6" x14ac:dyDescent="0.3">
      <c r="A2379" t="s">
        <v>5390</v>
      </c>
      <c r="B2379" t="s">
        <v>5090</v>
      </c>
      <c r="C2379" t="str">
        <f t="shared" si="74"/>
        <v>zachodniopomorskie_drawski</v>
      </c>
      <c r="D2379" t="s">
        <v>4421</v>
      </c>
      <c r="E2379" t="str">
        <f t="shared" si="75"/>
        <v>zachodniopomorskie_drawski_Drawsko Pomorskie</v>
      </c>
      <c r="F2379" t="s">
        <v>2314</v>
      </c>
    </row>
    <row r="2380" spans="1:6" x14ac:dyDescent="0.3">
      <c r="A2380" t="s">
        <v>5390</v>
      </c>
      <c r="B2380" t="s">
        <v>5090</v>
      </c>
      <c r="C2380" t="str">
        <f t="shared" si="74"/>
        <v>zachodniopomorskie_drawski</v>
      </c>
      <c r="D2380" t="s">
        <v>4422</v>
      </c>
      <c r="E2380" t="str">
        <f t="shared" si="75"/>
        <v>zachodniopomorskie_drawski_Kalisz Pomorski</v>
      </c>
      <c r="F2380" t="s">
        <v>2315</v>
      </c>
    </row>
    <row r="2381" spans="1:6" x14ac:dyDescent="0.3">
      <c r="A2381" t="s">
        <v>5390</v>
      </c>
      <c r="B2381" t="s">
        <v>5090</v>
      </c>
      <c r="C2381" t="str">
        <f t="shared" si="74"/>
        <v>zachodniopomorskie_drawski</v>
      </c>
      <c r="D2381" t="s">
        <v>4423</v>
      </c>
      <c r="E2381" t="str">
        <f t="shared" si="75"/>
        <v>zachodniopomorskie_drawski_Wierzchowo</v>
      </c>
      <c r="F2381" t="s">
        <v>2316</v>
      </c>
    </row>
    <row r="2382" spans="1:6" x14ac:dyDescent="0.3">
      <c r="A2382" t="s">
        <v>5390</v>
      </c>
      <c r="B2382" t="s">
        <v>5090</v>
      </c>
      <c r="C2382" t="str">
        <f t="shared" si="74"/>
        <v>zachodniopomorskie_drawski</v>
      </c>
      <c r="D2382" t="s">
        <v>4424</v>
      </c>
      <c r="E2382" t="str">
        <f t="shared" si="75"/>
        <v>zachodniopomorskie_drawski_Złocieniec</v>
      </c>
      <c r="F2382" t="s">
        <v>2317</v>
      </c>
    </row>
    <row r="2383" spans="1:6" x14ac:dyDescent="0.3">
      <c r="A2383" t="s">
        <v>5390</v>
      </c>
      <c r="B2383" t="s">
        <v>5091</v>
      </c>
      <c r="C2383" t="str">
        <f t="shared" si="74"/>
        <v>zachodniopomorskie_goleniowski</v>
      </c>
      <c r="D2383" t="s">
        <v>4425</v>
      </c>
      <c r="E2383" t="str">
        <f t="shared" si="75"/>
        <v>zachodniopomorskie_goleniowski_Goleniów</v>
      </c>
      <c r="F2383" t="s">
        <v>2318</v>
      </c>
    </row>
    <row r="2384" spans="1:6" x14ac:dyDescent="0.3">
      <c r="A2384" t="s">
        <v>5390</v>
      </c>
      <c r="B2384" t="s">
        <v>5091</v>
      </c>
      <c r="C2384" t="str">
        <f t="shared" si="74"/>
        <v>zachodniopomorskie_goleniowski</v>
      </c>
      <c r="D2384" t="s">
        <v>2869</v>
      </c>
      <c r="E2384" t="str">
        <f t="shared" si="75"/>
        <v>zachodniopomorskie_goleniowski_Maszewo</v>
      </c>
      <c r="F2384" t="s">
        <v>2319</v>
      </c>
    </row>
    <row r="2385" spans="1:6" x14ac:dyDescent="0.3">
      <c r="A2385" t="s">
        <v>5390</v>
      </c>
      <c r="B2385" t="s">
        <v>5091</v>
      </c>
      <c r="C2385" t="str">
        <f t="shared" si="74"/>
        <v>zachodniopomorskie_goleniowski</v>
      </c>
      <c r="D2385" t="s">
        <v>4426</v>
      </c>
      <c r="E2385" t="str">
        <f t="shared" si="75"/>
        <v>zachodniopomorskie_goleniowski_Nowogard</v>
      </c>
      <c r="F2385" t="s">
        <v>2320</v>
      </c>
    </row>
    <row r="2386" spans="1:6" x14ac:dyDescent="0.3">
      <c r="A2386" t="s">
        <v>5390</v>
      </c>
      <c r="B2386" t="s">
        <v>5091</v>
      </c>
      <c r="C2386" t="str">
        <f t="shared" si="74"/>
        <v>zachodniopomorskie_goleniowski</v>
      </c>
      <c r="D2386" t="s">
        <v>4427</v>
      </c>
      <c r="E2386" t="str">
        <f t="shared" si="75"/>
        <v>zachodniopomorskie_goleniowski_Osina</v>
      </c>
      <c r="F2386" t="s">
        <v>2321</v>
      </c>
    </row>
    <row r="2387" spans="1:6" x14ac:dyDescent="0.3">
      <c r="A2387" t="s">
        <v>5390</v>
      </c>
      <c r="B2387" t="s">
        <v>5091</v>
      </c>
      <c r="C2387" t="str">
        <f t="shared" si="74"/>
        <v>zachodniopomorskie_goleniowski</v>
      </c>
      <c r="D2387" t="s">
        <v>4428</v>
      </c>
      <c r="E2387" t="str">
        <f t="shared" si="75"/>
        <v>zachodniopomorskie_goleniowski_Przybiernów</v>
      </c>
      <c r="F2387" t="s">
        <v>2322</v>
      </c>
    </row>
    <row r="2388" spans="1:6" x14ac:dyDescent="0.3">
      <c r="A2388" t="s">
        <v>5390</v>
      </c>
      <c r="B2388" t="s">
        <v>5091</v>
      </c>
      <c r="C2388" t="str">
        <f t="shared" si="74"/>
        <v>zachodniopomorskie_goleniowski</v>
      </c>
      <c r="D2388" t="s">
        <v>4429</v>
      </c>
      <c r="E2388" t="str">
        <f t="shared" si="75"/>
        <v>zachodniopomorskie_goleniowski_Stepnica</v>
      </c>
      <c r="F2388" t="s">
        <v>5180</v>
      </c>
    </row>
    <row r="2389" spans="1:6" x14ac:dyDescent="0.3">
      <c r="A2389" t="s">
        <v>5390</v>
      </c>
      <c r="B2389" t="s">
        <v>5092</v>
      </c>
      <c r="C2389" t="str">
        <f t="shared" si="74"/>
        <v>zachodniopomorskie_gryficki</v>
      </c>
      <c r="D2389" t="s">
        <v>4430</v>
      </c>
      <c r="E2389" t="str">
        <f t="shared" si="75"/>
        <v>zachodniopomorskie_gryficki_Brojce</v>
      </c>
      <c r="F2389" t="s">
        <v>2323</v>
      </c>
    </row>
    <row r="2390" spans="1:6" x14ac:dyDescent="0.3">
      <c r="A2390" t="s">
        <v>5390</v>
      </c>
      <c r="B2390" t="s">
        <v>5092</v>
      </c>
      <c r="C2390" t="str">
        <f t="shared" si="74"/>
        <v>zachodniopomorskie_gryficki</v>
      </c>
      <c r="D2390" t="s">
        <v>4431</v>
      </c>
      <c r="E2390" t="str">
        <f t="shared" si="75"/>
        <v>zachodniopomorskie_gryficki_Gryfice</v>
      </c>
      <c r="F2390" t="s">
        <v>2324</v>
      </c>
    </row>
    <row r="2391" spans="1:6" x14ac:dyDescent="0.3">
      <c r="A2391" t="s">
        <v>5390</v>
      </c>
      <c r="B2391" t="s">
        <v>5092</v>
      </c>
      <c r="C2391" t="str">
        <f t="shared" si="74"/>
        <v>zachodniopomorskie_gryficki</v>
      </c>
      <c r="D2391" t="s">
        <v>4432</v>
      </c>
      <c r="E2391" t="str">
        <f t="shared" si="75"/>
        <v>zachodniopomorskie_gryficki_Karnice</v>
      </c>
      <c r="F2391" t="s">
        <v>2325</v>
      </c>
    </row>
    <row r="2392" spans="1:6" x14ac:dyDescent="0.3">
      <c r="A2392" t="s">
        <v>5390</v>
      </c>
      <c r="B2392" t="s">
        <v>5092</v>
      </c>
      <c r="C2392" t="str">
        <f t="shared" si="74"/>
        <v>zachodniopomorskie_gryficki</v>
      </c>
      <c r="D2392" t="s">
        <v>4433</v>
      </c>
      <c r="E2392" t="str">
        <f t="shared" si="75"/>
        <v>zachodniopomorskie_gryficki_Płoty</v>
      </c>
      <c r="F2392" t="s">
        <v>2326</v>
      </c>
    </row>
    <row r="2393" spans="1:6" x14ac:dyDescent="0.3">
      <c r="A2393" t="s">
        <v>5390</v>
      </c>
      <c r="B2393" t="s">
        <v>5092</v>
      </c>
      <c r="C2393" t="str">
        <f t="shared" si="74"/>
        <v>zachodniopomorskie_gryficki</v>
      </c>
      <c r="D2393" t="s">
        <v>4434</v>
      </c>
      <c r="E2393" t="str">
        <f t="shared" si="75"/>
        <v>zachodniopomorskie_gryficki_Rewal</v>
      </c>
      <c r="F2393" t="s">
        <v>2327</v>
      </c>
    </row>
    <row r="2394" spans="1:6" x14ac:dyDescent="0.3">
      <c r="A2394" t="s">
        <v>5390</v>
      </c>
      <c r="B2394" t="s">
        <v>5092</v>
      </c>
      <c r="C2394" t="str">
        <f t="shared" si="74"/>
        <v>zachodniopomorskie_gryficki</v>
      </c>
      <c r="D2394" t="s">
        <v>4435</v>
      </c>
      <c r="E2394" t="str">
        <f t="shared" si="75"/>
        <v>zachodniopomorskie_gryficki_Trzebiatów</v>
      </c>
      <c r="F2394" t="s">
        <v>2328</v>
      </c>
    </row>
    <row r="2395" spans="1:6" x14ac:dyDescent="0.3">
      <c r="A2395" t="s">
        <v>5390</v>
      </c>
      <c r="B2395" t="s">
        <v>5093</v>
      </c>
      <c r="C2395" t="str">
        <f t="shared" si="74"/>
        <v>zachodniopomorskie_gryfiński</v>
      </c>
      <c r="D2395" t="s">
        <v>4436</v>
      </c>
      <c r="E2395" t="str">
        <f t="shared" si="75"/>
        <v>zachodniopomorskie_gryfiński_Banie</v>
      </c>
      <c r="F2395" t="s">
        <v>2329</v>
      </c>
    </row>
    <row r="2396" spans="1:6" x14ac:dyDescent="0.3">
      <c r="A2396" t="s">
        <v>5390</v>
      </c>
      <c r="B2396" t="s">
        <v>5093</v>
      </c>
      <c r="C2396" t="str">
        <f t="shared" si="74"/>
        <v>zachodniopomorskie_gryfiński</v>
      </c>
      <c r="D2396" t="s">
        <v>4437</v>
      </c>
      <c r="E2396" t="str">
        <f t="shared" si="75"/>
        <v>zachodniopomorskie_gryfiński_Cedynia</v>
      </c>
      <c r="F2396" t="s">
        <v>2330</v>
      </c>
    </row>
    <row r="2397" spans="1:6" x14ac:dyDescent="0.3">
      <c r="A2397" t="s">
        <v>5390</v>
      </c>
      <c r="B2397" t="s">
        <v>5093</v>
      </c>
      <c r="C2397" t="str">
        <f t="shared" si="74"/>
        <v>zachodniopomorskie_gryfiński</v>
      </c>
      <c r="D2397" t="s">
        <v>4438</v>
      </c>
      <c r="E2397" t="str">
        <f t="shared" si="75"/>
        <v>zachodniopomorskie_gryfiński_Chojna</v>
      </c>
      <c r="F2397" t="s">
        <v>2331</v>
      </c>
    </row>
    <row r="2398" spans="1:6" x14ac:dyDescent="0.3">
      <c r="A2398" t="s">
        <v>5390</v>
      </c>
      <c r="B2398" t="s">
        <v>5093</v>
      </c>
      <c r="C2398" t="str">
        <f t="shared" si="74"/>
        <v>zachodniopomorskie_gryfiński</v>
      </c>
      <c r="D2398" t="s">
        <v>4439</v>
      </c>
      <c r="E2398" t="str">
        <f t="shared" si="75"/>
        <v>zachodniopomorskie_gryfiński_Gryfino</v>
      </c>
      <c r="F2398" t="s">
        <v>2332</v>
      </c>
    </row>
    <row r="2399" spans="1:6" x14ac:dyDescent="0.3">
      <c r="A2399" t="s">
        <v>5390</v>
      </c>
      <c r="B2399" t="s">
        <v>5093</v>
      </c>
      <c r="C2399" t="str">
        <f t="shared" si="74"/>
        <v>zachodniopomorskie_gryfiński</v>
      </c>
      <c r="D2399" t="s">
        <v>4440</v>
      </c>
      <c r="E2399" t="str">
        <f t="shared" si="75"/>
        <v>zachodniopomorskie_gryfiński_Mieszkowice</v>
      </c>
      <c r="F2399" t="s">
        <v>2333</v>
      </c>
    </row>
    <row r="2400" spans="1:6" x14ac:dyDescent="0.3">
      <c r="A2400" t="s">
        <v>5390</v>
      </c>
      <c r="B2400" t="s">
        <v>5093</v>
      </c>
      <c r="C2400" t="str">
        <f t="shared" si="74"/>
        <v>zachodniopomorskie_gryfiński</v>
      </c>
      <c r="D2400" t="s">
        <v>4441</v>
      </c>
      <c r="E2400" t="str">
        <f t="shared" si="75"/>
        <v>zachodniopomorskie_gryfiński_Moryń</v>
      </c>
      <c r="F2400" t="s">
        <v>2334</v>
      </c>
    </row>
    <row r="2401" spans="1:6" x14ac:dyDescent="0.3">
      <c r="A2401" t="s">
        <v>5390</v>
      </c>
      <c r="B2401" t="s">
        <v>5093</v>
      </c>
      <c r="C2401" t="str">
        <f t="shared" si="74"/>
        <v>zachodniopomorskie_gryfiński</v>
      </c>
      <c r="D2401" t="s">
        <v>4442</v>
      </c>
      <c r="E2401" t="str">
        <f t="shared" si="75"/>
        <v>zachodniopomorskie_gryfiński_Stare Czarnowo</v>
      </c>
      <c r="F2401" t="s">
        <v>2335</v>
      </c>
    </row>
    <row r="2402" spans="1:6" x14ac:dyDescent="0.3">
      <c r="A2402" t="s">
        <v>5390</v>
      </c>
      <c r="B2402" t="s">
        <v>5093</v>
      </c>
      <c r="C2402" t="str">
        <f t="shared" si="74"/>
        <v>zachodniopomorskie_gryfiński</v>
      </c>
      <c r="D2402" t="s">
        <v>4443</v>
      </c>
      <c r="E2402" t="str">
        <f t="shared" si="75"/>
        <v>zachodniopomorskie_gryfiński_Trzcińsko-Zdrój</v>
      </c>
      <c r="F2402" t="s">
        <v>2336</v>
      </c>
    </row>
    <row r="2403" spans="1:6" x14ac:dyDescent="0.3">
      <c r="A2403" t="s">
        <v>5390</v>
      </c>
      <c r="B2403" t="s">
        <v>5093</v>
      </c>
      <c r="C2403" t="str">
        <f t="shared" si="74"/>
        <v>zachodniopomorskie_gryfiński</v>
      </c>
      <c r="D2403" t="s">
        <v>4444</v>
      </c>
      <c r="E2403" t="str">
        <f t="shared" si="75"/>
        <v>zachodniopomorskie_gryfiński_Widuchowa</v>
      </c>
      <c r="F2403" t="s">
        <v>2337</v>
      </c>
    </row>
    <row r="2404" spans="1:6" x14ac:dyDescent="0.3">
      <c r="A2404" t="s">
        <v>5390</v>
      </c>
      <c r="B2404" t="s">
        <v>5094</v>
      </c>
      <c r="C2404" t="str">
        <f t="shared" si="74"/>
        <v>zachodniopomorskie_kamieński</v>
      </c>
      <c r="D2404" t="s">
        <v>4445</v>
      </c>
      <c r="E2404" t="str">
        <f t="shared" si="75"/>
        <v>zachodniopomorskie_kamieński_Dziwnów</v>
      </c>
      <c r="F2404" t="s">
        <v>2338</v>
      </c>
    </row>
    <row r="2405" spans="1:6" x14ac:dyDescent="0.3">
      <c r="A2405" t="s">
        <v>5390</v>
      </c>
      <c r="B2405" t="s">
        <v>5094</v>
      </c>
      <c r="C2405" t="str">
        <f t="shared" si="74"/>
        <v>zachodniopomorskie_kamieński</v>
      </c>
      <c r="D2405" t="s">
        <v>4446</v>
      </c>
      <c r="E2405" t="str">
        <f t="shared" si="75"/>
        <v>zachodniopomorskie_kamieński_Golczewo</v>
      </c>
      <c r="F2405" t="s">
        <v>2339</v>
      </c>
    </row>
    <row r="2406" spans="1:6" x14ac:dyDescent="0.3">
      <c r="A2406" t="s">
        <v>5390</v>
      </c>
      <c r="B2406" t="s">
        <v>5094</v>
      </c>
      <c r="C2406" t="str">
        <f t="shared" si="74"/>
        <v>zachodniopomorskie_kamieński</v>
      </c>
      <c r="D2406" t="s">
        <v>4447</v>
      </c>
      <c r="E2406" t="str">
        <f t="shared" si="75"/>
        <v>zachodniopomorskie_kamieński_Kamień Pomorski</v>
      </c>
      <c r="F2406" t="s">
        <v>2340</v>
      </c>
    </row>
    <row r="2407" spans="1:6" x14ac:dyDescent="0.3">
      <c r="A2407" t="s">
        <v>5390</v>
      </c>
      <c r="B2407" t="s">
        <v>5094</v>
      </c>
      <c r="C2407" t="str">
        <f t="shared" si="74"/>
        <v>zachodniopomorskie_kamieński</v>
      </c>
      <c r="D2407" t="s">
        <v>4448</v>
      </c>
      <c r="E2407" t="str">
        <f t="shared" si="75"/>
        <v>zachodniopomorskie_kamieński_Międzyzdroje</v>
      </c>
      <c r="F2407" t="s">
        <v>2341</v>
      </c>
    </row>
    <row r="2408" spans="1:6" x14ac:dyDescent="0.3">
      <c r="A2408" t="s">
        <v>5390</v>
      </c>
      <c r="B2408" t="s">
        <v>5094</v>
      </c>
      <c r="C2408" t="str">
        <f t="shared" si="74"/>
        <v>zachodniopomorskie_kamieński</v>
      </c>
      <c r="D2408" t="s">
        <v>4449</v>
      </c>
      <c r="E2408" t="str">
        <f t="shared" si="75"/>
        <v>zachodniopomorskie_kamieński_Świerzno</v>
      </c>
      <c r="F2408" t="s">
        <v>2342</v>
      </c>
    </row>
    <row r="2409" spans="1:6" x14ac:dyDescent="0.3">
      <c r="A2409" t="s">
        <v>5390</v>
      </c>
      <c r="B2409" t="s">
        <v>5094</v>
      </c>
      <c r="C2409" t="str">
        <f t="shared" si="74"/>
        <v>zachodniopomorskie_kamieński</v>
      </c>
      <c r="D2409" t="s">
        <v>4450</v>
      </c>
      <c r="E2409" t="str">
        <f t="shared" si="75"/>
        <v>zachodniopomorskie_kamieński_Wolin</v>
      </c>
      <c r="F2409" t="s">
        <v>2343</v>
      </c>
    </row>
    <row r="2410" spans="1:6" x14ac:dyDescent="0.3">
      <c r="A2410" t="s">
        <v>5390</v>
      </c>
      <c r="B2410" t="s">
        <v>5095</v>
      </c>
      <c r="C2410" t="str">
        <f t="shared" si="74"/>
        <v>zachodniopomorskie_kołobrzeski</v>
      </c>
      <c r="D2410" t="s">
        <v>4451</v>
      </c>
      <c r="E2410" t="str">
        <f t="shared" si="75"/>
        <v>zachodniopomorskie_kołobrzeski_Dygowo</v>
      </c>
      <c r="F2410" t="s">
        <v>2345</v>
      </c>
    </row>
    <row r="2411" spans="1:6" x14ac:dyDescent="0.3">
      <c r="A2411" t="s">
        <v>5390</v>
      </c>
      <c r="B2411" t="s">
        <v>5095</v>
      </c>
      <c r="C2411" t="str">
        <f t="shared" si="74"/>
        <v>zachodniopomorskie_kołobrzeski</v>
      </c>
      <c r="D2411" t="s">
        <v>4452</v>
      </c>
      <c r="E2411" t="str">
        <f t="shared" si="75"/>
        <v>zachodniopomorskie_kołobrzeski_Gościno</v>
      </c>
      <c r="F2411" t="s">
        <v>5181</v>
      </c>
    </row>
    <row r="2412" spans="1:6" x14ac:dyDescent="0.3">
      <c r="A2412" t="s">
        <v>5390</v>
      </c>
      <c r="B2412" t="s">
        <v>5095</v>
      </c>
      <c r="C2412" t="str">
        <f t="shared" si="74"/>
        <v>zachodniopomorskie_kołobrzeski</v>
      </c>
      <c r="D2412" t="s">
        <v>4453</v>
      </c>
      <c r="E2412" t="str">
        <f t="shared" si="75"/>
        <v>zachodniopomorskie_kołobrzeski_Rymań</v>
      </c>
      <c r="F2412" t="s">
        <v>2347</v>
      </c>
    </row>
    <row r="2413" spans="1:6" x14ac:dyDescent="0.3">
      <c r="A2413" t="s">
        <v>5390</v>
      </c>
      <c r="B2413" t="s">
        <v>5095</v>
      </c>
      <c r="C2413" t="str">
        <f t="shared" si="74"/>
        <v>zachodniopomorskie_kołobrzeski</v>
      </c>
      <c r="D2413" t="s">
        <v>4454</v>
      </c>
      <c r="E2413" t="str">
        <f t="shared" si="75"/>
        <v>zachodniopomorskie_kołobrzeski_Siemyśl</v>
      </c>
      <c r="F2413" t="s">
        <v>2348</v>
      </c>
    </row>
    <row r="2414" spans="1:6" x14ac:dyDescent="0.3">
      <c r="A2414" t="s">
        <v>5390</v>
      </c>
      <c r="B2414" t="s">
        <v>5095</v>
      </c>
      <c r="C2414" t="str">
        <f t="shared" si="74"/>
        <v>zachodniopomorskie_kołobrzeski</v>
      </c>
      <c r="D2414" t="s">
        <v>4455</v>
      </c>
      <c r="E2414" t="str">
        <f t="shared" si="75"/>
        <v>zachodniopomorskie_kołobrzeski_Ustronie Morskie</v>
      </c>
      <c r="F2414" t="s">
        <v>2349</v>
      </c>
    </row>
    <row r="2415" spans="1:6" x14ac:dyDescent="0.3">
      <c r="A2415" t="s">
        <v>5390</v>
      </c>
      <c r="B2415" t="s">
        <v>5095</v>
      </c>
      <c r="C2415" t="str">
        <f t="shared" si="74"/>
        <v>zachodniopomorskie_kołobrzeski</v>
      </c>
      <c r="D2415" t="s">
        <v>4776</v>
      </c>
      <c r="E2415" t="str">
        <f t="shared" si="75"/>
        <v>zachodniopomorskie_kołobrzeski_Kołobrzeg (gm. miejska)</v>
      </c>
      <c r="F2415" t="s">
        <v>2344</v>
      </c>
    </row>
    <row r="2416" spans="1:6" x14ac:dyDescent="0.3">
      <c r="A2416" t="s">
        <v>5390</v>
      </c>
      <c r="B2416" t="s">
        <v>5095</v>
      </c>
      <c r="C2416" t="str">
        <f t="shared" si="74"/>
        <v>zachodniopomorskie_kołobrzeski</v>
      </c>
      <c r="D2416" t="s">
        <v>4777</v>
      </c>
      <c r="E2416" t="str">
        <f t="shared" si="75"/>
        <v>zachodniopomorskie_kołobrzeski_Kołobrzeg (gm. wiejska)</v>
      </c>
      <c r="F2416" t="s">
        <v>2346</v>
      </c>
    </row>
    <row r="2417" spans="1:6" x14ac:dyDescent="0.3">
      <c r="A2417" t="s">
        <v>5390</v>
      </c>
      <c r="B2417" t="s">
        <v>4502</v>
      </c>
      <c r="C2417" t="str">
        <f t="shared" si="74"/>
        <v>zachodniopomorskie_Koszalin</v>
      </c>
      <c r="D2417" t="s">
        <v>4502</v>
      </c>
      <c r="E2417" t="str">
        <f t="shared" si="75"/>
        <v>zachodniopomorskie_Koszalin_Koszalin</v>
      </c>
      <c r="F2417" t="s">
        <v>2410</v>
      </c>
    </row>
    <row r="2418" spans="1:6" x14ac:dyDescent="0.3">
      <c r="A2418" t="s">
        <v>5390</v>
      </c>
      <c r="B2418" t="s">
        <v>5096</v>
      </c>
      <c r="C2418" t="str">
        <f t="shared" si="74"/>
        <v>zachodniopomorskie_koszaliński</v>
      </c>
      <c r="D2418" t="s">
        <v>4456</v>
      </c>
      <c r="E2418" t="str">
        <f t="shared" si="75"/>
        <v>zachodniopomorskie_koszaliński_Będzino</v>
      </c>
      <c r="F2418" t="s">
        <v>2350</v>
      </c>
    </row>
    <row r="2419" spans="1:6" x14ac:dyDescent="0.3">
      <c r="A2419" t="s">
        <v>5390</v>
      </c>
      <c r="B2419" t="s">
        <v>5096</v>
      </c>
      <c r="C2419" t="str">
        <f t="shared" si="74"/>
        <v>zachodniopomorskie_koszaliński</v>
      </c>
      <c r="D2419" t="s">
        <v>4457</v>
      </c>
      <c r="E2419" t="str">
        <f t="shared" si="75"/>
        <v>zachodniopomorskie_koszaliński_Biesiekierz</v>
      </c>
      <c r="F2419" t="s">
        <v>2351</v>
      </c>
    </row>
    <row r="2420" spans="1:6" x14ac:dyDescent="0.3">
      <c r="A2420" t="s">
        <v>5390</v>
      </c>
      <c r="B2420" t="s">
        <v>5096</v>
      </c>
      <c r="C2420" t="str">
        <f t="shared" si="74"/>
        <v>zachodniopomorskie_koszaliński</v>
      </c>
      <c r="D2420" t="s">
        <v>4458</v>
      </c>
      <c r="E2420" t="str">
        <f t="shared" si="75"/>
        <v>zachodniopomorskie_koszaliński_Bobolice</v>
      </c>
      <c r="F2420" t="s">
        <v>2352</v>
      </c>
    </row>
    <row r="2421" spans="1:6" x14ac:dyDescent="0.3">
      <c r="A2421" t="s">
        <v>5390</v>
      </c>
      <c r="B2421" t="s">
        <v>5096</v>
      </c>
      <c r="C2421" t="str">
        <f t="shared" si="74"/>
        <v>zachodniopomorskie_koszaliński</v>
      </c>
      <c r="D2421" t="s">
        <v>4459</v>
      </c>
      <c r="E2421" t="str">
        <f t="shared" si="75"/>
        <v>zachodniopomorskie_koszaliński_Manowo</v>
      </c>
      <c r="F2421" t="s">
        <v>2353</v>
      </c>
    </row>
    <row r="2422" spans="1:6" x14ac:dyDescent="0.3">
      <c r="A2422" t="s">
        <v>5390</v>
      </c>
      <c r="B2422" t="s">
        <v>5096</v>
      </c>
      <c r="C2422" t="str">
        <f t="shared" si="74"/>
        <v>zachodniopomorskie_koszaliński</v>
      </c>
      <c r="D2422" t="s">
        <v>4460</v>
      </c>
      <c r="E2422" t="str">
        <f t="shared" si="75"/>
        <v>zachodniopomorskie_koszaliński_Mielno</v>
      </c>
      <c r="F2422" t="s">
        <v>5417</v>
      </c>
    </row>
    <row r="2423" spans="1:6" x14ac:dyDescent="0.3">
      <c r="A2423" t="s">
        <v>5390</v>
      </c>
      <c r="B2423" t="s">
        <v>5096</v>
      </c>
      <c r="C2423" t="str">
        <f t="shared" si="74"/>
        <v>zachodniopomorskie_koszaliński</v>
      </c>
      <c r="D2423" t="s">
        <v>4461</v>
      </c>
      <c r="E2423" t="str">
        <f t="shared" si="75"/>
        <v>zachodniopomorskie_koszaliński_Polanów</v>
      </c>
      <c r="F2423" t="s">
        <v>2354</v>
      </c>
    </row>
    <row r="2424" spans="1:6" x14ac:dyDescent="0.3">
      <c r="A2424" t="s">
        <v>5390</v>
      </c>
      <c r="B2424" t="s">
        <v>5096</v>
      </c>
      <c r="C2424" t="str">
        <f t="shared" si="74"/>
        <v>zachodniopomorskie_koszaliński</v>
      </c>
      <c r="D2424" t="s">
        <v>4462</v>
      </c>
      <c r="E2424" t="str">
        <f t="shared" si="75"/>
        <v>zachodniopomorskie_koszaliński_Sianów</v>
      </c>
      <c r="F2424" t="s">
        <v>2355</v>
      </c>
    </row>
    <row r="2425" spans="1:6" x14ac:dyDescent="0.3">
      <c r="A2425" t="s">
        <v>5390</v>
      </c>
      <c r="B2425" t="s">
        <v>5096</v>
      </c>
      <c r="C2425" t="str">
        <f t="shared" si="74"/>
        <v>zachodniopomorskie_koszaliński</v>
      </c>
      <c r="D2425" t="s">
        <v>4463</v>
      </c>
      <c r="E2425" t="str">
        <f t="shared" si="75"/>
        <v>zachodniopomorskie_koszaliński_Świeszyno</v>
      </c>
      <c r="F2425" t="s">
        <v>2356</v>
      </c>
    </row>
    <row r="2426" spans="1:6" x14ac:dyDescent="0.3">
      <c r="A2426" t="s">
        <v>5390</v>
      </c>
      <c r="B2426" t="s">
        <v>5105</v>
      </c>
      <c r="C2426" t="str">
        <f t="shared" si="74"/>
        <v>zachodniopomorskie_łobeski</v>
      </c>
      <c r="D2426" t="s">
        <v>3125</v>
      </c>
      <c r="E2426" t="str">
        <f t="shared" si="75"/>
        <v>zachodniopomorskie_łobeski_Dobra</v>
      </c>
      <c r="F2426" t="s">
        <v>2405</v>
      </c>
    </row>
    <row r="2427" spans="1:6" x14ac:dyDescent="0.3">
      <c r="A2427" t="s">
        <v>5390</v>
      </c>
      <c r="B2427" t="s">
        <v>5105</v>
      </c>
      <c r="C2427" t="str">
        <f t="shared" si="74"/>
        <v>zachodniopomorskie_łobeski</v>
      </c>
      <c r="D2427" t="s">
        <v>4498</v>
      </c>
      <c r="E2427" t="str">
        <f t="shared" si="75"/>
        <v>zachodniopomorskie_łobeski_Łobez</v>
      </c>
      <c r="F2427" t="s">
        <v>2406</v>
      </c>
    </row>
    <row r="2428" spans="1:6" x14ac:dyDescent="0.3">
      <c r="A2428" t="s">
        <v>5390</v>
      </c>
      <c r="B2428" t="s">
        <v>5105</v>
      </c>
      <c r="C2428" t="str">
        <f t="shared" si="74"/>
        <v>zachodniopomorskie_łobeski</v>
      </c>
      <c r="D2428" t="s">
        <v>4499</v>
      </c>
      <c r="E2428" t="str">
        <f t="shared" si="75"/>
        <v>zachodniopomorskie_łobeski_Radowo Małe</v>
      </c>
      <c r="F2428" t="s">
        <v>2407</v>
      </c>
    </row>
    <row r="2429" spans="1:6" x14ac:dyDescent="0.3">
      <c r="A2429" t="s">
        <v>5390</v>
      </c>
      <c r="B2429" t="s">
        <v>5105</v>
      </c>
      <c r="C2429" t="str">
        <f t="shared" si="74"/>
        <v>zachodniopomorskie_łobeski</v>
      </c>
      <c r="D2429" t="s">
        <v>4500</v>
      </c>
      <c r="E2429" t="str">
        <f t="shared" si="75"/>
        <v>zachodniopomorskie_łobeski_Resko</v>
      </c>
      <c r="F2429" t="s">
        <v>2408</v>
      </c>
    </row>
    <row r="2430" spans="1:6" x14ac:dyDescent="0.3">
      <c r="A2430" t="s">
        <v>5390</v>
      </c>
      <c r="B2430" t="s">
        <v>5105</v>
      </c>
      <c r="C2430" t="str">
        <f t="shared" si="74"/>
        <v>zachodniopomorskie_łobeski</v>
      </c>
      <c r="D2430" t="s">
        <v>4501</v>
      </c>
      <c r="E2430" t="str">
        <f t="shared" si="75"/>
        <v>zachodniopomorskie_łobeski_Węgorzyno</v>
      </c>
      <c r="F2430" t="s">
        <v>2409</v>
      </c>
    </row>
    <row r="2431" spans="1:6" x14ac:dyDescent="0.3">
      <c r="A2431" t="s">
        <v>5390</v>
      </c>
      <c r="B2431" t="s">
        <v>5097</v>
      </c>
      <c r="C2431" t="str">
        <f t="shared" si="74"/>
        <v>zachodniopomorskie_myśliborski</v>
      </c>
      <c r="D2431" t="s">
        <v>4464</v>
      </c>
      <c r="E2431" t="str">
        <f t="shared" si="75"/>
        <v>zachodniopomorskie_myśliborski_Barlinek</v>
      </c>
      <c r="F2431" t="s">
        <v>2357</v>
      </c>
    </row>
    <row r="2432" spans="1:6" x14ac:dyDescent="0.3">
      <c r="A2432" t="s">
        <v>5390</v>
      </c>
      <c r="B2432" t="s">
        <v>5097</v>
      </c>
      <c r="C2432" t="str">
        <f t="shared" si="74"/>
        <v>zachodniopomorskie_myśliborski</v>
      </c>
      <c r="D2432" t="s">
        <v>4465</v>
      </c>
      <c r="E2432" t="str">
        <f t="shared" si="75"/>
        <v>zachodniopomorskie_myśliborski_Boleszkowice</v>
      </c>
      <c r="F2432" t="s">
        <v>2358</v>
      </c>
    </row>
    <row r="2433" spans="1:6" x14ac:dyDescent="0.3">
      <c r="A2433" t="s">
        <v>5390</v>
      </c>
      <c r="B2433" t="s">
        <v>5097</v>
      </c>
      <c r="C2433" t="str">
        <f t="shared" ref="C2433:C2480" si="76">CONCATENATE(A2433,"_",B2433)</f>
        <v>zachodniopomorskie_myśliborski</v>
      </c>
      <c r="D2433" t="s">
        <v>3086</v>
      </c>
      <c r="E2433" t="str">
        <f t="shared" ref="E2433:E2480" si="77">C2433&amp;"_"&amp;D2433</f>
        <v>zachodniopomorskie_myśliborski_Dębno</v>
      </c>
      <c r="F2433" t="s">
        <v>2359</v>
      </c>
    </row>
    <row r="2434" spans="1:6" x14ac:dyDescent="0.3">
      <c r="A2434" t="s">
        <v>5390</v>
      </c>
      <c r="B2434" t="s">
        <v>5097</v>
      </c>
      <c r="C2434" t="str">
        <f t="shared" si="76"/>
        <v>zachodniopomorskie_myśliborski</v>
      </c>
      <c r="D2434" t="s">
        <v>4466</v>
      </c>
      <c r="E2434" t="str">
        <f t="shared" si="77"/>
        <v>zachodniopomorskie_myśliborski_Myślibórz</v>
      </c>
      <c r="F2434" t="s">
        <v>2360</v>
      </c>
    </row>
    <row r="2435" spans="1:6" x14ac:dyDescent="0.3">
      <c r="A2435" t="s">
        <v>5390</v>
      </c>
      <c r="B2435" t="s">
        <v>5097</v>
      </c>
      <c r="C2435" t="str">
        <f t="shared" si="76"/>
        <v>zachodniopomorskie_myśliborski</v>
      </c>
      <c r="D2435" t="s">
        <v>4467</v>
      </c>
      <c r="E2435" t="str">
        <f t="shared" si="77"/>
        <v>zachodniopomorskie_myśliborski_Nowogródek Pomorski</v>
      </c>
      <c r="F2435" t="s">
        <v>2361</v>
      </c>
    </row>
    <row r="2436" spans="1:6" x14ac:dyDescent="0.3">
      <c r="A2436" t="s">
        <v>5390</v>
      </c>
      <c r="B2436" t="s">
        <v>5098</v>
      </c>
      <c r="C2436" t="str">
        <f t="shared" si="76"/>
        <v>zachodniopomorskie_policki</v>
      </c>
      <c r="D2436" t="s">
        <v>5400</v>
      </c>
      <c r="E2436" t="str">
        <f t="shared" si="77"/>
        <v>zachodniopomorskie_policki_Dobra (Szczecińska)</v>
      </c>
      <c r="F2436" t="s">
        <v>2362</v>
      </c>
    </row>
    <row r="2437" spans="1:6" x14ac:dyDescent="0.3">
      <c r="A2437" t="s">
        <v>5390</v>
      </c>
      <c r="B2437" t="s">
        <v>5098</v>
      </c>
      <c r="C2437" t="str">
        <f t="shared" si="76"/>
        <v>zachodniopomorskie_policki</v>
      </c>
      <c r="D2437" t="s">
        <v>4468</v>
      </c>
      <c r="E2437" t="str">
        <f t="shared" si="77"/>
        <v>zachodniopomorskie_policki_Kołbaskowo</v>
      </c>
      <c r="F2437" t="s">
        <v>2363</v>
      </c>
    </row>
    <row r="2438" spans="1:6" x14ac:dyDescent="0.3">
      <c r="A2438" t="s">
        <v>5390</v>
      </c>
      <c r="B2438" t="s">
        <v>5098</v>
      </c>
      <c r="C2438" t="str">
        <f t="shared" si="76"/>
        <v>zachodniopomorskie_policki</v>
      </c>
      <c r="D2438" t="s">
        <v>4469</v>
      </c>
      <c r="E2438" t="str">
        <f t="shared" si="77"/>
        <v>zachodniopomorskie_policki_Nowe Warpno</v>
      </c>
      <c r="F2438" t="s">
        <v>2364</v>
      </c>
    </row>
    <row r="2439" spans="1:6" x14ac:dyDescent="0.3">
      <c r="A2439" t="s">
        <v>5390</v>
      </c>
      <c r="B2439" t="s">
        <v>5098</v>
      </c>
      <c r="C2439" t="str">
        <f t="shared" si="76"/>
        <v>zachodniopomorskie_policki</v>
      </c>
      <c r="D2439" t="s">
        <v>4470</v>
      </c>
      <c r="E2439" t="str">
        <f t="shared" si="77"/>
        <v>zachodniopomorskie_policki_Police</v>
      </c>
      <c r="F2439" t="s">
        <v>2365</v>
      </c>
    </row>
    <row r="2440" spans="1:6" x14ac:dyDescent="0.3">
      <c r="A2440" t="s">
        <v>5390</v>
      </c>
      <c r="B2440" t="s">
        <v>5099</v>
      </c>
      <c r="C2440" t="str">
        <f t="shared" si="76"/>
        <v>zachodniopomorskie_pyrzycki</v>
      </c>
      <c r="D2440" t="s">
        <v>4471</v>
      </c>
      <c r="E2440" t="str">
        <f t="shared" si="77"/>
        <v>zachodniopomorskie_pyrzycki_Bielice</v>
      </c>
      <c r="F2440" t="s">
        <v>2366</v>
      </c>
    </row>
    <row r="2441" spans="1:6" x14ac:dyDescent="0.3">
      <c r="A2441" t="s">
        <v>5390</v>
      </c>
      <c r="B2441" t="s">
        <v>5099</v>
      </c>
      <c r="C2441" t="str">
        <f t="shared" si="76"/>
        <v>zachodniopomorskie_pyrzycki</v>
      </c>
      <c r="D2441" t="s">
        <v>4472</v>
      </c>
      <c r="E2441" t="str">
        <f t="shared" si="77"/>
        <v>zachodniopomorskie_pyrzycki_Kozielice</v>
      </c>
      <c r="F2441" t="s">
        <v>2367</v>
      </c>
    </row>
    <row r="2442" spans="1:6" x14ac:dyDescent="0.3">
      <c r="A2442" t="s">
        <v>5390</v>
      </c>
      <c r="B2442" t="s">
        <v>5099</v>
      </c>
      <c r="C2442" t="str">
        <f t="shared" si="76"/>
        <v>zachodniopomorskie_pyrzycki</v>
      </c>
      <c r="D2442" t="s">
        <v>4473</v>
      </c>
      <c r="E2442" t="str">
        <f t="shared" si="77"/>
        <v>zachodniopomorskie_pyrzycki_Lipiany</v>
      </c>
      <c r="F2442" t="s">
        <v>2368</v>
      </c>
    </row>
    <row r="2443" spans="1:6" x14ac:dyDescent="0.3">
      <c r="A2443" t="s">
        <v>5390</v>
      </c>
      <c r="B2443" t="s">
        <v>5099</v>
      </c>
      <c r="C2443" t="str">
        <f t="shared" si="76"/>
        <v>zachodniopomorskie_pyrzycki</v>
      </c>
      <c r="D2443" t="s">
        <v>4474</v>
      </c>
      <c r="E2443" t="str">
        <f t="shared" si="77"/>
        <v>zachodniopomorskie_pyrzycki_Przelewice</v>
      </c>
      <c r="F2443" t="s">
        <v>2369</v>
      </c>
    </row>
    <row r="2444" spans="1:6" x14ac:dyDescent="0.3">
      <c r="A2444" t="s">
        <v>5390</v>
      </c>
      <c r="B2444" t="s">
        <v>5099</v>
      </c>
      <c r="C2444" t="str">
        <f t="shared" si="76"/>
        <v>zachodniopomorskie_pyrzycki</v>
      </c>
      <c r="D2444" t="s">
        <v>4475</v>
      </c>
      <c r="E2444" t="str">
        <f t="shared" si="77"/>
        <v>zachodniopomorskie_pyrzycki_Pyrzyce</v>
      </c>
      <c r="F2444" t="s">
        <v>2370</v>
      </c>
    </row>
    <row r="2445" spans="1:6" x14ac:dyDescent="0.3">
      <c r="A2445" t="s">
        <v>5390</v>
      </c>
      <c r="B2445" t="s">
        <v>5099</v>
      </c>
      <c r="C2445" t="str">
        <f t="shared" si="76"/>
        <v>zachodniopomorskie_pyrzycki</v>
      </c>
      <c r="D2445" t="s">
        <v>4476</v>
      </c>
      <c r="E2445" t="str">
        <f t="shared" si="77"/>
        <v>zachodniopomorskie_pyrzycki_Warnice</v>
      </c>
      <c r="F2445" t="s">
        <v>2371</v>
      </c>
    </row>
    <row r="2446" spans="1:6" x14ac:dyDescent="0.3">
      <c r="A2446" t="s">
        <v>5390</v>
      </c>
      <c r="B2446" t="s">
        <v>5100</v>
      </c>
      <c r="C2446" t="str">
        <f t="shared" si="76"/>
        <v>zachodniopomorskie_sławieński</v>
      </c>
      <c r="D2446" t="s">
        <v>4477</v>
      </c>
      <c r="E2446" t="str">
        <f t="shared" si="77"/>
        <v>zachodniopomorskie_sławieński_Malechowo</v>
      </c>
      <c r="F2446" t="s">
        <v>2375</v>
      </c>
    </row>
    <row r="2447" spans="1:6" x14ac:dyDescent="0.3">
      <c r="A2447" t="s">
        <v>5390</v>
      </c>
      <c r="B2447" t="s">
        <v>5100</v>
      </c>
      <c r="C2447" t="str">
        <f t="shared" si="76"/>
        <v>zachodniopomorskie_sławieński</v>
      </c>
      <c r="D2447" t="s">
        <v>4478</v>
      </c>
      <c r="E2447" t="str">
        <f t="shared" si="77"/>
        <v>zachodniopomorskie_sławieński_Postomino</v>
      </c>
      <c r="F2447" t="s">
        <v>2376</v>
      </c>
    </row>
    <row r="2448" spans="1:6" x14ac:dyDescent="0.3">
      <c r="A2448" t="s">
        <v>5390</v>
      </c>
      <c r="B2448" t="s">
        <v>5100</v>
      </c>
      <c r="C2448" t="str">
        <f t="shared" si="76"/>
        <v>zachodniopomorskie_sławieński</v>
      </c>
      <c r="D2448" t="s">
        <v>4778</v>
      </c>
      <c r="E2448" t="str">
        <f t="shared" si="77"/>
        <v>zachodniopomorskie_sławieński_Darłowo (gm. miejska)</v>
      </c>
      <c r="F2448" t="s">
        <v>2372</v>
      </c>
    </row>
    <row r="2449" spans="1:6" x14ac:dyDescent="0.3">
      <c r="A2449" t="s">
        <v>5390</v>
      </c>
      <c r="B2449" t="s">
        <v>5100</v>
      </c>
      <c r="C2449" t="str">
        <f t="shared" si="76"/>
        <v>zachodniopomorskie_sławieński</v>
      </c>
      <c r="D2449" t="s">
        <v>4779</v>
      </c>
      <c r="E2449" t="str">
        <f t="shared" si="77"/>
        <v>zachodniopomorskie_sławieński_Sławno (gm. miejska)</v>
      </c>
      <c r="F2449" t="s">
        <v>2373</v>
      </c>
    </row>
    <row r="2450" spans="1:6" x14ac:dyDescent="0.3">
      <c r="A2450" t="s">
        <v>5390</v>
      </c>
      <c r="B2450" t="s">
        <v>5100</v>
      </c>
      <c r="C2450" t="str">
        <f t="shared" si="76"/>
        <v>zachodniopomorskie_sławieński</v>
      </c>
      <c r="D2450" t="s">
        <v>4780</v>
      </c>
      <c r="E2450" t="str">
        <f t="shared" si="77"/>
        <v>zachodniopomorskie_sławieński_Darłowo (gm. wiejska)</v>
      </c>
      <c r="F2450" t="s">
        <v>2374</v>
      </c>
    </row>
    <row r="2451" spans="1:6" x14ac:dyDescent="0.3">
      <c r="A2451" t="s">
        <v>5390</v>
      </c>
      <c r="B2451" t="s">
        <v>5100</v>
      </c>
      <c r="C2451" t="str">
        <f t="shared" si="76"/>
        <v>zachodniopomorskie_sławieński</v>
      </c>
      <c r="D2451" t="s">
        <v>5435</v>
      </c>
      <c r="E2451" t="str">
        <f t="shared" si="77"/>
        <v>zachodniopomorskie_sławieński_Sławno (gm. wiejska)</v>
      </c>
      <c r="F2451" t="s">
        <v>2377</v>
      </c>
    </row>
    <row r="2452" spans="1:6" x14ac:dyDescent="0.3">
      <c r="A2452" t="s">
        <v>5390</v>
      </c>
      <c r="B2452" t="s">
        <v>5101</v>
      </c>
      <c r="C2452" t="str">
        <f t="shared" si="76"/>
        <v>zachodniopomorskie_stargardzki</v>
      </c>
      <c r="D2452" t="s">
        <v>4479</v>
      </c>
      <c r="E2452" t="str">
        <f t="shared" si="77"/>
        <v>zachodniopomorskie_stargardzki_Chociwel</v>
      </c>
      <c r="F2452" t="s">
        <v>2379</v>
      </c>
    </row>
    <row r="2453" spans="1:6" x14ac:dyDescent="0.3">
      <c r="A2453" t="s">
        <v>5390</v>
      </c>
      <c r="B2453" t="s">
        <v>5101</v>
      </c>
      <c r="C2453" t="str">
        <f t="shared" si="76"/>
        <v>zachodniopomorskie_stargardzki</v>
      </c>
      <c r="D2453" t="s">
        <v>4480</v>
      </c>
      <c r="E2453" t="str">
        <f t="shared" si="77"/>
        <v>zachodniopomorskie_stargardzki_Dobrzany</v>
      </c>
      <c r="F2453" t="s">
        <v>2380</v>
      </c>
    </row>
    <row r="2454" spans="1:6" x14ac:dyDescent="0.3">
      <c r="A2454" t="s">
        <v>5390</v>
      </c>
      <c r="B2454" t="s">
        <v>5101</v>
      </c>
      <c r="C2454" t="str">
        <f t="shared" si="76"/>
        <v>zachodniopomorskie_stargardzki</v>
      </c>
      <c r="D2454" t="s">
        <v>4481</v>
      </c>
      <c r="E2454" t="str">
        <f t="shared" si="77"/>
        <v>zachodniopomorskie_stargardzki_Dolice</v>
      </c>
      <c r="F2454" t="s">
        <v>2381</v>
      </c>
    </row>
    <row r="2455" spans="1:6" x14ac:dyDescent="0.3">
      <c r="A2455" t="s">
        <v>5390</v>
      </c>
      <c r="B2455" t="s">
        <v>5101</v>
      </c>
      <c r="C2455" t="str">
        <f t="shared" si="76"/>
        <v>zachodniopomorskie_stargardzki</v>
      </c>
      <c r="D2455" t="s">
        <v>4482</v>
      </c>
      <c r="E2455" t="str">
        <f t="shared" si="77"/>
        <v>zachodniopomorskie_stargardzki_Ińsko</v>
      </c>
      <c r="F2455" t="s">
        <v>2382</v>
      </c>
    </row>
    <row r="2456" spans="1:6" x14ac:dyDescent="0.3">
      <c r="A2456" t="s">
        <v>5390</v>
      </c>
      <c r="B2456" t="s">
        <v>5101</v>
      </c>
      <c r="C2456" t="str">
        <f t="shared" si="76"/>
        <v>zachodniopomorskie_stargardzki</v>
      </c>
      <c r="D2456" t="s">
        <v>4483</v>
      </c>
      <c r="E2456" t="str">
        <f t="shared" si="77"/>
        <v>zachodniopomorskie_stargardzki_Kobylanka</v>
      </c>
      <c r="F2456" t="s">
        <v>2383</v>
      </c>
    </row>
    <row r="2457" spans="1:6" x14ac:dyDescent="0.3">
      <c r="A2457" t="s">
        <v>5390</v>
      </c>
      <c r="B2457" t="s">
        <v>5101</v>
      </c>
      <c r="C2457" t="str">
        <f t="shared" si="76"/>
        <v>zachodniopomorskie_stargardzki</v>
      </c>
      <c r="D2457" t="s">
        <v>4484</v>
      </c>
      <c r="E2457" t="str">
        <f t="shared" si="77"/>
        <v>zachodniopomorskie_stargardzki_Marianowo</v>
      </c>
      <c r="F2457" t="s">
        <v>2384</v>
      </c>
    </row>
    <row r="2458" spans="1:6" x14ac:dyDescent="0.3">
      <c r="A2458" t="s">
        <v>5390</v>
      </c>
      <c r="B2458" t="s">
        <v>5101</v>
      </c>
      <c r="C2458" t="str">
        <f t="shared" si="76"/>
        <v>zachodniopomorskie_stargardzki</v>
      </c>
      <c r="D2458" t="s">
        <v>4485</v>
      </c>
      <c r="E2458" t="str">
        <f t="shared" si="77"/>
        <v>zachodniopomorskie_stargardzki_Stara Dąbrowa</v>
      </c>
      <c r="F2458" t="s">
        <v>2385</v>
      </c>
    </row>
    <row r="2459" spans="1:6" x14ac:dyDescent="0.3">
      <c r="A2459" t="s">
        <v>5390</v>
      </c>
      <c r="B2459" t="s">
        <v>5101</v>
      </c>
      <c r="C2459" t="str">
        <f t="shared" si="76"/>
        <v>zachodniopomorskie_stargardzki</v>
      </c>
      <c r="D2459" t="s">
        <v>4486</v>
      </c>
      <c r="E2459" t="str">
        <f t="shared" si="77"/>
        <v>zachodniopomorskie_stargardzki_Suchań</v>
      </c>
      <c r="F2459" t="s">
        <v>2387</v>
      </c>
    </row>
    <row r="2460" spans="1:6" x14ac:dyDescent="0.3">
      <c r="A2460" t="s">
        <v>5390</v>
      </c>
      <c r="B2460" t="s">
        <v>5101</v>
      </c>
      <c r="C2460" t="str">
        <f t="shared" si="76"/>
        <v>zachodniopomorskie_stargardzki</v>
      </c>
      <c r="D2460" t="s">
        <v>5439</v>
      </c>
      <c r="E2460" t="str">
        <f t="shared" si="77"/>
        <v>zachodniopomorskie_stargardzki_Stargard (gm. miejska)</v>
      </c>
      <c r="F2460" t="s">
        <v>2378</v>
      </c>
    </row>
    <row r="2461" spans="1:6" x14ac:dyDescent="0.3">
      <c r="A2461" t="s">
        <v>5390</v>
      </c>
      <c r="B2461" t="s">
        <v>5101</v>
      </c>
      <c r="C2461" t="str">
        <f t="shared" si="76"/>
        <v>zachodniopomorskie_stargardzki</v>
      </c>
      <c r="D2461" t="s">
        <v>5440</v>
      </c>
      <c r="E2461" t="str">
        <f t="shared" si="77"/>
        <v>zachodniopomorskie_stargardzki_Stargard (gm. wiejska)</v>
      </c>
      <c r="F2461" t="s">
        <v>2386</v>
      </c>
    </row>
    <row r="2462" spans="1:6" x14ac:dyDescent="0.3">
      <c r="A2462" t="s">
        <v>5390</v>
      </c>
      <c r="B2462" t="s">
        <v>4503</v>
      </c>
      <c r="C2462" t="str">
        <f t="shared" si="76"/>
        <v>zachodniopomorskie_Szczecin</v>
      </c>
      <c r="D2462" t="s">
        <v>4503</v>
      </c>
      <c r="E2462" t="str">
        <f t="shared" si="77"/>
        <v>zachodniopomorskie_Szczecin_Szczecin</v>
      </c>
      <c r="F2462" t="s">
        <v>2411</v>
      </c>
    </row>
    <row r="2463" spans="1:6" x14ac:dyDescent="0.3">
      <c r="A2463" t="s">
        <v>5390</v>
      </c>
      <c r="B2463" t="s">
        <v>5102</v>
      </c>
      <c r="C2463" t="str">
        <f t="shared" si="76"/>
        <v>zachodniopomorskie_szczecinecki</v>
      </c>
      <c r="D2463" t="s">
        <v>4487</v>
      </c>
      <c r="E2463" t="str">
        <f t="shared" si="77"/>
        <v>zachodniopomorskie_szczecinecki_Barwice</v>
      </c>
      <c r="F2463" t="s">
        <v>2389</v>
      </c>
    </row>
    <row r="2464" spans="1:6" x14ac:dyDescent="0.3">
      <c r="A2464" t="s">
        <v>5390</v>
      </c>
      <c r="B2464" t="s">
        <v>5102</v>
      </c>
      <c r="C2464" t="str">
        <f t="shared" si="76"/>
        <v>zachodniopomorskie_szczecinecki</v>
      </c>
      <c r="D2464" t="s">
        <v>4488</v>
      </c>
      <c r="E2464" t="str">
        <f t="shared" si="77"/>
        <v>zachodniopomorskie_szczecinecki_Biały Bór</v>
      </c>
      <c r="F2464" t="s">
        <v>2390</v>
      </c>
    </row>
    <row r="2465" spans="1:6" x14ac:dyDescent="0.3">
      <c r="A2465" t="s">
        <v>5390</v>
      </c>
      <c r="B2465" t="s">
        <v>5102</v>
      </c>
      <c r="C2465" t="str">
        <f t="shared" si="76"/>
        <v>zachodniopomorskie_szczecinecki</v>
      </c>
      <c r="D2465" t="s">
        <v>4489</v>
      </c>
      <c r="E2465" t="str">
        <f t="shared" si="77"/>
        <v>zachodniopomorskie_szczecinecki_Borne Sulinowo</v>
      </c>
      <c r="F2465" t="s">
        <v>2391</v>
      </c>
    </row>
    <row r="2466" spans="1:6" x14ac:dyDescent="0.3">
      <c r="A2466" t="s">
        <v>5390</v>
      </c>
      <c r="B2466" t="s">
        <v>5102</v>
      </c>
      <c r="C2466" t="str">
        <f t="shared" si="76"/>
        <v>zachodniopomorskie_szczecinecki</v>
      </c>
      <c r="D2466" t="s">
        <v>4490</v>
      </c>
      <c r="E2466" t="str">
        <f t="shared" si="77"/>
        <v>zachodniopomorskie_szczecinecki_Grzmiąca</v>
      </c>
      <c r="F2466" t="s">
        <v>2392</v>
      </c>
    </row>
    <row r="2467" spans="1:6" x14ac:dyDescent="0.3">
      <c r="A2467" t="s">
        <v>5390</v>
      </c>
      <c r="B2467" t="s">
        <v>5102</v>
      </c>
      <c r="C2467" t="str">
        <f t="shared" si="76"/>
        <v>zachodniopomorskie_szczecinecki</v>
      </c>
      <c r="D2467" t="s">
        <v>4781</v>
      </c>
      <c r="E2467" t="str">
        <f t="shared" si="77"/>
        <v>zachodniopomorskie_szczecinecki_Szczecinek (gm. miejska)</v>
      </c>
      <c r="F2467" t="s">
        <v>2388</v>
      </c>
    </row>
    <row r="2468" spans="1:6" x14ac:dyDescent="0.3">
      <c r="A2468" t="s">
        <v>5390</v>
      </c>
      <c r="B2468" t="s">
        <v>5102</v>
      </c>
      <c r="C2468" t="str">
        <f t="shared" si="76"/>
        <v>zachodniopomorskie_szczecinecki</v>
      </c>
      <c r="D2468" t="s">
        <v>4782</v>
      </c>
      <c r="E2468" t="str">
        <f t="shared" si="77"/>
        <v>zachodniopomorskie_szczecinecki_Szczecinek (gm. wiejska)</v>
      </c>
      <c r="F2468" t="s">
        <v>2393</v>
      </c>
    </row>
    <row r="2469" spans="1:6" x14ac:dyDescent="0.3">
      <c r="A2469" t="s">
        <v>5390</v>
      </c>
      <c r="B2469" t="s">
        <v>5103</v>
      </c>
      <c r="C2469" t="str">
        <f t="shared" si="76"/>
        <v>zachodniopomorskie_świdwiński</v>
      </c>
      <c r="D2469" t="s">
        <v>4491</v>
      </c>
      <c r="E2469" t="str">
        <f t="shared" si="77"/>
        <v>zachodniopomorskie_świdwiński_Brzeżno</v>
      </c>
      <c r="F2469" t="s">
        <v>2395</v>
      </c>
    </row>
    <row r="2470" spans="1:6" x14ac:dyDescent="0.3">
      <c r="A2470" t="s">
        <v>5390</v>
      </c>
      <c r="B2470" t="s">
        <v>5103</v>
      </c>
      <c r="C2470" t="str">
        <f t="shared" si="76"/>
        <v>zachodniopomorskie_świdwiński</v>
      </c>
      <c r="D2470" t="s">
        <v>4492</v>
      </c>
      <c r="E2470" t="str">
        <f t="shared" si="77"/>
        <v>zachodniopomorskie_świdwiński_Połczyn-Zdrój</v>
      </c>
      <c r="F2470" t="s">
        <v>2396</v>
      </c>
    </row>
    <row r="2471" spans="1:6" x14ac:dyDescent="0.3">
      <c r="A2471" t="s">
        <v>5390</v>
      </c>
      <c r="B2471" t="s">
        <v>5103</v>
      </c>
      <c r="C2471" t="str">
        <f t="shared" si="76"/>
        <v>zachodniopomorskie_świdwiński</v>
      </c>
      <c r="D2471" t="s">
        <v>4493</v>
      </c>
      <c r="E2471" t="str">
        <f t="shared" si="77"/>
        <v>zachodniopomorskie_świdwiński_Rąbino</v>
      </c>
      <c r="F2471" t="s">
        <v>2397</v>
      </c>
    </row>
    <row r="2472" spans="1:6" x14ac:dyDescent="0.3">
      <c r="A2472" t="s">
        <v>5390</v>
      </c>
      <c r="B2472" t="s">
        <v>5103</v>
      </c>
      <c r="C2472" t="str">
        <f t="shared" si="76"/>
        <v>zachodniopomorskie_świdwiński</v>
      </c>
      <c r="D2472" t="s">
        <v>4494</v>
      </c>
      <c r="E2472" t="str">
        <f t="shared" si="77"/>
        <v>zachodniopomorskie_świdwiński_Sławoborze</v>
      </c>
      <c r="F2472" t="s">
        <v>2398</v>
      </c>
    </row>
    <row r="2473" spans="1:6" x14ac:dyDescent="0.3">
      <c r="A2473" t="s">
        <v>5390</v>
      </c>
      <c r="B2473" t="s">
        <v>5103</v>
      </c>
      <c r="C2473" t="str">
        <f t="shared" si="76"/>
        <v>zachodniopomorskie_świdwiński</v>
      </c>
      <c r="D2473" t="s">
        <v>4783</v>
      </c>
      <c r="E2473" t="str">
        <f t="shared" si="77"/>
        <v>zachodniopomorskie_świdwiński_Świdwin (gm. miejska)</v>
      </c>
      <c r="F2473" t="s">
        <v>2394</v>
      </c>
    </row>
    <row r="2474" spans="1:6" x14ac:dyDescent="0.3">
      <c r="A2474" t="s">
        <v>5390</v>
      </c>
      <c r="B2474" t="s">
        <v>5103</v>
      </c>
      <c r="C2474" t="str">
        <f t="shared" si="76"/>
        <v>zachodniopomorskie_świdwiński</v>
      </c>
      <c r="D2474" t="s">
        <v>4784</v>
      </c>
      <c r="E2474" t="str">
        <f t="shared" si="77"/>
        <v>zachodniopomorskie_świdwiński_Świdwin (gm. wiejska)</v>
      </c>
      <c r="F2474" t="s">
        <v>2399</v>
      </c>
    </row>
    <row r="2475" spans="1:6" x14ac:dyDescent="0.3">
      <c r="A2475" t="s">
        <v>5390</v>
      </c>
      <c r="B2475" t="s">
        <v>5445</v>
      </c>
      <c r="C2475" t="str">
        <f t="shared" si="76"/>
        <v>zachodniopomorskie_Świnoujście</v>
      </c>
      <c r="D2475" t="s">
        <v>5445</v>
      </c>
      <c r="E2475" t="str">
        <f t="shared" si="77"/>
        <v>zachodniopomorskie_Świnoujście_Świnoujście</v>
      </c>
      <c r="F2475" t="s">
        <v>2412</v>
      </c>
    </row>
    <row r="2476" spans="1:6" x14ac:dyDescent="0.3">
      <c r="A2476" t="s">
        <v>5390</v>
      </c>
      <c r="B2476" t="s">
        <v>5104</v>
      </c>
      <c r="C2476" t="str">
        <f t="shared" si="76"/>
        <v>zachodniopomorskie_wałecki</v>
      </c>
      <c r="D2476" t="s">
        <v>4495</v>
      </c>
      <c r="E2476" t="str">
        <f t="shared" si="77"/>
        <v>zachodniopomorskie_wałecki_Człopa</v>
      </c>
      <c r="F2476" t="s">
        <v>2401</v>
      </c>
    </row>
    <row r="2477" spans="1:6" x14ac:dyDescent="0.3">
      <c r="A2477" t="s">
        <v>5390</v>
      </c>
      <c r="B2477" t="s">
        <v>5104</v>
      </c>
      <c r="C2477" t="str">
        <f t="shared" si="76"/>
        <v>zachodniopomorskie_wałecki</v>
      </c>
      <c r="D2477" t="s">
        <v>4496</v>
      </c>
      <c r="E2477" t="str">
        <f t="shared" si="77"/>
        <v>zachodniopomorskie_wałecki_Mirosławiec</v>
      </c>
      <c r="F2477" t="s">
        <v>2402</v>
      </c>
    </row>
    <row r="2478" spans="1:6" x14ac:dyDescent="0.3">
      <c r="A2478" t="s">
        <v>5390</v>
      </c>
      <c r="B2478" t="s">
        <v>5104</v>
      </c>
      <c r="C2478" t="str">
        <f t="shared" si="76"/>
        <v>zachodniopomorskie_wałecki</v>
      </c>
      <c r="D2478" t="s">
        <v>4497</v>
      </c>
      <c r="E2478" t="str">
        <f t="shared" si="77"/>
        <v>zachodniopomorskie_wałecki_Tuczno</v>
      </c>
      <c r="F2478" t="s">
        <v>2403</v>
      </c>
    </row>
    <row r="2479" spans="1:6" x14ac:dyDescent="0.3">
      <c r="A2479" t="s">
        <v>5390</v>
      </c>
      <c r="B2479" t="s">
        <v>5104</v>
      </c>
      <c r="C2479" t="str">
        <f t="shared" si="76"/>
        <v>zachodniopomorskie_wałecki</v>
      </c>
      <c r="D2479" t="s">
        <v>4785</v>
      </c>
      <c r="E2479" t="str">
        <f t="shared" si="77"/>
        <v>zachodniopomorskie_wałecki_Wałcz (gm. miejska)</v>
      </c>
      <c r="F2479" t="s">
        <v>2400</v>
      </c>
    </row>
    <row r="2480" spans="1:6" x14ac:dyDescent="0.3">
      <c r="A2480" t="s">
        <v>5390</v>
      </c>
      <c r="B2480" t="s">
        <v>5104</v>
      </c>
      <c r="C2480" t="str">
        <f t="shared" si="76"/>
        <v>zachodniopomorskie_wałecki</v>
      </c>
      <c r="D2480" t="s">
        <v>4786</v>
      </c>
      <c r="E2480" t="str">
        <f t="shared" si="77"/>
        <v>zachodniopomorskie_wałecki_Wałcz (gm. wiejska)</v>
      </c>
      <c r="F2480" t="s">
        <v>2404</v>
      </c>
    </row>
  </sheetData>
  <sheetProtection algorithmName="SHA-512" hashValue="jOmPwV7yKsoU70M5rLXgvSukTpiYLbpdIfIxuBpzZQB0jIrx0U6TWMcVmM61KlmcPBg5iljJCe7llyodWnSg9w==" saltValue="/9jp40eVMla9XCa3RD6Rdw==" spinCount="100000" sheet="1" objects="1" scenarios="1" formatCells="0" formatRows="0" sort="0" autoFilter="0"/>
  <autoFilter ref="A1:F2478" xr:uid="{00000000-0009-0000-0000-000003000000}"/>
  <sortState xmlns:xlrd2="http://schemas.microsoft.com/office/spreadsheetml/2017/richdata2" ref="A1:F2480">
    <sortCondition ref="A1:A2480"/>
    <sortCondition ref="B1:B2480"/>
    <sortCondition ref="D1:D2480"/>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dimension ref="A1:E37"/>
  <sheetViews>
    <sheetView workbookViewId="0">
      <selection activeCell="A3" sqref="A3"/>
    </sheetView>
  </sheetViews>
  <sheetFormatPr defaultRowHeight="14.4" x14ac:dyDescent="0.3"/>
  <cols>
    <col min="1" max="1" width="37" bestFit="1" customWidth="1"/>
    <col min="2" max="2" width="30.33203125" bestFit="1" customWidth="1"/>
    <col min="3" max="3" width="71.33203125" bestFit="1" customWidth="1"/>
    <col min="4" max="4" width="35.5546875" bestFit="1" customWidth="1"/>
  </cols>
  <sheetData>
    <row r="1" spans="1:5" x14ac:dyDescent="0.3">
      <c r="A1" t="s">
        <v>5109</v>
      </c>
      <c r="B1" t="s">
        <v>5139</v>
      </c>
      <c r="C1" s="1" t="s">
        <v>5148</v>
      </c>
      <c r="D1" s="1" t="s">
        <v>5152</v>
      </c>
      <c r="E1" t="s">
        <v>5252</v>
      </c>
    </row>
    <row r="2" spans="1:5" x14ac:dyDescent="0.3">
      <c r="A2" t="s">
        <v>5110</v>
      </c>
      <c r="B2" t="s">
        <v>5212</v>
      </c>
      <c r="C2" s="1" t="s">
        <v>5149</v>
      </c>
      <c r="D2" s="1" t="s">
        <v>5153</v>
      </c>
      <c r="E2" t="s">
        <v>5253</v>
      </c>
    </row>
    <row r="3" spans="1:5" ht="43.2" x14ac:dyDescent="0.3">
      <c r="A3" s="3" t="s">
        <v>5305</v>
      </c>
      <c r="C3" s="1" t="s">
        <v>5150</v>
      </c>
      <c r="D3" s="1" t="s">
        <v>5154</v>
      </c>
      <c r="E3" t="s">
        <v>5254</v>
      </c>
    </row>
    <row r="4" spans="1:5" ht="57.6" x14ac:dyDescent="0.3">
      <c r="A4" s="3" t="s">
        <v>5306</v>
      </c>
      <c r="C4" s="1" t="s">
        <v>5140</v>
      </c>
      <c r="D4" s="1" t="s">
        <v>5155</v>
      </c>
      <c r="E4" t="s">
        <v>5255</v>
      </c>
    </row>
    <row r="5" spans="1:5" x14ac:dyDescent="0.3">
      <c r="A5" t="s">
        <v>5307</v>
      </c>
      <c r="C5" s="49" t="s">
        <v>5209</v>
      </c>
      <c r="D5" s="49" t="s">
        <v>5210</v>
      </c>
      <c r="E5" t="s">
        <v>5256</v>
      </c>
    </row>
    <row r="6" spans="1:5" x14ac:dyDescent="0.3">
      <c r="C6" s="1" t="s">
        <v>5151</v>
      </c>
      <c r="D6" s="1" t="s">
        <v>5156</v>
      </c>
      <c r="E6" t="s">
        <v>5257</v>
      </c>
    </row>
    <row r="7" spans="1:5" x14ac:dyDescent="0.3">
      <c r="E7" t="s">
        <v>5258</v>
      </c>
    </row>
    <row r="8" spans="1:5" ht="28.8" x14ac:dyDescent="0.3">
      <c r="A8" s="3" t="s">
        <v>5598</v>
      </c>
      <c r="E8" t="s">
        <v>5259</v>
      </c>
    </row>
    <row r="9" spans="1:5" ht="100.8" x14ac:dyDescent="0.3">
      <c r="A9" s="3" t="s">
        <v>5599</v>
      </c>
      <c r="E9" t="s">
        <v>5260</v>
      </c>
    </row>
    <row r="10" spans="1:5" ht="91.5" customHeight="1" x14ac:dyDescent="0.3">
      <c r="A10" s="3"/>
      <c r="E10" t="s">
        <v>5261</v>
      </c>
    </row>
    <row r="11" spans="1:5" x14ac:dyDescent="0.3">
      <c r="A11" s="3"/>
      <c r="E11" t="s">
        <v>5262</v>
      </c>
    </row>
    <row r="12" spans="1:5" x14ac:dyDescent="0.3">
      <c r="A12" s="4" t="s">
        <v>5197</v>
      </c>
      <c r="E12" t="s">
        <v>5263</v>
      </c>
    </row>
    <row r="13" spans="1:5" x14ac:dyDescent="0.3">
      <c r="A13" s="3" t="s">
        <v>5198</v>
      </c>
    </row>
    <row r="14" spans="1:5" x14ac:dyDescent="0.3">
      <c r="A14" s="3" t="s">
        <v>5199</v>
      </c>
    </row>
    <row r="15" spans="1:5" x14ac:dyDescent="0.3">
      <c r="A15" s="3" t="s">
        <v>5200</v>
      </c>
    </row>
    <row r="16" spans="1:5" x14ac:dyDescent="0.3">
      <c r="A16" s="3"/>
    </row>
    <row r="17" spans="1:2" ht="28.8" x14ac:dyDescent="0.3">
      <c r="A17" s="3" t="s">
        <v>5205</v>
      </c>
    </row>
    <row r="18" spans="1:2" ht="28.8" x14ac:dyDescent="0.3">
      <c r="A18" s="3" t="s">
        <v>5600</v>
      </c>
    </row>
    <row r="19" spans="1:2" x14ac:dyDescent="0.3">
      <c r="A19" s="3"/>
    </row>
    <row r="20" spans="1:2" x14ac:dyDescent="0.3">
      <c r="A20" s="3"/>
    </row>
    <row r="21" spans="1:2" ht="28.8" x14ac:dyDescent="0.3">
      <c r="A21" s="3" t="s">
        <v>5601</v>
      </c>
    </row>
    <row r="22" spans="1:2" ht="43.2" x14ac:dyDescent="0.3">
      <c r="A22" s="3" t="s">
        <v>5652</v>
      </c>
    </row>
    <row r="23" spans="1:2" x14ac:dyDescent="0.3">
      <c r="A23" s="3"/>
    </row>
    <row r="24" spans="1:2" x14ac:dyDescent="0.3">
      <c r="A24" s="3"/>
    </row>
    <row r="25" spans="1:2" x14ac:dyDescent="0.3">
      <c r="A25" s="3" t="s">
        <v>5110</v>
      </c>
      <c r="B25" s="3" t="s">
        <v>5284</v>
      </c>
    </row>
    <row r="26" spans="1:2" x14ac:dyDescent="0.3">
      <c r="A26" s="3" t="s">
        <v>5109</v>
      </c>
      <c r="B26" s="3" t="s">
        <v>5284</v>
      </c>
    </row>
    <row r="27" spans="1:2" ht="28.8" x14ac:dyDescent="0.3">
      <c r="A27" s="3" t="s">
        <v>5109</v>
      </c>
      <c r="B27" s="3" t="s">
        <v>5285</v>
      </c>
    </row>
    <row r="28" spans="1:2" x14ac:dyDescent="0.3">
      <c r="A28" s="3"/>
    </row>
    <row r="29" spans="1:2" x14ac:dyDescent="0.3">
      <c r="A29" s="3"/>
    </row>
    <row r="30" spans="1:2" x14ac:dyDescent="0.3">
      <c r="A30" s="3"/>
    </row>
    <row r="31" spans="1:2" x14ac:dyDescent="0.3">
      <c r="A31" s="3"/>
    </row>
    <row r="32" spans="1:2" x14ac:dyDescent="0.3">
      <c r="A32" s="3"/>
    </row>
    <row r="33" spans="1:1" x14ac:dyDescent="0.3">
      <c r="A33" s="3"/>
    </row>
    <row r="34" spans="1:1" x14ac:dyDescent="0.3">
      <c r="A34" s="3"/>
    </row>
    <row r="35" spans="1:1" x14ac:dyDescent="0.3">
      <c r="A35" s="3"/>
    </row>
    <row r="36" spans="1:1" x14ac:dyDescent="0.3">
      <c r="A36" s="3"/>
    </row>
    <row r="37" spans="1:1" x14ac:dyDescent="0.3">
      <c r="A37" s="3"/>
    </row>
  </sheetData>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39D09E7A-37C2-4A9F-B520-8EB9E1224D37}">
            <xm:f>IF(WNIOSEK!$B$18=$A$1,1,0)</xm:f>
            <x14:dxf/>
          </x14:cfRule>
          <xm:sqref>B127:BA127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6"/>
  <dimension ref="A1:B24"/>
  <sheetViews>
    <sheetView workbookViewId="0">
      <selection activeCell="A20" sqref="A20"/>
    </sheetView>
  </sheetViews>
  <sheetFormatPr defaultRowHeight="14.4" x14ac:dyDescent="0.3"/>
  <cols>
    <col min="1" max="1" width="44.44140625" bestFit="1" customWidth="1"/>
    <col min="2" max="2" width="19.6640625" bestFit="1" customWidth="1"/>
  </cols>
  <sheetData>
    <row r="1" spans="1:2" x14ac:dyDescent="0.3">
      <c r="A1" t="s">
        <v>5117</v>
      </c>
      <c r="B1" t="str">
        <f>WNIOSEK!B24&amp;"_"&amp;WNIOSEK!O24</f>
        <v>_</v>
      </c>
    </row>
    <row r="2" spans="1:2" x14ac:dyDescent="0.3">
      <c r="A2" t="s">
        <v>5118</v>
      </c>
      <c r="B2" t="str">
        <f>B1&amp;"_"&amp;WNIOSEK!AB24</f>
        <v>__</v>
      </c>
    </row>
    <row r="3" spans="1:2" x14ac:dyDescent="0.3">
      <c r="A3" t="s">
        <v>5123</v>
      </c>
      <c r="B3" t="str">
        <f>WNIOSEK!B56&amp;"_"&amp;WNIOSEK!O56</f>
        <v>_</v>
      </c>
    </row>
    <row r="4" spans="1:2" x14ac:dyDescent="0.3">
      <c r="A4" t="s">
        <v>5124</v>
      </c>
      <c r="B4" t="str">
        <f>B3&amp;"_"&amp;WNIOSEK!AB56</f>
        <v>__</v>
      </c>
    </row>
    <row r="7" spans="1:2" ht="158.4" x14ac:dyDescent="0.3">
      <c r="A7" s="3" t="s">
        <v>5614</v>
      </c>
    </row>
    <row r="9" spans="1:2" x14ac:dyDescent="0.3">
      <c r="A9" t="s">
        <v>5269</v>
      </c>
      <c r="B9" s="187" t="s">
        <v>5581</v>
      </c>
    </row>
    <row r="10" spans="1:2" x14ac:dyDescent="0.3">
      <c r="A10" t="s">
        <v>5270</v>
      </c>
      <c r="B10" t="s">
        <v>5582</v>
      </c>
    </row>
    <row r="11" spans="1:2" x14ac:dyDescent="0.3">
      <c r="A11" t="s">
        <v>5271</v>
      </c>
      <c r="B11" t="s">
        <v>5583</v>
      </c>
    </row>
    <row r="12" spans="1:2" x14ac:dyDescent="0.3">
      <c r="A12" t="s">
        <v>5272</v>
      </c>
      <c r="B12" t="s">
        <v>5584</v>
      </c>
    </row>
    <row r="14" spans="1:2" ht="15" customHeight="1" x14ac:dyDescent="0.3">
      <c r="A14" t="s">
        <v>5278</v>
      </c>
      <c r="B14" s="3" t="s">
        <v>5579</v>
      </c>
    </row>
    <row r="20" spans="1:1" x14ac:dyDescent="0.3">
      <c r="A20" t="s">
        <v>5663</v>
      </c>
    </row>
    <row r="24" spans="1:1" ht="273.60000000000002" x14ac:dyDescent="0.3">
      <c r="A24" s="3" t="s">
        <v>5588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dimension ref="A1:F2480"/>
  <sheetViews>
    <sheetView topLeftCell="B1" workbookViewId="0">
      <pane ySplit="1" topLeftCell="A2" activePane="bottomLeft" state="frozen"/>
      <selection activeCell="B1" sqref="B1"/>
      <selection pane="bottomLeft" activeCell="B1" sqref="B1"/>
    </sheetView>
  </sheetViews>
  <sheetFormatPr defaultRowHeight="14.4" x14ac:dyDescent="0.3"/>
  <cols>
    <col min="1" max="1" width="9.33203125" style="58" hidden="1" customWidth="1"/>
    <col min="2" max="2" width="21" bestFit="1" customWidth="1"/>
    <col min="3" max="3" width="23.5546875" bestFit="1" customWidth="1"/>
    <col min="4" max="4" width="35.6640625" bestFit="1" customWidth="1"/>
    <col min="5" max="5" width="30.33203125" bestFit="1" customWidth="1"/>
    <col min="6" max="6" width="10.44140625" bestFit="1" customWidth="1"/>
  </cols>
  <sheetData>
    <row r="1" spans="1:6" ht="18" x14ac:dyDescent="0.35">
      <c r="A1" s="58" t="s">
        <v>4507</v>
      </c>
      <c r="B1" s="57" t="s">
        <v>5227</v>
      </c>
      <c r="C1" s="57" t="s">
        <v>5228</v>
      </c>
      <c r="D1" s="57" t="s">
        <v>5229</v>
      </c>
      <c r="E1" s="57" t="s">
        <v>5535</v>
      </c>
      <c r="F1" s="57" t="s">
        <v>5119</v>
      </c>
    </row>
    <row r="2" spans="1:6" x14ac:dyDescent="0.3">
      <c r="A2" s="58" t="s">
        <v>0</v>
      </c>
      <c r="B2" t="s">
        <v>5392</v>
      </c>
      <c r="C2" t="s">
        <v>4805</v>
      </c>
      <c r="D2" t="s">
        <v>4508</v>
      </c>
      <c r="E2" t="s">
        <v>5536</v>
      </c>
      <c r="F2" t="s">
        <v>0</v>
      </c>
    </row>
    <row r="3" spans="1:6" x14ac:dyDescent="0.3">
      <c r="A3" s="58" t="s">
        <v>1</v>
      </c>
      <c r="B3" t="s">
        <v>5392</v>
      </c>
      <c r="C3" t="s">
        <v>4805</v>
      </c>
      <c r="D3" t="s">
        <v>4509</v>
      </c>
      <c r="E3" t="s">
        <v>5537</v>
      </c>
      <c r="F3" t="s">
        <v>1</v>
      </c>
    </row>
    <row r="4" spans="1:6" x14ac:dyDescent="0.3">
      <c r="A4" s="58" t="s">
        <v>2</v>
      </c>
      <c r="B4" t="s">
        <v>5392</v>
      </c>
      <c r="C4" t="s">
        <v>4805</v>
      </c>
      <c r="D4" t="s">
        <v>2413</v>
      </c>
      <c r="E4" t="s">
        <v>5537</v>
      </c>
      <c r="F4" t="s">
        <v>2</v>
      </c>
    </row>
    <row r="5" spans="1:6" x14ac:dyDescent="0.3">
      <c r="A5" s="58" t="s">
        <v>3</v>
      </c>
      <c r="B5" t="s">
        <v>5392</v>
      </c>
      <c r="C5" t="s">
        <v>4805</v>
      </c>
      <c r="D5" t="s">
        <v>2414</v>
      </c>
      <c r="E5" t="s">
        <v>5538</v>
      </c>
      <c r="F5" t="s">
        <v>3</v>
      </c>
    </row>
    <row r="6" spans="1:6" x14ac:dyDescent="0.3">
      <c r="A6" s="58" t="s">
        <v>4</v>
      </c>
      <c r="B6" t="s">
        <v>5392</v>
      </c>
      <c r="C6" t="s">
        <v>4805</v>
      </c>
      <c r="D6" t="s">
        <v>2415</v>
      </c>
      <c r="E6" t="s">
        <v>5537</v>
      </c>
      <c r="F6" t="s">
        <v>4</v>
      </c>
    </row>
    <row r="7" spans="1:6" x14ac:dyDescent="0.3">
      <c r="A7" s="58" t="s">
        <v>5</v>
      </c>
      <c r="B7" t="s">
        <v>5392</v>
      </c>
      <c r="C7" t="s">
        <v>4805</v>
      </c>
      <c r="D7" t="s">
        <v>2416</v>
      </c>
      <c r="E7" t="s">
        <v>5537</v>
      </c>
      <c r="F7" t="s">
        <v>5</v>
      </c>
    </row>
    <row r="8" spans="1:6" x14ac:dyDescent="0.3">
      <c r="A8" s="58" t="s">
        <v>6</v>
      </c>
      <c r="B8" t="s">
        <v>5392</v>
      </c>
      <c r="C8" t="s">
        <v>4806</v>
      </c>
      <c r="D8" t="s">
        <v>2417</v>
      </c>
      <c r="E8" t="s">
        <v>5536</v>
      </c>
      <c r="F8" t="s">
        <v>6</v>
      </c>
    </row>
    <row r="9" spans="1:6" x14ac:dyDescent="0.3">
      <c r="A9" s="58" t="s">
        <v>7</v>
      </c>
      <c r="B9" t="s">
        <v>5392</v>
      </c>
      <c r="C9" t="s">
        <v>4806</v>
      </c>
      <c r="D9" t="s">
        <v>4510</v>
      </c>
      <c r="E9" t="s">
        <v>5536</v>
      </c>
      <c r="F9" t="s">
        <v>7</v>
      </c>
    </row>
    <row r="10" spans="1:6" x14ac:dyDescent="0.3">
      <c r="A10" s="58" t="s">
        <v>5429</v>
      </c>
      <c r="B10" t="s">
        <v>5392</v>
      </c>
      <c r="C10" t="s">
        <v>4806</v>
      </c>
      <c r="D10" t="s">
        <v>2418</v>
      </c>
      <c r="E10" t="s">
        <v>5538</v>
      </c>
      <c r="F10" t="s">
        <v>5429</v>
      </c>
    </row>
    <row r="11" spans="1:6" x14ac:dyDescent="0.3">
      <c r="A11" s="58" t="s">
        <v>8</v>
      </c>
      <c r="B11" t="s">
        <v>5392</v>
      </c>
      <c r="C11" t="s">
        <v>4806</v>
      </c>
      <c r="D11" t="s">
        <v>2419</v>
      </c>
      <c r="E11" t="s">
        <v>5536</v>
      </c>
      <c r="F11" t="s">
        <v>8</v>
      </c>
    </row>
    <row r="12" spans="1:6" x14ac:dyDescent="0.3">
      <c r="A12" s="58" t="s">
        <v>9</v>
      </c>
      <c r="B12" t="s">
        <v>5392</v>
      </c>
      <c r="C12" t="s">
        <v>4806</v>
      </c>
      <c r="D12" t="s">
        <v>4511</v>
      </c>
      <c r="E12" t="s">
        <v>5537</v>
      </c>
      <c r="F12" t="s">
        <v>9</v>
      </c>
    </row>
    <row r="13" spans="1:6" x14ac:dyDescent="0.3">
      <c r="A13" s="58" t="s">
        <v>10</v>
      </c>
      <c r="B13" t="s">
        <v>5392</v>
      </c>
      <c r="C13" t="s">
        <v>4806</v>
      </c>
      <c r="D13" t="s">
        <v>2420</v>
      </c>
      <c r="E13" t="s">
        <v>5537</v>
      </c>
      <c r="F13" t="s">
        <v>10</v>
      </c>
    </row>
    <row r="14" spans="1:6" x14ac:dyDescent="0.3">
      <c r="A14" s="58" t="s">
        <v>11</v>
      </c>
      <c r="B14" t="s">
        <v>5392</v>
      </c>
      <c r="C14" t="s">
        <v>4806</v>
      </c>
      <c r="D14" t="s">
        <v>2421</v>
      </c>
      <c r="E14" t="s">
        <v>5538</v>
      </c>
      <c r="F14" t="s">
        <v>11</v>
      </c>
    </row>
    <row r="15" spans="1:6" x14ac:dyDescent="0.3">
      <c r="A15" s="58" t="s">
        <v>12</v>
      </c>
      <c r="B15" t="s">
        <v>5392</v>
      </c>
      <c r="C15" t="s">
        <v>4807</v>
      </c>
      <c r="D15" t="s">
        <v>4512</v>
      </c>
      <c r="E15" t="s">
        <v>5536</v>
      </c>
      <c r="F15" t="s">
        <v>12</v>
      </c>
    </row>
    <row r="16" spans="1:6" x14ac:dyDescent="0.3">
      <c r="A16" s="58" t="s">
        <v>13</v>
      </c>
      <c r="B16" t="s">
        <v>5392</v>
      </c>
      <c r="C16" t="s">
        <v>4807</v>
      </c>
      <c r="D16" t="s">
        <v>4513</v>
      </c>
      <c r="E16" t="s">
        <v>5537</v>
      </c>
      <c r="F16" t="s">
        <v>13</v>
      </c>
    </row>
    <row r="17" spans="1:6" x14ac:dyDescent="0.3">
      <c r="A17" s="58" t="s">
        <v>14</v>
      </c>
      <c r="B17" t="s">
        <v>5392</v>
      </c>
      <c r="C17" t="s">
        <v>4807</v>
      </c>
      <c r="D17" t="s">
        <v>2422</v>
      </c>
      <c r="E17" t="s">
        <v>5537</v>
      </c>
      <c r="F17" t="s">
        <v>14</v>
      </c>
    </row>
    <row r="18" spans="1:6" x14ac:dyDescent="0.3">
      <c r="A18" s="58" t="s">
        <v>15</v>
      </c>
      <c r="B18" t="s">
        <v>5392</v>
      </c>
      <c r="C18" t="s">
        <v>4807</v>
      </c>
      <c r="D18" t="s">
        <v>2423</v>
      </c>
      <c r="E18" t="s">
        <v>5537</v>
      </c>
      <c r="F18" t="s">
        <v>15</v>
      </c>
    </row>
    <row r="19" spans="1:6" x14ac:dyDescent="0.3">
      <c r="A19" s="58" t="s">
        <v>16</v>
      </c>
      <c r="B19" t="s">
        <v>5392</v>
      </c>
      <c r="C19" t="s">
        <v>4807</v>
      </c>
      <c r="D19" t="s">
        <v>2424</v>
      </c>
      <c r="E19" t="s">
        <v>5537</v>
      </c>
      <c r="F19" t="s">
        <v>16</v>
      </c>
    </row>
    <row r="20" spans="1:6" x14ac:dyDescent="0.3">
      <c r="A20" s="58" t="s">
        <v>17</v>
      </c>
      <c r="B20" t="s">
        <v>5392</v>
      </c>
      <c r="C20" t="s">
        <v>4807</v>
      </c>
      <c r="D20" t="s">
        <v>2425</v>
      </c>
      <c r="E20" t="s">
        <v>5537</v>
      </c>
      <c r="F20" t="s">
        <v>17</v>
      </c>
    </row>
    <row r="21" spans="1:6" x14ac:dyDescent="0.3">
      <c r="A21" s="58" t="s">
        <v>18</v>
      </c>
      <c r="B21" t="s">
        <v>5392</v>
      </c>
      <c r="C21" t="s">
        <v>4808</v>
      </c>
      <c r="D21" t="s">
        <v>2426</v>
      </c>
      <c r="E21" t="s">
        <v>5538</v>
      </c>
      <c r="F21" t="s">
        <v>18</v>
      </c>
    </row>
    <row r="22" spans="1:6" x14ac:dyDescent="0.3">
      <c r="A22" s="58" t="s">
        <v>19</v>
      </c>
      <c r="B22" t="s">
        <v>5392</v>
      </c>
      <c r="C22" t="s">
        <v>4808</v>
      </c>
      <c r="D22" t="s">
        <v>2427</v>
      </c>
      <c r="E22" t="s">
        <v>5537</v>
      </c>
      <c r="F22" t="s">
        <v>19</v>
      </c>
    </row>
    <row r="23" spans="1:6" x14ac:dyDescent="0.3">
      <c r="A23" s="58" t="s">
        <v>20</v>
      </c>
      <c r="B23" t="s">
        <v>5392</v>
      </c>
      <c r="C23" t="s">
        <v>4808</v>
      </c>
      <c r="D23" t="s">
        <v>2428</v>
      </c>
      <c r="E23" t="s">
        <v>5537</v>
      </c>
      <c r="F23" t="s">
        <v>20</v>
      </c>
    </row>
    <row r="24" spans="1:6" x14ac:dyDescent="0.3">
      <c r="A24" s="58" t="s">
        <v>21</v>
      </c>
      <c r="B24" t="s">
        <v>5392</v>
      </c>
      <c r="C24" t="s">
        <v>4808</v>
      </c>
      <c r="D24" t="s">
        <v>2429</v>
      </c>
      <c r="E24" t="s">
        <v>5538</v>
      </c>
      <c r="F24" t="s">
        <v>21</v>
      </c>
    </row>
    <row r="25" spans="1:6" x14ac:dyDescent="0.3">
      <c r="A25" s="58" t="s">
        <v>22</v>
      </c>
      <c r="B25" t="s">
        <v>5392</v>
      </c>
      <c r="C25" t="s">
        <v>4809</v>
      </c>
      <c r="D25" t="s">
        <v>2430</v>
      </c>
      <c r="E25" t="s">
        <v>5536</v>
      </c>
      <c r="F25" t="s">
        <v>22</v>
      </c>
    </row>
    <row r="26" spans="1:6" x14ac:dyDescent="0.3">
      <c r="A26" s="58" t="s">
        <v>23</v>
      </c>
      <c r="B26" t="s">
        <v>5392</v>
      </c>
      <c r="C26" t="s">
        <v>4809</v>
      </c>
      <c r="D26" t="s">
        <v>2431</v>
      </c>
      <c r="E26" t="s">
        <v>5538</v>
      </c>
      <c r="F26" t="s">
        <v>23</v>
      </c>
    </row>
    <row r="27" spans="1:6" x14ac:dyDescent="0.3">
      <c r="A27" s="58" t="s">
        <v>24</v>
      </c>
      <c r="B27" t="s">
        <v>5392</v>
      </c>
      <c r="C27" t="s">
        <v>4809</v>
      </c>
      <c r="D27" t="s">
        <v>2432</v>
      </c>
      <c r="E27" t="s">
        <v>5537</v>
      </c>
      <c r="F27" t="s">
        <v>24</v>
      </c>
    </row>
    <row r="28" spans="1:6" x14ac:dyDescent="0.3">
      <c r="A28" s="58" t="s">
        <v>25</v>
      </c>
      <c r="B28" t="s">
        <v>5392</v>
      </c>
      <c r="C28" t="s">
        <v>4809</v>
      </c>
      <c r="D28" t="s">
        <v>2433</v>
      </c>
      <c r="E28" t="s">
        <v>5537</v>
      </c>
      <c r="F28" t="s">
        <v>25</v>
      </c>
    </row>
    <row r="29" spans="1:6" x14ac:dyDescent="0.3">
      <c r="A29" s="58" t="s">
        <v>26</v>
      </c>
      <c r="B29" t="s">
        <v>5392</v>
      </c>
      <c r="C29" t="s">
        <v>4809</v>
      </c>
      <c r="D29" t="s">
        <v>2434</v>
      </c>
      <c r="E29" t="s">
        <v>5537</v>
      </c>
      <c r="F29" t="s">
        <v>26</v>
      </c>
    </row>
    <row r="30" spans="1:6" x14ac:dyDescent="0.3">
      <c r="A30" s="58" t="s">
        <v>27</v>
      </c>
      <c r="B30" t="s">
        <v>5392</v>
      </c>
      <c r="C30" t="s">
        <v>4809</v>
      </c>
      <c r="D30" t="s">
        <v>2435</v>
      </c>
      <c r="E30" t="s">
        <v>5537</v>
      </c>
      <c r="F30" t="s">
        <v>27</v>
      </c>
    </row>
    <row r="31" spans="1:6" x14ac:dyDescent="0.3">
      <c r="A31" s="58" t="s">
        <v>28</v>
      </c>
      <c r="B31" t="s">
        <v>5392</v>
      </c>
      <c r="C31" t="s">
        <v>5403</v>
      </c>
      <c r="D31" t="s">
        <v>2436</v>
      </c>
      <c r="E31" t="s">
        <v>5536</v>
      </c>
      <c r="F31" t="s">
        <v>28</v>
      </c>
    </row>
    <row r="32" spans="1:6" x14ac:dyDescent="0.3">
      <c r="A32" s="58" t="s">
        <v>29</v>
      </c>
      <c r="B32" t="s">
        <v>5392</v>
      </c>
      <c r="C32" t="s">
        <v>5403</v>
      </c>
      <c r="D32" t="s">
        <v>2437</v>
      </c>
      <c r="E32" t="s">
        <v>5536</v>
      </c>
      <c r="F32" t="s">
        <v>29</v>
      </c>
    </row>
    <row r="33" spans="1:6" x14ac:dyDescent="0.3">
      <c r="A33" s="58" t="s">
        <v>30</v>
      </c>
      <c r="B33" t="s">
        <v>5392</v>
      </c>
      <c r="C33" t="s">
        <v>5403</v>
      </c>
      <c r="D33" t="s">
        <v>2438</v>
      </c>
      <c r="E33" t="s">
        <v>5536</v>
      </c>
      <c r="F33" t="s">
        <v>30</v>
      </c>
    </row>
    <row r="34" spans="1:6" x14ac:dyDescent="0.3">
      <c r="A34" s="58" t="s">
        <v>31</v>
      </c>
      <c r="B34" t="s">
        <v>5392</v>
      </c>
      <c r="C34" t="s">
        <v>5403</v>
      </c>
      <c r="D34" t="s">
        <v>2439</v>
      </c>
      <c r="E34" t="s">
        <v>5536</v>
      </c>
      <c r="F34" t="s">
        <v>31</v>
      </c>
    </row>
    <row r="35" spans="1:6" x14ac:dyDescent="0.3">
      <c r="A35" s="58" t="s">
        <v>32</v>
      </c>
      <c r="B35" t="s">
        <v>5392</v>
      </c>
      <c r="C35" t="s">
        <v>5403</v>
      </c>
      <c r="D35" t="s">
        <v>2440</v>
      </c>
      <c r="E35" t="s">
        <v>5537</v>
      </c>
      <c r="F35" t="s">
        <v>32</v>
      </c>
    </row>
    <row r="36" spans="1:6" x14ac:dyDescent="0.3">
      <c r="A36" s="58" t="s">
        <v>33</v>
      </c>
      <c r="B36" t="s">
        <v>5392</v>
      </c>
      <c r="C36" t="s">
        <v>5403</v>
      </c>
      <c r="D36" t="s">
        <v>2441</v>
      </c>
      <c r="E36" t="s">
        <v>5537</v>
      </c>
      <c r="F36" t="s">
        <v>33</v>
      </c>
    </row>
    <row r="37" spans="1:6" x14ac:dyDescent="0.3">
      <c r="A37" s="58" t="s">
        <v>34</v>
      </c>
      <c r="B37" t="s">
        <v>5392</v>
      </c>
      <c r="C37" t="s">
        <v>5403</v>
      </c>
      <c r="D37" t="s">
        <v>2442</v>
      </c>
      <c r="E37" t="s">
        <v>5537</v>
      </c>
      <c r="F37" t="s">
        <v>34</v>
      </c>
    </row>
    <row r="38" spans="1:6" x14ac:dyDescent="0.3">
      <c r="A38" s="58" t="s">
        <v>35</v>
      </c>
      <c r="B38" t="s">
        <v>5392</v>
      </c>
      <c r="C38" t="s">
        <v>5403</v>
      </c>
      <c r="D38" t="s">
        <v>2443</v>
      </c>
      <c r="E38" t="s">
        <v>5537</v>
      </c>
      <c r="F38" t="s">
        <v>35</v>
      </c>
    </row>
    <row r="39" spans="1:6" x14ac:dyDescent="0.3">
      <c r="A39" s="58" t="s">
        <v>36</v>
      </c>
      <c r="B39" t="s">
        <v>5392</v>
      </c>
      <c r="C39" t="s">
        <v>5403</v>
      </c>
      <c r="D39" t="s">
        <v>2444</v>
      </c>
      <c r="E39" t="s">
        <v>5537</v>
      </c>
      <c r="F39" t="s">
        <v>36</v>
      </c>
    </row>
    <row r="40" spans="1:6" x14ac:dyDescent="0.3">
      <c r="A40" s="58" t="s">
        <v>37</v>
      </c>
      <c r="B40" t="s">
        <v>5392</v>
      </c>
      <c r="C40" t="s">
        <v>4810</v>
      </c>
      <c r="D40" t="s">
        <v>4514</v>
      </c>
      <c r="E40" t="s">
        <v>5536</v>
      </c>
      <c r="F40" t="s">
        <v>37</v>
      </c>
    </row>
    <row r="41" spans="1:6" x14ac:dyDescent="0.3">
      <c r="A41" s="58" t="s">
        <v>38</v>
      </c>
      <c r="B41" t="s">
        <v>5392</v>
      </c>
      <c r="C41" t="s">
        <v>4810</v>
      </c>
      <c r="D41" t="s">
        <v>4515</v>
      </c>
      <c r="E41" t="s">
        <v>5537</v>
      </c>
      <c r="F41" t="s">
        <v>38</v>
      </c>
    </row>
    <row r="42" spans="1:6" x14ac:dyDescent="0.3">
      <c r="A42" s="58" t="s">
        <v>39</v>
      </c>
      <c r="B42" t="s">
        <v>5392</v>
      </c>
      <c r="C42" t="s">
        <v>4810</v>
      </c>
      <c r="D42" t="s">
        <v>2445</v>
      </c>
      <c r="E42" t="s">
        <v>5538</v>
      </c>
      <c r="F42" t="s">
        <v>39</v>
      </c>
    </row>
    <row r="43" spans="1:6" x14ac:dyDescent="0.3">
      <c r="A43" s="58" t="s">
        <v>40</v>
      </c>
      <c r="B43" t="s">
        <v>5392</v>
      </c>
      <c r="C43" t="s">
        <v>4810</v>
      </c>
      <c r="D43" t="s">
        <v>2446</v>
      </c>
      <c r="E43" t="s">
        <v>5537</v>
      </c>
      <c r="F43" t="s">
        <v>40</v>
      </c>
    </row>
    <row r="44" spans="1:6" x14ac:dyDescent="0.3">
      <c r="A44" s="58" t="s">
        <v>41</v>
      </c>
      <c r="B44" t="s">
        <v>5392</v>
      </c>
      <c r="C44" t="s">
        <v>4811</v>
      </c>
      <c r="D44" t="s">
        <v>2447</v>
      </c>
      <c r="E44" t="s">
        <v>5536</v>
      </c>
      <c r="F44" t="s">
        <v>41</v>
      </c>
    </row>
    <row r="45" spans="1:6" x14ac:dyDescent="0.3">
      <c r="A45" s="58" t="s">
        <v>42</v>
      </c>
      <c r="B45" t="s">
        <v>5392</v>
      </c>
      <c r="C45" t="s">
        <v>4811</v>
      </c>
      <c r="D45" t="s">
        <v>4516</v>
      </c>
      <c r="E45" t="s">
        <v>5536</v>
      </c>
      <c r="F45" t="s">
        <v>42</v>
      </c>
    </row>
    <row r="46" spans="1:6" x14ac:dyDescent="0.3">
      <c r="A46" s="58" t="s">
        <v>43</v>
      </c>
      <c r="B46" t="s">
        <v>5392</v>
      </c>
      <c r="C46" t="s">
        <v>4811</v>
      </c>
      <c r="D46" t="s">
        <v>2448</v>
      </c>
      <c r="E46" t="s">
        <v>5536</v>
      </c>
      <c r="F46" t="s">
        <v>43</v>
      </c>
    </row>
    <row r="47" spans="1:6" x14ac:dyDescent="0.3">
      <c r="A47" s="58" t="s">
        <v>44</v>
      </c>
      <c r="B47" t="s">
        <v>5392</v>
      </c>
      <c r="C47" t="s">
        <v>4811</v>
      </c>
      <c r="D47" t="s">
        <v>4517</v>
      </c>
      <c r="E47" t="s">
        <v>5536</v>
      </c>
      <c r="F47" t="s">
        <v>44</v>
      </c>
    </row>
    <row r="48" spans="1:6" x14ac:dyDescent="0.3">
      <c r="A48" s="58" t="s">
        <v>45</v>
      </c>
      <c r="B48" t="s">
        <v>5392</v>
      </c>
      <c r="C48" t="s">
        <v>4811</v>
      </c>
      <c r="D48" t="s">
        <v>2449</v>
      </c>
      <c r="E48" t="s">
        <v>5536</v>
      </c>
      <c r="F48" t="s">
        <v>45</v>
      </c>
    </row>
    <row r="49" spans="1:6" x14ac:dyDescent="0.3">
      <c r="A49" s="58" t="s">
        <v>46</v>
      </c>
      <c r="B49" t="s">
        <v>5392</v>
      </c>
      <c r="C49" t="s">
        <v>4811</v>
      </c>
      <c r="D49" t="s">
        <v>2450</v>
      </c>
      <c r="E49" t="s">
        <v>5538</v>
      </c>
      <c r="F49" t="s">
        <v>46</v>
      </c>
    </row>
    <row r="50" spans="1:6" x14ac:dyDescent="0.3">
      <c r="A50" s="58" t="s">
        <v>47</v>
      </c>
      <c r="B50" t="s">
        <v>5392</v>
      </c>
      <c r="C50" t="s">
        <v>4811</v>
      </c>
      <c r="D50" t="s">
        <v>4518</v>
      </c>
      <c r="E50" t="s">
        <v>5537</v>
      </c>
      <c r="F50" t="s">
        <v>47</v>
      </c>
    </row>
    <row r="51" spans="1:6" x14ac:dyDescent="0.3">
      <c r="A51" s="58" t="s">
        <v>48</v>
      </c>
      <c r="B51" t="s">
        <v>5392</v>
      </c>
      <c r="C51" t="s">
        <v>4811</v>
      </c>
      <c r="D51" t="s">
        <v>2451</v>
      </c>
      <c r="E51" t="s">
        <v>5538</v>
      </c>
      <c r="F51" t="s">
        <v>48</v>
      </c>
    </row>
    <row r="52" spans="1:6" x14ac:dyDescent="0.3">
      <c r="A52" s="58" t="s">
        <v>49</v>
      </c>
      <c r="B52" t="s">
        <v>5392</v>
      </c>
      <c r="C52" t="s">
        <v>4811</v>
      </c>
      <c r="D52" t="s">
        <v>2452</v>
      </c>
      <c r="E52" t="s">
        <v>5537</v>
      </c>
      <c r="F52" t="s">
        <v>49</v>
      </c>
    </row>
    <row r="53" spans="1:6" x14ac:dyDescent="0.3">
      <c r="A53" s="58" t="s">
        <v>50</v>
      </c>
      <c r="B53" t="s">
        <v>5392</v>
      </c>
      <c r="C53" t="s">
        <v>4811</v>
      </c>
      <c r="D53" t="s">
        <v>2453</v>
      </c>
      <c r="E53" t="s">
        <v>5538</v>
      </c>
      <c r="F53" t="s">
        <v>50</v>
      </c>
    </row>
    <row r="54" spans="1:6" x14ac:dyDescent="0.3">
      <c r="A54" s="58" t="s">
        <v>51</v>
      </c>
      <c r="B54" t="s">
        <v>5392</v>
      </c>
      <c r="C54" t="s">
        <v>4811</v>
      </c>
      <c r="D54" t="s">
        <v>4519</v>
      </c>
      <c r="E54" t="s">
        <v>5537</v>
      </c>
      <c r="F54" t="s">
        <v>51</v>
      </c>
    </row>
    <row r="55" spans="1:6" x14ac:dyDescent="0.3">
      <c r="A55" s="58" t="s">
        <v>52</v>
      </c>
      <c r="B55" t="s">
        <v>5392</v>
      </c>
      <c r="C55" t="s">
        <v>4811</v>
      </c>
      <c r="D55" t="s">
        <v>2454</v>
      </c>
      <c r="E55" t="s">
        <v>5538</v>
      </c>
      <c r="F55" t="s">
        <v>52</v>
      </c>
    </row>
    <row r="56" spans="1:6" x14ac:dyDescent="0.3">
      <c r="A56" s="58" t="s">
        <v>53</v>
      </c>
      <c r="B56" t="s">
        <v>5392</v>
      </c>
      <c r="C56" t="s">
        <v>4811</v>
      </c>
      <c r="D56" t="s">
        <v>2455</v>
      </c>
      <c r="E56" t="s">
        <v>5538</v>
      </c>
      <c r="F56" t="s">
        <v>53</v>
      </c>
    </row>
    <row r="57" spans="1:6" x14ac:dyDescent="0.3">
      <c r="A57" s="58" t="s">
        <v>54</v>
      </c>
      <c r="B57" t="s">
        <v>5392</v>
      </c>
      <c r="C57" t="s">
        <v>4811</v>
      </c>
      <c r="D57" t="s">
        <v>2456</v>
      </c>
      <c r="E57" t="s">
        <v>5538</v>
      </c>
      <c r="F57" t="s">
        <v>54</v>
      </c>
    </row>
    <row r="58" spans="1:6" x14ac:dyDescent="0.3">
      <c r="A58" s="58" t="s">
        <v>55</v>
      </c>
      <c r="B58" t="s">
        <v>5392</v>
      </c>
      <c r="C58" t="s">
        <v>4812</v>
      </c>
      <c r="D58" t="s">
        <v>4520</v>
      </c>
      <c r="E58" t="s">
        <v>5536</v>
      </c>
      <c r="F58" t="s">
        <v>55</v>
      </c>
    </row>
    <row r="59" spans="1:6" x14ac:dyDescent="0.3">
      <c r="A59" s="58" t="s">
        <v>56</v>
      </c>
      <c r="B59" t="s">
        <v>5392</v>
      </c>
      <c r="C59" t="s">
        <v>4812</v>
      </c>
      <c r="D59" t="s">
        <v>4521</v>
      </c>
      <c r="E59" t="s">
        <v>5537</v>
      </c>
      <c r="F59" t="s">
        <v>56</v>
      </c>
    </row>
    <row r="60" spans="1:6" x14ac:dyDescent="0.3">
      <c r="A60" s="58" t="s">
        <v>57</v>
      </c>
      <c r="B60" t="s">
        <v>5392</v>
      </c>
      <c r="C60" t="s">
        <v>4812</v>
      </c>
      <c r="D60" t="s">
        <v>2457</v>
      </c>
      <c r="E60" t="s">
        <v>5537</v>
      </c>
      <c r="F60" t="s">
        <v>57</v>
      </c>
    </row>
    <row r="61" spans="1:6" x14ac:dyDescent="0.3">
      <c r="A61" s="58" t="s">
        <v>58</v>
      </c>
      <c r="B61" t="s">
        <v>5392</v>
      </c>
      <c r="C61" t="s">
        <v>4812</v>
      </c>
      <c r="D61" t="s">
        <v>2458</v>
      </c>
      <c r="E61" t="s">
        <v>5537</v>
      </c>
      <c r="F61" t="s">
        <v>58</v>
      </c>
    </row>
    <row r="62" spans="1:6" x14ac:dyDescent="0.3">
      <c r="A62" s="58" t="s">
        <v>59</v>
      </c>
      <c r="B62" t="s">
        <v>5392</v>
      </c>
      <c r="C62" t="s">
        <v>4812</v>
      </c>
      <c r="D62" t="s">
        <v>2459</v>
      </c>
      <c r="E62" t="s">
        <v>5537</v>
      </c>
      <c r="F62" t="s">
        <v>59</v>
      </c>
    </row>
    <row r="63" spans="1:6" x14ac:dyDescent="0.3">
      <c r="A63" s="58" t="s">
        <v>60</v>
      </c>
      <c r="B63" t="s">
        <v>5392</v>
      </c>
      <c r="C63" t="s">
        <v>4812</v>
      </c>
      <c r="D63" t="s">
        <v>2460</v>
      </c>
      <c r="E63" t="s">
        <v>5537</v>
      </c>
      <c r="F63" t="s">
        <v>60</v>
      </c>
    </row>
    <row r="64" spans="1:6" x14ac:dyDescent="0.3">
      <c r="A64" s="58" t="s">
        <v>61</v>
      </c>
      <c r="B64" t="s">
        <v>5392</v>
      </c>
      <c r="C64" t="s">
        <v>4812</v>
      </c>
      <c r="D64" t="s">
        <v>2461</v>
      </c>
      <c r="E64" t="s">
        <v>5538</v>
      </c>
      <c r="F64" t="s">
        <v>61</v>
      </c>
    </row>
    <row r="65" spans="1:6" x14ac:dyDescent="0.3">
      <c r="A65" s="58" t="s">
        <v>62</v>
      </c>
      <c r="B65" t="s">
        <v>5392</v>
      </c>
      <c r="C65" t="s">
        <v>4812</v>
      </c>
      <c r="D65" t="s">
        <v>2462</v>
      </c>
      <c r="E65" t="s">
        <v>5537</v>
      </c>
      <c r="F65" t="s">
        <v>62</v>
      </c>
    </row>
    <row r="66" spans="1:6" x14ac:dyDescent="0.3">
      <c r="A66" s="58" t="s">
        <v>63</v>
      </c>
      <c r="B66" t="s">
        <v>5392</v>
      </c>
      <c r="C66" t="s">
        <v>4813</v>
      </c>
      <c r="D66" t="s">
        <v>4522</v>
      </c>
      <c r="E66" t="s">
        <v>5536</v>
      </c>
      <c r="F66" t="s">
        <v>63</v>
      </c>
    </row>
    <row r="67" spans="1:6" x14ac:dyDescent="0.3">
      <c r="A67" s="58" t="s">
        <v>64</v>
      </c>
      <c r="B67" t="s">
        <v>5392</v>
      </c>
      <c r="C67" t="s">
        <v>4813</v>
      </c>
      <c r="D67" t="s">
        <v>2463</v>
      </c>
      <c r="E67" t="s">
        <v>5536</v>
      </c>
      <c r="F67" t="s">
        <v>64</v>
      </c>
    </row>
    <row r="68" spans="1:6" x14ac:dyDescent="0.3">
      <c r="A68" s="58" t="s">
        <v>65</v>
      </c>
      <c r="B68" t="s">
        <v>5392</v>
      </c>
      <c r="C68" t="s">
        <v>4813</v>
      </c>
      <c r="D68" t="s">
        <v>2464</v>
      </c>
      <c r="E68" t="s">
        <v>5538</v>
      </c>
      <c r="F68" t="s">
        <v>65</v>
      </c>
    </row>
    <row r="69" spans="1:6" x14ac:dyDescent="0.3">
      <c r="A69" s="58" t="s">
        <v>66</v>
      </c>
      <c r="B69" t="s">
        <v>5392</v>
      </c>
      <c r="C69" t="s">
        <v>4813</v>
      </c>
      <c r="D69" t="s">
        <v>4523</v>
      </c>
      <c r="E69" t="s">
        <v>5537</v>
      </c>
      <c r="F69" t="s">
        <v>66</v>
      </c>
    </row>
    <row r="70" spans="1:6" x14ac:dyDescent="0.3">
      <c r="A70" s="58" t="s">
        <v>67</v>
      </c>
      <c r="B70" t="s">
        <v>5392</v>
      </c>
      <c r="C70" t="s">
        <v>4813</v>
      </c>
      <c r="D70" t="s">
        <v>2465</v>
      </c>
      <c r="E70" t="s">
        <v>5538</v>
      </c>
      <c r="F70" t="s">
        <v>67</v>
      </c>
    </row>
    <row r="71" spans="1:6" x14ac:dyDescent="0.3">
      <c r="A71" s="58" t="s">
        <v>68</v>
      </c>
      <c r="B71" t="s">
        <v>5392</v>
      </c>
      <c r="C71" t="s">
        <v>4813</v>
      </c>
      <c r="D71" t="s">
        <v>2466</v>
      </c>
      <c r="E71" t="s">
        <v>5537</v>
      </c>
      <c r="F71" t="s">
        <v>68</v>
      </c>
    </row>
    <row r="72" spans="1:6" x14ac:dyDescent="0.3">
      <c r="A72" s="58" t="s">
        <v>69</v>
      </c>
      <c r="B72" t="s">
        <v>5392</v>
      </c>
      <c r="C72" t="s">
        <v>4813</v>
      </c>
      <c r="D72" t="s">
        <v>2467</v>
      </c>
      <c r="E72" t="s">
        <v>5537</v>
      </c>
      <c r="F72" t="s">
        <v>69</v>
      </c>
    </row>
    <row r="73" spans="1:6" x14ac:dyDescent="0.3">
      <c r="A73" s="58" t="s">
        <v>70</v>
      </c>
      <c r="B73" t="s">
        <v>5392</v>
      </c>
      <c r="C73" t="s">
        <v>4814</v>
      </c>
      <c r="D73" t="s">
        <v>4524</v>
      </c>
      <c r="E73" t="s">
        <v>5536</v>
      </c>
      <c r="F73" t="s">
        <v>70</v>
      </c>
    </row>
    <row r="74" spans="1:6" x14ac:dyDescent="0.3">
      <c r="A74" s="58" t="s">
        <v>71</v>
      </c>
      <c r="B74" t="s">
        <v>5392</v>
      </c>
      <c r="C74" t="s">
        <v>4814</v>
      </c>
      <c r="D74" t="s">
        <v>4525</v>
      </c>
      <c r="E74" t="s">
        <v>5537</v>
      </c>
      <c r="F74" t="s">
        <v>71</v>
      </c>
    </row>
    <row r="75" spans="1:6" x14ac:dyDescent="0.3">
      <c r="A75" s="58" t="s">
        <v>72</v>
      </c>
      <c r="B75" t="s">
        <v>5392</v>
      </c>
      <c r="C75" t="s">
        <v>4814</v>
      </c>
      <c r="D75" t="s">
        <v>2468</v>
      </c>
      <c r="E75" t="s">
        <v>5537</v>
      </c>
      <c r="F75" t="s">
        <v>72</v>
      </c>
    </row>
    <row r="76" spans="1:6" x14ac:dyDescent="0.3">
      <c r="A76" s="58" t="s">
        <v>73</v>
      </c>
      <c r="B76" t="s">
        <v>5392</v>
      </c>
      <c r="C76" t="s">
        <v>4814</v>
      </c>
      <c r="D76" t="s">
        <v>2469</v>
      </c>
      <c r="E76" t="s">
        <v>5538</v>
      </c>
      <c r="F76" t="s">
        <v>73</v>
      </c>
    </row>
    <row r="77" spans="1:6" x14ac:dyDescent="0.3">
      <c r="A77" s="58" t="s">
        <v>74</v>
      </c>
      <c r="B77" t="s">
        <v>5392</v>
      </c>
      <c r="C77" t="s">
        <v>4815</v>
      </c>
      <c r="D77" t="s">
        <v>2470</v>
      </c>
      <c r="E77" t="s">
        <v>5538</v>
      </c>
      <c r="F77" t="s">
        <v>74</v>
      </c>
    </row>
    <row r="78" spans="1:6" x14ac:dyDescent="0.3">
      <c r="A78" s="58" t="s">
        <v>75</v>
      </c>
      <c r="B78" t="s">
        <v>5392</v>
      </c>
      <c r="C78" t="s">
        <v>4815</v>
      </c>
      <c r="D78" t="s">
        <v>2471</v>
      </c>
      <c r="E78" t="s">
        <v>5538</v>
      </c>
      <c r="F78" t="s">
        <v>75</v>
      </c>
    </row>
    <row r="79" spans="1:6" x14ac:dyDescent="0.3">
      <c r="A79" s="58" t="s">
        <v>76</v>
      </c>
      <c r="B79" t="s">
        <v>5392</v>
      </c>
      <c r="C79" t="s">
        <v>4815</v>
      </c>
      <c r="D79" t="s">
        <v>2472</v>
      </c>
      <c r="E79" t="s">
        <v>5538</v>
      </c>
      <c r="F79" t="s">
        <v>76</v>
      </c>
    </row>
    <row r="80" spans="1:6" x14ac:dyDescent="0.3">
      <c r="A80" s="58" t="s">
        <v>77</v>
      </c>
      <c r="B80" t="s">
        <v>5392</v>
      </c>
      <c r="C80" t="s">
        <v>4815</v>
      </c>
      <c r="D80" t="s">
        <v>2473</v>
      </c>
      <c r="E80" t="s">
        <v>5538</v>
      </c>
      <c r="F80" t="s">
        <v>77</v>
      </c>
    </row>
    <row r="81" spans="1:6" x14ac:dyDescent="0.3">
      <c r="A81" s="58" t="s">
        <v>78</v>
      </c>
      <c r="B81" t="s">
        <v>5392</v>
      </c>
      <c r="C81" t="s">
        <v>4815</v>
      </c>
      <c r="D81" t="s">
        <v>2474</v>
      </c>
      <c r="E81" t="s">
        <v>5538</v>
      </c>
      <c r="F81" t="s">
        <v>78</v>
      </c>
    </row>
    <row r="82" spans="1:6" x14ac:dyDescent="0.3">
      <c r="A82" s="58" t="s">
        <v>79</v>
      </c>
      <c r="B82" t="s">
        <v>5392</v>
      </c>
      <c r="C82" t="s">
        <v>4816</v>
      </c>
      <c r="D82" t="s">
        <v>2475</v>
      </c>
      <c r="E82" t="s">
        <v>5537</v>
      </c>
      <c r="F82" t="s">
        <v>79</v>
      </c>
    </row>
    <row r="83" spans="1:6" x14ac:dyDescent="0.3">
      <c r="A83" s="58" t="s">
        <v>80</v>
      </c>
      <c r="B83" t="s">
        <v>5392</v>
      </c>
      <c r="C83" t="s">
        <v>4816</v>
      </c>
      <c r="D83" t="s">
        <v>2476</v>
      </c>
      <c r="E83" t="s">
        <v>5537</v>
      </c>
      <c r="F83" t="s">
        <v>80</v>
      </c>
    </row>
    <row r="84" spans="1:6" x14ac:dyDescent="0.3">
      <c r="A84" s="58" t="s">
        <v>81</v>
      </c>
      <c r="B84" t="s">
        <v>5392</v>
      </c>
      <c r="C84" t="s">
        <v>4816</v>
      </c>
      <c r="D84" t="s">
        <v>2477</v>
      </c>
      <c r="E84" t="s">
        <v>5538</v>
      </c>
      <c r="F84" t="s">
        <v>81</v>
      </c>
    </row>
    <row r="85" spans="1:6" x14ac:dyDescent="0.3">
      <c r="A85" s="58" t="s">
        <v>82</v>
      </c>
      <c r="B85" t="s">
        <v>5392</v>
      </c>
      <c r="C85" t="s">
        <v>4817</v>
      </c>
      <c r="D85" t="s">
        <v>4526</v>
      </c>
      <c r="E85" t="s">
        <v>5536</v>
      </c>
      <c r="F85" t="s">
        <v>82</v>
      </c>
    </row>
    <row r="86" spans="1:6" x14ac:dyDescent="0.3">
      <c r="A86" s="58" t="s">
        <v>83</v>
      </c>
      <c r="B86" t="s">
        <v>5392</v>
      </c>
      <c r="C86" t="s">
        <v>4817</v>
      </c>
      <c r="D86" t="s">
        <v>2479</v>
      </c>
      <c r="E86" t="s">
        <v>5538</v>
      </c>
      <c r="F86" t="s">
        <v>83</v>
      </c>
    </row>
    <row r="87" spans="1:6" x14ac:dyDescent="0.3">
      <c r="A87" s="58" t="s">
        <v>84</v>
      </c>
      <c r="B87" t="s">
        <v>5392</v>
      </c>
      <c r="C87" t="s">
        <v>4817</v>
      </c>
      <c r="D87" t="s">
        <v>2480</v>
      </c>
      <c r="E87" t="s">
        <v>5537</v>
      </c>
      <c r="F87" t="s">
        <v>84</v>
      </c>
    </row>
    <row r="88" spans="1:6" x14ac:dyDescent="0.3">
      <c r="A88" s="58" t="s">
        <v>85</v>
      </c>
      <c r="B88" t="s">
        <v>5392</v>
      </c>
      <c r="C88" t="s">
        <v>4817</v>
      </c>
      <c r="D88" t="s">
        <v>2481</v>
      </c>
      <c r="E88" t="s">
        <v>5537</v>
      </c>
      <c r="F88" t="s">
        <v>85</v>
      </c>
    </row>
    <row r="89" spans="1:6" x14ac:dyDescent="0.3">
      <c r="A89" s="58" t="s">
        <v>86</v>
      </c>
      <c r="B89" t="s">
        <v>5392</v>
      </c>
      <c r="C89" t="s">
        <v>4817</v>
      </c>
      <c r="D89" t="s">
        <v>2482</v>
      </c>
      <c r="E89" t="s">
        <v>5538</v>
      </c>
      <c r="F89" t="s">
        <v>86</v>
      </c>
    </row>
    <row r="90" spans="1:6" x14ac:dyDescent="0.3">
      <c r="A90" s="58" t="s">
        <v>87</v>
      </c>
      <c r="B90" t="s">
        <v>5392</v>
      </c>
      <c r="C90" t="s">
        <v>4817</v>
      </c>
      <c r="D90" t="s">
        <v>4527</v>
      </c>
      <c r="E90" t="s">
        <v>5537</v>
      </c>
      <c r="F90" t="s">
        <v>87</v>
      </c>
    </row>
    <row r="91" spans="1:6" x14ac:dyDescent="0.3">
      <c r="A91" s="58" t="s">
        <v>88</v>
      </c>
      <c r="B91" t="s">
        <v>5392</v>
      </c>
      <c r="C91" t="s">
        <v>4817</v>
      </c>
      <c r="D91" t="s">
        <v>2483</v>
      </c>
      <c r="E91" t="s">
        <v>5538</v>
      </c>
      <c r="F91" t="s">
        <v>88</v>
      </c>
    </row>
    <row r="92" spans="1:6" x14ac:dyDescent="0.3">
      <c r="A92" s="58" t="s">
        <v>89</v>
      </c>
      <c r="B92" t="s">
        <v>5392</v>
      </c>
      <c r="C92" t="s">
        <v>4817</v>
      </c>
      <c r="D92" t="s">
        <v>2484</v>
      </c>
      <c r="E92" t="s">
        <v>5538</v>
      </c>
      <c r="F92" t="s">
        <v>89</v>
      </c>
    </row>
    <row r="93" spans="1:6" x14ac:dyDescent="0.3">
      <c r="A93" s="58" t="s">
        <v>90</v>
      </c>
      <c r="B93" t="s">
        <v>5392</v>
      </c>
      <c r="C93" t="s">
        <v>4818</v>
      </c>
      <c r="D93" t="s">
        <v>4528</v>
      </c>
      <c r="E93" t="s">
        <v>5536</v>
      </c>
      <c r="F93" t="s">
        <v>90</v>
      </c>
    </row>
    <row r="94" spans="1:6" x14ac:dyDescent="0.3">
      <c r="A94" s="58" t="s">
        <v>91</v>
      </c>
      <c r="B94" t="s">
        <v>5392</v>
      </c>
      <c r="C94" t="s">
        <v>4818</v>
      </c>
      <c r="D94" t="s">
        <v>2485</v>
      </c>
      <c r="E94" t="s">
        <v>5537</v>
      </c>
      <c r="F94" t="s">
        <v>91</v>
      </c>
    </row>
    <row r="95" spans="1:6" x14ac:dyDescent="0.3">
      <c r="A95" s="58" t="s">
        <v>92</v>
      </c>
      <c r="B95" t="s">
        <v>5392</v>
      </c>
      <c r="C95" t="s">
        <v>4818</v>
      </c>
      <c r="D95" t="s">
        <v>2486</v>
      </c>
      <c r="E95" t="s">
        <v>5538</v>
      </c>
      <c r="F95" t="s">
        <v>92</v>
      </c>
    </row>
    <row r="96" spans="1:6" x14ac:dyDescent="0.3">
      <c r="A96" s="58" t="s">
        <v>93</v>
      </c>
      <c r="B96" t="s">
        <v>5392</v>
      </c>
      <c r="C96" t="s">
        <v>4818</v>
      </c>
      <c r="D96" t="s">
        <v>4529</v>
      </c>
      <c r="E96" t="s">
        <v>5537</v>
      </c>
      <c r="F96" t="s">
        <v>93</v>
      </c>
    </row>
    <row r="97" spans="1:6" x14ac:dyDescent="0.3">
      <c r="A97" s="58" t="s">
        <v>94</v>
      </c>
      <c r="B97" t="s">
        <v>5392</v>
      </c>
      <c r="C97" t="s">
        <v>4819</v>
      </c>
      <c r="D97" t="s">
        <v>2487</v>
      </c>
      <c r="E97" t="s">
        <v>5538</v>
      </c>
      <c r="F97" t="s">
        <v>94</v>
      </c>
    </row>
    <row r="98" spans="1:6" x14ac:dyDescent="0.3">
      <c r="A98" s="58" t="s">
        <v>95</v>
      </c>
      <c r="B98" t="s">
        <v>5392</v>
      </c>
      <c r="C98" t="s">
        <v>4819</v>
      </c>
      <c r="D98" t="s">
        <v>2488</v>
      </c>
      <c r="E98" t="s">
        <v>5537</v>
      </c>
      <c r="F98" t="s">
        <v>95</v>
      </c>
    </row>
    <row r="99" spans="1:6" x14ac:dyDescent="0.3">
      <c r="A99" s="58" t="s">
        <v>96</v>
      </c>
      <c r="B99" t="s">
        <v>5392</v>
      </c>
      <c r="C99" t="s">
        <v>4819</v>
      </c>
      <c r="D99" t="s">
        <v>2489</v>
      </c>
      <c r="E99" t="s">
        <v>5537</v>
      </c>
      <c r="F99" t="s">
        <v>96</v>
      </c>
    </row>
    <row r="100" spans="1:6" x14ac:dyDescent="0.3">
      <c r="A100" s="58" t="s">
        <v>97</v>
      </c>
      <c r="B100" t="s">
        <v>5392</v>
      </c>
      <c r="C100" t="s">
        <v>4819</v>
      </c>
      <c r="D100" t="s">
        <v>2490</v>
      </c>
      <c r="E100" t="s">
        <v>5538</v>
      </c>
      <c r="F100" t="s">
        <v>97</v>
      </c>
    </row>
    <row r="101" spans="1:6" x14ac:dyDescent="0.3">
      <c r="A101" s="58" t="s">
        <v>98</v>
      </c>
      <c r="B101" t="s">
        <v>5392</v>
      </c>
      <c r="C101" t="s">
        <v>4819</v>
      </c>
      <c r="D101" t="s">
        <v>2491</v>
      </c>
      <c r="E101" t="s">
        <v>5538</v>
      </c>
      <c r="F101" t="s">
        <v>98</v>
      </c>
    </row>
    <row r="102" spans="1:6" x14ac:dyDescent="0.3">
      <c r="A102" s="58" t="s">
        <v>99</v>
      </c>
      <c r="B102" t="s">
        <v>5392</v>
      </c>
      <c r="C102" t="s">
        <v>4819</v>
      </c>
      <c r="D102" t="s">
        <v>2492</v>
      </c>
      <c r="E102" t="s">
        <v>5537</v>
      </c>
      <c r="F102" t="s">
        <v>99</v>
      </c>
    </row>
    <row r="103" spans="1:6" x14ac:dyDescent="0.3">
      <c r="A103" s="58" t="s">
        <v>100</v>
      </c>
      <c r="B103" t="s">
        <v>5392</v>
      </c>
      <c r="C103" t="s">
        <v>4820</v>
      </c>
      <c r="D103" t="s">
        <v>2493</v>
      </c>
      <c r="E103" t="s">
        <v>5537</v>
      </c>
      <c r="F103" t="s">
        <v>100</v>
      </c>
    </row>
    <row r="104" spans="1:6" x14ac:dyDescent="0.3">
      <c r="A104" s="58" t="s">
        <v>101</v>
      </c>
      <c r="B104" t="s">
        <v>5392</v>
      </c>
      <c r="C104" t="s">
        <v>4820</v>
      </c>
      <c r="D104" t="s">
        <v>2494</v>
      </c>
      <c r="E104" t="s">
        <v>5537</v>
      </c>
      <c r="F104" t="s">
        <v>101</v>
      </c>
    </row>
    <row r="105" spans="1:6" x14ac:dyDescent="0.3">
      <c r="A105" s="58" t="s">
        <v>102</v>
      </c>
      <c r="B105" t="s">
        <v>5392</v>
      </c>
      <c r="C105" t="s">
        <v>4820</v>
      </c>
      <c r="D105" t="s">
        <v>2495</v>
      </c>
      <c r="E105" t="s">
        <v>5537</v>
      </c>
      <c r="F105" t="s">
        <v>102</v>
      </c>
    </row>
    <row r="106" spans="1:6" x14ac:dyDescent="0.3">
      <c r="A106" s="58" t="s">
        <v>103</v>
      </c>
      <c r="B106" t="s">
        <v>5392</v>
      </c>
      <c r="C106" t="s">
        <v>4820</v>
      </c>
      <c r="D106" t="s">
        <v>2496</v>
      </c>
      <c r="E106" t="s">
        <v>5538</v>
      </c>
      <c r="F106" t="s">
        <v>103</v>
      </c>
    </row>
    <row r="107" spans="1:6" x14ac:dyDescent="0.3">
      <c r="A107" s="58" t="s">
        <v>104</v>
      </c>
      <c r="B107" t="s">
        <v>5392</v>
      </c>
      <c r="C107" t="s">
        <v>4820</v>
      </c>
      <c r="D107" t="s">
        <v>2497</v>
      </c>
      <c r="E107" t="s">
        <v>5538</v>
      </c>
      <c r="F107" t="s">
        <v>104</v>
      </c>
    </row>
    <row r="108" spans="1:6" x14ac:dyDescent="0.3">
      <c r="A108" s="58" t="s">
        <v>105</v>
      </c>
      <c r="B108" t="s">
        <v>5392</v>
      </c>
      <c r="C108" t="s">
        <v>4821</v>
      </c>
      <c r="D108" t="s">
        <v>2498</v>
      </c>
      <c r="E108" t="s">
        <v>5537</v>
      </c>
      <c r="F108" t="s">
        <v>105</v>
      </c>
    </row>
    <row r="109" spans="1:6" x14ac:dyDescent="0.3">
      <c r="A109" s="58" t="s">
        <v>106</v>
      </c>
      <c r="B109" t="s">
        <v>5392</v>
      </c>
      <c r="C109" t="s">
        <v>4821</v>
      </c>
      <c r="D109" t="s">
        <v>2499</v>
      </c>
      <c r="E109" t="s">
        <v>5537</v>
      </c>
      <c r="F109" t="s">
        <v>106</v>
      </c>
    </row>
    <row r="110" spans="1:6" x14ac:dyDescent="0.3">
      <c r="A110" s="58" t="s">
        <v>107</v>
      </c>
      <c r="B110" t="s">
        <v>5392</v>
      </c>
      <c r="C110" t="s">
        <v>4821</v>
      </c>
      <c r="D110" t="s">
        <v>2500</v>
      </c>
      <c r="E110" t="s">
        <v>5538</v>
      </c>
      <c r="F110" t="s">
        <v>5480</v>
      </c>
    </row>
    <row r="111" spans="1:6" x14ac:dyDescent="0.3">
      <c r="A111" s="58" t="s">
        <v>108</v>
      </c>
      <c r="B111" t="s">
        <v>5392</v>
      </c>
      <c r="C111" t="s">
        <v>4821</v>
      </c>
      <c r="D111" t="s">
        <v>2501</v>
      </c>
      <c r="E111" t="s">
        <v>5538</v>
      </c>
      <c r="F111" t="s">
        <v>108</v>
      </c>
    </row>
    <row r="112" spans="1:6" x14ac:dyDescent="0.3">
      <c r="A112" s="58" t="s">
        <v>109</v>
      </c>
      <c r="B112" t="s">
        <v>5392</v>
      </c>
      <c r="C112" t="s">
        <v>4821</v>
      </c>
      <c r="D112" t="s">
        <v>2502</v>
      </c>
      <c r="E112" t="s">
        <v>5537</v>
      </c>
      <c r="F112" t="s">
        <v>109</v>
      </c>
    </row>
    <row r="113" spans="1:6" x14ac:dyDescent="0.3">
      <c r="A113" s="58" t="s">
        <v>110</v>
      </c>
      <c r="B113" t="s">
        <v>5392</v>
      </c>
      <c r="C113" t="s">
        <v>4822</v>
      </c>
      <c r="D113" t="s">
        <v>4530</v>
      </c>
      <c r="E113" t="s">
        <v>5536</v>
      </c>
      <c r="F113" t="s">
        <v>110</v>
      </c>
    </row>
    <row r="114" spans="1:6" x14ac:dyDescent="0.3">
      <c r="A114" s="58" t="s">
        <v>111</v>
      </c>
      <c r="B114" t="s">
        <v>5392</v>
      </c>
      <c r="C114" t="s">
        <v>4822</v>
      </c>
      <c r="D114" t="s">
        <v>2504</v>
      </c>
      <c r="E114" t="s">
        <v>5536</v>
      </c>
      <c r="F114" t="s">
        <v>111</v>
      </c>
    </row>
    <row r="115" spans="1:6" x14ac:dyDescent="0.3">
      <c r="A115" s="58" t="s">
        <v>112</v>
      </c>
      <c r="B115" t="s">
        <v>5392</v>
      </c>
      <c r="C115" t="s">
        <v>4822</v>
      </c>
      <c r="D115" t="s">
        <v>2505</v>
      </c>
      <c r="E115" t="s">
        <v>5537</v>
      </c>
      <c r="F115" t="s">
        <v>112</v>
      </c>
    </row>
    <row r="116" spans="1:6" x14ac:dyDescent="0.3">
      <c r="A116" s="58" t="s">
        <v>113</v>
      </c>
      <c r="B116" t="s">
        <v>5392</v>
      </c>
      <c r="C116" t="s">
        <v>4822</v>
      </c>
      <c r="D116" t="s">
        <v>2506</v>
      </c>
      <c r="E116" t="s">
        <v>5538</v>
      </c>
      <c r="F116" t="s">
        <v>113</v>
      </c>
    </row>
    <row r="117" spans="1:6" x14ac:dyDescent="0.3">
      <c r="A117" s="58" t="s">
        <v>114</v>
      </c>
      <c r="B117" t="s">
        <v>5392</v>
      </c>
      <c r="C117" t="s">
        <v>4822</v>
      </c>
      <c r="D117" t="s">
        <v>2507</v>
      </c>
      <c r="E117" t="s">
        <v>5537</v>
      </c>
      <c r="F117" t="s">
        <v>114</v>
      </c>
    </row>
    <row r="118" spans="1:6" x14ac:dyDescent="0.3">
      <c r="A118" s="58" t="s">
        <v>115</v>
      </c>
      <c r="B118" t="s">
        <v>5392</v>
      </c>
      <c r="C118" t="s">
        <v>4822</v>
      </c>
      <c r="D118" t="s">
        <v>2508</v>
      </c>
      <c r="E118" t="s">
        <v>5538</v>
      </c>
      <c r="F118" t="s">
        <v>115</v>
      </c>
    </row>
    <row r="119" spans="1:6" x14ac:dyDescent="0.3">
      <c r="A119" s="58" t="s">
        <v>116</v>
      </c>
      <c r="B119" t="s">
        <v>5392</v>
      </c>
      <c r="C119" t="s">
        <v>4822</v>
      </c>
      <c r="D119" t="s">
        <v>4531</v>
      </c>
      <c r="E119" t="s">
        <v>5537</v>
      </c>
      <c r="F119" t="s">
        <v>116</v>
      </c>
    </row>
    <row r="120" spans="1:6" x14ac:dyDescent="0.3">
      <c r="A120" s="58" t="s">
        <v>117</v>
      </c>
      <c r="B120" t="s">
        <v>5392</v>
      </c>
      <c r="C120" t="s">
        <v>4822</v>
      </c>
      <c r="D120" t="s">
        <v>2509</v>
      </c>
      <c r="E120" t="s">
        <v>5538</v>
      </c>
      <c r="F120" t="s">
        <v>117</v>
      </c>
    </row>
    <row r="121" spans="1:6" x14ac:dyDescent="0.3">
      <c r="A121" s="58" t="s">
        <v>118</v>
      </c>
      <c r="B121" t="s">
        <v>5392</v>
      </c>
      <c r="C121" t="s">
        <v>4823</v>
      </c>
      <c r="D121" t="s">
        <v>2510</v>
      </c>
      <c r="E121" t="s">
        <v>5538</v>
      </c>
      <c r="F121" t="s">
        <v>118</v>
      </c>
    </row>
    <row r="122" spans="1:6" x14ac:dyDescent="0.3">
      <c r="A122" s="58" t="s">
        <v>119</v>
      </c>
      <c r="B122" t="s">
        <v>5392</v>
      </c>
      <c r="C122" t="s">
        <v>4823</v>
      </c>
      <c r="D122" t="s">
        <v>2511</v>
      </c>
      <c r="E122" t="s">
        <v>5538</v>
      </c>
      <c r="F122" t="s">
        <v>119</v>
      </c>
    </row>
    <row r="123" spans="1:6" x14ac:dyDescent="0.3">
      <c r="A123" s="58" t="s">
        <v>120</v>
      </c>
      <c r="B123" t="s">
        <v>5392</v>
      </c>
      <c r="C123" t="s">
        <v>4823</v>
      </c>
      <c r="D123" t="s">
        <v>2512</v>
      </c>
      <c r="E123" t="s">
        <v>5538</v>
      </c>
      <c r="F123" t="s">
        <v>120</v>
      </c>
    </row>
    <row r="124" spans="1:6" x14ac:dyDescent="0.3">
      <c r="A124" s="58" t="s">
        <v>121</v>
      </c>
      <c r="B124" t="s">
        <v>5392</v>
      </c>
      <c r="C124" t="s">
        <v>4823</v>
      </c>
      <c r="D124" t="s">
        <v>2513</v>
      </c>
      <c r="E124" t="s">
        <v>5537</v>
      </c>
      <c r="F124" t="s">
        <v>121</v>
      </c>
    </row>
    <row r="125" spans="1:6" x14ac:dyDescent="0.3">
      <c r="A125" s="58" t="s">
        <v>122</v>
      </c>
      <c r="B125" t="s">
        <v>5392</v>
      </c>
      <c r="C125" t="s">
        <v>4823</v>
      </c>
      <c r="D125" t="s">
        <v>2514</v>
      </c>
      <c r="E125" t="s">
        <v>5537</v>
      </c>
      <c r="F125" t="s">
        <v>122</v>
      </c>
    </row>
    <row r="126" spans="1:6" x14ac:dyDescent="0.3">
      <c r="A126" s="58" t="s">
        <v>123</v>
      </c>
      <c r="B126" t="s">
        <v>5392</v>
      </c>
      <c r="C126" t="s">
        <v>4823</v>
      </c>
      <c r="D126" t="s">
        <v>2515</v>
      </c>
      <c r="E126" t="s">
        <v>5538</v>
      </c>
      <c r="F126" t="s">
        <v>123</v>
      </c>
    </row>
    <row r="127" spans="1:6" x14ac:dyDescent="0.3">
      <c r="A127" s="58" t="s">
        <v>124</v>
      </c>
      <c r="B127" t="s">
        <v>5392</v>
      </c>
      <c r="C127" t="s">
        <v>4824</v>
      </c>
      <c r="D127" t="s">
        <v>2516</v>
      </c>
      <c r="E127" t="s">
        <v>5536</v>
      </c>
      <c r="F127" t="s">
        <v>124</v>
      </c>
    </row>
    <row r="128" spans="1:6" x14ac:dyDescent="0.3">
      <c r="A128" s="58" t="s">
        <v>125</v>
      </c>
      <c r="B128" t="s">
        <v>5392</v>
      </c>
      <c r="C128" t="s">
        <v>4824</v>
      </c>
      <c r="D128" t="s">
        <v>2517</v>
      </c>
      <c r="E128" t="s">
        <v>5536</v>
      </c>
      <c r="F128" t="s">
        <v>125</v>
      </c>
    </row>
    <row r="129" spans="1:6" x14ac:dyDescent="0.3">
      <c r="A129" s="58" t="s">
        <v>126</v>
      </c>
      <c r="B129" t="s">
        <v>5392</v>
      </c>
      <c r="C129" t="s">
        <v>4824</v>
      </c>
      <c r="D129" t="s">
        <v>2518</v>
      </c>
      <c r="E129" t="s">
        <v>5536</v>
      </c>
      <c r="F129" t="s">
        <v>126</v>
      </c>
    </row>
    <row r="130" spans="1:6" x14ac:dyDescent="0.3">
      <c r="A130" s="58" t="s">
        <v>127</v>
      </c>
      <c r="B130" t="s">
        <v>5392</v>
      </c>
      <c r="C130" t="s">
        <v>4824</v>
      </c>
      <c r="D130" t="s">
        <v>2519</v>
      </c>
      <c r="E130" t="s">
        <v>5537</v>
      </c>
      <c r="F130" t="s">
        <v>127</v>
      </c>
    </row>
    <row r="131" spans="1:6" x14ac:dyDescent="0.3">
      <c r="A131" s="58" t="s">
        <v>128</v>
      </c>
      <c r="B131" t="s">
        <v>5392</v>
      </c>
      <c r="C131" t="s">
        <v>4824</v>
      </c>
      <c r="D131" t="s">
        <v>2520</v>
      </c>
      <c r="E131" t="s">
        <v>5538</v>
      </c>
      <c r="F131" t="s">
        <v>128</v>
      </c>
    </row>
    <row r="132" spans="1:6" x14ac:dyDescent="0.3">
      <c r="A132" s="58" t="s">
        <v>129</v>
      </c>
      <c r="B132" t="s">
        <v>5392</v>
      </c>
      <c r="C132" t="s">
        <v>4824</v>
      </c>
      <c r="D132" t="s">
        <v>2521</v>
      </c>
      <c r="E132" t="s">
        <v>5538</v>
      </c>
      <c r="F132" t="s">
        <v>129</v>
      </c>
    </row>
    <row r="133" spans="1:6" x14ac:dyDescent="0.3">
      <c r="A133" s="58" t="s">
        <v>130</v>
      </c>
      <c r="B133" t="s">
        <v>5392</v>
      </c>
      <c r="C133" t="s">
        <v>4824</v>
      </c>
      <c r="D133" t="s">
        <v>2522</v>
      </c>
      <c r="E133" t="s">
        <v>5537</v>
      </c>
      <c r="F133" t="s">
        <v>130</v>
      </c>
    </row>
    <row r="134" spans="1:6" x14ac:dyDescent="0.3">
      <c r="A134" s="58" t="s">
        <v>131</v>
      </c>
      <c r="B134" t="s">
        <v>5392</v>
      </c>
      <c r="C134" t="s">
        <v>4824</v>
      </c>
      <c r="D134" t="s">
        <v>2523</v>
      </c>
      <c r="E134" t="s">
        <v>5537</v>
      </c>
      <c r="F134" t="s">
        <v>131</v>
      </c>
    </row>
    <row r="135" spans="1:6" x14ac:dyDescent="0.3">
      <c r="A135" s="58" t="s">
        <v>132</v>
      </c>
      <c r="B135" t="s">
        <v>5392</v>
      </c>
      <c r="C135" t="s">
        <v>4825</v>
      </c>
      <c r="D135" t="s">
        <v>2525</v>
      </c>
      <c r="E135" t="s">
        <v>5538</v>
      </c>
      <c r="F135" t="s">
        <v>132</v>
      </c>
    </row>
    <row r="136" spans="1:6" x14ac:dyDescent="0.3">
      <c r="A136" s="58" t="s">
        <v>133</v>
      </c>
      <c r="B136" t="s">
        <v>5392</v>
      </c>
      <c r="C136" t="s">
        <v>4825</v>
      </c>
      <c r="D136" t="s">
        <v>2526</v>
      </c>
      <c r="E136" t="s">
        <v>5537</v>
      </c>
      <c r="F136" t="s">
        <v>133</v>
      </c>
    </row>
    <row r="137" spans="1:6" x14ac:dyDescent="0.3">
      <c r="A137" s="58" t="s">
        <v>134</v>
      </c>
      <c r="B137" t="s">
        <v>5392</v>
      </c>
      <c r="C137" t="s">
        <v>4825</v>
      </c>
      <c r="D137" t="s">
        <v>2527</v>
      </c>
      <c r="E137" t="s">
        <v>5538</v>
      </c>
      <c r="F137" t="s">
        <v>134</v>
      </c>
    </row>
    <row r="138" spans="1:6" x14ac:dyDescent="0.3">
      <c r="A138" s="58" t="s">
        <v>135</v>
      </c>
      <c r="B138" t="s">
        <v>5392</v>
      </c>
      <c r="C138" t="s">
        <v>4826</v>
      </c>
      <c r="D138" t="s">
        <v>2528</v>
      </c>
      <c r="E138" t="s">
        <v>5537</v>
      </c>
      <c r="F138" t="s">
        <v>135</v>
      </c>
    </row>
    <row r="139" spans="1:6" x14ac:dyDescent="0.3">
      <c r="A139" s="58" t="s">
        <v>136</v>
      </c>
      <c r="B139" t="s">
        <v>5392</v>
      </c>
      <c r="C139" t="s">
        <v>4826</v>
      </c>
      <c r="D139" t="s">
        <v>2529</v>
      </c>
      <c r="E139" t="s">
        <v>5537</v>
      </c>
      <c r="F139" t="s">
        <v>136</v>
      </c>
    </row>
    <row r="140" spans="1:6" x14ac:dyDescent="0.3">
      <c r="A140" s="58" t="s">
        <v>137</v>
      </c>
      <c r="B140" t="s">
        <v>5392</v>
      </c>
      <c r="C140" t="s">
        <v>4826</v>
      </c>
      <c r="D140" t="s">
        <v>2530</v>
      </c>
      <c r="E140" t="s">
        <v>5537</v>
      </c>
      <c r="F140" t="s">
        <v>137</v>
      </c>
    </row>
    <row r="141" spans="1:6" x14ac:dyDescent="0.3">
      <c r="A141" s="58" t="s">
        <v>138</v>
      </c>
      <c r="B141" t="s">
        <v>5392</v>
      </c>
      <c r="C141" t="s">
        <v>4826</v>
      </c>
      <c r="D141" t="s">
        <v>2531</v>
      </c>
      <c r="E141" t="s">
        <v>5538</v>
      </c>
      <c r="F141" t="s">
        <v>138</v>
      </c>
    </row>
    <row r="142" spans="1:6" x14ac:dyDescent="0.3">
      <c r="A142" s="58" t="s">
        <v>139</v>
      </c>
      <c r="B142" t="s">
        <v>5392</v>
      </c>
      <c r="C142" t="s">
        <v>4826</v>
      </c>
      <c r="D142" t="s">
        <v>2532</v>
      </c>
      <c r="E142" t="s">
        <v>5537</v>
      </c>
      <c r="F142" t="s">
        <v>139</v>
      </c>
    </row>
    <row r="143" spans="1:6" x14ac:dyDescent="0.3">
      <c r="A143" s="58" t="s">
        <v>140</v>
      </c>
      <c r="B143" t="s">
        <v>5392</v>
      </c>
      <c r="C143" t="s">
        <v>4826</v>
      </c>
      <c r="D143" t="s">
        <v>2533</v>
      </c>
      <c r="E143" t="s">
        <v>5537</v>
      </c>
      <c r="F143" t="s">
        <v>140</v>
      </c>
    </row>
    <row r="144" spans="1:6" x14ac:dyDescent="0.3">
      <c r="A144" s="58" t="s">
        <v>141</v>
      </c>
      <c r="B144" t="s">
        <v>5392</v>
      </c>
      <c r="C144" t="s">
        <v>4826</v>
      </c>
      <c r="D144" t="s">
        <v>2534</v>
      </c>
      <c r="E144" t="s">
        <v>5538</v>
      </c>
      <c r="F144" t="s">
        <v>141</v>
      </c>
    </row>
    <row r="145" spans="1:6" x14ac:dyDescent="0.3">
      <c r="A145" s="58" t="s">
        <v>142</v>
      </c>
      <c r="B145" t="s">
        <v>5392</v>
      </c>
      <c r="C145" t="s">
        <v>4826</v>
      </c>
      <c r="D145" t="s">
        <v>2535</v>
      </c>
      <c r="E145" t="s">
        <v>5538</v>
      </c>
      <c r="F145" t="s">
        <v>142</v>
      </c>
    </row>
    <row r="146" spans="1:6" x14ac:dyDescent="0.3">
      <c r="A146" s="58" t="s">
        <v>143</v>
      </c>
      <c r="B146" t="s">
        <v>5392</v>
      </c>
      <c r="C146" t="s">
        <v>4826</v>
      </c>
      <c r="D146" t="s">
        <v>2536</v>
      </c>
      <c r="E146" t="s">
        <v>5537</v>
      </c>
      <c r="F146" t="s">
        <v>143</v>
      </c>
    </row>
    <row r="147" spans="1:6" x14ac:dyDescent="0.3">
      <c r="A147" s="58" t="s">
        <v>144</v>
      </c>
      <c r="B147" t="s">
        <v>5392</v>
      </c>
      <c r="C147" t="s">
        <v>4788</v>
      </c>
      <c r="D147" t="s">
        <v>2537</v>
      </c>
      <c r="E147" t="s">
        <v>5538</v>
      </c>
      <c r="F147" t="s">
        <v>144</v>
      </c>
    </row>
    <row r="148" spans="1:6" x14ac:dyDescent="0.3">
      <c r="A148" s="58" t="s">
        <v>145</v>
      </c>
      <c r="B148" t="s">
        <v>5392</v>
      </c>
      <c r="C148" t="s">
        <v>4788</v>
      </c>
      <c r="D148" t="s">
        <v>2538</v>
      </c>
      <c r="E148" t="s">
        <v>5537</v>
      </c>
      <c r="F148" t="s">
        <v>145</v>
      </c>
    </row>
    <row r="149" spans="1:6" x14ac:dyDescent="0.3">
      <c r="A149" s="58" t="s">
        <v>5407</v>
      </c>
      <c r="B149" t="s">
        <v>5392</v>
      </c>
      <c r="C149" t="s">
        <v>4788</v>
      </c>
      <c r="D149" t="s">
        <v>2539</v>
      </c>
      <c r="E149" t="s">
        <v>5538</v>
      </c>
      <c r="F149" t="s">
        <v>5407</v>
      </c>
    </row>
    <row r="150" spans="1:6" x14ac:dyDescent="0.3">
      <c r="A150" s="58" t="s">
        <v>146</v>
      </c>
      <c r="B150" t="s">
        <v>5392</v>
      </c>
      <c r="C150" t="s">
        <v>4788</v>
      </c>
      <c r="D150" t="s">
        <v>2540</v>
      </c>
      <c r="E150" t="s">
        <v>5537</v>
      </c>
      <c r="F150" t="s">
        <v>146</v>
      </c>
    </row>
    <row r="151" spans="1:6" x14ac:dyDescent="0.3">
      <c r="A151" s="58" t="s">
        <v>147</v>
      </c>
      <c r="B151" t="s">
        <v>5392</v>
      </c>
      <c r="C151" t="s">
        <v>4788</v>
      </c>
      <c r="D151" t="s">
        <v>2541</v>
      </c>
      <c r="E151" t="s">
        <v>5538</v>
      </c>
      <c r="F151" t="s">
        <v>147</v>
      </c>
    </row>
    <row r="152" spans="1:6" x14ac:dyDescent="0.3">
      <c r="A152" s="58" t="s">
        <v>148</v>
      </c>
      <c r="B152" t="s">
        <v>5392</v>
      </c>
      <c r="C152" t="s">
        <v>4788</v>
      </c>
      <c r="D152" t="s">
        <v>2542</v>
      </c>
      <c r="E152" t="s">
        <v>5538</v>
      </c>
      <c r="F152" t="s">
        <v>148</v>
      </c>
    </row>
    <row r="153" spans="1:6" x14ac:dyDescent="0.3">
      <c r="A153" s="58" t="s">
        <v>149</v>
      </c>
      <c r="B153" t="s">
        <v>5392</v>
      </c>
      <c r="C153" t="s">
        <v>4788</v>
      </c>
      <c r="D153" t="s">
        <v>2543</v>
      </c>
      <c r="E153" t="s">
        <v>5538</v>
      </c>
      <c r="F153" t="s">
        <v>149</v>
      </c>
    </row>
    <row r="154" spans="1:6" x14ac:dyDescent="0.3">
      <c r="A154" s="58" t="s">
        <v>150</v>
      </c>
      <c r="B154" t="s">
        <v>5392</v>
      </c>
      <c r="C154" t="s">
        <v>4827</v>
      </c>
      <c r="D154" t="s">
        <v>2544</v>
      </c>
      <c r="E154" t="s">
        <v>5536</v>
      </c>
      <c r="F154" t="s">
        <v>150</v>
      </c>
    </row>
    <row r="155" spans="1:6" x14ac:dyDescent="0.3">
      <c r="A155" s="58" t="s">
        <v>151</v>
      </c>
      <c r="B155" t="s">
        <v>5392</v>
      </c>
      <c r="C155" t="s">
        <v>4827</v>
      </c>
      <c r="D155" t="s">
        <v>4532</v>
      </c>
      <c r="E155" t="s">
        <v>5536</v>
      </c>
      <c r="F155" t="s">
        <v>151</v>
      </c>
    </row>
    <row r="156" spans="1:6" x14ac:dyDescent="0.3">
      <c r="A156" s="58" t="s">
        <v>152</v>
      </c>
      <c r="B156" t="s">
        <v>5392</v>
      </c>
      <c r="C156" t="s">
        <v>4827</v>
      </c>
      <c r="D156" t="s">
        <v>2545</v>
      </c>
      <c r="E156" t="s">
        <v>5538</v>
      </c>
      <c r="F156" t="s">
        <v>152</v>
      </c>
    </row>
    <row r="157" spans="1:6" x14ac:dyDescent="0.3">
      <c r="A157" s="58" t="s">
        <v>153</v>
      </c>
      <c r="B157" t="s">
        <v>5392</v>
      </c>
      <c r="C157" t="s">
        <v>4827</v>
      </c>
      <c r="D157" t="s">
        <v>2546</v>
      </c>
      <c r="E157" t="s">
        <v>5538</v>
      </c>
      <c r="F157" t="s">
        <v>153</v>
      </c>
    </row>
    <row r="158" spans="1:6" x14ac:dyDescent="0.3">
      <c r="A158" s="58" t="s">
        <v>154</v>
      </c>
      <c r="B158" t="s">
        <v>5392</v>
      </c>
      <c r="C158" t="s">
        <v>4827</v>
      </c>
      <c r="D158" t="s">
        <v>2547</v>
      </c>
      <c r="E158" t="s">
        <v>5537</v>
      </c>
      <c r="F158" t="s">
        <v>154</v>
      </c>
    </row>
    <row r="159" spans="1:6" x14ac:dyDescent="0.3">
      <c r="A159" s="58" t="s">
        <v>155</v>
      </c>
      <c r="B159" t="s">
        <v>5392</v>
      </c>
      <c r="C159" t="s">
        <v>4827</v>
      </c>
      <c r="D159" t="s">
        <v>2548</v>
      </c>
      <c r="E159" t="s">
        <v>5538</v>
      </c>
      <c r="F159" t="s">
        <v>155</v>
      </c>
    </row>
    <row r="160" spans="1:6" x14ac:dyDescent="0.3">
      <c r="A160" s="58" t="s">
        <v>156</v>
      </c>
      <c r="B160" t="s">
        <v>5392</v>
      </c>
      <c r="C160" t="s">
        <v>4827</v>
      </c>
      <c r="D160" t="s">
        <v>4533</v>
      </c>
      <c r="E160" t="s">
        <v>5537</v>
      </c>
      <c r="F160" t="s">
        <v>156</v>
      </c>
    </row>
    <row r="161" spans="1:6" x14ac:dyDescent="0.3">
      <c r="A161" s="58" t="s">
        <v>157</v>
      </c>
      <c r="B161" t="s">
        <v>5392</v>
      </c>
      <c r="C161" t="s">
        <v>4828</v>
      </c>
      <c r="D161" t="s">
        <v>2549</v>
      </c>
      <c r="E161" t="s">
        <v>5536</v>
      </c>
      <c r="F161" t="s">
        <v>157</v>
      </c>
    </row>
    <row r="162" spans="1:6" x14ac:dyDescent="0.3">
      <c r="A162" s="58" t="s">
        <v>158</v>
      </c>
      <c r="B162" t="s">
        <v>5392</v>
      </c>
      <c r="C162" t="s">
        <v>4828</v>
      </c>
      <c r="D162" t="s">
        <v>4534</v>
      </c>
      <c r="E162" t="s">
        <v>5536</v>
      </c>
      <c r="F162" t="s">
        <v>158</v>
      </c>
    </row>
    <row r="163" spans="1:6" x14ac:dyDescent="0.3">
      <c r="A163" s="58" t="s">
        <v>159</v>
      </c>
      <c r="B163" t="s">
        <v>5392</v>
      </c>
      <c r="C163" t="s">
        <v>4828</v>
      </c>
      <c r="D163" t="s">
        <v>2550</v>
      </c>
      <c r="E163" t="s">
        <v>5537</v>
      </c>
      <c r="F163" t="s">
        <v>159</v>
      </c>
    </row>
    <row r="164" spans="1:6" x14ac:dyDescent="0.3">
      <c r="A164" s="58" t="s">
        <v>160</v>
      </c>
      <c r="B164" t="s">
        <v>5392</v>
      </c>
      <c r="C164" t="s">
        <v>4828</v>
      </c>
      <c r="D164" t="s">
        <v>2551</v>
      </c>
      <c r="E164" t="s">
        <v>5538</v>
      </c>
      <c r="F164" t="s">
        <v>160</v>
      </c>
    </row>
    <row r="165" spans="1:6" x14ac:dyDescent="0.3">
      <c r="A165" s="58" t="s">
        <v>161</v>
      </c>
      <c r="B165" t="s">
        <v>5392</v>
      </c>
      <c r="C165" t="s">
        <v>4828</v>
      </c>
      <c r="D165" t="s">
        <v>2552</v>
      </c>
      <c r="E165" t="s">
        <v>5537</v>
      </c>
      <c r="F165" t="s">
        <v>161</v>
      </c>
    </row>
    <row r="166" spans="1:6" x14ac:dyDescent="0.3">
      <c r="A166" s="58" t="s">
        <v>162</v>
      </c>
      <c r="B166" t="s">
        <v>5392</v>
      </c>
      <c r="C166" t="s">
        <v>4828</v>
      </c>
      <c r="D166" t="s">
        <v>4535</v>
      </c>
      <c r="E166" t="s">
        <v>5537</v>
      </c>
      <c r="F166" t="s">
        <v>162</v>
      </c>
    </row>
    <row r="167" spans="1:6" x14ac:dyDescent="0.3">
      <c r="A167" s="58" t="s">
        <v>163</v>
      </c>
      <c r="B167" t="s">
        <v>5392</v>
      </c>
      <c r="C167" t="s">
        <v>2553</v>
      </c>
      <c r="D167" t="s">
        <v>2553</v>
      </c>
      <c r="E167" t="s">
        <v>5536</v>
      </c>
      <c r="F167" t="s">
        <v>163</v>
      </c>
    </row>
    <row r="168" spans="1:6" x14ac:dyDescent="0.3">
      <c r="A168" s="58" t="s">
        <v>164</v>
      </c>
      <c r="B168" t="s">
        <v>5392</v>
      </c>
      <c r="C168" t="s">
        <v>2554</v>
      </c>
      <c r="D168" t="s">
        <v>2554</v>
      </c>
      <c r="E168" t="s">
        <v>5536</v>
      </c>
      <c r="F168" t="s">
        <v>164</v>
      </c>
    </row>
    <row r="169" spans="1:6" x14ac:dyDescent="0.3">
      <c r="A169" s="58" t="s">
        <v>165</v>
      </c>
      <c r="B169" t="s">
        <v>5392</v>
      </c>
      <c r="C169" t="s">
        <v>2555</v>
      </c>
      <c r="D169" t="s">
        <v>2555</v>
      </c>
      <c r="E169" t="s">
        <v>5536</v>
      </c>
      <c r="F169" t="s">
        <v>165</v>
      </c>
    </row>
    <row r="170" spans="1:6" x14ac:dyDescent="0.3">
      <c r="A170" s="58" t="s">
        <v>5208</v>
      </c>
      <c r="B170" t="s">
        <v>5392</v>
      </c>
      <c r="C170" t="s">
        <v>2524</v>
      </c>
      <c r="D170" t="s">
        <v>2524</v>
      </c>
      <c r="E170" t="s">
        <v>5536</v>
      </c>
      <c r="F170" t="s">
        <v>5208</v>
      </c>
    </row>
    <row r="171" spans="1:6" x14ac:dyDescent="0.3">
      <c r="A171" s="58" t="s">
        <v>166</v>
      </c>
      <c r="B171" t="s">
        <v>5382</v>
      </c>
      <c r="C171" t="s">
        <v>4829</v>
      </c>
      <c r="D171" t="s">
        <v>4536</v>
      </c>
      <c r="E171" t="s">
        <v>5536</v>
      </c>
      <c r="F171" t="s">
        <v>166</v>
      </c>
    </row>
    <row r="172" spans="1:6" x14ac:dyDescent="0.3">
      <c r="A172" s="58" t="s">
        <v>167</v>
      </c>
      <c r="B172" t="s">
        <v>5382</v>
      </c>
      <c r="C172" t="s">
        <v>4829</v>
      </c>
      <c r="D172" t="s">
        <v>2556</v>
      </c>
      <c r="E172" t="s">
        <v>5536</v>
      </c>
      <c r="F172" t="s">
        <v>167</v>
      </c>
    </row>
    <row r="173" spans="1:6" x14ac:dyDescent="0.3">
      <c r="A173" s="58" t="s">
        <v>168</v>
      </c>
      <c r="B173" t="s">
        <v>5382</v>
      </c>
      <c r="C173" t="s">
        <v>4829</v>
      </c>
      <c r="D173" t="s">
        <v>2557</v>
      </c>
      <c r="E173" t="s">
        <v>5536</v>
      </c>
      <c r="F173" t="s">
        <v>168</v>
      </c>
    </row>
    <row r="174" spans="1:6" x14ac:dyDescent="0.3">
      <c r="A174" s="58" t="s">
        <v>169</v>
      </c>
      <c r="B174" t="s">
        <v>5382</v>
      </c>
      <c r="C174" t="s">
        <v>4829</v>
      </c>
      <c r="D174" t="s">
        <v>4537</v>
      </c>
      <c r="E174" t="s">
        <v>5537</v>
      </c>
      <c r="F174" t="s">
        <v>169</v>
      </c>
    </row>
    <row r="175" spans="1:6" x14ac:dyDescent="0.3">
      <c r="A175" s="58" t="s">
        <v>170</v>
      </c>
      <c r="B175" t="s">
        <v>5382</v>
      </c>
      <c r="C175" t="s">
        <v>4829</v>
      </c>
      <c r="D175" t="s">
        <v>2558</v>
      </c>
      <c r="E175" t="s">
        <v>5537</v>
      </c>
      <c r="F175" t="s">
        <v>170</v>
      </c>
    </row>
    <row r="176" spans="1:6" x14ac:dyDescent="0.3">
      <c r="A176" s="58" t="s">
        <v>171</v>
      </c>
      <c r="B176" t="s">
        <v>5382</v>
      </c>
      <c r="C176" t="s">
        <v>4829</v>
      </c>
      <c r="D176" t="s">
        <v>2559</v>
      </c>
      <c r="E176" t="s">
        <v>5537</v>
      </c>
      <c r="F176" t="s">
        <v>171</v>
      </c>
    </row>
    <row r="177" spans="1:6" x14ac:dyDescent="0.3">
      <c r="A177" s="58" t="s">
        <v>172</v>
      </c>
      <c r="B177" t="s">
        <v>5382</v>
      </c>
      <c r="C177" t="s">
        <v>4829</v>
      </c>
      <c r="D177" t="s">
        <v>2560</v>
      </c>
      <c r="E177" t="s">
        <v>5537</v>
      </c>
      <c r="F177" t="s">
        <v>172</v>
      </c>
    </row>
    <row r="178" spans="1:6" x14ac:dyDescent="0.3">
      <c r="A178" s="58" t="s">
        <v>173</v>
      </c>
      <c r="B178" t="s">
        <v>5382</v>
      </c>
      <c r="C178" t="s">
        <v>4829</v>
      </c>
      <c r="D178" t="s">
        <v>2561</v>
      </c>
      <c r="E178" t="s">
        <v>5537</v>
      </c>
      <c r="F178" t="s">
        <v>173</v>
      </c>
    </row>
    <row r="179" spans="1:6" x14ac:dyDescent="0.3">
      <c r="A179" s="58" t="s">
        <v>174</v>
      </c>
      <c r="B179" t="s">
        <v>5382</v>
      </c>
      <c r="C179" t="s">
        <v>4829</v>
      </c>
      <c r="D179" t="s">
        <v>2562</v>
      </c>
      <c r="E179" t="s">
        <v>5537</v>
      </c>
      <c r="F179" t="s">
        <v>174</v>
      </c>
    </row>
    <row r="180" spans="1:6" x14ac:dyDescent="0.3">
      <c r="A180" s="58" t="s">
        <v>175</v>
      </c>
      <c r="B180" t="s">
        <v>5382</v>
      </c>
      <c r="C180" t="s">
        <v>4830</v>
      </c>
      <c r="D180" t="s">
        <v>4538</v>
      </c>
      <c r="E180" t="s">
        <v>5536</v>
      </c>
      <c r="F180" t="s">
        <v>175</v>
      </c>
    </row>
    <row r="181" spans="1:6" x14ac:dyDescent="0.3">
      <c r="A181" s="58" t="s">
        <v>176</v>
      </c>
      <c r="B181" t="s">
        <v>5382</v>
      </c>
      <c r="C181" t="s">
        <v>4830</v>
      </c>
      <c r="D181" t="s">
        <v>2564</v>
      </c>
      <c r="E181" t="s">
        <v>5537</v>
      </c>
      <c r="F181" t="s">
        <v>176</v>
      </c>
    </row>
    <row r="182" spans="1:6" x14ac:dyDescent="0.3">
      <c r="A182" s="58" t="s">
        <v>177</v>
      </c>
      <c r="B182" t="s">
        <v>5382</v>
      </c>
      <c r="C182" t="s">
        <v>4830</v>
      </c>
      <c r="D182" t="s">
        <v>4539</v>
      </c>
      <c r="E182" t="s">
        <v>5537</v>
      </c>
      <c r="F182" t="s">
        <v>177</v>
      </c>
    </row>
    <row r="183" spans="1:6" x14ac:dyDescent="0.3">
      <c r="A183" s="58" t="s">
        <v>178</v>
      </c>
      <c r="B183" t="s">
        <v>5382</v>
      </c>
      <c r="C183" t="s">
        <v>4830</v>
      </c>
      <c r="D183" t="s">
        <v>2565</v>
      </c>
      <c r="E183" t="s">
        <v>5537</v>
      </c>
      <c r="F183" t="s">
        <v>178</v>
      </c>
    </row>
    <row r="184" spans="1:6" x14ac:dyDescent="0.3">
      <c r="A184" s="58" t="s">
        <v>179</v>
      </c>
      <c r="B184" t="s">
        <v>5382</v>
      </c>
      <c r="C184" t="s">
        <v>4830</v>
      </c>
      <c r="D184" t="s">
        <v>2566</v>
      </c>
      <c r="E184" t="s">
        <v>5538</v>
      </c>
      <c r="F184" t="s">
        <v>179</v>
      </c>
    </row>
    <row r="185" spans="1:6" x14ac:dyDescent="0.3">
      <c r="A185" s="58" t="s">
        <v>180</v>
      </c>
      <c r="B185" t="s">
        <v>5382</v>
      </c>
      <c r="C185" t="s">
        <v>4830</v>
      </c>
      <c r="D185" t="s">
        <v>2567</v>
      </c>
      <c r="E185" t="s">
        <v>5537</v>
      </c>
      <c r="F185" t="s">
        <v>180</v>
      </c>
    </row>
    <row r="186" spans="1:6" x14ac:dyDescent="0.3">
      <c r="A186" s="58" t="s">
        <v>181</v>
      </c>
      <c r="B186" t="s">
        <v>5382</v>
      </c>
      <c r="C186" t="s">
        <v>4830</v>
      </c>
      <c r="D186" t="s">
        <v>2568</v>
      </c>
      <c r="E186" t="s">
        <v>5538</v>
      </c>
      <c r="F186" t="s">
        <v>181</v>
      </c>
    </row>
    <row r="187" spans="1:6" x14ac:dyDescent="0.3">
      <c r="A187" s="58" t="s">
        <v>182</v>
      </c>
      <c r="B187" t="s">
        <v>5382</v>
      </c>
      <c r="C187" t="s">
        <v>4830</v>
      </c>
      <c r="D187" t="s">
        <v>2569</v>
      </c>
      <c r="E187" t="s">
        <v>5537</v>
      </c>
      <c r="F187" t="s">
        <v>182</v>
      </c>
    </row>
    <row r="188" spans="1:6" x14ac:dyDescent="0.3">
      <c r="A188" s="58" t="s">
        <v>183</v>
      </c>
      <c r="B188" t="s">
        <v>5382</v>
      </c>
      <c r="C188" t="s">
        <v>4830</v>
      </c>
      <c r="D188" t="s">
        <v>2570</v>
      </c>
      <c r="E188" t="s">
        <v>5537</v>
      </c>
      <c r="F188" t="s">
        <v>183</v>
      </c>
    </row>
    <row r="189" spans="1:6" x14ac:dyDescent="0.3">
      <c r="A189" s="58" t="s">
        <v>184</v>
      </c>
      <c r="B189" t="s">
        <v>5382</v>
      </c>
      <c r="C189" t="s">
        <v>4830</v>
      </c>
      <c r="D189" t="s">
        <v>2571</v>
      </c>
      <c r="E189" t="s">
        <v>5537</v>
      </c>
      <c r="F189" t="s">
        <v>184</v>
      </c>
    </row>
    <row r="190" spans="1:6" x14ac:dyDescent="0.3">
      <c r="A190" s="58" t="s">
        <v>185</v>
      </c>
      <c r="B190" t="s">
        <v>5382</v>
      </c>
      <c r="C190" t="s">
        <v>4831</v>
      </c>
      <c r="D190" t="s">
        <v>2572</v>
      </c>
      <c r="E190" t="s">
        <v>5537</v>
      </c>
      <c r="F190" t="s">
        <v>185</v>
      </c>
    </row>
    <row r="191" spans="1:6" x14ac:dyDescent="0.3">
      <c r="A191" s="58" t="s">
        <v>186</v>
      </c>
      <c r="B191" t="s">
        <v>5382</v>
      </c>
      <c r="C191" t="s">
        <v>4831</v>
      </c>
      <c r="D191" t="s">
        <v>2573</v>
      </c>
      <c r="E191" t="s">
        <v>5537</v>
      </c>
      <c r="F191" t="s">
        <v>186</v>
      </c>
    </row>
    <row r="192" spans="1:6" x14ac:dyDescent="0.3">
      <c r="A192" s="58" t="s">
        <v>187</v>
      </c>
      <c r="B192" t="s">
        <v>5382</v>
      </c>
      <c r="C192" t="s">
        <v>4831</v>
      </c>
      <c r="D192" t="s">
        <v>2574</v>
      </c>
      <c r="E192" t="s">
        <v>5537</v>
      </c>
      <c r="F192" t="s">
        <v>187</v>
      </c>
    </row>
    <row r="193" spans="1:6" x14ac:dyDescent="0.3">
      <c r="A193" s="58" t="s">
        <v>188</v>
      </c>
      <c r="B193" t="s">
        <v>5382</v>
      </c>
      <c r="C193" t="s">
        <v>4831</v>
      </c>
      <c r="D193" t="s">
        <v>2575</v>
      </c>
      <c r="E193" t="s">
        <v>5538</v>
      </c>
      <c r="F193" t="s">
        <v>188</v>
      </c>
    </row>
    <row r="194" spans="1:6" x14ac:dyDescent="0.3">
      <c r="A194" s="58" t="s">
        <v>189</v>
      </c>
      <c r="B194" t="s">
        <v>5382</v>
      </c>
      <c r="C194" t="s">
        <v>4831</v>
      </c>
      <c r="D194" t="s">
        <v>2576</v>
      </c>
      <c r="E194" t="s">
        <v>5537</v>
      </c>
      <c r="F194" t="s">
        <v>189</v>
      </c>
    </row>
    <row r="195" spans="1:6" x14ac:dyDescent="0.3">
      <c r="A195" s="58" t="s">
        <v>190</v>
      </c>
      <c r="B195" t="s">
        <v>5382</v>
      </c>
      <c r="C195" t="s">
        <v>4831</v>
      </c>
      <c r="D195" t="s">
        <v>2577</v>
      </c>
      <c r="E195" t="s">
        <v>5537</v>
      </c>
      <c r="F195" t="s">
        <v>190</v>
      </c>
    </row>
    <row r="196" spans="1:6" x14ac:dyDescent="0.3">
      <c r="A196" s="58" t="s">
        <v>191</v>
      </c>
      <c r="B196" t="s">
        <v>5382</v>
      </c>
      <c r="C196" t="s">
        <v>4831</v>
      </c>
      <c r="D196" t="s">
        <v>2578</v>
      </c>
      <c r="E196" t="s">
        <v>5537</v>
      </c>
      <c r="F196" t="s">
        <v>191</v>
      </c>
    </row>
    <row r="197" spans="1:6" x14ac:dyDescent="0.3">
      <c r="A197" s="58" t="s">
        <v>192</v>
      </c>
      <c r="B197" t="s">
        <v>5382</v>
      </c>
      <c r="C197" t="s">
        <v>4831</v>
      </c>
      <c r="D197" t="s">
        <v>2579</v>
      </c>
      <c r="E197" t="s">
        <v>5538</v>
      </c>
      <c r="F197" t="s">
        <v>192</v>
      </c>
    </row>
    <row r="198" spans="1:6" x14ac:dyDescent="0.3">
      <c r="A198" s="58" t="s">
        <v>193</v>
      </c>
      <c r="B198" t="s">
        <v>5382</v>
      </c>
      <c r="C198" t="s">
        <v>4832</v>
      </c>
      <c r="D198" t="s">
        <v>4540</v>
      </c>
      <c r="E198" t="s">
        <v>5536</v>
      </c>
      <c r="F198" t="s">
        <v>193</v>
      </c>
    </row>
    <row r="199" spans="1:6" x14ac:dyDescent="0.3">
      <c r="A199" s="58" t="s">
        <v>194</v>
      </c>
      <c r="B199" t="s">
        <v>5382</v>
      </c>
      <c r="C199" t="s">
        <v>4832</v>
      </c>
      <c r="D199" t="s">
        <v>4541</v>
      </c>
      <c r="E199" t="s">
        <v>5537</v>
      </c>
      <c r="F199" t="s">
        <v>194</v>
      </c>
    </row>
    <row r="200" spans="1:6" x14ac:dyDescent="0.3">
      <c r="A200" s="58" t="s">
        <v>195</v>
      </c>
      <c r="B200" t="s">
        <v>5382</v>
      </c>
      <c r="C200" t="s">
        <v>4832</v>
      </c>
      <c r="D200" t="s">
        <v>2580</v>
      </c>
      <c r="E200" t="s">
        <v>5537</v>
      </c>
      <c r="F200" t="s">
        <v>195</v>
      </c>
    </row>
    <row r="201" spans="1:6" x14ac:dyDescent="0.3">
      <c r="A201" s="58" t="s">
        <v>196</v>
      </c>
      <c r="B201" t="s">
        <v>5382</v>
      </c>
      <c r="C201" t="s">
        <v>4832</v>
      </c>
      <c r="D201" t="s">
        <v>2581</v>
      </c>
      <c r="E201" t="s">
        <v>5537</v>
      </c>
      <c r="F201" t="s">
        <v>196</v>
      </c>
    </row>
    <row r="202" spans="1:6" x14ac:dyDescent="0.3">
      <c r="A202" s="58" t="s">
        <v>197</v>
      </c>
      <c r="B202" t="s">
        <v>5382</v>
      </c>
      <c r="C202" t="s">
        <v>4832</v>
      </c>
      <c r="D202" t="s">
        <v>2582</v>
      </c>
      <c r="E202" t="s">
        <v>5537</v>
      </c>
      <c r="F202" t="s">
        <v>197</v>
      </c>
    </row>
    <row r="203" spans="1:6" x14ac:dyDescent="0.3">
      <c r="A203" s="58" t="s">
        <v>198</v>
      </c>
      <c r="B203" t="s">
        <v>5382</v>
      </c>
      <c r="C203" t="s">
        <v>4832</v>
      </c>
      <c r="D203" t="s">
        <v>2583</v>
      </c>
      <c r="E203" t="s">
        <v>5537</v>
      </c>
      <c r="F203" t="s">
        <v>198</v>
      </c>
    </row>
    <row r="204" spans="1:6" x14ac:dyDescent="0.3">
      <c r="A204" s="58" t="s">
        <v>199</v>
      </c>
      <c r="B204" t="s">
        <v>5382</v>
      </c>
      <c r="C204" t="s">
        <v>4832</v>
      </c>
      <c r="D204" t="s">
        <v>2584</v>
      </c>
      <c r="E204" t="s">
        <v>5537</v>
      </c>
      <c r="F204" t="s">
        <v>199</v>
      </c>
    </row>
    <row r="205" spans="1:6" x14ac:dyDescent="0.3">
      <c r="A205" s="58" t="s">
        <v>200</v>
      </c>
      <c r="B205" t="s">
        <v>5382</v>
      </c>
      <c r="C205" t="s">
        <v>4833</v>
      </c>
      <c r="D205" t="s">
        <v>4542</v>
      </c>
      <c r="E205" t="s">
        <v>5536</v>
      </c>
      <c r="F205" t="s">
        <v>200</v>
      </c>
    </row>
    <row r="206" spans="1:6" x14ac:dyDescent="0.3">
      <c r="A206" s="58" t="s">
        <v>201</v>
      </c>
      <c r="B206" t="s">
        <v>5382</v>
      </c>
      <c r="C206" t="s">
        <v>4833</v>
      </c>
      <c r="D206" t="s">
        <v>2585</v>
      </c>
      <c r="E206" t="s">
        <v>5537</v>
      </c>
      <c r="F206" t="s">
        <v>201</v>
      </c>
    </row>
    <row r="207" spans="1:6" x14ac:dyDescent="0.3">
      <c r="A207" s="58" t="s">
        <v>202</v>
      </c>
      <c r="B207" t="s">
        <v>5382</v>
      </c>
      <c r="C207" t="s">
        <v>4833</v>
      </c>
      <c r="D207" t="s">
        <v>4543</v>
      </c>
      <c r="E207" t="s">
        <v>5537</v>
      </c>
      <c r="F207" t="s">
        <v>202</v>
      </c>
    </row>
    <row r="208" spans="1:6" x14ac:dyDescent="0.3">
      <c r="A208" s="58" t="s">
        <v>203</v>
      </c>
      <c r="B208" t="s">
        <v>5382</v>
      </c>
      <c r="C208" t="s">
        <v>4833</v>
      </c>
      <c r="D208" t="s">
        <v>2586</v>
      </c>
      <c r="E208" t="s">
        <v>5538</v>
      </c>
      <c r="F208" t="s">
        <v>203</v>
      </c>
    </row>
    <row r="209" spans="1:6" x14ac:dyDescent="0.3">
      <c r="A209" s="58" t="s">
        <v>204</v>
      </c>
      <c r="B209" t="s">
        <v>5382</v>
      </c>
      <c r="C209" t="s">
        <v>4833</v>
      </c>
      <c r="D209" t="s">
        <v>2587</v>
      </c>
      <c r="E209" t="s">
        <v>5537</v>
      </c>
      <c r="F209" t="s">
        <v>204</v>
      </c>
    </row>
    <row r="210" spans="1:6" x14ac:dyDescent="0.3">
      <c r="A210" s="58" t="s">
        <v>205</v>
      </c>
      <c r="B210" t="s">
        <v>5382</v>
      </c>
      <c r="C210" t="s">
        <v>4833</v>
      </c>
      <c r="D210" t="s">
        <v>2588</v>
      </c>
      <c r="E210" t="s">
        <v>5537</v>
      </c>
      <c r="F210" t="s">
        <v>205</v>
      </c>
    </row>
    <row r="211" spans="1:6" x14ac:dyDescent="0.3">
      <c r="A211" s="58" t="s">
        <v>206</v>
      </c>
      <c r="B211" t="s">
        <v>5382</v>
      </c>
      <c r="C211" t="s">
        <v>4834</v>
      </c>
      <c r="D211" t="s">
        <v>2589</v>
      </c>
      <c r="E211" t="s">
        <v>5537</v>
      </c>
      <c r="F211" t="s">
        <v>206</v>
      </c>
    </row>
    <row r="212" spans="1:6" x14ac:dyDescent="0.3">
      <c r="A212" s="58" t="s">
        <v>207</v>
      </c>
      <c r="B212" t="s">
        <v>5382</v>
      </c>
      <c r="C212" t="s">
        <v>4834</v>
      </c>
      <c r="D212" t="s">
        <v>2590</v>
      </c>
      <c r="E212" t="s">
        <v>5537</v>
      </c>
      <c r="F212" t="s">
        <v>207</v>
      </c>
    </row>
    <row r="213" spans="1:6" x14ac:dyDescent="0.3">
      <c r="A213" s="58" t="s">
        <v>208</v>
      </c>
      <c r="B213" t="s">
        <v>5382</v>
      </c>
      <c r="C213" t="s">
        <v>4834</v>
      </c>
      <c r="D213" t="s">
        <v>2591</v>
      </c>
      <c r="E213" t="s">
        <v>5538</v>
      </c>
      <c r="F213" t="s">
        <v>208</v>
      </c>
    </row>
    <row r="214" spans="1:6" x14ac:dyDescent="0.3">
      <c r="A214" s="58" t="s">
        <v>209</v>
      </c>
      <c r="B214" t="s">
        <v>5382</v>
      </c>
      <c r="C214" t="s">
        <v>4834</v>
      </c>
      <c r="D214" t="s">
        <v>2592</v>
      </c>
      <c r="E214" t="s">
        <v>5538</v>
      </c>
      <c r="F214" t="s">
        <v>209</v>
      </c>
    </row>
    <row r="215" spans="1:6" x14ac:dyDescent="0.3">
      <c r="A215" s="58" t="s">
        <v>210</v>
      </c>
      <c r="B215" t="s">
        <v>5382</v>
      </c>
      <c r="C215" t="s">
        <v>4834</v>
      </c>
      <c r="D215" t="s">
        <v>2593</v>
      </c>
      <c r="E215" t="s">
        <v>5537</v>
      </c>
      <c r="F215" t="s">
        <v>210</v>
      </c>
    </row>
    <row r="216" spans="1:6" x14ac:dyDescent="0.3">
      <c r="A216" s="58" t="s">
        <v>211</v>
      </c>
      <c r="B216" t="s">
        <v>5382</v>
      </c>
      <c r="C216" t="s">
        <v>4834</v>
      </c>
      <c r="D216" t="s">
        <v>2594</v>
      </c>
      <c r="E216" t="s">
        <v>5537</v>
      </c>
      <c r="F216" t="s">
        <v>211</v>
      </c>
    </row>
    <row r="217" spans="1:6" x14ac:dyDescent="0.3">
      <c r="A217" s="58" t="s">
        <v>212</v>
      </c>
      <c r="B217" t="s">
        <v>5382</v>
      </c>
      <c r="C217" t="s">
        <v>4835</v>
      </c>
      <c r="D217" t="s">
        <v>4544</v>
      </c>
      <c r="E217" t="s">
        <v>5536</v>
      </c>
      <c r="F217" t="s">
        <v>212</v>
      </c>
    </row>
    <row r="218" spans="1:6" x14ac:dyDescent="0.3">
      <c r="A218" s="58" t="s">
        <v>213</v>
      </c>
      <c r="B218" t="s">
        <v>5382</v>
      </c>
      <c r="C218" t="s">
        <v>4835</v>
      </c>
      <c r="D218" t="s">
        <v>2595</v>
      </c>
      <c r="E218" t="s">
        <v>5537</v>
      </c>
      <c r="F218" t="s">
        <v>213</v>
      </c>
    </row>
    <row r="219" spans="1:6" x14ac:dyDescent="0.3">
      <c r="A219" s="58" t="s">
        <v>214</v>
      </c>
      <c r="B219" t="s">
        <v>5382</v>
      </c>
      <c r="C219" t="s">
        <v>4835</v>
      </c>
      <c r="D219" t="s">
        <v>2596</v>
      </c>
      <c r="E219" t="s">
        <v>5538</v>
      </c>
      <c r="F219" t="s">
        <v>214</v>
      </c>
    </row>
    <row r="220" spans="1:6" x14ac:dyDescent="0.3">
      <c r="A220" s="58" t="s">
        <v>215</v>
      </c>
      <c r="B220" t="s">
        <v>5382</v>
      </c>
      <c r="C220" t="s">
        <v>4835</v>
      </c>
      <c r="D220" t="s">
        <v>4545</v>
      </c>
      <c r="E220" t="s">
        <v>5537</v>
      </c>
      <c r="F220" t="s">
        <v>215</v>
      </c>
    </row>
    <row r="221" spans="1:6" x14ac:dyDescent="0.3">
      <c r="A221" s="58" t="s">
        <v>216</v>
      </c>
      <c r="B221" t="s">
        <v>5382</v>
      </c>
      <c r="C221" t="s">
        <v>4835</v>
      </c>
      <c r="D221" t="s">
        <v>2597</v>
      </c>
      <c r="E221" t="s">
        <v>5538</v>
      </c>
      <c r="F221" t="s">
        <v>216</v>
      </c>
    </row>
    <row r="222" spans="1:6" x14ac:dyDescent="0.3">
      <c r="A222" s="58" t="s">
        <v>217</v>
      </c>
      <c r="B222" t="s">
        <v>5382</v>
      </c>
      <c r="C222" t="s">
        <v>4835</v>
      </c>
      <c r="D222" t="s">
        <v>2598</v>
      </c>
      <c r="E222" t="s">
        <v>5538</v>
      </c>
      <c r="F222" t="s">
        <v>217</v>
      </c>
    </row>
    <row r="223" spans="1:6" x14ac:dyDescent="0.3">
      <c r="A223" s="58" t="s">
        <v>218</v>
      </c>
      <c r="B223" t="s">
        <v>5382</v>
      </c>
      <c r="C223" t="s">
        <v>4835</v>
      </c>
      <c r="D223" t="s">
        <v>2599</v>
      </c>
      <c r="E223" t="s">
        <v>5538</v>
      </c>
      <c r="F223" t="s">
        <v>218</v>
      </c>
    </row>
    <row r="224" spans="1:6" x14ac:dyDescent="0.3">
      <c r="A224" s="58" t="s">
        <v>219</v>
      </c>
      <c r="B224" t="s">
        <v>5382</v>
      </c>
      <c r="C224" t="s">
        <v>4835</v>
      </c>
      <c r="D224" t="s">
        <v>2600</v>
      </c>
      <c r="E224" t="s">
        <v>5537</v>
      </c>
      <c r="F224" t="s">
        <v>219</v>
      </c>
    </row>
    <row r="225" spans="1:6" x14ac:dyDescent="0.3">
      <c r="A225" s="58" t="s">
        <v>220</v>
      </c>
      <c r="B225" t="s">
        <v>5382</v>
      </c>
      <c r="C225" t="s">
        <v>4835</v>
      </c>
      <c r="D225" t="s">
        <v>2601</v>
      </c>
      <c r="E225" t="s">
        <v>5537</v>
      </c>
      <c r="F225" t="s">
        <v>220</v>
      </c>
    </row>
    <row r="226" spans="1:6" x14ac:dyDescent="0.3">
      <c r="A226" s="58" t="s">
        <v>221</v>
      </c>
      <c r="B226" t="s">
        <v>5382</v>
      </c>
      <c r="C226" t="s">
        <v>4836</v>
      </c>
      <c r="D226" t="s">
        <v>4546</v>
      </c>
      <c r="E226" t="s">
        <v>5536</v>
      </c>
      <c r="F226" t="s">
        <v>221</v>
      </c>
    </row>
    <row r="227" spans="1:6" x14ac:dyDescent="0.3">
      <c r="A227" s="58" t="s">
        <v>222</v>
      </c>
      <c r="B227" t="s">
        <v>5382</v>
      </c>
      <c r="C227" t="s">
        <v>4836</v>
      </c>
      <c r="D227" t="s">
        <v>2603</v>
      </c>
      <c r="E227" t="s">
        <v>5538</v>
      </c>
      <c r="F227" t="s">
        <v>5481</v>
      </c>
    </row>
    <row r="228" spans="1:6" x14ac:dyDescent="0.3">
      <c r="A228" s="58" t="s">
        <v>223</v>
      </c>
      <c r="B228" t="s">
        <v>5382</v>
      </c>
      <c r="C228" t="s">
        <v>4836</v>
      </c>
      <c r="D228" t="s">
        <v>2604</v>
      </c>
      <c r="E228" t="s">
        <v>5537</v>
      </c>
      <c r="F228" t="s">
        <v>223</v>
      </c>
    </row>
    <row r="229" spans="1:6" x14ac:dyDescent="0.3">
      <c r="A229" s="58" t="s">
        <v>224</v>
      </c>
      <c r="B229" t="s">
        <v>5382</v>
      </c>
      <c r="C229" t="s">
        <v>4836</v>
      </c>
      <c r="D229" t="s">
        <v>2605</v>
      </c>
      <c r="E229" t="s">
        <v>5538</v>
      </c>
      <c r="F229" t="s">
        <v>224</v>
      </c>
    </row>
    <row r="230" spans="1:6" x14ac:dyDescent="0.3">
      <c r="A230" s="58" t="s">
        <v>225</v>
      </c>
      <c r="B230" t="s">
        <v>5382</v>
      </c>
      <c r="C230" t="s">
        <v>4836</v>
      </c>
      <c r="D230" t="s">
        <v>2606</v>
      </c>
      <c r="E230" t="s">
        <v>5538</v>
      </c>
      <c r="F230" t="s">
        <v>5482</v>
      </c>
    </row>
    <row r="231" spans="1:6" x14ac:dyDescent="0.3">
      <c r="A231" s="58" t="s">
        <v>226</v>
      </c>
      <c r="B231" t="s">
        <v>5382</v>
      </c>
      <c r="C231" t="s">
        <v>4836</v>
      </c>
      <c r="D231" t="s">
        <v>4547</v>
      </c>
      <c r="E231" t="s">
        <v>5537</v>
      </c>
      <c r="F231" t="s">
        <v>226</v>
      </c>
    </row>
    <row r="232" spans="1:6" x14ac:dyDescent="0.3">
      <c r="A232" s="58" t="s">
        <v>227</v>
      </c>
      <c r="B232" t="s">
        <v>5382</v>
      </c>
      <c r="C232" t="s">
        <v>4836</v>
      </c>
      <c r="D232" t="s">
        <v>2607</v>
      </c>
      <c r="E232" t="s">
        <v>5538</v>
      </c>
      <c r="F232" t="s">
        <v>227</v>
      </c>
    </row>
    <row r="233" spans="1:6" x14ac:dyDescent="0.3">
      <c r="A233" s="58" t="s">
        <v>228</v>
      </c>
      <c r="B233" t="s">
        <v>5382</v>
      </c>
      <c r="C233" t="s">
        <v>4836</v>
      </c>
      <c r="D233" t="s">
        <v>2608</v>
      </c>
      <c r="E233" t="s">
        <v>5537</v>
      </c>
      <c r="F233" t="s">
        <v>228</v>
      </c>
    </row>
    <row r="234" spans="1:6" x14ac:dyDescent="0.3">
      <c r="A234" s="58" t="s">
        <v>229</v>
      </c>
      <c r="B234" t="s">
        <v>5382</v>
      </c>
      <c r="C234" t="s">
        <v>4836</v>
      </c>
      <c r="D234" t="s">
        <v>2609</v>
      </c>
      <c r="E234" t="s">
        <v>5537</v>
      </c>
      <c r="F234" t="s">
        <v>229</v>
      </c>
    </row>
    <row r="235" spans="1:6" x14ac:dyDescent="0.3">
      <c r="A235" s="58" t="s">
        <v>230</v>
      </c>
      <c r="B235" t="s">
        <v>5382</v>
      </c>
      <c r="C235" t="s">
        <v>4837</v>
      </c>
      <c r="D235" t="s">
        <v>2610</v>
      </c>
      <c r="E235" t="s">
        <v>5537</v>
      </c>
      <c r="F235" t="s">
        <v>230</v>
      </c>
    </row>
    <row r="236" spans="1:6" x14ac:dyDescent="0.3">
      <c r="A236" s="58" t="s">
        <v>231</v>
      </c>
      <c r="B236" t="s">
        <v>5382</v>
      </c>
      <c r="C236" t="s">
        <v>4837</v>
      </c>
      <c r="D236" t="s">
        <v>2611</v>
      </c>
      <c r="E236" t="s">
        <v>5537</v>
      </c>
      <c r="F236" t="s">
        <v>231</v>
      </c>
    </row>
    <row r="237" spans="1:6" x14ac:dyDescent="0.3">
      <c r="A237" s="58" t="s">
        <v>232</v>
      </c>
      <c r="B237" t="s">
        <v>5382</v>
      </c>
      <c r="C237" t="s">
        <v>4837</v>
      </c>
      <c r="D237" t="s">
        <v>2612</v>
      </c>
      <c r="E237" t="s">
        <v>5538</v>
      </c>
      <c r="F237" t="s">
        <v>232</v>
      </c>
    </row>
    <row r="238" spans="1:6" x14ac:dyDescent="0.3">
      <c r="A238" s="58" t="s">
        <v>233</v>
      </c>
      <c r="B238" t="s">
        <v>5382</v>
      </c>
      <c r="C238" t="s">
        <v>4837</v>
      </c>
      <c r="D238" t="s">
        <v>2613</v>
      </c>
      <c r="E238" t="s">
        <v>5538</v>
      </c>
      <c r="F238" t="s">
        <v>233</v>
      </c>
    </row>
    <row r="239" spans="1:6" x14ac:dyDescent="0.3">
      <c r="A239" s="58" t="s">
        <v>234</v>
      </c>
      <c r="B239" t="s">
        <v>5382</v>
      </c>
      <c r="C239" t="s">
        <v>4838</v>
      </c>
      <c r="D239" t="s">
        <v>2614</v>
      </c>
      <c r="E239" t="s">
        <v>5538</v>
      </c>
      <c r="F239" t="s">
        <v>234</v>
      </c>
    </row>
    <row r="240" spans="1:6" x14ac:dyDescent="0.3">
      <c r="A240" s="58" t="s">
        <v>235</v>
      </c>
      <c r="B240" t="s">
        <v>5382</v>
      </c>
      <c r="C240" t="s">
        <v>4838</v>
      </c>
      <c r="D240" t="s">
        <v>2615</v>
      </c>
      <c r="E240" t="s">
        <v>5538</v>
      </c>
      <c r="F240" t="s">
        <v>235</v>
      </c>
    </row>
    <row r="241" spans="1:6" x14ac:dyDescent="0.3">
      <c r="A241" s="58" t="s">
        <v>236</v>
      </c>
      <c r="B241" t="s">
        <v>5382</v>
      </c>
      <c r="C241" t="s">
        <v>4838</v>
      </c>
      <c r="D241" t="s">
        <v>2616</v>
      </c>
      <c r="E241" t="s">
        <v>5538</v>
      </c>
      <c r="F241" t="s">
        <v>236</v>
      </c>
    </row>
    <row r="242" spans="1:6" x14ac:dyDescent="0.3">
      <c r="A242" s="58" t="s">
        <v>237</v>
      </c>
      <c r="B242" t="s">
        <v>5382</v>
      </c>
      <c r="C242" t="s">
        <v>4838</v>
      </c>
      <c r="D242" t="s">
        <v>2617</v>
      </c>
      <c r="E242" t="s">
        <v>5537</v>
      </c>
      <c r="F242" t="s">
        <v>237</v>
      </c>
    </row>
    <row r="243" spans="1:6" x14ac:dyDescent="0.3">
      <c r="A243" s="58" t="s">
        <v>238</v>
      </c>
      <c r="B243" t="s">
        <v>5382</v>
      </c>
      <c r="C243" t="s">
        <v>4838</v>
      </c>
      <c r="D243" t="s">
        <v>2618</v>
      </c>
      <c r="E243" t="s">
        <v>5538</v>
      </c>
      <c r="F243" t="s">
        <v>238</v>
      </c>
    </row>
    <row r="244" spans="1:6" x14ac:dyDescent="0.3">
      <c r="A244" s="58" t="s">
        <v>239</v>
      </c>
      <c r="B244" t="s">
        <v>5382</v>
      </c>
      <c r="C244" t="s">
        <v>4839</v>
      </c>
      <c r="D244" t="s">
        <v>4548</v>
      </c>
      <c r="E244" t="s">
        <v>5536</v>
      </c>
      <c r="F244" t="s">
        <v>239</v>
      </c>
    </row>
    <row r="245" spans="1:6" x14ac:dyDescent="0.3">
      <c r="A245" s="58" t="s">
        <v>240</v>
      </c>
      <c r="B245" t="s">
        <v>5382</v>
      </c>
      <c r="C245" t="s">
        <v>4839</v>
      </c>
      <c r="D245" t="s">
        <v>2619</v>
      </c>
      <c r="E245" t="s">
        <v>5537</v>
      </c>
      <c r="F245" t="s">
        <v>240</v>
      </c>
    </row>
    <row r="246" spans="1:6" x14ac:dyDescent="0.3">
      <c r="A246" s="58" t="s">
        <v>241</v>
      </c>
      <c r="B246" t="s">
        <v>5382</v>
      </c>
      <c r="C246" t="s">
        <v>4839</v>
      </c>
      <c r="D246" t="s">
        <v>2620</v>
      </c>
      <c r="E246" t="s">
        <v>5537</v>
      </c>
      <c r="F246" t="s">
        <v>241</v>
      </c>
    </row>
    <row r="247" spans="1:6" x14ac:dyDescent="0.3">
      <c r="A247" s="58" t="s">
        <v>242</v>
      </c>
      <c r="B247" t="s">
        <v>5382</v>
      </c>
      <c r="C247" t="s">
        <v>4839</v>
      </c>
      <c r="D247" t="s">
        <v>2621</v>
      </c>
      <c r="E247" t="s">
        <v>5537</v>
      </c>
      <c r="F247" t="s">
        <v>242</v>
      </c>
    </row>
    <row r="248" spans="1:6" x14ac:dyDescent="0.3">
      <c r="A248" s="58" t="s">
        <v>243</v>
      </c>
      <c r="B248" t="s">
        <v>5382</v>
      </c>
      <c r="C248" t="s">
        <v>4839</v>
      </c>
      <c r="D248" t="s">
        <v>2622</v>
      </c>
      <c r="E248" t="s">
        <v>5538</v>
      </c>
      <c r="F248" t="s">
        <v>243</v>
      </c>
    </row>
    <row r="249" spans="1:6" x14ac:dyDescent="0.3">
      <c r="A249" s="58" t="s">
        <v>244</v>
      </c>
      <c r="B249" t="s">
        <v>5382</v>
      </c>
      <c r="C249" t="s">
        <v>4839</v>
      </c>
      <c r="D249" t="s">
        <v>4549</v>
      </c>
      <c r="E249" t="s">
        <v>5537</v>
      </c>
      <c r="F249" t="s">
        <v>244</v>
      </c>
    </row>
    <row r="250" spans="1:6" x14ac:dyDescent="0.3">
      <c r="A250" s="58" t="s">
        <v>245</v>
      </c>
      <c r="B250" t="s">
        <v>5382</v>
      </c>
      <c r="C250" t="s">
        <v>4839</v>
      </c>
      <c r="D250" t="s">
        <v>2623</v>
      </c>
      <c r="E250" t="s">
        <v>5537</v>
      </c>
      <c r="F250" t="s">
        <v>245</v>
      </c>
    </row>
    <row r="251" spans="1:6" x14ac:dyDescent="0.3">
      <c r="A251" s="58" t="s">
        <v>246</v>
      </c>
      <c r="B251" t="s">
        <v>5382</v>
      </c>
      <c r="C251" t="s">
        <v>4840</v>
      </c>
      <c r="D251" t="s">
        <v>4550</v>
      </c>
      <c r="E251" t="s">
        <v>5536</v>
      </c>
      <c r="F251" t="s">
        <v>246</v>
      </c>
    </row>
    <row r="252" spans="1:6" x14ac:dyDescent="0.3">
      <c r="A252" s="58" t="s">
        <v>247</v>
      </c>
      <c r="B252" t="s">
        <v>5382</v>
      </c>
      <c r="C252" t="s">
        <v>4840</v>
      </c>
      <c r="D252" t="s">
        <v>2624</v>
      </c>
      <c r="E252" t="s">
        <v>5537</v>
      </c>
      <c r="F252" t="s">
        <v>247</v>
      </c>
    </row>
    <row r="253" spans="1:6" x14ac:dyDescent="0.3">
      <c r="A253" s="58" t="s">
        <v>248</v>
      </c>
      <c r="B253" t="s">
        <v>5382</v>
      </c>
      <c r="C253" t="s">
        <v>4840</v>
      </c>
      <c r="D253" t="s">
        <v>2625</v>
      </c>
      <c r="E253" t="s">
        <v>5537</v>
      </c>
      <c r="F253" t="s">
        <v>248</v>
      </c>
    </row>
    <row r="254" spans="1:6" x14ac:dyDescent="0.3">
      <c r="A254" s="58" t="s">
        <v>249</v>
      </c>
      <c r="B254" t="s">
        <v>5382</v>
      </c>
      <c r="C254" t="s">
        <v>4840</v>
      </c>
      <c r="D254" t="s">
        <v>4551</v>
      </c>
      <c r="E254" t="s">
        <v>5537</v>
      </c>
      <c r="F254" t="s">
        <v>249</v>
      </c>
    </row>
    <row r="255" spans="1:6" x14ac:dyDescent="0.3">
      <c r="A255" s="58" t="s">
        <v>250</v>
      </c>
      <c r="B255" t="s">
        <v>5382</v>
      </c>
      <c r="C255" t="s">
        <v>4840</v>
      </c>
      <c r="D255" t="s">
        <v>2626</v>
      </c>
      <c r="E255" t="s">
        <v>5537</v>
      </c>
      <c r="F255" t="s">
        <v>250</v>
      </c>
    </row>
    <row r="256" spans="1:6" x14ac:dyDescent="0.3">
      <c r="A256" s="58" t="s">
        <v>251</v>
      </c>
      <c r="B256" t="s">
        <v>5382</v>
      </c>
      <c r="C256" t="s">
        <v>4840</v>
      </c>
      <c r="D256" t="s">
        <v>2627</v>
      </c>
      <c r="E256" t="s">
        <v>5537</v>
      </c>
      <c r="F256" t="s">
        <v>251</v>
      </c>
    </row>
    <row r="257" spans="1:6" x14ac:dyDescent="0.3">
      <c r="A257" s="58" t="s">
        <v>252</v>
      </c>
      <c r="B257" t="s">
        <v>5382</v>
      </c>
      <c r="C257" t="s">
        <v>4841</v>
      </c>
      <c r="D257" t="s">
        <v>2628</v>
      </c>
      <c r="E257" t="s">
        <v>5538</v>
      </c>
      <c r="F257" t="s">
        <v>252</v>
      </c>
    </row>
    <row r="258" spans="1:6" x14ac:dyDescent="0.3">
      <c r="A258" s="58" t="s">
        <v>253</v>
      </c>
      <c r="B258" t="s">
        <v>5382</v>
      </c>
      <c r="C258" t="s">
        <v>4841</v>
      </c>
      <c r="D258" t="s">
        <v>2629</v>
      </c>
      <c r="E258" t="s">
        <v>5538</v>
      </c>
      <c r="F258" t="s">
        <v>253</v>
      </c>
    </row>
    <row r="259" spans="1:6" x14ac:dyDescent="0.3">
      <c r="A259" s="58" t="s">
        <v>254</v>
      </c>
      <c r="B259" t="s">
        <v>5382</v>
      </c>
      <c r="C259" t="s">
        <v>4841</v>
      </c>
      <c r="D259" t="s">
        <v>2630</v>
      </c>
      <c r="E259" t="s">
        <v>5537</v>
      </c>
      <c r="F259" t="s">
        <v>254</v>
      </c>
    </row>
    <row r="260" spans="1:6" x14ac:dyDescent="0.3">
      <c r="A260" s="58" t="s">
        <v>255</v>
      </c>
      <c r="B260" t="s">
        <v>5382</v>
      </c>
      <c r="C260" t="s">
        <v>4841</v>
      </c>
      <c r="D260" t="s">
        <v>2631</v>
      </c>
      <c r="E260" t="s">
        <v>5538</v>
      </c>
      <c r="F260" t="s">
        <v>255</v>
      </c>
    </row>
    <row r="261" spans="1:6" x14ac:dyDescent="0.3">
      <c r="A261" s="58" t="s">
        <v>256</v>
      </c>
      <c r="B261" t="s">
        <v>5382</v>
      </c>
      <c r="C261" t="s">
        <v>4842</v>
      </c>
      <c r="D261" t="s">
        <v>2632</v>
      </c>
      <c r="E261" t="s">
        <v>5537</v>
      </c>
      <c r="F261" t="s">
        <v>256</v>
      </c>
    </row>
    <row r="262" spans="1:6" x14ac:dyDescent="0.3">
      <c r="A262" s="58" t="s">
        <v>257</v>
      </c>
      <c r="B262" t="s">
        <v>5382</v>
      </c>
      <c r="C262" t="s">
        <v>4842</v>
      </c>
      <c r="D262" t="s">
        <v>2633</v>
      </c>
      <c r="E262" t="s">
        <v>5537</v>
      </c>
      <c r="F262" t="s">
        <v>257</v>
      </c>
    </row>
    <row r="263" spans="1:6" x14ac:dyDescent="0.3">
      <c r="A263" s="58" t="s">
        <v>258</v>
      </c>
      <c r="B263" t="s">
        <v>5382</v>
      </c>
      <c r="C263" t="s">
        <v>4842</v>
      </c>
      <c r="D263" t="s">
        <v>2634</v>
      </c>
      <c r="E263" t="s">
        <v>5537</v>
      </c>
      <c r="F263" t="s">
        <v>258</v>
      </c>
    </row>
    <row r="264" spans="1:6" x14ac:dyDescent="0.3">
      <c r="A264" s="58" t="s">
        <v>259</v>
      </c>
      <c r="B264" t="s">
        <v>5382</v>
      </c>
      <c r="C264" t="s">
        <v>4842</v>
      </c>
      <c r="D264" t="s">
        <v>2635</v>
      </c>
      <c r="E264" t="s">
        <v>5537</v>
      </c>
      <c r="F264" t="s">
        <v>259</v>
      </c>
    </row>
    <row r="265" spans="1:6" x14ac:dyDescent="0.3">
      <c r="A265" s="58" t="s">
        <v>260</v>
      </c>
      <c r="B265" t="s">
        <v>5382</v>
      </c>
      <c r="C265" t="s">
        <v>4842</v>
      </c>
      <c r="D265" t="s">
        <v>2636</v>
      </c>
      <c r="E265" t="s">
        <v>5537</v>
      </c>
      <c r="F265" t="s">
        <v>260</v>
      </c>
    </row>
    <row r="266" spans="1:6" x14ac:dyDescent="0.3">
      <c r="A266" s="58" t="s">
        <v>261</v>
      </c>
      <c r="B266" t="s">
        <v>5382</v>
      </c>
      <c r="C266" t="s">
        <v>4842</v>
      </c>
      <c r="D266" t="s">
        <v>2637</v>
      </c>
      <c r="E266" t="s">
        <v>5538</v>
      </c>
      <c r="F266" t="s">
        <v>261</v>
      </c>
    </row>
    <row r="267" spans="1:6" x14ac:dyDescent="0.3">
      <c r="A267" s="58" t="s">
        <v>262</v>
      </c>
      <c r="B267" t="s">
        <v>5382</v>
      </c>
      <c r="C267" t="s">
        <v>4842</v>
      </c>
      <c r="D267" t="s">
        <v>2638</v>
      </c>
      <c r="E267" t="s">
        <v>5537</v>
      </c>
      <c r="F267" t="s">
        <v>262</v>
      </c>
    </row>
    <row r="268" spans="1:6" x14ac:dyDescent="0.3">
      <c r="A268" s="58" t="s">
        <v>263</v>
      </c>
      <c r="B268" t="s">
        <v>5382</v>
      </c>
      <c r="C268" t="s">
        <v>4842</v>
      </c>
      <c r="D268" t="s">
        <v>2639</v>
      </c>
      <c r="E268" t="s">
        <v>5538</v>
      </c>
      <c r="F268" t="s">
        <v>5474</v>
      </c>
    </row>
    <row r="269" spans="1:6" x14ac:dyDescent="0.3">
      <c r="A269" s="58" t="s">
        <v>264</v>
      </c>
      <c r="B269" t="s">
        <v>5382</v>
      </c>
      <c r="C269" t="s">
        <v>4842</v>
      </c>
      <c r="D269" t="s">
        <v>2640</v>
      </c>
      <c r="E269" t="s">
        <v>5538</v>
      </c>
      <c r="F269" t="s">
        <v>264</v>
      </c>
    </row>
    <row r="270" spans="1:6" x14ac:dyDescent="0.3">
      <c r="A270" s="58" t="s">
        <v>265</v>
      </c>
      <c r="B270" t="s">
        <v>5382</v>
      </c>
      <c r="C270" t="s">
        <v>4842</v>
      </c>
      <c r="D270" t="s">
        <v>2641</v>
      </c>
      <c r="E270" t="s">
        <v>5537</v>
      </c>
      <c r="F270" t="s">
        <v>265</v>
      </c>
    </row>
    <row r="271" spans="1:6" x14ac:dyDescent="0.3">
      <c r="A271" s="58" t="s">
        <v>266</v>
      </c>
      <c r="B271" t="s">
        <v>5382</v>
      </c>
      <c r="C271" t="s">
        <v>4842</v>
      </c>
      <c r="D271" t="s">
        <v>2642</v>
      </c>
      <c r="E271" t="s">
        <v>5537</v>
      </c>
      <c r="F271" t="s">
        <v>266</v>
      </c>
    </row>
    <row r="272" spans="1:6" x14ac:dyDescent="0.3">
      <c r="A272" s="58" t="s">
        <v>267</v>
      </c>
      <c r="B272" t="s">
        <v>5382</v>
      </c>
      <c r="C272" t="s">
        <v>4843</v>
      </c>
      <c r="D272" t="s">
        <v>4552</v>
      </c>
      <c r="E272" t="s">
        <v>5536</v>
      </c>
      <c r="F272" t="s">
        <v>267</v>
      </c>
    </row>
    <row r="273" spans="1:6" x14ac:dyDescent="0.3">
      <c r="A273" s="58" t="s">
        <v>268</v>
      </c>
      <c r="B273" t="s">
        <v>5382</v>
      </c>
      <c r="C273" t="s">
        <v>4843</v>
      </c>
      <c r="D273" t="s">
        <v>4553</v>
      </c>
      <c r="E273" t="s">
        <v>5537</v>
      </c>
      <c r="F273" t="s">
        <v>268</v>
      </c>
    </row>
    <row r="274" spans="1:6" x14ac:dyDescent="0.3">
      <c r="A274" s="58" t="s">
        <v>269</v>
      </c>
      <c r="B274" t="s">
        <v>5382</v>
      </c>
      <c r="C274" t="s">
        <v>4843</v>
      </c>
      <c r="D274" t="s">
        <v>2643</v>
      </c>
      <c r="E274" t="s">
        <v>5537</v>
      </c>
      <c r="F274" t="s">
        <v>269</v>
      </c>
    </row>
    <row r="275" spans="1:6" x14ac:dyDescent="0.3">
      <c r="A275" s="58" t="s">
        <v>270</v>
      </c>
      <c r="B275" t="s">
        <v>5382</v>
      </c>
      <c r="C275" t="s">
        <v>4843</v>
      </c>
      <c r="D275" t="s">
        <v>2644</v>
      </c>
      <c r="E275" t="s">
        <v>5537</v>
      </c>
      <c r="F275" t="s">
        <v>270</v>
      </c>
    </row>
    <row r="276" spans="1:6" x14ac:dyDescent="0.3">
      <c r="A276" s="58" t="s">
        <v>271</v>
      </c>
      <c r="B276" t="s">
        <v>5382</v>
      </c>
      <c r="C276" t="s">
        <v>4843</v>
      </c>
      <c r="D276" t="s">
        <v>2645</v>
      </c>
      <c r="E276" t="s">
        <v>5537</v>
      </c>
      <c r="F276" t="s">
        <v>271</v>
      </c>
    </row>
    <row r="277" spans="1:6" x14ac:dyDescent="0.3">
      <c r="A277" s="58" t="s">
        <v>272</v>
      </c>
      <c r="B277" t="s">
        <v>5382</v>
      </c>
      <c r="C277" t="s">
        <v>4843</v>
      </c>
      <c r="D277" t="s">
        <v>2646</v>
      </c>
      <c r="E277" t="s">
        <v>5537</v>
      </c>
      <c r="F277" t="s">
        <v>272</v>
      </c>
    </row>
    <row r="278" spans="1:6" x14ac:dyDescent="0.3">
      <c r="A278" s="58" t="s">
        <v>273</v>
      </c>
      <c r="B278" t="s">
        <v>5382</v>
      </c>
      <c r="C278" t="s">
        <v>4843</v>
      </c>
      <c r="D278" t="s">
        <v>2647</v>
      </c>
      <c r="E278" t="s">
        <v>5537</v>
      </c>
      <c r="F278" t="s">
        <v>273</v>
      </c>
    </row>
    <row r="279" spans="1:6" x14ac:dyDescent="0.3">
      <c r="A279" s="58" t="s">
        <v>274</v>
      </c>
      <c r="B279" t="s">
        <v>5382</v>
      </c>
      <c r="C279" t="s">
        <v>4843</v>
      </c>
      <c r="D279" t="s">
        <v>2648</v>
      </c>
      <c r="E279" t="s">
        <v>5537</v>
      </c>
      <c r="F279" t="s">
        <v>274</v>
      </c>
    </row>
    <row r="280" spans="1:6" x14ac:dyDescent="0.3">
      <c r="A280" s="58" t="s">
        <v>275</v>
      </c>
      <c r="B280" t="s">
        <v>5382</v>
      </c>
      <c r="C280" t="s">
        <v>4843</v>
      </c>
      <c r="D280" t="s">
        <v>2649</v>
      </c>
      <c r="E280" t="s">
        <v>5537</v>
      </c>
      <c r="F280" t="s">
        <v>275</v>
      </c>
    </row>
    <row r="281" spans="1:6" x14ac:dyDescent="0.3">
      <c r="A281" s="58" t="s">
        <v>276</v>
      </c>
      <c r="B281" t="s">
        <v>5382</v>
      </c>
      <c r="C281" t="s">
        <v>4844</v>
      </c>
      <c r="D281" t="s">
        <v>2650</v>
      </c>
      <c r="E281" t="s">
        <v>5537</v>
      </c>
      <c r="F281" t="s">
        <v>276</v>
      </c>
    </row>
    <row r="282" spans="1:6" x14ac:dyDescent="0.3">
      <c r="A282" s="58" t="s">
        <v>277</v>
      </c>
      <c r="B282" t="s">
        <v>5382</v>
      </c>
      <c r="C282" t="s">
        <v>4844</v>
      </c>
      <c r="D282" t="s">
        <v>2651</v>
      </c>
      <c r="E282" t="s">
        <v>5537</v>
      </c>
      <c r="F282" t="s">
        <v>277</v>
      </c>
    </row>
    <row r="283" spans="1:6" x14ac:dyDescent="0.3">
      <c r="A283" s="58" t="s">
        <v>278</v>
      </c>
      <c r="B283" t="s">
        <v>5382</v>
      </c>
      <c r="C283" t="s">
        <v>4844</v>
      </c>
      <c r="D283" t="s">
        <v>2652</v>
      </c>
      <c r="E283" t="s">
        <v>5537</v>
      </c>
      <c r="F283" t="s">
        <v>278</v>
      </c>
    </row>
    <row r="284" spans="1:6" x14ac:dyDescent="0.3">
      <c r="A284" s="58" t="s">
        <v>279</v>
      </c>
      <c r="B284" t="s">
        <v>5382</v>
      </c>
      <c r="C284" t="s">
        <v>4844</v>
      </c>
      <c r="D284" t="s">
        <v>2653</v>
      </c>
      <c r="E284" t="s">
        <v>5537</v>
      </c>
      <c r="F284" t="s">
        <v>279</v>
      </c>
    </row>
    <row r="285" spans="1:6" x14ac:dyDescent="0.3">
      <c r="A285" s="58" t="s">
        <v>280</v>
      </c>
      <c r="B285" t="s">
        <v>5382</v>
      </c>
      <c r="C285" t="s">
        <v>4844</v>
      </c>
      <c r="D285" t="s">
        <v>2654</v>
      </c>
      <c r="E285" t="s">
        <v>5537</v>
      </c>
      <c r="F285" t="s">
        <v>280</v>
      </c>
    </row>
    <row r="286" spans="1:6" x14ac:dyDescent="0.3">
      <c r="A286" s="58" t="s">
        <v>281</v>
      </c>
      <c r="B286" t="s">
        <v>5382</v>
      </c>
      <c r="C286" t="s">
        <v>4844</v>
      </c>
      <c r="D286" t="s">
        <v>2655</v>
      </c>
      <c r="E286" t="s">
        <v>5538</v>
      </c>
      <c r="F286" t="s">
        <v>281</v>
      </c>
    </row>
    <row r="287" spans="1:6" x14ac:dyDescent="0.3">
      <c r="A287" s="58" t="s">
        <v>282</v>
      </c>
      <c r="B287" t="s">
        <v>5382</v>
      </c>
      <c r="C287" t="s">
        <v>4845</v>
      </c>
      <c r="D287" t="s">
        <v>5448</v>
      </c>
      <c r="E287" t="s">
        <v>5536</v>
      </c>
      <c r="F287" t="s">
        <v>282</v>
      </c>
    </row>
    <row r="288" spans="1:6" x14ac:dyDescent="0.3">
      <c r="A288" s="58" t="s">
        <v>283</v>
      </c>
      <c r="B288" t="s">
        <v>5382</v>
      </c>
      <c r="C288" t="s">
        <v>4845</v>
      </c>
      <c r="D288" t="s">
        <v>2656</v>
      </c>
      <c r="E288" t="s">
        <v>5537</v>
      </c>
      <c r="F288" t="s">
        <v>283</v>
      </c>
    </row>
    <row r="289" spans="1:6" x14ac:dyDescent="0.3">
      <c r="A289" s="58" t="s">
        <v>284</v>
      </c>
      <c r="B289" t="s">
        <v>5382</v>
      </c>
      <c r="C289" t="s">
        <v>4845</v>
      </c>
      <c r="D289" t="s">
        <v>2657</v>
      </c>
      <c r="E289" t="s">
        <v>5537</v>
      </c>
      <c r="F289" t="s">
        <v>284</v>
      </c>
    </row>
    <row r="290" spans="1:6" x14ac:dyDescent="0.3">
      <c r="A290" s="58" t="s">
        <v>285</v>
      </c>
      <c r="B290" t="s">
        <v>5382</v>
      </c>
      <c r="C290" t="s">
        <v>4845</v>
      </c>
      <c r="D290" t="s">
        <v>2658</v>
      </c>
      <c r="E290" t="s">
        <v>5537</v>
      </c>
      <c r="F290" t="s">
        <v>285</v>
      </c>
    </row>
    <row r="291" spans="1:6" x14ac:dyDescent="0.3">
      <c r="A291" s="58" t="s">
        <v>286</v>
      </c>
      <c r="B291" t="s">
        <v>5382</v>
      </c>
      <c r="C291" t="s">
        <v>4845</v>
      </c>
      <c r="D291" t="s">
        <v>5432</v>
      </c>
      <c r="E291" t="s">
        <v>5537</v>
      </c>
      <c r="F291" t="s">
        <v>286</v>
      </c>
    </row>
    <row r="292" spans="1:6" x14ac:dyDescent="0.3">
      <c r="A292" s="58" t="s">
        <v>287</v>
      </c>
      <c r="B292" t="s">
        <v>5382</v>
      </c>
      <c r="C292" t="s">
        <v>4846</v>
      </c>
      <c r="D292" t="s">
        <v>4554</v>
      </c>
      <c r="E292" t="s">
        <v>5536</v>
      </c>
      <c r="F292" t="s">
        <v>287</v>
      </c>
    </row>
    <row r="293" spans="1:6" x14ac:dyDescent="0.3">
      <c r="A293" s="58" t="s">
        <v>288</v>
      </c>
      <c r="B293" t="s">
        <v>5382</v>
      </c>
      <c r="C293" t="s">
        <v>4846</v>
      </c>
      <c r="D293" t="s">
        <v>2659</v>
      </c>
      <c r="E293" t="s">
        <v>5537</v>
      </c>
      <c r="F293" t="s">
        <v>288</v>
      </c>
    </row>
    <row r="294" spans="1:6" x14ac:dyDescent="0.3">
      <c r="A294" s="58" t="s">
        <v>289</v>
      </c>
      <c r="B294" t="s">
        <v>5382</v>
      </c>
      <c r="C294" t="s">
        <v>4846</v>
      </c>
      <c r="D294" t="s">
        <v>2660</v>
      </c>
      <c r="E294" t="s">
        <v>5537</v>
      </c>
      <c r="F294" t="s">
        <v>289</v>
      </c>
    </row>
    <row r="295" spans="1:6" x14ac:dyDescent="0.3">
      <c r="A295" s="58" t="s">
        <v>290</v>
      </c>
      <c r="B295" t="s">
        <v>5382</v>
      </c>
      <c r="C295" t="s">
        <v>4846</v>
      </c>
      <c r="D295" t="s">
        <v>2661</v>
      </c>
      <c r="E295" t="s">
        <v>5538</v>
      </c>
      <c r="F295" t="s">
        <v>290</v>
      </c>
    </row>
    <row r="296" spans="1:6" x14ac:dyDescent="0.3">
      <c r="A296" s="58" t="s">
        <v>291</v>
      </c>
      <c r="B296" t="s">
        <v>5382</v>
      </c>
      <c r="C296" t="s">
        <v>4846</v>
      </c>
      <c r="D296" t="s">
        <v>2662</v>
      </c>
      <c r="E296" t="s">
        <v>5537</v>
      </c>
      <c r="F296" t="s">
        <v>291</v>
      </c>
    </row>
    <row r="297" spans="1:6" x14ac:dyDescent="0.3">
      <c r="A297" s="58" t="s">
        <v>292</v>
      </c>
      <c r="B297" t="s">
        <v>5382</v>
      </c>
      <c r="C297" t="s">
        <v>4846</v>
      </c>
      <c r="D297" t="s">
        <v>2663</v>
      </c>
      <c r="E297" t="s">
        <v>5538</v>
      </c>
      <c r="F297" t="s">
        <v>292</v>
      </c>
    </row>
    <row r="298" spans="1:6" x14ac:dyDescent="0.3">
      <c r="A298" s="58" t="s">
        <v>293</v>
      </c>
      <c r="B298" t="s">
        <v>5382</v>
      </c>
      <c r="C298" t="s">
        <v>4846</v>
      </c>
      <c r="D298" t="s">
        <v>2664</v>
      </c>
      <c r="E298" t="s">
        <v>5537</v>
      </c>
      <c r="F298" t="s">
        <v>293</v>
      </c>
    </row>
    <row r="299" spans="1:6" x14ac:dyDescent="0.3">
      <c r="A299" s="58" t="s">
        <v>294</v>
      </c>
      <c r="B299" t="s">
        <v>5382</v>
      </c>
      <c r="C299" t="s">
        <v>4846</v>
      </c>
      <c r="D299" t="s">
        <v>2665</v>
      </c>
      <c r="E299" t="s">
        <v>5538</v>
      </c>
      <c r="F299" t="s">
        <v>294</v>
      </c>
    </row>
    <row r="300" spans="1:6" x14ac:dyDescent="0.3">
      <c r="A300" s="58" t="s">
        <v>295</v>
      </c>
      <c r="B300" t="s">
        <v>5382</v>
      </c>
      <c r="C300" t="s">
        <v>4846</v>
      </c>
      <c r="D300" t="s">
        <v>4555</v>
      </c>
      <c r="E300" t="s">
        <v>5537</v>
      </c>
      <c r="F300" t="s">
        <v>295</v>
      </c>
    </row>
    <row r="301" spans="1:6" x14ac:dyDescent="0.3">
      <c r="A301" s="58" t="s">
        <v>296</v>
      </c>
      <c r="B301" t="s">
        <v>5382</v>
      </c>
      <c r="C301" t="s">
        <v>4846</v>
      </c>
      <c r="D301" t="s">
        <v>2666</v>
      </c>
      <c r="E301" t="s">
        <v>5537</v>
      </c>
      <c r="F301" t="s">
        <v>296</v>
      </c>
    </row>
    <row r="302" spans="1:6" x14ac:dyDescent="0.3">
      <c r="A302" s="58" t="s">
        <v>297</v>
      </c>
      <c r="B302" t="s">
        <v>5382</v>
      </c>
      <c r="C302" t="s">
        <v>4846</v>
      </c>
      <c r="D302" t="s">
        <v>2667</v>
      </c>
      <c r="E302" t="s">
        <v>5538</v>
      </c>
      <c r="F302" t="s">
        <v>297</v>
      </c>
    </row>
    <row r="303" spans="1:6" x14ac:dyDescent="0.3">
      <c r="A303" s="58" t="s">
        <v>298</v>
      </c>
      <c r="B303" t="s">
        <v>5382</v>
      </c>
      <c r="C303" t="s">
        <v>4846</v>
      </c>
      <c r="D303" t="s">
        <v>2668</v>
      </c>
      <c r="E303" t="s">
        <v>5538</v>
      </c>
      <c r="F303" t="s">
        <v>298</v>
      </c>
    </row>
    <row r="304" spans="1:6" x14ac:dyDescent="0.3">
      <c r="A304" s="58" t="s">
        <v>299</v>
      </c>
      <c r="B304" t="s">
        <v>5382</v>
      </c>
      <c r="C304" t="s">
        <v>4846</v>
      </c>
      <c r="D304" t="s">
        <v>2669</v>
      </c>
      <c r="E304" t="s">
        <v>5537</v>
      </c>
      <c r="F304" t="s">
        <v>299</v>
      </c>
    </row>
    <row r="305" spans="1:6" x14ac:dyDescent="0.3">
      <c r="A305" s="58" t="s">
        <v>300</v>
      </c>
      <c r="B305" t="s">
        <v>5382</v>
      </c>
      <c r="C305" t="s">
        <v>4847</v>
      </c>
      <c r="D305" t="s">
        <v>2670</v>
      </c>
      <c r="E305" t="s">
        <v>5538</v>
      </c>
      <c r="F305" t="s">
        <v>300</v>
      </c>
    </row>
    <row r="306" spans="1:6" x14ac:dyDescent="0.3">
      <c r="A306" s="58" t="s">
        <v>301</v>
      </c>
      <c r="B306" t="s">
        <v>5382</v>
      </c>
      <c r="C306" t="s">
        <v>4847</v>
      </c>
      <c r="D306" t="s">
        <v>2671</v>
      </c>
      <c r="E306" t="s">
        <v>5538</v>
      </c>
      <c r="F306" t="s">
        <v>5483</v>
      </c>
    </row>
    <row r="307" spans="1:6" x14ac:dyDescent="0.3">
      <c r="A307" s="58" t="s">
        <v>302</v>
      </c>
      <c r="B307" t="s">
        <v>5382</v>
      </c>
      <c r="C307" t="s">
        <v>4847</v>
      </c>
      <c r="D307" t="s">
        <v>2672</v>
      </c>
      <c r="E307" t="s">
        <v>5538</v>
      </c>
      <c r="F307" t="s">
        <v>302</v>
      </c>
    </row>
    <row r="308" spans="1:6" x14ac:dyDescent="0.3">
      <c r="A308" s="58" t="s">
        <v>303</v>
      </c>
      <c r="B308" t="s">
        <v>5382</v>
      </c>
      <c r="C308" t="s">
        <v>4847</v>
      </c>
      <c r="D308" t="s">
        <v>2673</v>
      </c>
      <c r="E308" t="s">
        <v>5538</v>
      </c>
      <c r="F308" t="s">
        <v>303</v>
      </c>
    </row>
    <row r="309" spans="1:6" x14ac:dyDescent="0.3">
      <c r="A309" s="58" t="s">
        <v>304</v>
      </c>
      <c r="B309" t="s">
        <v>5382</v>
      </c>
      <c r="C309" t="s">
        <v>4847</v>
      </c>
      <c r="D309" t="s">
        <v>2625</v>
      </c>
      <c r="E309" t="s">
        <v>5537</v>
      </c>
      <c r="F309" t="s">
        <v>304</v>
      </c>
    </row>
    <row r="310" spans="1:6" x14ac:dyDescent="0.3">
      <c r="A310" s="58" t="s">
        <v>305</v>
      </c>
      <c r="B310" t="s">
        <v>5382</v>
      </c>
      <c r="C310" t="s">
        <v>4847</v>
      </c>
      <c r="D310" t="s">
        <v>2674</v>
      </c>
      <c r="E310" t="s">
        <v>5538</v>
      </c>
      <c r="F310" t="s">
        <v>305</v>
      </c>
    </row>
    <row r="311" spans="1:6" x14ac:dyDescent="0.3">
      <c r="A311" s="58" t="s">
        <v>306</v>
      </c>
      <c r="B311" t="s">
        <v>5382</v>
      </c>
      <c r="C311" t="s">
        <v>2675</v>
      </c>
      <c r="D311" t="s">
        <v>2675</v>
      </c>
      <c r="E311" t="s">
        <v>5536</v>
      </c>
      <c r="F311" t="s">
        <v>306</v>
      </c>
    </row>
    <row r="312" spans="1:6" x14ac:dyDescent="0.3">
      <c r="A312" s="58" t="s">
        <v>307</v>
      </c>
      <c r="B312" t="s">
        <v>5382</v>
      </c>
      <c r="C312" t="s">
        <v>2589</v>
      </c>
      <c r="D312" t="s">
        <v>2589</v>
      </c>
      <c r="E312" t="s">
        <v>5536</v>
      </c>
      <c r="F312" t="s">
        <v>307</v>
      </c>
    </row>
    <row r="313" spans="1:6" x14ac:dyDescent="0.3">
      <c r="A313" s="58" t="s">
        <v>308</v>
      </c>
      <c r="B313" t="s">
        <v>5382</v>
      </c>
      <c r="C313" t="s">
        <v>2676</v>
      </c>
      <c r="D313" t="s">
        <v>2676</v>
      </c>
      <c r="E313" t="s">
        <v>5536</v>
      </c>
      <c r="F313" t="s">
        <v>308</v>
      </c>
    </row>
    <row r="314" spans="1:6" x14ac:dyDescent="0.3">
      <c r="A314" s="58" t="s">
        <v>309</v>
      </c>
      <c r="B314" t="s">
        <v>5382</v>
      </c>
      <c r="C314" t="s">
        <v>2669</v>
      </c>
      <c r="D314" t="s">
        <v>2669</v>
      </c>
      <c r="E314" t="s">
        <v>5536</v>
      </c>
      <c r="F314" t="s">
        <v>309</v>
      </c>
    </row>
    <row r="315" spans="1:6" x14ac:dyDescent="0.3">
      <c r="A315" s="58" t="s">
        <v>310</v>
      </c>
      <c r="B315" t="s">
        <v>5379</v>
      </c>
      <c r="C315" t="s">
        <v>4848</v>
      </c>
      <c r="D315" t="s">
        <v>4556</v>
      </c>
      <c r="E315" t="s">
        <v>5536</v>
      </c>
      <c r="F315" t="s">
        <v>310</v>
      </c>
    </row>
    <row r="316" spans="1:6" x14ac:dyDescent="0.3">
      <c r="A316" s="58" t="s">
        <v>311</v>
      </c>
      <c r="B316" t="s">
        <v>5379</v>
      </c>
      <c r="C316" t="s">
        <v>4848</v>
      </c>
      <c r="D316" t="s">
        <v>4557</v>
      </c>
      <c r="E316" t="s">
        <v>5536</v>
      </c>
      <c r="F316" t="s">
        <v>311</v>
      </c>
    </row>
    <row r="317" spans="1:6" x14ac:dyDescent="0.3">
      <c r="A317" s="58" t="s">
        <v>312</v>
      </c>
      <c r="B317" t="s">
        <v>5379</v>
      </c>
      <c r="C317" t="s">
        <v>4848</v>
      </c>
      <c r="D317" t="s">
        <v>2677</v>
      </c>
      <c r="E317" t="s">
        <v>5537</v>
      </c>
      <c r="F317" t="s">
        <v>312</v>
      </c>
    </row>
    <row r="318" spans="1:6" x14ac:dyDescent="0.3">
      <c r="A318" s="58" t="s">
        <v>313</v>
      </c>
      <c r="B318" t="s">
        <v>5379</v>
      </c>
      <c r="C318" t="s">
        <v>4848</v>
      </c>
      <c r="D318" t="s">
        <v>2678</v>
      </c>
      <c r="E318" t="s">
        <v>5537</v>
      </c>
      <c r="F318" t="s">
        <v>313</v>
      </c>
    </row>
    <row r="319" spans="1:6" x14ac:dyDescent="0.3">
      <c r="A319" s="58" t="s">
        <v>314</v>
      </c>
      <c r="B319" t="s">
        <v>5379</v>
      </c>
      <c r="C319" t="s">
        <v>4848</v>
      </c>
      <c r="D319" t="s">
        <v>2679</v>
      </c>
      <c r="E319" t="s">
        <v>5538</v>
      </c>
      <c r="F319" s="181" t="s">
        <v>5605</v>
      </c>
    </row>
    <row r="320" spans="1:6" x14ac:dyDescent="0.3">
      <c r="A320" s="58" t="s">
        <v>315</v>
      </c>
      <c r="B320" t="s">
        <v>5379</v>
      </c>
      <c r="C320" t="s">
        <v>4848</v>
      </c>
      <c r="D320" t="s">
        <v>2680</v>
      </c>
      <c r="E320" t="s">
        <v>5537</v>
      </c>
      <c r="F320" t="s">
        <v>315</v>
      </c>
    </row>
    <row r="321" spans="1:6" x14ac:dyDescent="0.3">
      <c r="A321" s="58" t="s">
        <v>316</v>
      </c>
      <c r="B321" t="s">
        <v>5379</v>
      </c>
      <c r="C321" t="s">
        <v>4848</v>
      </c>
      <c r="D321" t="s">
        <v>2681</v>
      </c>
      <c r="E321" t="s">
        <v>5537</v>
      </c>
      <c r="F321" t="s">
        <v>316</v>
      </c>
    </row>
    <row r="322" spans="1:6" x14ac:dyDescent="0.3">
      <c r="A322" s="58" t="s">
        <v>317</v>
      </c>
      <c r="B322" t="s">
        <v>5379</v>
      </c>
      <c r="C322" t="s">
        <v>4848</v>
      </c>
      <c r="D322" t="s">
        <v>2682</v>
      </c>
      <c r="E322" t="s">
        <v>5537</v>
      </c>
      <c r="F322" t="s">
        <v>317</v>
      </c>
    </row>
    <row r="323" spans="1:6" x14ac:dyDescent="0.3">
      <c r="A323" s="58" t="s">
        <v>318</v>
      </c>
      <c r="B323" t="s">
        <v>5379</v>
      </c>
      <c r="C323" t="s">
        <v>4848</v>
      </c>
      <c r="D323" t="s">
        <v>2683</v>
      </c>
      <c r="E323" t="s">
        <v>5537</v>
      </c>
      <c r="F323" t="s">
        <v>318</v>
      </c>
    </row>
    <row r="324" spans="1:6" x14ac:dyDescent="0.3">
      <c r="A324" s="58" t="s">
        <v>319</v>
      </c>
      <c r="B324" t="s">
        <v>5379</v>
      </c>
      <c r="C324" t="s">
        <v>4848</v>
      </c>
      <c r="D324" t="s">
        <v>4558</v>
      </c>
      <c r="E324" t="s">
        <v>5537</v>
      </c>
      <c r="F324" t="s">
        <v>319</v>
      </c>
    </row>
    <row r="325" spans="1:6" x14ac:dyDescent="0.3">
      <c r="A325" s="58" t="s">
        <v>320</v>
      </c>
      <c r="B325" t="s">
        <v>5379</v>
      </c>
      <c r="C325" t="s">
        <v>4848</v>
      </c>
      <c r="D325" t="s">
        <v>2684</v>
      </c>
      <c r="E325" t="s">
        <v>5538</v>
      </c>
      <c r="F325" t="s">
        <v>5485</v>
      </c>
    </row>
    <row r="326" spans="1:6" x14ac:dyDescent="0.3">
      <c r="A326" s="58" t="s">
        <v>321</v>
      </c>
      <c r="B326" t="s">
        <v>5379</v>
      </c>
      <c r="C326" t="s">
        <v>4848</v>
      </c>
      <c r="D326" t="s">
        <v>2685</v>
      </c>
      <c r="E326" t="s">
        <v>5537</v>
      </c>
      <c r="F326" t="s">
        <v>321</v>
      </c>
    </row>
    <row r="327" spans="1:6" x14ac:dyDescent="0.3">
      <c r="A327" s="58" t="s">
        <v>322</v>
      </c>
      <c r="B327" t="s">
        <v>5379</v>
      </c>
      <c r="C327" t="s">
        <v>4848</v>
      </c>
      <c r="D327" t="s">
        <v>2686</v>
      </c>
      <c r="E327" t="s">
        <v>5537</v>
      </c>
      <c r="F327" t="s">
        <v>322</v>
      </c>
    </row>
    <row r="328" spans="1:6" x14ac:dyDescent="0.3">
      <c r="A328" s="58" t="s">
        <v>323</v>
      </c>
      <c r="B328" t="s">
        <v>5379</v>
      </c>
      <c r="C328" t="s">
        <v>4848</v>
      </c>
      <c r="D328" t="s">
        <v>2687</v>
      </c>
      <c r="E328" t="s">
        <v>5537</v>
      </c>
      <c r="F328" t="s">
        <v>323</v>
      </c>
    </row>
    <row r="329" spans="1:6" x14ac:dyDescent="0.3">
      <c r="A329" s="58" t="s">
        <v>324</v>
      </c>
      <c r="B329" t="s">
        <v>5379</v>
      </c>
      <c r="C329" t="s">
        <v>4848</v>
      </c>
      <c r="D329" t="s">
        <v>2688</v>
      </c>
      <c r="E329" t="s">
        <v>5537</v>
      </c>
      <c r="F329" t="s">
        <v>324</v>
      </c>
    </row>
    <row r="330" spans="1:6" x14ac:dyDescent="0.3">
      <c r="A330" s="58" t="s">
        <v>325</v>
      </c>
      <c r="B330" t="s">
        <v>5379</v>
      </c>
      <c r="C330" t="s">
        <v>4848</v>
      </c>
      <c r="D330" t="s">
        <v>4559</v>
      </c>
      <c r="E330" t="s">
        <v>5537</v>
      </c>
      <c r="F330" t="s">
        <v>325</v>
      </c>
    </row>
    <row r="331" spans="1:6" x14ac:dyDescent="0.3">
      <c r="A331" s="58" t="s">
        <v>326</v>
      </c>
      <c r="B331" t="s">
        <v>5379</v>
      </c>
      <c r="C331" t="s">
        <v>4848</v>
      </c>
      <c r="D331" t="s">
        <v>2689</v>
      </c>
      <c r="E331" t="s">
        <v>5537</v>
      </c>
      <c r="F331" t="s">
        <v>326</v>
      </c>
    </row>
    <row r="332" spans="1:6" x14ac:dyDescent="0.3">
      <c r="A332" s="58" t="s">
        <v>327</v>
      </c>
      <c r="B332" t="s">
        <v>5379</v>
      </c>
      <c r="C332" t="s">
        <v>4848</v>
      </c>
      <c r="D332" t="s">
        <v>2690</v>
      </c>
      <c r="E332" t="s">
        <v>5537</v>
      </c>
      <c r="F332" t="s">
        <v>327</v>
      </c>
    </row>
    <row r="333" spans="1:6" x14ac:dyDescent="0.3">
      <c r="A333" s="58" t="s">
        <v>328</v>
      </c>
      <c r="B333" t="s">
        <v>5379</v>
      </c>
      <c r="C333" t="s">
        <v>4848</v>
      </c>
      <c r="D333" t="s">
        <v>2691</v>
      </c>
      <c r="E333" t="s">
        <v>5537</v>
      </c>
      <c r="F333" t="s">
        <v>328</v>
      </c>
    </row>
    <row r="334" spans="1:6" x14ac:dyDescent="0.3">
      <c r="A334" s="58" t="s">
        <v>329</v>
      </c>
      <c r="B334" t="s">
        <v>5379</v>
      </c>
      <c r="C334" t="s">
        <v>4849</v>
      </c>
      <c r="D334" t="s">
        <v>4560</v>
      </c>
      <c r="E334" t="s">
        <v>5536</v>
      </c>
      <c r="F334" t="s">
        <v>329</v>
      </c>
    </row>
    <row r="335" spans="1:6" x14ac:dyDescent="0.3">
      <c r="A335" s="58" t="s">
        <v>330</v>
      </c>
      <c r="B335" t="s">
        <v>5379</v>
      </c>
      <c r="C335" t="s">
        <v>4849</v>
      </c>
      <c r="D335" t="s">
        <v>2692</v>
      </c>
      <c r="E335" t="s">
        <v>5537</v>
      </c>
      <c r="F335" t="s">
        <v>330</v>
      </c>
    </row>
    <row r="336" spans="1:6" x14ac:dyDescent="0.3">
      <c r="A336" s="58" t="s">
        <v>331</v>
      </c>
      <c r="B336" t="s">
        <v>5379</v>
      </c>
      <c r="C336" t="s">
        <v>4849</v>
      </c>
      <c r="D336" t="s">
        <v>4561</v>
      </c>
      <c r="E336" t="s">
        <v>5537</v>
      </c>
      <c r="F336" t="s">
        <v>331</v>
      </c>
    </row>
    <row r="337" spans="1:6" x14ac:dyDescent="0.3">
      <c r="A337" s="58" t="s">
        <v>332</v>
      </c>
      <c r="B337" t="s">
        <v>5379</v>
      </c>
      <c r="C337" t="s">
        <v>4849</v>
      </c>
      <c r="D337" t="s">
        <v>2693</v>
      </c>
      <c r="E337" t="s">
        <v>5537</v>
      </c>
      <c r="F337" t="s">
        <v>332</v>
      </c>
    </row>
    <row r="338" spans="1:6" x14ac:dyDescent="0.3">
      <c r="A338" s="58" t="s">
        <v>333</v>
      </c>
      <c r="B338" t="s">
        <v>5379</v>
      </c>
      <c r="C338" t="s">
        <v>4849</v>
      </c>
      <c r="D338" t="s">
        <v>2694</v>
      </c>
      <c r="E338" t="s">
        <v>5538</v>
      </c>
      <c r="F338" t="s">
        <v>333</v>
      </c>
    </row>
    <row r="339" spans="1:6" x14ac:dyDescent="0.3">
      <c r="A339" s="58" t="s">
        <v>5402</v>
      </c>
      <c r="B339" t="s">
        <v>5379</v>
      </c>
      <c r="C339" t="s">
        <v>4849</v>
      </c>
      <c r="D339" t="s">
        <v>2695</v>
      </c>
      <c r="E339" t="s">
        <v>5538</v>
      </c>
      <c r="F339" t="s">
        <v>5402</v>
      </c>
    </row>
    <row r="340" spans="1:6" x14ac:dyDescent="0.3">
      <c r="A340" s="58" t="s">
        <v>334</v>
      </c>
      <c r="B340" t="s">
        <v>5379</v>
      </c>
      <c r="C340" t="s">
        <v>4849</v>
      </c>
      <c r="D340" t="s">
        <v>2696</v>
      </c>
      <c r="E340" t="s">
        <v>5538</v>
      </c>
      <c r="F340" t="s">
        <v>334</v>
      </c>
    </row>
    <row r="341" spans="1:6" x14ac:dyDescent="0.3">
      <c r="A341" s="58" t="s">
        <v>335</v>
      </c>
      <c r="B341" t="s">
        <v>5379</v>
      </c>
      <c r="C341" t="s">
        <v>4849</v>
      </c>
      <c r="D341" t="s">
        <v>2697</v>
      </c>
      <c r="E341" t="s">
        <v>5537</v>
      </c>
      <c r="F341" t="s">
        <v>335</v>
      </c>
    </row>
    <row r="342" spans="1:6" x14ac:dyDescent="0.3">
      <c r="A342" s="58" t="s">
        <v>336</v>
      </c>
      <c r="B342" t="s">
        <v>5379</v>
      </c>
      <c r="C342" t="s">
        <v>4849</v>
      </c>
      <c r="D342" t="s">
        <v>2698</v>
      </c>
      <c r="E342" t="s">
        <v>5537</v>
      </c>
      <c r="F342" t="s">
        <v>336</v>
      </c>
    </row>
    <row r="343" spans="1:6" x14ac:dyDescent="0.3">
      <c r="A343" s="58" t="s">
        <v>337</v>
      </c>
      <c r="B343" t="s">
        <v>5379</v>
      </c>
      <c r="C343" t="s">
        <v>4849</v>
      </c>
      <c r="D343" t="s">
        <v>2699</v>
      </c>
      <c r="E343" t="s">
        <v>5537</v>
      </c>
      <c r="F343" t="s">
        <v>337</v>
      </c>
    </row>
    <row r="344" spans="1:6" x14ac:dyDescent="0.3">
      <c r="A344" s="58" t="s">
        <v>338</v>
      </c>
      <c r="B344" t="s">
        <v>5379</v>
      </c>
      <c r="C344" t="s">
        <v>4849</v>
      </c>
      <c r="D344" t="s">
        <v>2700</v>
      </c>
      <c r="E344" t="s">
        <v>5537</v>
      </c>
      <c r="F344" t="s">
        <v>338</v>
      </c>
    </row>
    <row r="345" spans="1:6" x14ac:dyDescent="0.3">
      <c r="A345" s="58" t="s">
        <v>339</v>
      </c>
      <c r="B345" t="s">
        <v>5379</v>
      </c>
      <c r="C345" t="s">
        <v>4849</v>
      </c>
      <c r="D345" t="s">
        <v>2701</v>
      </c>
      <c r="E345" t="s">
        <v>5538</v>
      </c>
      <c r="F345" t="s">
        <v>339</v>
      </c>
    </row>
    <row r="346" spans="1:6" x14ac:dyDescent="0.3">
      <c r="A346" s="58" t="s">
        <v>340</v>
      </c>
      <c r="B346" t="s">
        <v>5379</v>
      </c>
      <c r="C346" t="s">
        <v>4849</v>
      </c>
      <c r="D346" t="s">
        <v>2702</v>
      </c>
      <c r="E346" t="s">
        <v>5537</v>
      </c>
      <c r="F346" t="s">
        <v>340</v>
      </c>
    </row>
    <row r="347" spans="1:6" x14ac:dyDescent="0.3">
      <c r="A347" s="58" t="s">
        <v>341</v>
      </c>
      <c r="B347" t="s">
        <v>5379</v>
      </c>
      <c r="C347" t="s">
        <v>4849</v>
      </c>
      <c r="D347" t="s">
        <v>2703</v>
      </c>
      <c r="E347" t="s">
        <v>5538</v>
      </c>
      <c r="F347" t="s">
        <v>5486</v>
      </c>
    </row>
    <row r="348" spans="1:6" x14ac:dyDescent="0.3">
      <c r="A348" s="58" t="s">
        <v>342</v>
      </c>
      <c r="B348" t="s">
        <v>5379</v>
      </c>
      <c r="C348" t="s">
        <v>4850</v>
      </c>
      <c r="D348" t="s">
        <v>4562</v>
      </c>
      <c r="E348" t="s">
        <v>5536</v>
      </c>
      <c r="F348" t="s">
        <v>342</v>
      </c>
    </row>
    <row r="349" spans="1:6" x14ac:dyDescent="0.3">
      <c r="A349" s="58" t="s">
        <v>343</v>
      </c>
      <c r="B349" t="s">
        <v>5379</v>
      </c>
      <c r="C349" t="s">
        <v>4850</v>
      </c>
      <c r="D349" t="s">
        <v>2704</v>
      </c>
      <c r="E349" t="s">
        <v>5537</v>
      </c>
      <c r="F349" t="s">
        <v>343</v>
      </c>
    </row>
    <row r="350" spans="1:6" x14ac:dyDescent="0.3">
      <c r="A350" s="58" t="s">
        <v>344</v>
      </c>
      <c r="B350" t="s">
        <v>5379</v>
      </c>
      <c r="C350" t="s">
        <v>4850</v>
      </c>
      <c r="D350" t="s">
        <v>2705</v>
      </c>
      <c r="E350" t="s">
        <v>5537</v>
      </c>
      <c r="F350" t="s">
        <v>344</v>
      </c>
    </row>
    <row r="351" spans="1:6" x14ac:dyDescent="0.3">
      <c r="A351" s="58" t="s">
        <v>345</v>
      </c>
      <c r="B351" t="s">
        <v>5379</v>
      </c>
      <c r="C351" t="s">
        <v>4850</v>
      </c>
      <c r="D351" t="s">
        <v>2706</v>
      </c>
      <c r="E351" t="s">
        <v>5537</v>
      </c>
      <c r="F351" t="s">
        <v>345</v>
      </c>
    </row>
    <row r="352" spans="1:6" x14ac:dyDescent="0.3">
      <c r="A352" s="58" t="s">
        <v>346</v>
      </c>
      <c r="B352" t="s">
        <v>5379</v>
      </c>
      <c r="C352" t="s">
        <v>4850</v>
      </c>
      <c r="D352" t="s">
        <v>2707</v>
      </c>
      <c r="E352" t="s">
        <v>5537</v>
      </c>
      <c r="F352" t="s">
        <v>346</v>
      </c>
    </row>
    <row r="353" spans="1:6" x14ac:dyDescent="0.3">
      <c r="A353" s="58" t="s">
        <v>347</v>
      </c>
      <c r="B353" t="s">
        <v>5379</v>
      </c>
      <c r="C353" t="s">
        <v>4850</v>
      </c>
      <c r="D353" t="s">
        <v>2708</v>
      </c>
      <c r="E353" t="s">
        <v>5537</v>
      </c>
      <c r="F353" t="s">
        <v>347</v>
      </c>
    </row>
    <row r="354" spans="1:6" x14ac:dyDescent="0.3">
      <c r="A354" s="58" t="s">
        <v>348</v>
      </c>
      <c r="B354" t="s">
        <v>5379</v>
      </c>
      <c r="C354" t="s">
        <v>4850</v>
      </c>
      <c r="D354" t="s">
        <v>2709</v>
      </c>
      <c r="E354" t="s">
        <v>5537</v>
      </c>
      <c r="F354" t="s">
        <v>348</v>
      </c>
    </row>
    <row r="355" spans="1:6" x14ac:dyDescent="0.3">
      <c r="A355" s="58" t="s">
        <v>349</v>
      </c>
      <c r="B355" t="s">
        <v>5379</v>
      </c>
      <c r="C355" t="s">
        <v>4850</v>
      </c>
      <c r="D355" t="s">
        <v>4563</v>
      </c>
      <c r="E355" t="s">
        <v>5537</v>
      </c>
      <c r="F355" t="s">
        <v>349</v>
      </c>
    </row>
    <row r="356" spans="1:6" x14ac:dyDescent="0.3">
      <c r="A356" s="58" t="s">
        <v>350</v>
      </c>
      <c r="B356" t="s">
        <v>5379</v>
      </c>
      <c r="C356" t="s">
        <v>4850</v>
      </c>
      <c r="D356" t="s">
        <v>2710</v>
      </c>
      <c r="E356" t="s">
        <v>5537</v>
      </c>
      <c r="F356" t="s">
        <v>350</v>
      </c>
    </row>
    <row r="357" spans="1:6" x14ac:dyDescent="0.3">
      <c r="A357" s="58" t="s">
        <v>351</v>
      </c>
      <c r="B357" t="s">
        <v>5379</v>
      </c>
      <c r="C357" t="s">
        <v>4850</v>
      </c>
      <c r="D357" t="s">
        <v>2711</v>
      </c>
      <c r="E357" t="s">
        <v>5537</v>
      </c>
      <c r="F357" t="s">
        <v>351</v>
      </c>
    </row>
    <row r="358" spans="1:6" x14ac:dyDescent="0.3">
      <c r="A358" s="58" t="s">
        <v>5434</v>
      </c>
      <c r="B358" t="s">
        <v>5379</v>
      </c>
      <c r="C358" t="s">
        <v>4850</v>
      </c>
      <c r="D358" t="s">
        <v>2712</v>
      </c>
      <c r="E358" t="s">
        <v>5538</v>
      </c>
      <c r="F358" t="s">
        <v>5434</v>
      </c>
    </row>
    <row r="359" spans="1:6" x14ac:dyDescent="0.3">
      <c r="A359" s="58" t="s">
        <v>352</v>
      </c>
      <c r="B359" t="s">
        <v>5379</v>
      </c>
      <c r="C359" t="s">
        <v>4850</v>
      </c>
      <c r="D359" t="s">
        <v>2713</v>
      </c>
      <c r="E359" t="s">
        <v>5537</v>
      </c>
      <c r="F359" t="s">
        <v>352</v>
      </c>
    </row>
    <row r="360" spans="1:6" x14ac:dyDescent="0.3">
      <c r="A360" s="58" t="s">
        <v>353</v>
      </c>
      <c r="B360" t="s">
        <v>5379</v>
      </c>
      <c r="C360" t="s">
        <v>4850</v>
      </c>
      <c r="D360" t="s">
        <v>2714</v>
      </c>
      <c r="E360" t="s">
        <v>5537</v>
      </c>
      <c r="F360" t="s">
        <v>353</v>
      </c>
    </row>
    <row r="361" spans="1:6" x14ac:dyDescent="0.3">
      <c r="A361" s="58" t="s">
        <v>354</v>
      </c>
      <c r="B361" t="s">
        <v>5379</v>
      </c>
      <c r="C361" t="s">
        <v>4850</v>
      </c>
      <c r="D361" t="s">
        <v>2715</v>
      </c>
      <c r="E361" t="s">
        <v>5537</v>
      </c>
      <c r="F361" t="s">
        <v>354</v>
      </c>
    </row>
    <row r="362" spans="1:6" x14ac:dyDescent="0.3">
      <c r="A362" s="58" t="s">
        <v>5431</v>
      </c>
      <c r="B362" t="s">
        <v>5379</v>
      </c>
      <c r="C362" t="s">
        <v>4850</v>
      </c>
      <c r="D362" t="s">
        <v>2716</v>
      </c>
      <c r="E362" t="s">
        <v>5538</v>
      </c>
      <c r="F362" t="s">
        <v>5431</v>
      </c>
    </row>
    <row r="363" spans="1:6" x14ac:dyDescent="0.3">
      <c r="A363" s="58" t="s">
        <v>355</v>
      </c>
      <c r="B363" t="s">
        <v>5379</v>
      </c>
      <c r="C363" t="s">
        <v>4851</v>
      </c>
      <c r="D363" t="s">
        <v>4564</v>
      </c>
      <c r="E363" t="s">
        <v>5536</v>
      </c>
      <c r="F363" t="s">
        <v>355</v>
      </c>
    </row>
    <row r="364" spans="1:6" x14ac:dyDescent="0.3">
      <c r="A364" s="58" t="s">
        <v>356</v>
      </c>
      <c r="B364" t="s">
        <v>5379</v>
      </c>
      <c r="C364" t="s">
        <v>4851</v>
      </c>
      <c r="D364" t="s">
        <v>2717</v>
      </c>
      <c r="E364" t="s">
        <v>5537</v>
      </c>
      <c r="F364" t="s">
        <v>356</v>
      </c>
    </row>
    <row r="365" spans="1:6" x14ac:dyDescent="0.3">
      <c r="A365" s="58" t="s">
        <v>357</v>
      </c>
      <c r="B365" t="s">
        <v>5379</v>
      </c>
      <c r="C365" t="s">
        <v>4851</v>
      </c>
      <c r="D365" t="s">
        <v>2718</v>
      </c>
      <c r="E365" t="s">
        <v>5537</v>
      </c>
      <c r="F365" t="s">
        <v>357</v>
      </c>
    </row>
    <row r="366" spans="1:6" x14ac:dyDescent="0.3">
      <c r="A366" s="58" t="s">
        <v>358</v>
      </c>
      <c r="B366" t="s">
        <v>5379</v>
      </c>
      <c r="C366" t="s">
        <v>4851</v>
      </c>
      <c r="D366" t="s">
        <v>4565</v>
      </c>
      <c r="E366" t="s">
        <v>5537</v>
      </c>
      <c r="F366" t="s">
        <v>358</v>
      </c>
    </row>
    <row r="367" spans="1:6" x14ac:dyDescent="0.3">
      <c r="A367" s="58" t="s">
        <v>359</v>
      </c>
      <c r="B367" t="s">
        <v>5379</v>
      </c>
      <c r="C367" t="s">
        <v>4851</v>
      </c>
      <c r="D367" t="s">
        <v>2719</v>
      </c>
      <c r="E367" t="s">
        <v>5537</v>
      </c>
      <c r="F367" t="s">
        <v>359</v>
      </c>
    </row>
    <row r="368" spans="1:6" x14ac:dyDescent="0.3">
      <c r="A368" s="58" t="s">
        <v>360</v>
      </c>
      <c r="B368" t="s">
        <v>5379</v>
      </c>
      <c r="C368" t="s">
        <v>4851</v>
      </c>
      <c r="D368" t="s">
        <v>2720</v>
      </c>
      <c r="E368" t="s">
        <v>5537</v>
      </c>
      <c r="F368" t="s">
        <v>360</v>
      </c>
    </row>
    <row r="369" spans="1:6" x14ac:dyDescent="0.3">
      <c r="A369" s="58" t="s">
        <v>361</v>
      </c>
      <c r="B369" t="s">
        <v>5379</v>
      </c>
      <c r="C369" t="s">
        <v>4851</v>
      </c>
      <c r="D369" t="s">
        <v>2721</v>
      </c>
      <c r="E369" t="s">
        <v>5537</v>
      </c>
      <c r="F369" t="s">
        <v>361</v>
      </c>
    </row>
    <row r="370" spans="1:6" x14ac:dyDescent="0.3">
      <c r="A370" s="58" t="s">
        <v>362</v>
      </c>
      <c r="B370" t="s">
        <v>5379</v>
      </c>
      <c r="C370" t="s">
        <v>4851</v>
      </c>
      <c r="D370" t="s">
        <v>2722</v>
      </c>
      <c r="E370" t="s">
        <v>5537</v>
      </c>
      <c r="F370" t="s">
        <v>362</v>
      </c>
    </row>
    <row r="371" spans="1:6" x14ac:dyDescent="0.3">
      <c r="A371" s="58" t="s">
        <v>363</v>
      </c>
      <c r="B371" t="s">
        <v>5379</v>
      </c>
      <c r="C371" t="s">
        <v>4852</v>
      </c>
      <c r="D371" t="s">
        <v>2723</v>
      </c>
      <c r="E371" t="s">
        <v>5537</v>
      </c>
      <c r="F371" t="s">
        <v>363</v>
      </c>
    </row>
    <row r="372" spans="1:6" x14ac:dyDescent="0.3">
      <c r="A372" s="58" t="s">
        <v>364</v>
      </c>
      <c r="B372" t="s">
        <v>5379</v>
      </c>
      <c r="C372" t="s">
        <v>4852</v>
      </c>
      <c r="D372" t="s">
        <v>2724</v>
      </c>
      <c r="E372" t="s">
        <v>5537</v>
      </c>
      <c r="F372" t="s">
        <v>364</v>
      </c>
    </row>
    <row r="373" spans="1:6" x14ac:dyDescent="0.3">
      <c r="A373" s="58" t="s">
        <v>365</v>
      </c>
      <c r="B373" t="s">
        <v>5379</v>
      </c>
      <c r="C373" t="s">
        <v>4852</v>
      </c>
      <c r="D373" t="s">
        <v>2725</v>
      </c>
      <c r="E373" t="s">
        <v>5537</v>
      </c>
      <c r="F373" t="s">
        <v>365</v>
      </c>
    </row>
    <row r="374" spans="1:6" x14ac:dyDescent="0.3">
      <c r="A374" s="58" t="s">
        <v>366</v>
      </c>
      <c r="B374" t="s">
        <v>5379</v>
      </c>
      <c r="C374" t="s">
        <v>4852</v>
      </c>
      <c r="D374" t="s">
        <v>2726</v>
      </c>
      <c r="E374" t="s">
        <v>5537</v>
      </c>
      <c r="F374" t="s">
        <v>366</v>
      </c>
    </row>
    <row r="375" spans="1:6" x14ac:dyDescent="0.3">
      <c r="A375" s="58" t="s">
        <v>367</v>
      </c>
      <c r="B375" t="s">
        <v>5379</v>
      </c>
      <c r="C375" t="s">
        <v>4852</v>
      </c>
      <c r="D375" t="s">
        <v>2727</v>
      </c>
      <c r="E375" t="s">
        <v>5538</v>
      </c>
      <c r="F375" t="s">
        <v>367</v>
      </c>
    </row>
    <row r="376" spans="1:6" x14ac:dyDescent="0.3">
      <c r="A376" s="58" t="s">
        <v>5162</v>
      </c>
      <c r="B376" t="s">
        <v>5379</v>
      </c>
      <c r="C376" t="s">
        <v>4852</v>
      </c>
      <c r="D376" t="s">
        <v>2728</v>
      </c>
      <c r="E376" t="s">
        <v>5538</v>
      </c>
      <c r="F376" t="s">
        <v>5162</v>
      </c>
    </row>
    <row r="377" spans="1:6" x14ac:dyDescent="0.3">
      <c r="A377" s="58" t="s">
        <v>368</v>
      </c>
      <c r="B377" t="s">
        <v>5379</v>
      </c>
      <c r="C377" t="s">
        <v>4852</v>
      </c>
      <c r="D377" t="s">
        <v>2729</v>
      </c>
      <c r="E377" t="s">
        <v>5537</v>
      </c>
      <c r="F377" t="s">
        <v>368</v>
      </c>
    </row>
    <row r="378" spans="1:6" x14ac:dyDescent="0.3">
      <c r="A378" s="58" t="s">
        <v>369</v>
      </c>
      <c r="B378" t="s">
        <v>5379</v>
      </c>
      <c r="C378" t="s">
        <v>4853</v>
      </c>
      <c r="D378" t="s">
        <v>4566</v>
      </c>
      <c r="E378" t="s">
        <v>5536</v>
      </c>
      <c r="F378" t="s">
        <v>369</v>
      </c>
    </row>
    <row r="379" spans="1:6" x14ac:dyDescent="0.3">
      <c r="A379" s="58" t="s">
        <v>370</v>
      </c>
      <c r="B379" t="s">
        <v>5379</v>
      </c>
      <c r="C379" t="s">
        <v>4853</v>
      </c>
      <c r="D379" t="s">
        <v>2730</v>
      </c>
      <c r="E379" t="s">
        <v>5537</v>
      </c>
      <c r="F379" t="s">
        <v>370</v>
      </c>
    </row>
    <row r="380" spans="1:6" x14ac:dyDescent="0.3">
      <c r="A380" s="58" t="s">
        <v>371</v>
      </c>
      <c r="B380" t="s">
        <v>5379</v>
      </c>
      <c r="C380" t="s">
        <v>4853</v>
      </c>
      <c r="D380" t="s">
        <v>2731</v>
      </c>
      <c r="E380" t="s">
        <v>5537</v>
      </c>
      <c r="F380" t="s">
        <v>371</v>
      </c>
    </row>
    <row r="381" spans="1:6" x14ac:dyDescent="0.3">
      <c r="A381" s="58" t="s">
        <v>372</v>
      </c>
      <c r="B381" t="s">
        <v>5379</v>
      </c>
      <c r="C381" t="s">
        <v>4853</v>
      </c>
      <c r="D381" t="s">
        <v>2732</v>
      </c>
      <c r="E381" t="s">
        <v>5538</v>
      </c>
      <c r="F381" t="s">
        <v>5468</v>
      </c>
    </row>
    <row r="382" spans="1:6" x14ac:dyDescent="0.3">
      <c r="A382" s="58" t="s">
        <v>373</v>
      </c>
      <c r="B382" t="s">
        <v>5379</v>
      </c>
      <c r="C382" t="s">
        <v>4853</v>
      </c>
      <c r="D382" t="s">
        <v>4567</v>
      </c>
      <c r="E382" t="s">
        <v>5537</v>
      </c>
      <c r="F382" t="s">
        <v>373</v>
      </c>
    </row>
    <row r="383" spans="1:6" x14ac:dyDescent="0.3">
      <c r="A383" s="58" t="s">
        <v>374</v>
      </c>
      <c r="B383" t="s">
        <v>5379</v>
      </c>
      <c r="C383" t="s">
        <v>4853</v>
      </c>
      <c r="D383" t="s">
        <v>2733</v>
      </c>
      <c r="E383" t="s">
        <v>5537</v>
      </c>
      <c r="F383" t="s">
        <v>374</v>
      </c>
    </row>
    <row r="384" spans="1:6" x14ac:dyDescent="0.3">
      <c r="A384" s="58" t="s">
        <v>375</v>
      </c>
      <c r="B384" t="s">
        <v>5379</v>
      </c>
      <c r="C384" t="s">
        <v>4853</v>
      </c>
      <c r="D384" t="s">
        <v>2734</v>
      </c>
      <c r="E384" t="s">
        <v>5537</v>
      </c>
      <c r="F384" t="s">
        <v>375</v>
      </c>
    </row>
    <row r="385" spans="1:6" x14ac:dyDescent="0.3">
      <c r="A385" s="58" t="s">
        <v>376</v>
      </c>
      <c r="B385" t="s">
        <v>5379</v>
      </c>
      <c r="C385" t="s">
        <v>4853</v>
      </c>
      <c r="D385" t="s">
        <v>2735</v>
      </c>
      <c r="E385" t="s">
        <v>5537</v>
      </c>
      <c r="F385" t="s">
        <v>376</v>
      </c>
    </row>
    <row r="386" spans="1:6" x14ac:dyDescent="0.3">
      <c r="A386" s="58" t="s">
        <v>377</v>
      </c>
      <c r="B386" t="s">
        <v>5379</v>
      </c>
      <c r="C386" t="s">
        <v>4853</v>
      </c>
      <c r="D386" t="s">
        <v>2736</v>
      </c>
      <c r="E386" t="s">
        <v>5537</v>
      </c>
      <c r="F386" t="s">
        <v>377</v>
      </c>
    </row>
    <row r="387" spans="1:6" x14ac:dyDescent="0.3">
      <c r="A387" s="58" t="s">
        <v>378</v>
      </c>
      <c r="B387" t="s">
        <v>5379</v>
      </c>
      <c r="C387" t="s">
        <v>4853</v>
      </c>
      <c r="D387" t="s">
        <v>2737</v>
      </c>
      <c r="E387" t="s">
        <v>5537</v>
      </c>
      <c r="F387" t="s">
        <v>378</v>
      </c>
    </row>
    <row r="388" spans="1:6" x14ac:dyDescent="0.3">
      <c r="A388" s="58" t="s">
        <v>379</v>
      </c>
      <c r="B388" t="s">
        <v>5379</v>
      </c>
      <c r="C388" t="s">
        <v>4854</v>
      </c>
      <c r="D388" t="s">
        <v>4568</v>
      </c>
      <c r="E388" t="s">
        <v>5536</v>
      </c>
      <c r="F388" t="s">
        <v>379</v>
      </c>
    </row>
    <row r="389" spans="1:6" x14ac:dyDescent="0.3">
      <c r="A389" s="58" t="s">
        <v>380</v>
      </c>
      <c r="B389" t="s">
        <v>5379</v>
      </c>
      <c r="C389" t="s">
        <v>4854</v>
      </c>
      <c r="D389" t="s">
        <v>2738</v>
      </c>
      <c r="E389" t="s">
        <v>5538</v>
      </c>
      <c r="F389" t="s">
        <v>380</v>
      </c>
    </row>
    <row r="390" spans="1:6" x14ac:dyDescent="0.3">
      <c r="A390" s="58" t="s">
        <v>381</v>
      </c>
      <c r="B390" t="s">
        <v>5379</v>
      </c>
      <c r="C390" t="s">
        <v>4854</v>
      </c>
      <c r="D390" t="s">
        <v>2739</v>
      </c>
      <c r="E390" t="s">
        <v>5537</v>
      </c>
      <c r="F390" t="s">
        <v>381</v>
      </c>
    </row>
    <row r="391" spans="1:6" x14ac:dyDescent="0.3">
      <c r="A391" s="58" t="s">
        <v>382</v>
      </c>
      <c r="B391" t="s">
        <v>5379</v>
      </c>
      <c r="C391" t="s">
        <v>4854</v>
      </c>
      <c r="D391" t="s">
        <v>2740</v>
      </c>
      <c r="E391" t="s">
        <v>5537</v>
      </c>
      <c r="F391" t="s">
        <v>382</v>
      </c>
    </row>
    <row r="392" spans="1:6" x14ac:dyDescent="0.3">
      <c r="A392" s="58" t="s">
        <v>383</v>
      </c>
      <c r="B392" t="s">
        <v>5379</v>
      </c>
      <c r="C392" t="s">
        <v>4854</v>
      </c>
      <c r="D392" t="s">
        <v>4569</v>
      </c>
      <c r="E392" t="s">
        <v>5537</v>
      </c>
      <c r="F392" t="s">
        <v>383</v>
      </c>
    </row>
    <row r="393" spans="1:6" x14ac:dyDescent="0.3">
      <c r="A393" s="58" t="s">
        <v>384</v>
      </c>
      <c r="B393" t="s">
        <v>5379</v>
      </c>
      <c r="C393" t="s">
        <v>4854</v>
      </c>
      <c r="D393" t="s">
        <v>2741</v>
      </c>
      <c r="E393" t="s">
        <v>5537</v>
      </c>
      <c r="F393" t="s">
        <v>384</v>
      </c>
    </row>
    <row r="394" spans="1:6" x14ac:dyDescent="0.3">
      <c r="A394" s="58" t="s">
        <v>385</v>
      </c>
      <c r="B394" t="s">
        <v>5379</v>
      </c>
      <c r="C394" t="s">
        <v>4854</v>
      </c>
      <c r="D394" t="s">
        <v>2742</v>
      </c>
      <c r="E394" t="s">
        <v>5537</v>
      </c>
      <c r="F394" t="s">
        <v>385</v>
      </c>
    </row>
    <row r="395" spans="1:6" x14ac:dyDescent="0.3">
      <c r="A395" s="58" t="s">
        <v>5447</v>
      </c>
      <c r="B395" t="s">
        <v>5379</v>
      </c>
      <c r="C395" t="s">
        <v>4854</v>
      </c>
      <c r="D395" t="s">
        <v>2743</v>
      </c>
      <c r="E395" t="s">
        <v>5538</v>
      </c>
      <c r="F395" t="s">
        <v>5447</v>
      </c>
    </row>
    <row r="396" spans="1:6" x14ac:dyDescent="0.3">
      <c r="A396" s="58" t="s">
        <v>386</v>
      </c>
      <c r="B396" t="s">
        <v>5379</v>
      </c>
      <c r="C396" t="s">
        <v>4854</v>
      </c>
      <c r="D396" t="s">
        <v>2744</v>
      </c>
      <c r="E396" t="s">
        <v>5537</v>
      </c>
      <c r="F396" t="s">
        <v>386</v>
      </c>
    </row>
    <row r="397" spans="1:6" x14ac:dyDescent="0.3">
      <c r="A397" s="58" t="s">
        <v>387</v>
      </c>
      <c r="B397" t="s">
        <v>5379</v>
      </c>
      <c r="C397" t="s">
        <v>4854</v>
      </c>
      <c r="D397" t="s">
        <v>2745</v>
      </c>
      <c r="E397" t="s">
        <v>5537</v>
      </c>
      <c r="F397" t="s">
        <v>387</v>
      </c>
    </row>
    <row r="398" spans="1:6" x14ac:dyDescent="0.3">
      <c r="A398" s="58" t="s">
        <v>388</v>
      </c>
      <c r="B398" t="s">
        <v>5379</v>
      </c>
      <c r="C398" t="s">
        <v>4855</v>
      </c>
      <c r="D398" t="s">
        <v>4570</v>
      </c>
      <c r="E398" t="s">
        <v>5536</v>
      </c>
      <c r="F398" t="s">
        <v>388</v>
      </c>
    </row>
    <row r="399" spans="1:6" x14ac:dyDescent="0.3">
      <c r="A399" s="58" t="s">
        <v>389</v>
      </c>
      <c r="B399" t="s">
        <v>5379</v>
      </c>
      <c r="C399" t="s">
        <v>4855</v>
      </c>
      <c r="D399" t="s">
        <v>2746</v>
      </c>
      <c r="E399" t="s">
        <v>5537</v>
      </c>
      <c r="F399" t="s">
        <v>389</v>
      </c>
    </row>
    <row r="400" spans="1:6" x14ac:dyDescent="0.3">
      <c r="A400" s="58" t="s">
        <v>390</v>
      </c>
      <c r="B400" t="s">
        <v>5379</v>
      </c>
      <c r="C400" t="s">
        <v>4855</v>
      </c>
      <c r="D400" t="s">
        <v>2747</v>
      </c>
      <c r="E400" t="s">
        <v>5537</v>
      </c>
      <c r="F400" t="s">
        <v>390</v>
      </c>
    </row>
    <row r="401" spans="1:6" x14ac:dyDescent="0.3">
      <c r="A401" s="58" t="s">
        <v>391</v>
      </c>
      <c r="B401" t="s">
        <v>5379</v>
      </c>
      <c r="C401" t="s">
        <v>4855</v>
      </c>
      <c r="D401" t="s">
        <v>2748</v>
      </c>
      <c r="E401" t="s">
        <v>5537</v>
      </c>
      <c r="F401" t="s">
        <v>391</v>
      </c>
    </row>
    <row r="402" spans="1:6" x14ac:dyDescent="0.3">
      <c r="A402" s="58" t="s">
        <v>5408</v>
      </c>
      <c r="B402" t="s">
        <v>5379</v>
      </c>
      <c r="C402" t="s">
        <v>4855</v>
      </c>
      <c r="D402" t="s">
        <v>2749</v>
      </c>
      <c r="E402" t="s">
        <v>5538</v>
      </c>
      <c r="F402" t="s">
        <v>5408</v>
      </c>
    </row>
    <row r="403" spans="1:6" x14ac:dyDescent="0.3">
      <c r="A403" s="58" t="s">
        <v>392</v>
      </c>
      <c r="B403" t="s">
        <v>5379</v>
      </c>
      <c r="C403" t="s">
        <v>4855</v>
      </c>
      <c r="D403" t="s">
        <v>2750</v>
      </c>
      <c r="E403" t="s">
        <v>5538</v>
      </c>
      <c r="F403" t="s">
        <v>392</v>
      </c>
    </row>
    <row r="404" spans="1:6" x14ac:dyDescent="0.3">
      <c r="A404" s="58" t="s">
        <v>393</v>
      </c>
      <c r="B404" t="s">
        <v>5379</v>
      </c>
      <c r="C404" t="s">
        <v>4855</v>
      </c>
      <c r="D404" t="s">
        <v>4571</v>
      </c>
      <c r="E404" t="s">
        <v>5537</v>
      </c>
      <c r="F404" t="s">
        <v>393</v>
      </c>
    </row>
    <row r="405" spans="1:6" x14ac:dyDescent="0.3">
      <c r="A405" s="58" t="s">
        <v>394</v>
      </c>
      <c r="B405" t="s">
        <v>5379</v>
      </c>
      <c r="C405" t="s">
        <v>4855</v>
      </c>
      <c r="D405" t="s">
        <v>2751</v>
      </c>
      <c r="E405" t="s">
        <v>5537</v>
      </c>
      <c r="F405" t="s">
        <v>394</v>
      </c>
    </row>
    <row r="406" spans="1:6" x14ac:dyDescent="0.3">
      <c r="A406" s="58" t="s">
        <v>395</v>
      </c>
      <c r="B406" t="s">
        <v>5379</v>
      </c>
      <c r="C406" t="s">
        <v>4855</v>
      </c>
      <c r="D406" t="s">
        <v>2752</v>
      </c>
      <c r="E406" t="s">
        <v>5537</v>
      </c>
      <c r="F406" t="s">
        <v>395</v>
      </c>
    </row>
    <row r="407" spans="1:6" x14ac:dyDescent="0.3">
      <c r="A407" s="58" t="s">
        <v>396</v>
      </c>
      <c r="B407" t="s">
        <v>5379</v>
      </c>
      <c r="C407" t="s">
        <v>4855</v>
      </c>
      <c r="D407" t="s">
        <v>2753</v>
      </c>
      <c r="E407" t="s">
        <v>5538</v>
      </c>
      <c r="F407" t="s">
        <v>396</v>
      </c>
    </row>
    <row r="408" spans="1:6" x14ac:dyDescent="0.3">
      <c r="A408" s="58" t="s">
        <v>397</v>
      </c>
      <c r="B408" t="s">
        <v>5379</v>
      </c>
      <c r="C408" t="s">
        <v>4855</v>
      </c>
      <c r="D408" t="s">
        <v>2754</v>
      </c>
      <c r="E408" t="s">
        <v>5537</v>
      </c>
      <c r="F408" t="s">
        <v>397</v>
      </c>
    </row>
    <row r="409" spans="1:6" x14ac:dyDescent="0.3">
      <c r="A409" s="58" t="s">
        <v>398</v>
      </c>
      <c r="B409" t="s">
        <v>5379</v>
      </c>
      <c r="C409" t="s">
        <v>4855</v>
      </c>
      <c r="D409" t="s">
        <v>2755</v>
      </c>
      <c r="E409" t="s">
        <v>5537</v>
      </c>
      <c r="F409" t="s">
        <v>398</v>
      </c>
    </row>
    <row r="410" spans="1:6" x14ac:dyDescent="0.3">
      <c r="A410" s="58" t="s">
        <v>399</v>
      </c>
      <c r="B410" t="s">
        <v>5379</v>
      </c>
      <c r="C410" t="s">
        <v>4855</v>
      </c>
      <c r="D410" t="s">
        <v>2756</v>
      </c>
      <c r="E410" t="s">
        <v>5537</v>
      </c>
      <c r="F410" t="s">
        <v>399</v>
      </c>
    </row>
    <row r="411" spans="1:6" x14ac:dyDescent="0.3">
      <c r="A411" s="58" t="s">
        <v>400</v>
      </c>
      <c r="B411" t="s">
        <v>5379</v>
      </c>
      <c r="C411" t="s">
        <v>4856</v>
      </c>
      <c r="D411" t="s">
        <v>2757</v>
      </c>
      <c r="E411" t="s">
        <v>5538</v>
      </c>
      <c r="F411" t="s">
        <v>400</v>
      </c>
    </row>
    <row r="412" spans="1:6" x14ac:dyDescent="0.3">
      <c r="A412" s="58" t="s">
        <v>401</v>
      </c>
      <c r="B412" t="s">
        <v>5379</v>
      </c>
      <c r="C412" t="s">
        <v>4856</v>
      </c>
      <c r="D412" t="s">
        <v>2758</v>
      </c>
      <c r="E412" t="s">
        <v>5537</v>
      </c>
      <c r="F412" t="s">
        <v>401</v>
      </c>
    </row>
    <row r="413" spans="1:6" x14ac:dyDescent="0.3">
      <c r="A413" s="58" t="s">
        <v>402</v>
      </c>
      <c r="B413" t="s">
        <v>5379</v>
      </c>
      <c r="C413" t="s">
        <v>4856</v>
      </c>
      <c r="D413" t="s">
        <v>2759</v>
      </c>
      <c r="E413" t="s">
        <v>5538</v>
      </c>
      <c r="F413" t="s">
        <v>402</v>
      </c>
    </row>
    <row r="414" spans="1:6" x14ac:dyDescent="0.3">
      <c r="A414" s="58" t="s">
        <v>403</v>
      </c>
      <c r="B414" t="s">
        <v>5379</v>
      </c>
      <c r="C414" t="s">
        <v>4856</v>
      </c>
      <c r="D414" t="s">
        <v>2760</v>
      </c>
      <c r="E414" t="s">
        <v>5537</v>
      </c>
      <c r="F414" t="s">
        <v>403</v>
      </c>
    </row>
    <row r="415" spans="1:6" x14ac:dyDescent="0.3">
      <c r="A415" s="58" t="s">
        <v>404</v>
      </c>
      <c r="B415" t="s">
        <v>5379</v>
      </c>
      <c r="C415" t="s">
        <v>4856</v>
      </c>
      <c r="D415" t="s">
        <v>2761</v>
      </c>
      <c r="E415" t="s">
        <v>5537</v>
      </c>
      <c r="F415" t="s">
        <v>404</v>
      </c>
    </row>
    <row r="416" spans="1:6" x14ac:dyDescent="0.3">
      <c r="A416" s="58" t="s">
        <v>405</v>
      </c>
      <c r="B416" t="s">
        <v>5379</v>
      </c>
      <c r="C416" t="s">
        <v>4856</v>
      </c>
      <c r="D416" t="s">
        <v>2762</v>
      </c>
      <c r="E416" t="s">
        <v>5537</v>
      </c>
      <c r="F416" t="s">
        <v>405</v>
      </c>
    </row>
    <row r="417" spans="1:6" x14ac:dyDescent="0.3">
      <c r="A417" s="58" t="s">
        <v>406</v>
      </c>
      <c r="B417" t="s">
        <v>5379</v>
      </c>
      <c r="C417" t="s">
        <v>4856</v>
      </c>
      <c r="D417" t="s">
        <v>2763</v>
      </c>
      <c r="E417" t="s">
        <v>5537</v>
      </c>
      <c r="F417" t="s">
        <v>406</v>
      </c>
    </row>
    <row r="418" spans="1:6" x14ac:dyDescent="0.3">
      <c r="A418" s="58" t="s">
        <v>407</v>
      </c>
      <c r="B418" t="s">
        <v>5379</v>
      </c>
      <c r="C418" t="s">
        <v>4856</v>
      </c>
      <c r="D418" t="s">
        <v>2764</v>
      </c>
      <c r="E418" t="s">
        <v>5537</v>
      </c>
      <c r="F418" t="s">
        <v>407</v>
      </c>
    </row>
    <row r="419" spans="1:6" x14ac:dyDescent="0.3">
      <c r="A419" s="58" t="s">
        <v>408</v>
      </c>
      <c r="B419" t="s">
        <v>5379</v>
      </c>
      <c r="C419" t="s">
        <v>4856</v>
      </c>
      <c r="D419" t="s">
        <v>2765</v>
      </c>
      <c r="E419" t="s">
        <v>5537</v>
      </c>
      <c r="F419" t="s">
        <v>408</v>
      </c>
    </row>
    <row r="420" spans="1:6" x14ac:dyDescent="0.3">
      <c r="A420" s="58" t="s">
        <v>409</v>
      </c>
      <c r="B420" t="s">
        <v>5379</v>
      </c>
      <c r="C420" t="s">
        <v>4856</v>
      </c>
      <c r="D420" t="s">
        <v>2766</v>
      </c>
      <c r="E420" t="s">
        <v>5537</v>
      </c>
      <c r="F420" t="s">
        <v>409</v>
      </c>
    </row>
    <row r="421" spans="1:6" x14ac:dyDescent="0.3">
      <c r="A421" s="58" t="s">
        <v>410</v>
      </c>
      <c r="B421" t="s">
        <v>5379</v>
      </c>
      <c r="C421" t="s">
        <v>4856</v>
      </c>
      <c r="D421" t="s">
        <v>2767</v>
      </c>
      <c r="E421" t="s">
        <v>5537</v>
      </c>
      <c r="F421" t="s">
        <v>410</v>
      </c>
    </row>
    <row r="422" spans="1:6" x14ac:dyDescent="0.3">
      <c r="A422" s="58" t="s">
        <v>411</v>
      </c>
      <c r="B422" t="s">
        <v>5379</v>
      </c>
      <c r="C422" t="s">
        <v>4856</v>
      </c>
      <c r="D422" t="s">
        <v>2768</v>
      </c>
      <c r="E422" t="s">
        <v>5537</v>
      </c>
      <c r="F422" t="s">
        <v>411</v>
      </c>
    </row>
    <row r="423" spans="1:6" x14ac:dyDescent="0.3">
      <c r="A423" s="58" t="s">
        <v>412</v>
      </c>
      <c r="B423" t="s">
        <v>5379</v>
      </c>
      <c r="C423" t="s">
        <v>4856</v>
      </c>
      <c r="D423" t="s">
        <v>2769</v>
      </c>
      <c r="E423" t="s">
        <v>5537</v>
      </c>
      <c r="F423" t="s">
        <v>412</v>
      </c>
    </row>
    <row r="424" spans="1:6" x14ac:dyDescent="0.3">
      <c r="A424" s="58" t="s">
        <v>413</v>
      </c>
      <c r="B424" t="s">
        <v>5379</v>
      </c>
      <c r="C424" t="s">
        <v>4856</v>
      </c>
      <c r="D424" t="s">
        <v>2770</v>
      </c>
      <c r="E424" t="s">
        <v>5537</v>
      </c>
      <c r="F424" t="s">
        <v>413</v>
      </c>
    </row>
    <row r="425" spans="1:6" x14ac:dyDescent="0.3">
      <c r="A425" s="58" t="s">
        <v>414</v>
      </c>
      <c r="B425" t="s">
        <v>5379</v>
      </c>
      <c r="C425" t="s">
        <v>4856</v>
      </c>
      <c r="D425" t="s">
        <v>2771</v>
      </c>
      <c r="E425" t="s">
        <v>5537</v>
      </c>
      <c r="F425" t="s">
        <v>414</v>
      </c>
    </row>
    <row r="426" spans="1:6" x14ac:dyDescent="0.3">
      <c r="A426" s="58" t="s">
        <v>415</v>
      </c>
      <c r="B426" t="s">
        <v>5379</v>
      </c>
      <c r="C426" t="s">
        <v>4856</v>
      </c>
      <c r="D426" t="s">
        <v>2772</v>
      </c>
      <c r="E426" t="s">
        <v>5537</v>
      </c>
      <c r="F426" t="s">
        <v>415</v>
      </c>
    </row>
    <row r="427" spans="1:6" x14ac:dyDescent="0.3">
      <c r="A427" s="58" t="s">
        <v>416</v>
      </c>
      <c r="B427" t="s">
        <v>5379</v>
      </c>
      <c r="C427" t="s">
        <v>4857</v>
      </c>
      <c r="D427" t="s">
        <v>2773</v>
      </c>
      <c r="E427" t="s">
        <v>5537</v>
      </c>
      <c r="F427" t="s">
        <v>416</v>
      </c>
    </row>
    <row r="428" spans="1:6" x14ac:dyDescent="0.3">
      <c r="A428" s="58" t="s">
        <v>417</v>
      </c>
      <c r="B428" t="s">
        <v>5379</v>
      </c>
      <c r="C428" t="s">
        <v>4857</v>
      </c>
      <c r="D428" t="s">
        <v>2774</v>
      </c>
      <c r="E428" t="s">
        <v>5537</v>
      </c>
      <c r="F428" t="s">
        <v>417</v>
      </c>
    </row>
    <row r="429" spans="1:6" x14ac:dyDescent="0.3">
      <c r="A429" s="58" t="s">
        <v>418</v>
      </c>
      <c r="B429" t="s">
        <v>5379</v>
      </c>
      <c r="C429" t="s">
        <v>4857</v>
      </c>
      <c r="D429" t="s">
        <v>2775</v>
      </c>
      <c r="E429" t="s">
        <v>5538</v>
      </c>
      <c r="F429" t="s">
        <v>418</v>
      </c>
    </row>
    <row r="430" spans="1:6" x14ac:dyDescent="0.3">
      <c r="A430" s="58" t="s">
        <v>419</v>
      </c>
      <c r="B430" t="s">
        <v>5379</v>
      </c>
      <c r="C430" t="s">
        <v>4857</v>
      </c>
      <c r="D430" t="s">
        <v>2776</v>
      </c>
      <c r="E430" t="s">
        <v>5537</v>
      </c>
      <c r="F430" t="s">
        <v>419</v>
      </c>
    </row>
    <row r="431" spans="1:6" x14ac:dyDescent="0.3">
      <c r="A431" s="58" t="s">
        <v>420</v>
      </c>
      <c r="B431" t="s">
        <v>5379</v>
      </c>
      <c r="C431" t="s">
        <v>4857</v>
      </c>
      <c r="D431" t="s">
        <v>2777</v>
      </c>
      <c r="E431" t="s">
        <v>5537</v>
      </c>
      <c r="F431" t="s">
        <v>420</v>
      </c>
    </row>
    <row r="432" spans="1:6" x14ac:dyDescent="0.3">
      <c r="A432" s="58" t="s">
        <v>421</v>
      </c>
      <c r="B432" t="s">
        <v>5379</v>
      </c>
      <c r="C432" t="s">
        <v>4857</v>
      </c>
      <c r="D432" t="s">
        <v>2778</v>
      </c>
      <c r="E432" t="s">
        <v>5537</v>
      </c>
      <c r="F432" t="s">
        <v>421</v>
      </c>
    </row>
    <row r="433" spans="1:6" x14ac:dyDescent="0.3">
      <c r="A433" s="58" t="s">
        <v>422</v>
      </c>
      <c r="B433" t="s">
        <v>5379</v>
      </c>
      <c r="C433" t="s">
        <v>4858</v>
      </c>
      <c r="D433" t="s">
        <v>4572</v>
      </c>
      <c r="E433" t="s">
        <v>5536</v>
      </c>
      <c r="F433" t="s">
        <v>422</v>
      </c>
    </row>
    <row r="434" spans="1:6" x14ac:dyDescent="0.3">
      <c r="A434" s="58" t="s">
        <v>423</v>
      </c>
      <c r="B434" t="s">
        <v>5379</v>
      </c>
      <c r="C434" t="s">
        <v>4858</v>
      </c>
      <c r="D434" t="s">
        <v>5441</v>
      </c>
      <c r="E434" t="s">
        <v>5536</v>
      </c>
      <c r="F434" t="s">
        <v>423</v>
      </c>
    </row>
    <row r="435" spans="1:6" x14ac:dyDescent="0.3">
      <c r="A435" s="58" t="s">
        <v>424</v>
      </c>
      <c r="B435" t="s">
        <v>5379</v>
      </c>
      <c r="C435" t="s">
        <v>4858</v>
      </c>
      <c r="D435" t="s">
        <v>2779</v>
      </c>
      <c r="E435" t="s">
        <v>5537</v>
      </c>
      <c r="F435" t="s">
        <v>424</v>
      </c>
    </row>
    <row r="436" spans="1:6" x14ac:dyDescent="0.3">
      <c r="A436" s="58" t="s">
        <v>425</v>
      </c>
      <c r="B436" t="s">
        <v>5379</v>
      </c>
      <c r="C436" t="s">
        <v>4858</v>
      </c>
      <c r="D436" t="s">
        <v>2780</v>
      </c>
      <c r="E436" t="s">
        <v>5537</v>
      </c>
      <c r="F436" t="s">
        <v>425</v>
      </c>
    </row>
    <row r="437" spans="1:6" x14ac:dyDescent="0.3">
      <c r="A437" s="58" t="s">
        <v>426</v>
      </c>
      <c r="B437" t="s">
        <v>5379</v>
      </c>
      <c r="C437" t="s">
        <v>4858</v>
      </c>
      <c r="D437" t="s">
        <v>4573</v>
      </c>
      <c r="E437" t="s">
        <v>5537</v>
      </c>
      <c r="F437" t="s">
        <v>426</v>
      </c>
    </row>
    <row r="438" spans="1:6" x14ac:dyDescent="0.3">
      <c r="A438" s="58" t="s">
        <v>427</v>
      </c>
      <c r="B438" t="s">
        <v>5379</v>
      </c>
      <c r="C438" t="s">
        <v>4858</v>
      </c>
      <c r="D438" t="s">
        <v>2781</v>
      </c>
      <c r="E438" t="s">
        <v>5537</v>
      </c>
      <c r="F438" t="s">
        <v>427</v>
      </c>
    </row>
    <row r="439" spans="1:6" x14ac:dyDescent="0.3">
      <c r="A439" s="58" t="s">
        <v>428</v>
      </c>
      <c r="B439" t="s">
        <v>5379</v>
      </c>
      <c r="C439" t="s">
        <v>4858</v>
      </c>
      <c r="D439" t="s">
        <v>2782</v>
      </c>
      <c r="E439" t="s">
        <v>5537</v>
      </c>
      <c r="F439" t="s">
        <v>428</v>
      </c>
    </row>
    <row r="440" spans="1:6" x14ac:dyDescent="0.3">
      <c r="A440" s="58" t="s">
        <v>429</v>
      </c>
      <c r="B440" t="s">
        <v>5379</v>
      </c>
      <c r="C440" t="s">
        <v>4858</v>
      </c>
      <c r="D440" t="s">
        <v>5442</v>
      </c>
      <c r="E440" t="s">
        <v>5537</v>
      </c>
      <c r="F440" t="s">
        <v>429</v>
      </c>
    </row>
    <row r="441" spans="1:6" x14ac:dyDescent="0.3">
      <c r="A441" s="58" t="s">
        <v>430</v>
      </c>
      <c r="B441" t="s">
        <v>5379</v>
      </c>
      <c r="C441" t="s">
        <v>4858</v>
      </c>
      <c r="D441" t="s">
        <v>2783</v>
      </c>
      <c r="E441" t="s">
        <v>5537</v>
      </c>
      <c r="F441" t="s">
        <v>430</v>
      </c>
    </row>
    <row r="442" spans="1:6" x14ac:dyDescent="0.3">
      <c r="A442" s="58" t="s">
        <v>431</v>
      </c>
      <c r="B442" t="s">
        <v>5379</v>
      </c>
      <c r="C442" t="s">
        <v>4858</v>
      </c>
      <c r="D442" t="s">
        <v>2784</v>
      </c>
      <c r="E442" t="s">
        <v>5537</v>
      </c>
      <c r="F442" t="s">
        <v>431</v>
      </c>
    </row>
    <row r="443" spans="1:6" x14ac:dyDescent="0.3">
      <c r="A443" s="58" t="s">
        <v>432</v>
      </c>
      <c r="B443" t="s">
        <v>5379</v>
      </c>
      <c r="C443" t="s">
        <v>4858</v>
      </c>
      <c r="D443" t="s">
        <v>2785</v>
      </c>
      <c r="E443" t="s">
        <v>5537</v>
      </c>
      <c r="F443" t="s">
        <v>432</v>
      </c>
    </row>
    <row r="444" spans="1:6" x14ac:dyDescent="0.3">
      <c r="A444" s="58" t="s">
        <v>433</v>
      </c>
      <c r="B444" t="s">
        <v>5379</v>
      </c>
      <c r="C444" t="s">
        <v>4859</v>
      </c>
      <c r="D444" t="s">
        <v>2786</v>
      </c>
      <c r="E444" t="s">
        <v>5537</v>
      </c>
      <c r="F444" t="s">
        <v>433</v>
      </c>
    </row>
    <row r="445" spans="1:6" x14ac:dyDescent="0.3">
      <c r="A445" s="58" t="s">
        <v>5406</v>
      </c>
      <c r="B445" t="s">
        <v>5379</v>
      </c>
      <c r="C445" t="s">
        <v>4859</v>
      </c>
      <c r="D445" t="s">
        <v>2787</v>
      </c>
      <c r="E445" t="s">
        <v>5538</v>
      </c>
      <c r="F445" t="s">
        <v>5406</v>
      </c>
    </row>
    <row r="446" spans="1:6" x14ac:dyDescent="0.3">
      <c r="A446" s="58" t="s">
        <v>434</v>
      </c>
      <c r="B446" t="s">
        <v>5379</v>
      </c>
      <c r="C446" t="s">
        <v>4859</v>
      </c>
      <c r="D446" t="s">
        <v>2788</v>
      </c>
      <c r="E446" t="s">
        <v>5537</v>
      </c>
      <c r="F446" t="s">
        <v>434</v>
      </c>
    </row>
    <row r="447" spans="1:6" x14ac:dyDescent="0.3">
      <c r="A447" s="58" t="s">
        <v>435</v>
      </c>
      <c r="B447" t="s">
        <v>5379</v>
      </c>
      <c r="C447" t="s">
        <v>4859</v>
      </c>
      <c r="D447" t="s">
        <v>2789</v>
      </c>
      <c r="E447" t="s">
        <v>5537</v>
      </c>
      <c r="F447" t="s">
        <v>435</v>
      </c>
    </row>
    <row r="448" spans="1:6" x14ac:dyDescent="0.3">
      <c r="A448" s="58" t="s">
        <v>436</v>
      </c>
      <c r="B448" t="s">
        <v>5379</v>
      </c>
      <c r="C448" t="s">
        <v>4859</v>
      </c>
      <c r="D448" t="s">
        <v>2790</v>
      </c>
      <c r="E448" t="s">
        <v>5538</v>
      </c>
      <c r="F448" t="s">
        <v>436</v>
      </c>
    </row>
    <row r="449" spans="1:6" x14ac:dyDescent="0.3">
      <c r="A449" s="58" t="s">
        <v>437</v>
      </c>
      <c r="B449" t="s">
        <v>5379</v>
      </c>
      <c r="C449" t="s">
        <v>4859</v>
      </c>
      <c r="D449" t="s">
        <v>2791</v>
      </c>
      <c r="E449" t="s">
        <v>5538</v>
      </c>
      <c r="F449" t="s">
        <v>437</v>
      </c>
    </row>
    <row r="450" spans="1:6" x14ac:dyDescent="0.3">
      <c r="A450" s="58" t="s">
        <v>438</v>
      </c>
      <c r="B450" t="s">
        <v>5379</v>
      </c>
      <c r="C450" t="s">
        <v>4859</v>
      </c>
      <c r="D450" t="s">
        <v>2792</v>
      </c>
      <c r="E450" t="s">
        <v>5537</v>
      </c>
      <c r="F450" t="s">
        <v>438</v>
      </c>
    </row>
    <row r="451" spans="1:6" x14ac:dyDescent="0.3">
      <c r="A451" s="58" t="s">
        <v>439</v>
      </c>
      <c r="B451" t="s">
        <v>5379</v>
      </c>
      <c r="C451" t="s">
        <v>4860</v>
      </c>
      <c r="D451" t="s">
        <v>2793</v>
      </c>
      <c r="E451" t="s">
        <v>5537</v>
      </c>
      <c r="F451" t="s">
        <v>439</v>
      </c>
    </row>
    <row r="452" spans="1:6" x14ac:dyDescent="0.3">
      <c r="A452" s="58" t="s">
        <v>440</v>
      </c>
      <c r="B452" t="s">
        <v>5379</v>
      </c>
      <c r="C452" t="s">
        <v>4860</v>
      </c>
      <c r="D452" t="s">
        <v>2794</v>
      </c>
      <c r="E452" t="s">
        <v>5537</v>
      </c>
      <c r="F452" t="s">
        <v>440</v>
      </c>
    </row>
    <row r="453" spans="1:6" x14ac:dyDescent="0.3">
      <c r="A453" s="58" t="s">
        <v>441</v>
      </c>
      <c r="B453" t="s">
        <v>5379</v>
      </c>
      <c r="C453" t="s">
        <v>4860</v>
      </c>
      <c r="D453" t="s">
        <v>2795</v>
      </c>
      <c r="E453" t="s">
        <v>5537</v>
      </c>
      <c r="F453" t="s">
        <v>441</v>
      </c>
    </row>
    <row r="454" spans="1:6" x14ac:dyDescent="0.3">
      <c r="A454" s="58" t="s">
        <v>442</v>
      </c>
      <c r="B454" t="s">
        <v>5379</v>
      </c>
      <c r="C454" t="s">
        <v>4860</v>
      </c>
      <c r="D454" t="s">
        <v>2796</v>
      </c>
      <c r="E454" t="s">
        <v>5538</v>
      </c>
      <c r="F454" t="s">
        <v>442</v>
      </c>
    </row>
    <row r="455" spans="1:6" x14ac:dyDescent="0.3">
      <c r="A455" s="58" t="s">
        <v>443</v>
      </c>
      <c r="B455" t="s">
        <v>5379</v>
      </c>
      <c r="C455" t="s">
        <v>4860</v>
      </c>
      <c r="D455" t="s">
        <v>2797</v>
      </c>
      <c r="E455" t="s">
        <v>5537</v>
      </c>
      <c r="F455" t="s">
        <v>443</v>
      </c>
    </row>
    <row r="456" spans="1:6" x14ac:dyDescent="0.3">
      <c r="A456" s="58" t="s">
        <v>444</v>
      </c>
      <c r="B456" t="s">
        <v>5379</v>
      </c>
      <c r="C456" t="s">
        <v>4860</v>
      </c>
      <c r="D456" t="s">
        <v>2798</v>
      </c>
      <c r="E456" t="s">
        <v>5537</v>
      </c>
      <c r="F456" t="s">
        <v>444</v>
      </c>
    </row>
    <row r="457" spans="1:6" x14ac:dyDescent="0.3">
      <c r="A457" s="58" t="s">
        <v>445</v>
      </c>
      <c r="B457" t="s">
        <v>5379</v>
      </c>
      <c r="C457" t="s">
        <v>4860</v>
      </c>
      <c r="D457" t="s">
        <v>2799</v>
      </c>
      <c r="E457" t="s">
        <v>5537</v>
      </c>
      <c r="F457" t="s">
        <v>445</v>
      </c>
    </row>
    <row r="458" spans="1:6" x14ac:dyDescent="0.3">
      <c r="A458" s="58" t="s">
        <v>446</v>
      </c>
      <c r="B458" t="s">
        <v>5379</v>
      </c>
      <c r="C458" t="s">
        <v>4861</v>
      </c>
      <c r="D458" t="s">
        <v>4574</v>
      </c>
      <c r="E458" t="s">
        <v>5536</v>
      </c>
      <c r="F458" t="s">
        <v>446</v>
      </c>
    </row>
    <row r="459" spans="1:6" x14ac:dyDescent="0.3">
      <c r="A459" s="58" t="s">
        <v>447</v>
      </c>
      <c r="B459" t="s">
        <v>5379</v>
      </c>
      <c r="C459" t="s">
        <v>4861</v>
      </c>
      <c r="D459" t="s">
        <v>2800</v>
      </c>
      <c r="E459" t="s">
        <v>5537</v>
      </c>
      <c r="F459" t="s">
        <v>447</v>
      </c>
    </row>
    <row r="460" spans="1:6" x14ac:dyDescent="0.3">
      <c r="A460" s="58" t="s">
        <v>448</v>
      </c>
      <c r="B460" t="s">
        <v>5379</v>
      </c>
      <c r="C460" t="s">
        <v>4861</v>
      </c>
      <c r="D460" t="s">
        <v>2801</v>
      </c>
      <c r="E460" t="s">
        <v>5537</v>
      </c>
      <c r="F460" t="s">
        <v>448</v>
      </c>
    </row>
    <row r="461" spans="1:6" x14ac:dyDescent="0.3">
      <c r="A461" s="58" t="s">
        <v>449</v>
      </c>
      <c r="B461" t="s">
        <v>5379</v>
      </c>
      <c r="C461" t="s">
        <v>4861</v>
      </c>
      <c r="D461" t="s">
        <v>2802</v>
      </c>
      <c r="E461" t="s">
        <v>5538</v>
      </c>
      <c r="F461" t="s">
        <v>449</v>
      </c>
    </row>
    <row r="462" spans="1:6" x14ac:dyDescent="0.3">
      <c r="A462" s="58" t="s">
        <v>450</v>
      </c>
      <c r="B462" t="s">
        <v>5379</v>
      </c>
      <c r="C462" t="s">
        <v>4861</v>
      </c>
      <c r="D462" t="s">
        <v>2803</v>
      </c>
      <c r="E462" t="s">
        <v>5538</v>
      </c>
      <c r="F462" t="s">
        <v>5487</v>
      </c>
    </row>
    <row r="463" spans="1:6" x14ac:dyDescent="0.3">
      <c r="A463" s="58" t="s">
        <v>451</v>
      </c>
      <c r="B463" t="s">
        <v>5379</v>
      </c>
      <c r="C463" t="s">
        <v>4861</v>
      </c>
      <c r="D463" t="s">
        <v>2804</v>
      </c>
      <c r="E463" t="s">
        <v>5538</v>
      </c>
      <c r="F463" t="s">
        <v>5488</v>
      </c>
    </row>
    <row r="464" spans="1:6" x14ac:dyDescent="0.3">
      <c r="A464" s="58" t="s">
        <v>452</v>
      </c>
      <c r="B464" t="s">
        <v>5379</v>
      </c>
      <c r="C464" t="s">
        <v>4861</v>
      </c>
      <c r="D464" t="s">
        <v>2805</v>
      </c>
      <c r="E464" t="s">
        <v>5537</v>
      </c>
      <c r="F464" t="s">
        <v>452</v>
      </c>
    </row>
    <row r="465" spans="1:6" x14ac:dyDescent="0.3">
      <c r="A465" s="58" t="s">
        <v>453</v>
      </c>
      <c r="B465" t="s">
        <v>5379</v>
      </c>
      <c r="C465" t="s">
        <v>4861</v>
      </c>
      <c r="D465" t="s">
        <v>2806</v>
      </c>
      <c r="E465" t="s">
        <v>5538</v>
      </c>
      <c r="F465" t="s">
        <v>453</v>
      </c>
    </row>
    <row r="466" spans="1:6" x14ac:dyDescent="0.3">
      <c r="A466" s="58" t="s">
        <v>454</v>
      </c>
      <c r="B466" t="s">
        <v>5379</v>
      </c>
      <c r="C466" t="s">
        <v>4861</v>
      </c>
      <c r="D466" t="s">
        <v>4575</v>
      </c>
      <c r="E466" t="s">
        <v>5537</v>
      </c>
      <c r="F466" t="s">
        <v>454</v>
      </c>
    </row>
    <row r="467" spans="1:6" x14ac:dyDescent="0.3">
      <c r="A467" s="58" t="s">
        <v>455</v>
      </c>
      <c r="B467" t="s">
        <v>5379</v>
      </c>
      <c r="C467" t="s">
        <v>4861</v>
      </c>
      <c r="D467" t="s">
        <v>2807</v>
      </c>
      <c r="E467" t="s">
        <v>5538</v>
      </c>
      <c r="F467" t="s">
        <v>5489</v>
      </c>
    </row>
    <row r="468" spans="1:6" x14ac:dyDescent="0.3">
      <c r="A468" s="58" t="s">
        <v>456</v>
      </c>
      <c r="B468" t="s">
        <v>5379</v>
      </c>
      <c r="C468" t="s">
        <v>4861</v>
      </c>
      <c r="D468" t="s">
        <v>2808</v>
      </c>
      <c r="E468" t="s">
        <v>5537</v>
      </c>
      <c r="F468" t="s">
        <v>456</v>
      </c>
    </row>
    <row r="469" spans="1:6" x14ac:dyDescent="0.3">
      <c r="A469" s="58" t="s">
        <v>457</v>
      </c>
      <c r="B469" t="s">
        <v>5379</v>
      </c>
      <c r="C469" t="s">
        <v>4862</v>
      </c>
      <c r="D469" t="s">
        <v>4576</v>
      </c>
      <c r="E469" t="s">
        <v>5536</v>
      </c>
      <c r="F469" t="s">
        <v>457</v>
      </c>
    </row>
    <row r="470" spans="1:6" x14ac:dyDescent="0.3">
      <c r="A470" s="58" t="s">
        <v>458</v>
      </c>
      <c r="B470" t="s">
        <v>5379</v>
      </c>
      <c r="C470" t="s">
        <v>4862</v>
      </c>
      <c r="D470" t="s">
        <v>2809</v>
      </c>
      <c r="E470" t="s">
        <v>5537</v>
      </c>
      <c r="F470" t="s">
        <v>458</v>
      </c>
    </row>
    <row r="471" spans="1:6" x14ac:dyDescent="0.3">
      <c r="A471" s="58" t="s">
        <v>459</v>
      </c>
      <c r="B471" t="s">
        <v>5379</v>
      </c>
      <c r="C471" t="s">
        <v>4862</v>
      </c>
      <c r="D471" t="s">
        <v>2810</v>
      </c>
      <c r="E471" t="s">
        <v>5538</v>
      </c>
      <c r="F471" t="s">
        <v>5490</v>
      </c>
    </row>
    <row r="472" spans="1:6" x14ac:dyDescent="0.3">
      <c r="A472" s="58" t="s">
        <v>460</v>
      </c>
      <c r="B472" t="s">
        <v>5379</v>
      </c>
      <c r="C472" t="s">
        <v>4862</v>
      </c>
      <c r="D472" t="s">
        <v>2811</v>
      </c>
      <c r="E472" t="s">
        <v>5537</v>
      </c>
      <c r="F472" t="s">
        <v>460</v>
      </c>
    </row>
    <row r="473" spans="1:6" x14ac:dyDescent="0.3">
      <c r="A473" s="58" t="s">
        <v>461</v>
      </c>
      <c r="B473" t="s">
        <v>5379</v>
      </c>
      <c r="C473" t="s">
        <v>4862</v>
      </c>
      <c r="D473" t="s">
        <v>2812</v>
      </c>
      <c r="E473" t="s">
        <v>5537</v>
      </c>
      <c r="F473" t="s">
        <v>461</v>
      </c>
    </row>
    <row r="474" spans="1:6" x14ac:dyDescent="0.3">
      <c r="A474" s="58" t="s">
        <v>462</v>
      </c>
      <c r="B474" t="s">
        <v>5379</v>
      </c>
      <c r="C474" t="s">
        <v>4862</v>
      </c>
      <c r="D474" t="s">
        <v>4577</v>
      </c>
      <c r="E474" t="s">
        <v>5537</v>
      </c>
      <c r="F474" t="s">
        <v>462</v>
      </c>
    </row>
    <row r="475" spans="1:6" x14ac:dyDescent="0.3">
      <c r="A475" s="58" t="s">
        <v>463</v>
      </c>
      <c r="B475" t="s">
        <v>5379</v>
      </c>
      <c r="C475" t="s">
        <v>4862</v>
      </c>
      <c r="D475" t="s">
        <v>2813</v>
      </c>
      <c r="E475" t="s">
        <v>5537</v>
      </c>
      <c r="F475" t="s">
        <v>463</v>
      </c>
    </row>
    <row r="476" spans="1:6" x14ac:dyDescent="0.3">
      <c r="A476" s="58" t="s">
        <v>464</v>
      </c>
      <c r="B476" t="s">
        <v>5379</v>
      </c>
      <c r="C476" t="s">
        <v>4862</v>
      </c>
      <c r="D476" t="s">
        <v>2814</v>
      </c>
      <c r="E476" t="s">
        <v>5537</v>
      </c>
      <c r="F476" t="s">
        <v>464</v>
      </c>
    </row>
    <row r="477" spans="1:6" x14ac:dyDescent="0.3">
      <c r="A477" s="58" t="s">
        <v>465</v>
      </c>
      <c r="B477" t="s">
        <v>5379</v>
      </c>
      <c r="C477" t="s">
        <v>4863</v>
      </c>
      <c r="D477" t="s">
        <v>2815</v>
      </c>
      <c r="E477" t="s">
        <v>5536</v>
      </c>
      <c r="F477" t="s">
        <v>465</v>
      </c>
    </row>
    <row r="478" spans="1:6" x14ac:dyDescent="0.3">
      <c r="A478" s="58" t="s">
        <v>466</v>
      </c>
      <c r="B478" t="s">
        <v>5379</v>
      </c>
      <c r="C478" t="s">
        <v>4863</v>
      </c>
      <c r="D478" t="s">
        <v>2816</v>
      </c>
      <c r="E478" t="s">
        <v>5537</v>
      </c>
      <c r="F478" t="s">
        <v>466</v>
      </c>
    </row>
    <row r="479" spans="1:6" x14ac:dyDescent="0.3">
      <c r="A479" s="58" t="s">
        <v>467</v>
      </c>
      <c r="B479" t="s">
        <v>5379</v>
      </c>
      <c r="C479" t="s">
        <v>4863</v>
      </c>
      <c r="D479" t="s">
        <v>2817</v>
      </c>
      <c r="E479" t="s">
        <v>5537</v>
      </c>
      <c r="F479" t="s">
        <v>467</v>
      </c>
    </row>
    <row r="480" spans="1:6" x14ac:dyDescent="0.3">
      <c r="A480" s="58" t="s">
        <v>468</v>
      </c>
      <c r="B480" t="s">
        <v>5379</v>
      </c>
      <c r="C480" t="s">
        <v>4863</v>
      </c>
      <c r="D480" t="s">
        <v>2818</v>
      </c>
      <c r="E480" t="s">
        <v>5538</v>
      </c>
      <c r="F480" t="s">
        <v>468</v>
      </c>
    </row>
    <row r="481" spans="1:6" x14ac:dyDescent="0.3">
      <c r="A481" s="58" t="s">
        <v>469</v>
      </c>
      <c r="B481" t="s">
        <v>5379</v>
      </c>
      <c r="C481" t="s">
        <v>4863</v>
      </c>
      <c r="D481" t="s">
        <v>2819</v>
      </c>
      <c r="E481" t="s">
        <v>5537</v>
      </c>
      <c r="F481" t="s">
        <v>469</v>
      </c>
    </row>
    <row r="482" spans="1:6" x14ac:dyDescent="0.3">
      <c r="A482" s="58" t="s">
        <v>470</v>
      </c>
      <c r="B482" t="s">
        <v>5379</v>
      </c>
      <c r="C482" t="s">
        <v>4863</v>
      </c>
      <c r="D482" t="s">
        <v>2820</v>
      </c>
      <c r="E482" t="s">
        <v>5537</v>
      </c>
      <c r="F482" t="s">
        <v>470</v>
      </c>
    </row>
    <row r="483" spans="1:6" x14ac:dyDescent="0.3">
      <c r="A483" s="58" t="s">
        <v>471</v>
      </c>
      <c r="B483" t="s">
        <v>5379</v>
      </c>
      <c r="C483" t="s">
        <v>4822</v>
      </c>
      <c r="D483" t="s">
        <v>2821</v>
      </c>
      <c r="E483" t="s">
        <v>5536</v>
      </c>
      <c r="F483" t="s">
        <v>471</v>
      </c>
    </row>
    <row r="484" spans="1:6" x14ac:dyDescent="0.3">
      <c r="A484" s="58" t="s">
        <v>472</v>
      </c>
      <c r="B484" t="s">
        <v>5379</v>
      </c>
      <c r="C484" t="s">
        <v>4822</v>
      </c>
      <c r="D484" t="s">
        <v>2822</v>
      </c>
      <c r="E484" t="s">
        <v>5537</v>
      </c>
      <c r="F484" t="s">
        <v>472</v>
      </c>
    </row>
    <row r="485" spans="1:6" x14ac:dyDescent="0.3">
      <c r="A485" s="58" t="s">
        <v>473</v>
      </c>
      <c r="B485" t="s">
        <v>5379</v>
      </c>
      <c r="C485" t="s">
        <v>4822</v>
      </c>
      <c r="D485" t="s">
        <v>2823</v>
      </c>
      <c r="E485" t="s">
        <v>5538</v>
      </c>
      <c r="F485" t="s">
        <v>473</v>
      </c>
    </row>
    <row r="486" spans="1:6" x14ac:dyDescent="0.3">
      <c r="A486" s="58" t="s">
        <v>474</v>
      </c>
      <c r="B486" t="s">
        <v>5379</v>
      </c>
      <c r="C486" t="s">
        <v>4822</v>
      </c>
      <c r="D486" t="s">
        <v>2824</v>
      </c>
      <c r="E486" t="s">
        <v>5537</v>
      </c>
      <c r="F486" t="s">
        <v>474</v>
      </c>
    </row>
    <row r="487" spans="1:6" x14ac:dyDescent="0.3">
      <c r="A487" s="58" t="s">
        <v>475</v>
      </c>
      <c r="B487" t="s">
        <v>5379</v>
      </c>
      <c r="C487" t="s">
        <v>4822</v>
      </c>
      <c r="D487" t="s">
        <v>2825</v>
      </c>
      <c r="E487" t="s">
        <v>5537</v>
      </c>
      <c r="F487" t="s">
        <v>475</v>
      </c>
    </row>
    <row r="488" spans="1:6" x14ac:dyDescent="0.3">
      <c r="A488" s="58" t="s">
        <v>476</v>
      </c>
      <c r="B488" t="s">
        <v>5379</v>
      </c>
      <c r="C488" t="s">
        <v>4864</v>
      </c>
      <c r="D488" t="s">
        <v>4578</v>
      </c>
      <c r="E488" t="s">
        <v>5536</v>
      </c>
      <c r="F488" t="s">
        <v>476</v>
      </c>
    </row>
    <row r="489" spans="1:6" x14ac:dyDescent="0.3">
      <c r="A489" s="58" t="s">
        <v>477</v>
      </c>
      <c r="B489" t="s">
        <v>5379</v>
      </c>
      <c r="C489" t="s">
        <v>4864</v>
      </c>
      <c r="D489" t="s">
        <v>2826</v>
      </c>
      <c r="E489" t="s">
        <v>5537</v>
      </c>
      <c r="F489" t="s">
        <v>477</v>
      </c>
    </row>
    <row r="490" spans="1:6" x14ac:dyDescent="0.3">
      <c r="A490" s="58" t="s">
        <v>478</v>
      </c>
      <c r="B490" t="s">
        <v>5379</v>
      </c>
      <c r="C490" t="s">
        <v>4864</v>
      </c>
      <c r="D490" t="s">
        <v>2827</v>
      </c>
      <c r="E490" t="s">
        <v>5537</v>
      </c>
      <c r="F490" t="s">
        <v>478</v>
      </c>
    </row>
    <row r="491" spans="1:6" x14ac:dyDescent="0.3">
      <c r="A491" s="58" t="s">
        <v>479</v>
      </c>
      <c r="B491" t="s">
        <v>5379</v>
      </c>
      <c r="C491" t="s">
        <v>4864</v>
      </c>
      <c r="D491" t="s">
        <v>2828</v>
      </c>
      <c r="E491" t="s">
        <v>5537</v>
      </c>
      <c r="F491" t="s">
        <v>479</v>
      </c>
    </row>
    <row r="492" spans="1:6" x14ac:dyDescent="0.3">
      <c r="A492" s="58" t="s">
        <v>5413</v>
      </c>
      <c r="B492" t="s">
        <v>5379</v>
      </c>
      <c r="C492" t="s">
        <v>4864</v>
      </c>
      <c r="D492" t="s">
        <v>2829</v>
      </c>
      <c r="E492" t="s">
        <v>5538</v>
      </c>
      <c r="F492" t="s">
        <v>5413</v>
      </c>
    </row>
    <row r="493" spans="1:6" x14ac:dyDescent="0.3">
      <c r="A493" s="58" t="s">
        <v>5163</v>
      </c>
      <c r="B493" t="s">
        <v>5379</v>
      </c>
      <c r="C493" t="s">
        <v>4864</v>
      </c>
      <c r="D493" t="s">
        <v>2830</v>
      </c>
      <c r="E493" t="s">
        <v>5538</v>
      </c>
      <c r="F493" t="s">
        <v>5163</v>
      </c>
    </row>
    <row r="494" spans="1:6" x14ac:dyDescent="0.3">
      <c r="A494" s="58" t="s">
        <v>480</v>
      </c>
      <c r="B494" t="s">
        <v>5379</v>
      </c>
      <c r="C494" t="s">
        <v>4864</v>
      </c>
      <c r="D494" t="s">
        <v>2831</v>
      </c>
      <c r="E494" t="s">
        <v>5537</v>
      </c>
      <c r="F494" t="s">
        <v>480</v>
      </c>
    </row>
    <row r="495" spans="1:6" x14ac:dyDescent="0.3">
      <c r="A495" s="58" t="s">
        <v>481</v>
      </c>
      <c r="B495" t="s">
        <v>5379</v>
      </c>
      <c r="C495" t="s">
        <v>4864</v>
      </c>
      <c r="D495" t="s">
        <v>2832</v>
      </c>
      <c r="E495" t="s">
        <v>5537</v>
      </c>
      <c r="F495" t="s">
        <v>481</v>
      </c>
    </row>
    <row r="496" spans="1:6" x14ac:dyDescent="0.3">
      <c r="A496" s="58" t="s">
        <v>482</v>
      </c>
      <c r="B496" t="s">
        <v>5379</v>
      </c>
      <c r="C496" t="s">
        <v>4864</v>
      </c>
      <c r="D496" t="s">
        <v>2833</v>
      </c>
      <c r="E496" t="s">
        <v>5537</v>
      </c>
      <c r="F496" t="s">
        <v>482</v>
      </c>
    </row>
    <row r="497" spans="1:6" x14ac:dyDescent="0.3">
      <c r="A497" s="58" t="s">
        <v>483</v>
      </c>
      <c r="B497" t="s">
        <v>5379</v>
      </c>
      <c r="C497" t="s">
        <v>4864</v>
      </c>
      <c r="D497" t="s">
        <v>2834</v>
      </c>
      <c r="E497" t="s">
        <v>5537</v>
      </c>
      <c r="F497" t="s">
        <v>483</v>
      </c>
    </row>
    <row r="498" spans="1:6" x14ac:dyDescent="0.3">
      <c r="A498" s="58" t="s">
        <v>484</v>
      </c>
      <c r="B498" t="s">
        <v>5379</v>
      </c>
      <c r="C498" t="s">
        <v>4864</v>
      </c>
      <c r="D498" t="s">
        <v>4579</v>
      </c>
      <c r="E498" t="s">
        <v>5537</v>
      </c>
      <c r="F498" t="s">
        <v>484</v>
      </c>
    </row>
    <row r="499" spans="1:6" x14ac:dyDescent="0.3">
      <c r="A499" s="58" t="s">
        <v>485</v>
      </c>
      <c r="B499" t="s">
        <v>5379</v>
      </c>
      <c r="C499" t="s">
        <v>4864</v>
      </c>
      <c r="D499" t="s">
        <v>2835</v>
      </c>
      <c r="E499" t="s">
        <v>5538</v>
      </c>
      <c r="F499" t="s">
        <v>485</v>
      </c>
    </row>
    <row r="500" spans="1:6" x14ac:dyDescent="0.3">
      <c r="A500" s="58" t="s">
        <v>486</v>
      </c>
      <c r="B500" t="s">
        <v>5379</v>
      </c>
      <c r="C500" t="s">
        <v>4864</v>
      </c>
      <c r="D500" t="s">
        <v>2836</v>
      </c>
      <c r="E500" t="s">
        <v>5537</v>
      </c>
      <c r="F500" t="s">
        <v>486</v>
      </c>
    </row>
    <row r="501" spans="1:6" x14ac:dyDescent="0.3">
      <c r="A501" s="58" t="s">
        <v>487</v>
      </c>
      <c r="B501" t="s">
        <v>5379</v>
      </c>
      <c r="C501" t="s">
        <v>4865</v>
      </c>
      <c r="D501" t="s">
        <v>4580</v>
      </c>
      <c r="E501" t="s">
        <v>5536</v>
      </c>
      <c r="F501" t="s">
        <v>487</v>
      </c>
    </row>
    <row r="502" spans="1:6" x14ac:dyDescent="0.3">
      <c r="A502" s="58" t="s">
        <v>488</v>
      </c>
      <c r="B502" t="s">
        <v>5379</v>
      </c>
      <c r="C502" t="s">
        <v>4865</v>
      </c>
      <c r="D502" t="s">
        <v>2837</v>
      </c>
      <c r="E502" t="s">
        <v>5537</v>
      </c>
      <c r="F502" t="s">
        <v>488</v>
      </c>
    </row>
    <row r="503" spans="1:6" x14ac:dyDescent="0.3">
      <c r="A503" s="58" t="s">
        <v>489</v>
      </c>
      <c r="B503" t="s">
        <v>5379</v>
      </c>
      <c r="C503" t="s">
        <v>4865</v>
      </c>
      <c r="D503" t="s">
        <v>2838</v>
      </c>
      <c r="E503" t="s">
        <v>5537</v>
      </c>
      <c r="F503" t="s">
        <v>489</v>
      </c>
    </row>
    <row r="504" spans="1:6" x14ac:dyDescent="0.3">
      <c r="A504" s="58" t="s">
        <v>490</v>
      </c>
      <c r="B504" t="s">
        <v>5379</v>
      </c>
      <c r="C504" t="s">
        <v>4865</v>
      </c>
      <c r="D504" t="s">
        <v>2839</v>
      </c>
      <c r="E504" t="s">
        <v>5537</v>
      </c>
      <c r="F504" t="s">
        <v>490</v>
      </c>
    </row>
    <row r="505" spans="1:6" x14ac:dyDescent="0.3">
      <c r="A505" s="58" t="s">
        <v>491</v>
      </c>
      <c r="B505" t="s">
        <v>5379</v>
      </c>
      <c r="C505" t="s">
        <v>4865</v>
      </c>
      <c r="D505" t="s">
        <v>2840</v>
      </c>
      <c r="E505" t="s">
        <v>5537</v>
      </c>
      <c r="F505" t="s">
        <v>491</v>
      </c>
    </row>
    <row r="506" spans="1:6" x14ac:dyDescent="0.3">
      <c r="A506" s="58" t="s">
        <v>492</v>
      </c>
      <c r="B506" t="s">
        <v>5379</v>
      </c>
      <c r="C506" t="s">
        <v>4865</v>
      </c>
      <c r="D506" t="s">
        <v>4581</v>
      </c>
      <c r="E506" t="s">
        <v>5537</v>
      </c>
      <c r="F506" t="s">
        <v>492</v>
      </c>
    </row>
    <row r="507" spans="1:6" x14ac:dyDescent="0.3">
      <c r="A507" s="58" t="s">
        <v>493</v>
      </c>
      <c r="B507" t="s">
        <v>5379</v>
      </c>
      <c r="C507" t="s">
        <v>4865</v>
      </c>
      <c r="D507" t="s">
        <v>2841</v>
      </c>
      <c r="E507" t="s">
        <v>5537</v>
      </c>
      <c r="F507" t="s">
        <v>493</v>
      </c>
    </row>
    <row r="508" spans="1:6" x14ac:dyDescent="0.3">
      <c r="A508" s="58" t="s">
        <v>494</v>
      </c>
      <c r="B508" t="s">
        <v>5379</v>
      </c>
      <c r="C508" t="s">
        <v>4865</v>
      </c>
      <c r="D508" t="s">
        <v>2842</v>
      </c>
      <c r="E508" t="s">
        <v>5537</v>
      </c>
      <c r="F508" t="s">
        <v>494</v>
      </c>
    </row>
    <row r="509" spans="1:6" x14ac:dyDescent="0.3">
      <c r="A509" s="58" t="s">
        <v>495</v>
      </c>
      <c r="B509" t="s">
        <v>5379</v>
      </c>
      <c r="C509" t="s">
        <v>4866</v>
      </c>
      <c r="D509" t="s">
        <v>2779</v>
      </c>
      <c r="E509" t="s">
        <v>5537</v>
      </c>
      <c r="F509" t="s">
        <v>495</v>
      </c>
    </row>
    <row r="510" spans="1:6" x14ac:dyDescent="0.3">
      <c r="A510" s="58" t="s">
        <v>496</v>
      </c>
      <c r="B510" t="s">
        <v>5379</v>
      </c>
      <c r="C510" t="s">
        <v>4866</v>
      </c>
      <c r="D510" t="s">
        <v>2843</v>
      </c>
      <c r="E510" t="s">
        <v>5537</v>
      </c>
      <c r="F510" t="s">
        <v>496</v>
      </c>
    </row>
    <row r="511" spans="1:6" x14ac:dyDescent="0.3">
      <c r="A511" s="58" t="s">
        <v>497</v>
      </c>
      <c r="B511" t="s">
        <v>5379</v>
      </c>
      <c r="C511" t="s">
        <v>4866</v>
      </c>
      <c r="D511" t="s">
        <v>2844</v>
      </c>
      <c r="E511" t="s">
        <v>5537</v>
      </c>
      <c r="F511" t="s">
        <v>497</v>
      </c>
    </row>
    <row r="512" spans="1:6" x14ac:dyDescent="0.3">
      <c r="A512" s="58" t="s">
        <v>498</v>
      </c>
      <c r="B512" t="s">
        <v>5379</v>
      </c>
      <c r="C512" t="s">
        <v>4866</v>
      </c>
      <c r="D512" t="s">
        <v>2845</v>
      </c>
      <c r="E512" t="s">
        <v>5538</v>
      </c>
      <c r="F512" t="s">
        <v>498</v>
      </c>
    </row>
    <row r="513" spans="1:6" x14ac:dyDescent="0.3">
      <c r="A513" s="58" t="s">
        <v>499</v>
      </c>
      <c r="B513" t="s">
        <v>5379</v>
      </c>
      <c r="C513" t="s">
        <v>4866</v>
      </c>
      <c r="D513" t="s">
        <v>2846</v>
      </c>
      <c r="E513" t="s">
        <v>5537</v>
      </c>
      <c r="F513" t="s">
        <v>499</v>
      </c>
    </row>
    <row r="514" spans="1:6" x14ac:dyDescent="0.3">
      <c r="A514" s="58" t="s">
        <v>500</v>
      </c>
      <c r="B514" t="s">
        <v>5379</v>
      </c>
      <c r="C514" t="s">
        <v>4866</v>
      </c>
      <c r="D514" t="s">
        <v>2847</v>
      </c>
      <c r="E514" t="s">
        <v>5537</v>
      </c>
      <c r="F514" t="s">
        <v>500</v>
      </c>
    </row>
    <row r="515" spans="1:6" x14ac:dyDescent="0.3">
      <c r="A515" s="58" t="s">
        <v>501</v>
      </c>
      <c r="B515" t="s">
        <v>5379</v>
      </c>
      <c r="C515" t="s">
        <v>4866</v>
      </c>
      <c r="D515" t="s">
        <v>2848</v>
      </c>
      <c r="E515" t="s">
        <v>5537</v>
      </c>
      <c r="F515" t="s">
        <v>501</v>
      </c>
    </row>
    <row r="516" spans="1:6" x14ac:dyDescent="0.3">
      <c r="A516" s="58" t="s">
        <v>502</v>
      </c>
      <c r="B516" t="s">
        <v>5379</v>
      </c>
      <c r="C516" t="s">
        <v>4866</v>
      </c>
      <c r="D516" t="s">
        <v>2849</v>
      </c>
      <c r="E516" t="s">
        <v>5537</v>
      </c>
      <c r="F516" t="s">
        <v>502</v>
      </c>
    </row>
    <row r="517" spans="1:6" x14ac:dyDescent="0.3">
      <c r="A517" s="58" t="s">
        <v>503</v>
      </c>
      <c r="B517" t="s">
        <v>5379</v>
      </c>
      <c r="C517" t="s">
        <v>4866</v>
      </c>
      <c r="D517" t="s">
        <v>2850</v>
      </c>
      <c r="E517" t="s">
        <v>5537</v>
      </c>
      <c r="F517" t="s">
        <v>503</v>
      </c>
    </row>
    <row r="518" spans="1:6" x14ac:dyDescent="0.3">
      <c r="A518" s="58" t="s">
        <v>504</v>
      </c>
      <c r="B518" t="s">
        <v>5379</v>
      </c>
      <c r="C518" t="s">
        <v>4866</v>
      </c>
      <c r="D518" t="s">
        <v>2851</v>
      </c>
      <c r="E518" t="s">
        <v>5537</v>
      </c>
      <c r="F518" t="s">
        <v>504</v>
      </c>
    </row>
    <row r="519" spans="1:6" x14ac:dyDescent="0.3">
      <c r="A519" s="58" t="s">
        <v>505</v>
      </c>
      <c r="B519" t="s">
        <v>5379</v>
      </c>
      <c r="C519" t="s">
        <v>4866</v>
      </c>
      <c r="D519" t="s">
        <v>2852</v>
      </c>
      <c r="E519" t="s">
        <v>5537</v>
      </c>
      <c r="F519" t="s">
        <v>505</v>
      </c>
    </row>
    <row r="520" spans="1:6" x14ac:dyDescent="0.3">
      <c r="A520" s="58" t="s">
        <v>506</v>
      </c>
      <c r="B520" t="s">
        <v>5379</v>
      </c>
      <c r="C520" t="s">
        <v>4866</v>
      </c>
      <c r="D520" t="s">
        <v>2853</v>
      </c>
      <c r="E520" t="s">
        <v>5537</v>
      </c>
      <c r="F520" t="s">
        <v>506</v>
      </c>
    </row>
    <row r="521" spans="1:6" x14ac:dyDescent="0.3">
      <c r="A521" s="58" t="s">
        <v>507</v>
      </c>
      <c r="B521" t="s">
        <v>5379</v>
      </c>
      <c r="C521" t="s">
        <v>4866</v>
      </c>
      <c r="D521" t="s">
        <v>2854</v>
      </c>
      <c r="E521" t="s">
        <v>5538</v>
      </c>
      <c r="F521" t="s">
        <v>507</v>
      </c>
    </row>
    <row r="522" spans="1:6" x14ac:dyDescent="0.3">
      <c r="A522" s="58" t="s">
        <v>508</v>
      </c>
      <c r="B522" t="s">
        <v>5379</v>
      </c>
      <c r="C522" t="s">
        <v>4866</v>
      </c>
      <c r="D522" t="s">
        <v>2855</v>
      </c>
      <c r="E522" t="s">
        <v>5537</v>
      </c>
      <c r="F522" t="s">
        <v>508</v>
      </c>
    </row>
    <row r="523" spans="1:6" x14ac:dyDescent="0.3">
      <c r="A523" s="58" t="s">
        <v>509</v>
      </c>
      <c r="B523" t="s">
        <v>5379</v>
      </c>
      <c r="C523" t="s">
        <v>4866</v>
      </c>
      <c r="D523" t="s">
        <v>2856</v>
      </c>
      <c r="E523" t="s">
        <v>5538</v>
      </c>
      <c r="F523" t="s">
        <v>509</v>
      </c>
    </row>
    <row r="524" spans="1:6" x14ac:dyDescent="0.3">
      <c r="A524" s="58" t="s">
        <v>510</v>
      </c>
      <c r="B524" t="s">
        <v>5379</v>
      </c>
      <c r="C524" t="s">
        <v>2677</v>
      </c>
      <c r="D524" t="s">
        <v>2677</v>
      </c>
      <c r="E524" t="s">
        <v>5536</v>
      </c>
      <c r="F524" t="s">
        <v>510</v>
      </c>
    </row>
    <row r="525" spans="1:6" x14ac:dyDescent="0.3">
      <c r="A525" s="58" t="s">
        <v>511</v>
      </c>
      <c r="B525" t="s">
        <v>5379</v>
      </c>
      <c r="C525" t="s">
        <v>2705</v>
      </c>
      <c r="D525" t="s">
        <v>2705</v>
      </c>
      <c r="E525" t="s">
        <v>5536</v>
      </c>
      <c r="F525" t="s">
        <v>511</v>
      </c>
    </row>
    <row r="526" spans="1:6" x14ac:dyDescent="0.3">
      <c r="A526" s="58" t="s">
        <v>512</v>
      </c>
      <c r="B526" t="s">
        <v>5379</v>
      </c>
      <c r="C526" t="s">
        <v>2857</v>
      </c>
      <c r="D526" t="s">
        <v>2857</v>
      </c>
      <c r="E526" t="s">
        <v>5536</v>
      </c>
      <c r="F526" t="s">
        <v>512</v>
      </c>
    </row>
    <row r="527" spans="1:6" x14ac:dyDescent="0.3">
      <c r="A527" s="58" t="s">
        <v>513</v>
      </c>
      <c r="B527" t="s">
        <v>5379</v>
      </c>
      <c r="C527" t="s">
        <v>2855</v>
      </c>
      <c r="D527" t="s">
        <v>2855</v>
      </c>
      <c r="E527" t="s">
        <v>5536</v>
      </c>
      <c r="F527" t="s">
        <v>513</v>
      </c>
    </row>
    <row r="528" spans="1:6" x14ac:dyDescent="0.3">
      <c r="A528" s="58" t="s">
        <v>514</v>
      </c>
      <c r="B528" t="s">
        <v>5387</v>
      </c>
      <c r="C528" t="s">
        <v>4867</v>
      </c>
      <c r="D528" t="s">
        <v>2858</v>
      </c>
      <c r="E528" t="s">
        <v>5536</v>
      </c>
      <c r="F528" t="s">
        <v>514</v>
      </c>
    </row>
    <row r="529" spans="1:6" x14ac:dyDescent="0.3">
      <c r="A529" s="58" t="s">
        <v>515</v>
      </c>
      <c r="B529" t="s">
        <v>5387</v>
      </c>
      <c r="C529" t="s">
        <v>4867</v>
      </c>
      <c r="D529" t="s">
        <v>2859</v>
      </c>
      <c r="E529" t="s">
        <v>5537</v>
      </c>
      <c r="F529" t="s">
        <v>515</v>
      </c>
    </row>
    <row r="530" spans="1:6" x14ac:dyDescent="0.3">
      <c r="A530" s="58" t="s">
        <v>516</v>
      </c>
      <c r="B530" t="s">
        <v>5387</v>
      </c>
      <c r="C530" t="s">
        <v>4867</v>
      </c>
      <c r="D530" t="s">
        <v>2860</v>
      </c>
      <c r="E530" t="s">
        <v>5537</v>
      </c>
      <c r="F530" t="s">
        <v>516</v>
      </c>
    </row>
    <row r="531" spans="1:6" x14ac:dyDescent="0.3">
      <c r="A531" s="58" t="s">
        <v>517</v>
      </c>
      <c r="B531" t="s">
        <v>5387</v>
      </c>
      <c r="C531" t="s">
        <v>4867</v>
      </c>
      <c r="D531" t="s">
        <v>2861</v>
      </c>
      <c r="E531" t="s">
        <v>5537</v>
      </c>
      <c r="F531" t="s">
        <v>517</v>
      </c>
    </row>
    <row r="532" spans="1:6" x14ac:dyDescent="0.3">
      <c r="A532" s="58" t="s">
        <v>518</v>
      </c>
      <c r="B532" t="s">
        <v>5387</v>
      </c>
      <c r="C532" t="s">
        <v>4867</v>
      </c>
      <c r="D532" t="s">
        <v>2862</v>
      </c>
      <c r="E532" t="s">
        <v>5537</v>
      </c>
      <c r="F532" t="s">
        <v>518</v>
      </c>
    </row>
    <row r="533" spans="1:6" x14ac:dyDescent="0.3">
      <c r="A533" s="58" t="s">
        <v>519</v>
      </c>
      <c r="B533" t="s">
        <v>5387</v>
      </c>
      <c r="C533" t="s">
        <v>4867</v>
      </c>
      <c r="D533" t="s">
        <v>2863</v>
      </c>
      <c r="E533" t="s">
        <v>5537</v>
      </c>
      <c r="F533" t="s">
        <v>519</v>
      </c>
    </row>
    <row r="534" spans="1:6" x14ac:dyDescent="0.3">
      <c r="A534" s="58" t="s">
        <v>520</v>
      </c>
      <c r="B534" t="s">
        <v>5387</v>
      </c>
      <c r="C534" t="s">
        <v>4867</v>
      </c>
      <c r="D534" t="s">
        <v>2864</v>
      </c>
      <c r="E534" t="s">
        <v>5538</v>
      </c>
      <c r="F534" t="s">
        <v>520</v>
      </c>
    </row>
    <row r="535" spans="1:6" x14ac:dyDescent="0.3">
      <c r="A535" s="58" t="s">
        <v>521</v>
      </c>
      <c r="B535" t="s">
        <v>5387</v>
      </c>
      <c r="C535" t="s">
        <v>4868</v>
      </c>
      <c r="D535" t="s">
        <v>4582</v>
      </c>
      <c r="E535" t="s">
        <v>5536</v>
      </c>
      <c r="F535" t="s">
        <v>521</v>
      </c>
    </row>
    <row r="536" spans="1:6" x14ac:dyDescent="0.3">
      <c r="A536" s="58" t="s">
        <v>522</v>
      </c>
      <c r="B536" t="s">
        <v>5387</v>
      </c>
      <c r="C536" t="s">
        <v>4868</v>
      </c>
      <c r="D536" t="s">
        <v>2865</v>
      </c>
      <c r="E536" t="s">
        <v>5537</v>
      </c>
      <c r="F536" t="s">
        <v>522</v>
      </c>
    </row>
    <row r="537" spans="1:6" x14ac:dyDescent="0.3">
      <c r="A537" s="58" t="s">
        <v>523</v>
      </c>
      <c r="B537" t="s">
        <v>5387</v>
      </c>
      <c r="C537" t="s">
        <v>4868</v>
      </c>
      <c r="D537" t="s">
        <v>2866</v>
      </c>
      <c r="E537" t="s">
        <v>5537</v>
      </c>
      <c r="F537" t="s">
        <v>523</v>
      </c>
    </row>
    <row r="538" spans="1:6" x14ac:dyDescent="0.3">
      <c r="A538" s="58" t="s">
        <v>524</v>
      </c>
      <c r="B538" t="s">
        <v>5387</v>
      </c>
      <c r="C538" t="s">
        <v>4868</v>
      </c>
      <c r="D538" t="s">
        <v>2867</v>
      </c>
      <c r="E538" t="s">
        <v>5537</v>
      </c>
      <c r="F538" t="s">
        <v>524</v>
      </c>
    </row>
    <row r="539" spans="1:6" x14ac:dyDescent="0.3">
      <c r="A539" s="58" t="s">
        <v>525</v>
      </c>
      <c r="B539" t="s">
        <v>5387</v>
      </c>
      <c r="C539" t="s">
        <v>4868</v>
      </c>
      <c r="D539" t="s">
        <v>4583</v>
      </c>
      <c r="E539" t="s">
        <v>5537</v>
      </c>
      <c r="F539" t="s">
        <v>525</v>
      </c>
    </row>
    <row r="540" spans="1:6" x14ac:dyDescent="0.3">
      <c r="A540" s="58" t="s">
        <v>526</v>
      </c>
      <c r="B540" t="s">
        <v>5387</v>
      </c>
      <c r="C540" t="s">
        <v>4868</v>
      </c>
      <c r="D540" t="s">
        <v>2868</v>
      </c>
      <c r="E540" t="s">
        <v>5538</v>
      </c>
      <c r="F540" t="s">
        <v>526</v>
      </c>
    </row>
    <row r="541" spans="1:6" x14ac:dyDescent="0.3">
      <c r="A541" s="58" t="s">
        <v>527</v>
      </c>
      <c r="B541" t="s">
        <v>5387</v>
      </c>
      <c r="C541" t="s">
        <v>4868</v>
      </c>
      <c r="D541" t="s">
        <v>2869</v>
      </c>
      <c r="E541" t="s">
        <v>5537</v>
      </c>
      <c r="F541" t="s">
        <v>527</v>
      </c>
    </row>
    <row r="542" spans="1:6" x14ac:dyDescent="0.3">
      <c r="A542" s="58" t="s">
        <v>528</v>
      </c>
      <c r="B542" t="s">
        <v>5387</v>
      </c>
      <c r="C542" t="s">
        <v>4869</v>
      </c>
      <c r="D542" t="s">
        <v>2870</v>
      </c>
      <c r="E542" t="s">
        <v>5537</v>
      </c>
      <c r="F542" t="s">
        <v>528</v>
      </c>
    </row>
    <row r="543" spans="1:6" x14ac:dyDescent="0.3">
      <c r="A543" s="58" t="s">
        <v>529</v>
      </c>
      <c r="B543" t="s">
        <v>5387</v>
      </c>
      <c r="C543" t="s">
        <v>4869</v>
      </c>
      <c r="D543" t="s">
        <v>2871</v>
      </c>
      <c r="E543" t="s">
        <v>5538</v>
      </c>
      <c r="F543" t="s">
        <v>529</v>
      </c>
    </row>
    <row r="544" spans="1:6" x14ac:dyDescent="0.3">
      <c r="A544" s="58" t="s">
        <v>530</v>
      </c>
      <c r="B544" t="s">
        <v>5387</v>
      </c>
      <c r="C544" t="s">
        <v>4869</v>
      </c>
      <c r="D544" t="s">
        <v>2872</v>
      </c>
      <c r="E544" t="s">
        <v>5537</v>
      </c>
      <c r="F544" t="s">
        <v>530</v>
      </c>
    </row>
    <row r="545" spans="1:6" x14ac:dyDescent="0.3">
      <c r="A545" s="58" t="s">
        <v>531</v>
      </c>
      <c r="B545" t="s">
        <v>5387</v>
      </c>
      <c r="C545" t="s">
        <v>4869</v>
      </c>
      <c r="D545" t="s">
        <v>2873</v>
      </c>
      <c r="E545" t="s">
        <v>5537</v>
      </c>
      <c r="F545" t="s">
        <v>531</v>
      </c>
    </row>
    <row r="546" spans="1:6" x14ac:dyDescent="0.3">
      <c r="A546" s="58" t="s">
        <v>532</v>
      </c>
      <c r="B546" t="s">
        <v>5387</v>
      </c>
      <c r="C546" t="s">
        <v>4869</v>
      </c>
      <c r="D546" t="s">
        <v>2874</v>
      </c>
      <c r="E546" t="s">
        <v>5538</v>
      </c>
      <c r="F546" t="s">
        <v>532</v>
      </c>
    </row>
    <row r="547" spans="1:6" x14ac:dyDescent="0.3">
      <c r="A547" s="58" t="s">
        <v>533</v>
      </c>
      <c r="B547" t="s">
        <v>5387</v>
      </c>
      <c r="C547" t="s">
        <v>4869</v>
      </c>
      <c r="D547" t="s">
        <v>2875</v>
      </c>
      <c r="E547" t="s">
        <v>5538</v>
      </c>
      <c r="F547" t="s">
        <v>533</v>
      </c>
    </row>
    <row r="548" spans="1:6" x14ac:dyDescent="0.3">
      <c r="A548" s="58" t="s">
        <v>534</v>
      </c>
      <c r="B548" t="s">
        <v>5387</v>
      </c>
      <c r="C548" t="s">
        <v>4870</v>
      </c>
      <c r="D548" t="s">
        <v>4584</v>
      </c>
      <c r="E548" t="s">
        <v>5536</v>
      </c>
      <c r="F548" t="s">
        <v>534</v>
      </c>
    </row>
    <row r="549" spans="1:6" x14ac:dyDescent="0.3">
      <c r="A549" s="58" t="s">
        <v>535</v>
      </c>
      <c r="B549" t="s">
        <v>5387</v>
      </c>
      <c r="C549" t="s">
        <v>4870</v>
      </c>
      <c r="D549" t="s">
        <v>2876</v>
      </c>
      <c r="E549" t="s">
        <v>5538</v>
      </c>
      <c r="F549" t="s">
        <v>535</v>
      </c>
    </row>
    <row r="550" spans="1:6" x14ac:dyDescent="0.3">
      <c r="A550" s="58" t="s">
        <v>536</v>
      </c>
      <c r="B550" t="s">
        <v>5387</v>
      </c>
      <c r="C550" t="s">
        <v>4870</v>
      </c>
      <c r="D550" t="s">
        <v>2877</v>
      </c>
      <c r="E550" t="s">
        <v>5537</v>
      </c>
      <c r="F550" t="s">
        <v>536</v>
      </c>
    </row>
    <row r="551" spans="1:6" x14ac:dyDescent="0.3">
      <c r="A551" s="58" t="s">
        <v>537</v>
      </c>
      <c r="B551" t="s">
        <v>5387</v>
      </c>
      <c r="C551" t="s">
        <v>4870</v>
      </c>
      <c r="D551" t="s">
        <v>2878</v>
      </c>
      <c r="E551" t="s">
        <v>5538</v>
      </c>
      <c r="F551" t="s">
        <v>537</v>
      </c>
    </row>
    <row r="552" spans="1:6" x14ac:dyDescent="0.3">
      <c r="A552" s="58" t="s">
        <v>538</v>
      </c>
      <c r="B552" t="s">
        <v>5387</v>
      </c>
      <c r="C552" t="s">
        <v>4870</v>
      </c>
      <c r="D552" t="s">
        <v>4585</v>
      </c>
      <c r="E552" t="s">
        <v>5537</v>
      </c>
      <c r="F552" t="s">
        <v>538</v>
      </c>
    </row>
    <row r="553" spans="1:6" x14ac:dyDescent="0.3">
      <c r="A553" s="58" t="s">
        <v>539</v>
      </c>
      <c r="B553" t="s">
        <v>5387</v>
      </c>
      <c r="C553" t="s">
        <v>4870</v>
      </c>
      <c r="D553" t="s">
        <v>2879</v>
      </c>
      <c r="E553" t="s">
        <v>5538</v>
      </c>
      <c r="F553" t="s">
        <v>539</v>
      </c>
    </row>
    <row r="554" spans="1:6" x14ac:dyDescent="0.3">
      <c r="A554" s="58" t="s">
        <v>5425</v>
      </c>
      <c r="B554" t="s">
        <v>5387</v>
      </c>
      <c r="C554" t="s">
        <v>4870</v>
      </c>
      <c r="D554" t="s">
        <v>2880</v>
      </c>
      <c r="E554" t="s">
        <v>5538</v>
      </c>
      <c r="F554" t="s">
        <v>5425</v>
      </c>
    </row>
    <row r="555" spans="1:6" x14ac:dyDescent="0.3">
      <c r="A555" s="58" t="s">
        <v>540</v>
      </c>
      <c r="B555" t="s">
        <v>5387</v>
      </c>
      <c r="C555" t="s">
        <v>4870</v>
      </c>
      <c r="D555" t="s">
        <v>2881</v>
      </c>
      <c r="E555" t="s">
        <v>5537</v>
      </c>
      <c r="F555" t="s">
        <v>540</v>
      </c>
    </row>
    <row r="556" spans="1:6" x14ac:dyDescent="0.3">
      <c r="A556" s="58" t="s">
        <v>541</v>
      </c>
      <c r="B556" t="s">
        <v>5387</v>
      </c>
      <c r="C556" t="s">
        <v>4871</v>
      </c>
      <c r="D556" t="s">
        <v>2882</v>
      </c>
      <c r="E556" t="s">
        <v>5538</v>
      </c>
      <c r="F556" t="s">
        <v>541</v>
      </c>
    </row>
    <row r="557" spans="1:6" x14ac:dyDescent="0.3">
      <c r="A557" s="58" t="s">
        <v>542</v>
      </c>
      <c r="B557" t="s">
        <v>5387</v>
      </c>
      <c r="C557" t="s">
        <v>4871</v>
      </c>
      <c r="D557" t="s">
        <v>2883</v>
      </c>
      <c r="E557" t="s">
        <v>5537</v>
      </c>
      <c r="F557" t="s">
        <v>542</v>
      </c>
    </row>
    <row r="558" spans="1:6" x14ac:dyDescent="0.3">
      <c r="A558" s="58" t="s">
        <v>543</v>
      </c>
      <c r="B558" t="s">
        <v>5387</v>
      </c>
      <c r="C558" t="s">
        <v>4871</v>
      </c>
      <c r="D558" t="s">
        <v>2884</v>
      </c>
      <c r="E558" t="s">
        <v>5538</v>
      </c>
      <c r="F558" t="s">
        <v>543</v>
      </c>
    </row>
    <row r="559" spans="1:6" x14ac:dyDescent="0.3">
      <c r="A559" s="58" t="s">
        <v>544</v>
      </c>
      <c r="B559" t="s">
        <v>5387</v>
      </c>
      <c r="C559" t="s">
        <v>4871</v>
      </c>
      <c r="D559" t="s">
        <v>2885</v>
      </c>
      <c r="E559" t="s">
        <v>5538</v>
      </c>
      <c r="F559" t="s">
        <v>544</v>
      </c>
    </row>
    <row r="560" spans="1:6" x14ac:dyDescent="0.3">
      <c r="A560" s="58" t="s">
        <v>545</v>
      </c>
      <c r="B560" t="s">
        <v>5387</v>
      </c>
      <c r="C560" t="s">
        <v>4871</v>
      </c>
      <c r="D560" t="s">
        <v>2886</v>
      </c>
      <c r="E560" t="s">
        <v>5538</v>
      </c>
      <c r="F560" t="s">
        <v>545</v>
      </c>
    </row>
    <row r="561" spans="1:6" x14ac:dyDescent="0.3">
      <c r="A561" s="58" t="s">
        <v>546</v>
      </c>
      <c r="B561" t="s">
        <v>5387</v>
      </c>
      <c r="C561" t="s">
        <v>4872</v>
      </c>
      <c r="D561" t="s">
        <v>2887</v>
      </c>
      <c r="E561" t="s">
        <v>5538</v>
      </c>
      <c r="F561" t="s">
        <v>546</v>
      </c>
    </row>
    <row r="562" spans="1:6" x14ac:dyDescent="0.3">
      <c r="A562" s="58" t="s">
        <v>547</v>
      </c>
      <c r="B562" t="s">
        <v>5387</v>
      </c>
      <c r="C562" t="s">
        <v>4872</v>
      </c>
      <c r="D562" t="s">
        <v>2888</v>
      </c>
      <c r="E562" t="s">
        <v>5538</v>
      </c>
      <c r="F562" t="s">
        <v>547</v>
      </c>
    </row>
    <row r="563" spans="1:6" x14ac:dyDescent="0.3">
      <c r="A563" s="58" t="s">
        <v>548</v>
      </c>
      <c r="B563" t="s">
        <v>5387</v>
      </c>
      <c r="C563" t="s">
        <v>4872</v>
      </c>
      <c r="D563" t="s">
        <v>2889</v>
      </c>
      <c r="E563" t="s">
        <v>5537</v>
      </c>
      <c r="F563" t="s">
        <v>548</v>
      </c>
    </row>
    <row r="564" spans="1:6" x14ac:dyDescent="0.3">
      <c r="A564" s="58" t="s">
        <v>549</v>
      </c>
      <c r="B564" t="s">
        <v>5387</v>
      </c>
      <c r="C564" t="s">
        <v>4872</v>
      </c>
      <c r="D564" t="s">
        <v>2890</v>
      </c>
      <c r="E564" t="s">
        <v>5538</v>
      </c>
      <c r="F564" t="s">
        <v>549</v>
      </c>
    </row>
    <row r="565" spans="1:6" x14ac:dyDescent="0.3">
      <c r="A565" s="58" t="s">
        <v>550</v>
      </c>
      <c r="B565" t="s">
        <v>5387</v>
      </c>
      <c r="C565" t="s">
        <v>4872</v>
      </c>
      <c r="D565" t="s">
        <v>2891</v>
      </c>
      <c r="E565" t="s">
        <v>5537</v>
      </c>
      <c r="F565" t="s">
        <v>550</v>
      </c>
    </row>
    <row r="566" spans="1:6" x14ac:dyDescent="0.3">
      <c r="A566" s="58" t="s">
        <v>551</v>
      </c>
      <c r="B566" t="s">
        <v>5387</v>
      </c>
      <c r="C566" t="s">
        <v>4873</v>
      </c>
      <c r="D566" t="s">
        <v>2892</v>
      </c>
      <c r="E566" t="s">
        <v>5537</v>
      </c>
      <c r="F566" t="s">
        <v>551</v>
      </c>
    </row>
    <row r="567" spans="1:6" x14ac:dyDescent="0.3">
      <c r="A567" s="58" t="s">
        <v>552</v>
      </c>
      <c r="B567" t="s">
        <v>5387</v>
      </c>
      <c r="C567" t="s">
        <v>4873</v>
      </c>
      <c r="D567" t="s">
        <v>2893</v>
      </c>
      <c r="E567" t="s">
        <v>5538</v>
      </c>
      <c r="F567" t="s">
        <v>552</v>
      </c>
    </row>
    <row r="568" spans="1:6" x14ac:dyDescent="0.3">
      <c r="A568" s="58" t="s">
        <v>553</v>
      </c>
      <c r="B568" t="s">
        <v>5387</v>
      </c>
      <c r="C568" t="s">
        <v>4873</v>
      </c>
      <c r="D568" t="s">
        <v>2894</v>
      </c>
      <c r="E568" t="s">
        <v>5537</v>
      </c>
      <c r="F568" t="s">
        <v>553</v>
      </c>
    </row>
    <row r="569" spans="1:6" x14ac:dyDescent="0.3">
      <c r="A569" s="58" t="s">
        <v>554</v>
      </c>
      <c r="B569" t="s">
        <v>5387</v>
      </c>
      <c r="C569" t="s">
        <v>4873</v>
      </c>
      <c r="D569" t="s">
        <v>2895</v>
      </c>
      <c r="E569" t="s">
        <v>5538</v>
      </c>
      <c r="F569" t="s">
        <v>554</v>
      </c>
    </row>
    <row r="570" spans="1:6" x14ac:dyDescent="0.3">
      <c r="A570" s="58" t="s">
        <v>555</v>
      </c>
      <c r="B570" t="s">
        <v>5387</v>
      </c>
      <c r="C570" t="s">
        <v>4873</v>
      </c>
      <c r="D570" t="s">
        <v>2896</v>
      </c>
      <c r="E570" t="s">
        <v>5538</v>
      </c>
      <c r="F570" t="s">
        <v>555</v>
      </c>
    </row>
    <row r="571" spans="1:6" x14ac:dyDescent="0.3">
      <c r="A571" s="58" t="s">
        <v>556</v>
      </c>
      <c r="B571" t="s">
        <v>5387</v>
      </c>
      <c r="C571" t="s">
        <v>4874</v>
      </c>
      <c r="D571" t="s">
        <v>2897</v>
      </c>
      <c r="E571" t="s">
        <v>5537</v>
      </c>
      <c r="F571" t="s">
        <v>556</v>
      </c>
    </row>
    <row r="572" spans="1:6" x14ac:dyDescent="0.3">
      <c r="A572" s="58" t="s">
        <v>557</v>
      </c>
      <c r="B572" t="s">
        <v>5387</v>
      </c>
      <c r="C572" t="s">
        <v>4874</v>
      </c>
      <c r="D572" t="s">
        <v>2898</v>
      </c>
      <c r="E572" t="s">
        <v>5537</v>
      </c>
      <c r="F572" t="s">
        <v>557</v>
      </c>
    </row>
    <row r="573" spans="1:6" x14ac:dyDescent="0.3">
      <c r="A573" s="58" t="s">
        <v>558</v>
      </c>
      <c r="B573" t="s">
        <v>5387</v>
      </c>
      <c r="C573" t="s">
        <v>4874</v>
      </c>
      <c r="D573" t="s">
        <v>2899</v>
      </c>
      <c r="E573" t="s">
        <v>5537</v>
      </c>
      <c r="F573" t="s">
        <v>558</v>
      </c>
    </row>
    <row r="574" spans="1:6" x14ac:dyDescent="0.3">
      <c r="A574" s="58" t="s">
        <v>559</v>
      </c>
      <c r="B574" t="s">
        <v>5387</v>
      </c>
      <c r="C574" t="s">
        <v>4874</v>
      </c>
      <c r="D574" t="s">
        <v>2900</v>
      </c>
      <c r="E574" t="s">
        <v>5537</v>
      </c>
      <c r="F574" t="s">
        <v>559</v>
      </c>
    </row>
    <row r="575" spans="1:6" x14ac:dyDescent="0.3">
      <c r="A575" s="58" t="s">
        <v>560</v>
      </c>
      <c r="B575" t="s">
        <v>5387</v>
      </c>
      <c r="C575" t="s">
        <v>4874</v>
      </c>
      <c r="D575" t="s">
        <v>2901</v>
      </c>
      <c r="E575" t="s">
        <v>5538</v>
      </c>
      <c r="F575" t="s">
        <v>560</v>
      </c>
    </row>
    <row r="576" spans="1:6" x14ac:dyDescent="0.3">
      <c r="A576" s="58" t="s">
        <v>561</v>
      </c>
      <c r="B576" t="s">
        <v>5387</v>
      </c>
      <c r="C576" t="s">
        <v>4874</v>
      </c>
      <c r="D576" t="s">
        <v>2902</v>
      </c>
      <c r="E576" t="s">
        <v>5538</v>
      </c>
      <c r="F576" t="s">
        <v>561</v>
      </c>
    </row>
    <row r="577" spans="1:6" x14ac:dyDescent="0.3">
      <c r="A577" s="58" t="s">
        <v>562</v>
      </c>
      <c r="B577" t="s">
        <v>5387</v>
      </c>
      <c r="C577" t="s">
        <v>4875</v>
      </c>
      <c r="D577" t="s">
        <v>2903</v>
      </c>
      <c r="E577" t="s">
        <v>5538</v>
      </c>
      <c r="F577" t="s">
        <v>562</v>
      </c>
    </row>
    <row r="578" spans="1:6" x14ac:dyDescent="0.3">
      <c r="A578" s="58" t="s">
        <v>563</v>
      </c>
      <c r="B578" t="s">
        <v>5387</v>
      </c>
      <c r="C578" t="s">
        <v>4875</v>
      </c>
      <c r="D578" t="s">
        <v>2904</v>
      </c>
      <c r="E578" t="s">
        <v>5537</v>
      </c>
      <c r="F578" t="s">
        <v>563</v>
      </c>
    </row>
    <row r="579" spans="1:6" x14ac:dyDescent="0.3">
      <c r="A579" s="58" t="s">
        <v>564</v>
      </c>
      <c r="B579" t="s">
        <v>5387</v>
      </c>
      <c r="C579" t="s">
        <v>4875</v>
      </c>
      <c r="D579" t="s">
        <v>2905</v>
      </c>
      <c r="E579" t="s">
        <v>5538</v>
      </c>
      <c r="F579" t="s">
        <v>564</v>
      </c>
    </row>
    <row r="580" spans="1:6" x14ac:dyDescent="0.3">
      <c r="A580" s="58" t="s">
        <v>565</v>
      </c>
      <c r="B580" t="s">
        <v>5387</v>
      </c>
      <c r="C580" t="s">
        <v>4875</v>
      </c>
      <c r="D580" t="s">
        <v>2906</v>
      </c>
      <c r="E580" t="s">
        <v>5538</v>
      </c>
      <c r="F580" t="s">
        <v>565</v>
      </c>
    </row>
    <row r="581" spans="1:6" x14ac:dyDescent="0.3">
      <c r="A581" s="58" t="s">
        <v>566</v>
      </c>
      <c r="B581" t="s">
        <v>5387</v>
      </c>
      <c r="C581" t="s">
        <v>4875</v>
      </c>
      <c r="D581" t="s">
        <v>2907</v>
      </c>
      <c r="E581" t="s">
        <v>5538</v>
      </c>
      <c r="F581" t="s">
        <v>566</v>
      </c>
    </row>
    <row r="582" spans="1:6" x14ac:dyDescent="0.3">
      <c r="A582" s="58" t="s">
        <v>567</v>
      </c>
      <c r="B582" t="s">
        <v>5387</v>
      </c>
      <c r="C582" t="s">
        <v>4875</v>
      </c>
      <c r="D582" t="s">
        <v>2908</v>
      </c>
      <c r="E582" t="s">
        <v>5538</v>
      </c>
      <c r="F582" t="s">
        <v>567</v>
      </c>
    </row>
    <row r="583" spans="1:6" x14ac:dyDescent="0.3">
      <c r="A583" s="58" t="s">
        <v>568</v>
      </c>
      <c r="B583" t="s">
        <v>5387</v>
      </c>
      <c r="C583" t="s">
        <v>4875</v>
      </c>
      <c r="D583" t="s">
        <v>2503</v>
      </c>
      <c r="E583" t="s">
        <v>5537</v>
      </c>
      <c r="F583" t="s">
        <v>568</v>
      </c>
    </row>
    <row r="584" spans="1:6" x14ac:dyDescent="0.3">
      <c r="A584" s="58" t="s">
        <v>569</v>
      </c>
      <c r="B584" t="s">
        <v>5387</v>
      </c>
      <c r="C584" t="s">
        <v>4875</v>
      </c>
      <c r="D584" t="s">
        <v>2909</v>
      </c>
      <c r="E584" t="s">
        <v>5537</v>
      </c>
      <c r="F584" t="s">
        <v>569</v>
      </c>
    </row>
    <row r="585" spans="1:6" x14ac:dyDescent="0.3">
      <c r="A585" s="58" t="s">
        <v>570</v>
      </c>
      <c r="B585" t="s">
        <v>5387</v>
      </c>
      <c r="C585" t="s">
        <v>4875</v>
      </c>
      <c r="D585" t="s">
        <v>2910</v>
      </c>
      <c r="E585" t="s">
        <v>5537</v>
      </c>
      <c r="F585" t="s">
        <v>570</v>
      </c>
    </row>
    <row r="586" spans="1:6" x14ac:dyDescent="0.3">
      <c r="A586" s="58" t="s">
        <v>571</v>
      </c>
      <c r="B586" t="s">
        <v>5387</v>
      </c>
      <c r="C586" t="s">
        <v>4876</v>
      </c>
      <c r="D586" t="s">
        <v>2912</v>
      </c>
      <c r="E586" t="s">
        <v>5536</v>
      </c>
      <c r="F586" t="s">
        <v>571</v>
      </c>
    </row>
    <row r="587" spans="1:6" x14ac:dyDescent="0.3">
      <c r="A587" s="58" t="s">
        <v>572</v>
      </c>
      <c r="B587" t="s">
        <v>5387</v>
      </c>
      <c r="C587" t="s">
        <v>4876</v>
      </c>
      <c r="D587" t="s">
        <v>4586</v>
      </c>
      <c r="E587" t="s">
        <v>5536</v>
      </c>
      <c r="F587" t="s">
        <v>572</v>
      </c>
    </row>
    <row r="588" spans="1:6" x14ac:dyDescent="0.3">
      <c r="A588" s="58" t="s">
        <v>573</v>
      </c>
      <c r="B588" t="s">
        <v>5387</v>
      </c>
      <c r="C588" t="s">
        <v>4876</v>
      </c>
      <c r="D588" t="s">
        <v>2913</v>
      </c>
      <c r="E588" t="s">
        <v>5537</v>
      </c>
      <c r="F588" t="s">
        <v>573</v>
      </c>
    </row>
    <row r="589" spans="1:6" x14ac:dyDescent="0.3">
      <c r="A589" s="58" t="s">
        <v>574</v>
      </c>
      <c r="B589" t="s">
        <v>5387</v>
      </c>
      <c r="C589" t="s">
        <v>4876</v>
      </c>
      <c r="D589" t="s">
        <v>2914</v>
      </c>
      <c r="E589" t="s">
        <v>5538</v>
      </c>
      <c r="F589" t="s">
        <v>574</v>
      </c>
    </row>
    <row r="590" spans="1:6" x14ac:dyDescent="0.3">
      <c r="A590" s="58" t="s">
        <v>575</v>
      </c>
      <c r="B590" t="s">
        <v>5387</v>
      </c>
      <c r="C590" t="s">
        <v>4876</v>
      </c>
      <c r="D590" t="s">
        <v>2915</v>
      </c>
      <c r="E590" t="s">
        <v>5538</v>
      </c>
      <c r="F590" t="s">
        <v>575</v>
      </c>
    </row>
    <row r="591" spans="1:6" x14ac:dyDescent="0.3">
      <c r="A591" s="58" t="s">
        <v>576</v>
      </c>
      <c r="B591" t="s">
        <v>5387</v>
      </c>
      <c r="C591" t="s">
        <v>4876</v>
      </c>
      <c r="D591" t="s">
        <v>2916</v>
      </c>
      <c r="E591" t="s">
        <v>5537</v>
      </c>
      <c r="F591" t="s">
        <v>576</v>
      </c>
    </row>
    <row r="592" spans="1:6" x14ac:dyDescent="0.3">
      <c r="A592" s="58" t="s">
        <v>577</v>
      </c>
      <c r="B592" t="s">
        <v>5387</v>
      </c>
      <c r="C592" t="s">
        <v>4876</v>
      </c>
      <c r="D592" t="s">
        <v>2917</v>
      </c>
      <c r="E592" t="s">
        <v>5538</v>
      </c>
      <c r="F592" t="s">
        <v>577</v>
      </c>
    </row>
    <row r="593" spans="1:6" x14ac:dyDescent="0.3">
      <c r="A593" s="58" t="s">
        <v>578</v>
      </c>
      <c r="B593" t="s">
        <v>5387</v>
      </c>
      <c r="C593" t="s">
        <v>4876</v>
      </c>
      <c r="D593" t="s">
        <v>2918</v>
      </c>
      <c r="E593" t="s">
        <v>5537</v>
      </c>
      <c r="F593" t="s">
        <v>578</v>
      </c>
    </row>
    <row r="594" spans="1:6" x14ac:dyDescent="0.3">
      <c r="A594" s="58" t="s">
        <v>579</v>
      </c>
      <c r="B594" t="s">
        <v>5387</v>
      </c>
      <c r="C594" t="s">
        <v>4876</v>
      </c>
      <c r="D594" t="s">
        <v>4587</v>
      </c>
      <c r="E594" t="s">
        <v>5537</v>
      </c>
      <c r="F594" t="s">
        <v>579</v>
      </c>
    </row>
    <row r="595" spans="1:6" x14ac:dyDescent="0.3">
      <c r="A595" s="58" t="s">
        <v>580</v>
      </c>
      <c r="B595" t="s">
        <v>5387</v>
      </c>
      <c r="C595" t="s">
        <v>4877</v>
      </c>
      <c r="D595" t="s">
        <v>2919</v>
      </c>
      <c r="E595" t="s">
        <v>5536</v>
      </c>
      <c r="F595" t="s">
        <v>580</v>
      </c>
    </row>
    <row r="596" spans="1:6" x14ac:dyDescent="0.3">
      <c r="A596" s="58" t="s">
        <v>581</v>
      </c>
      <c r="B596" t="s">
        <v>5387</v>
      </c>
      <c r="C596" t="s">
        <v>4877</v>
      </c>
      <c r="D596" t="s">
        <v>4588</v>
      </c>
      <c r="E596" t="s">
        <v>5536</v>
      </c>
      <c r="F596" t="s">
        <v>581</v>
      </c>
    </row>
    <row r="597" spans="1:6" x14ac:dyDescent="0.3">
      <c r="A597" s="58" t="s">
        <v>582</v>
      </c>
      <c r="B597" t="s">
        <v>5387</v>
      </c>
      <c r="C597" t="s">
        <v>4877</v>
      </c>
      <c r="D597" t="s">
        <v>2920</v>
      </c>
      <c r="E597" t="s">
        <v>5538</v>
      </c>
      <c r="F597" t="s">
        <v>5491</v>
      </c>
    </row>
    <row r="598" spans="1:6" x14ac:dyDescent="0.3">
      <c r="A598" s="58" t="s">
        <v>583</v>
      </c>
      <c r="B598" t="s">
        <v>5387</v>
      </c>
      <c r="C598" t="s">
        <v>4877</v>
      </c>
      <c r="D598" t="s">
        <v>2921</v>
      </c>
      <c r="E598" t="s">
        <v>5538</v>
      </c>
      <c r="F598" t="s">
        <v>583</v>
      </c>
    </row>
    <row r="599" spans="1:6" x14ac:dyDescent="0.3">
      <c r="A599" s="58" t="s">
        <v>584</v>
      </c>
      <c r="B599" t="s">
        <v>5387</v>
      </c>
      <c r="C599" t="s">
        <v>4877</v>
      </c>
      <c r="D599" t="s">
        <v>2922</v>
      </c>
      <c r="E599" t="s">
        <v>5537</v>
      </c>
      <c r="F599" t="s">
        <v>584</v>
      </c>
    </row>
    <row r="600" spans="1:6" x14ac:dyDescent="0.3">
      <c r="A600" s="58" t="s">
        <v>585</v>
      </c>
      <c r="B600" t="s">
        <v>5387</v>
      </c>
      <c r="C600" t="s">
        <v>4877</v>
      </c>
      <c r="D600" t="s">
        <v>2923</v>
      </c>
      <c r="E600" t="s">
        <v>5538</v>
      </c>
      <c r="F600" t="s">
        <v>585</v>
      </c>
    </row>
    <row r="601" spans="1:6" x14ac:dyDescent="0.3">
      <c r="A601" s="58" t="s">
        <v>586</v>
      </c>
      <c r="B601" t="s">
        <v>5387</v>
      </c>
      <c r="C601" t="s">
        <v>4877</v>
      </c>
      <c r="D601" t="s">
        <v>2924</v>
      </c>
      <c r="E601" t="s">
        <v>5537</v>
      </c>
      <c r="F601" t="s">
        <v>586</v>
      </c>
    </row>
    <row r="602" spans="1:6" x14ac:dyDescent="0.3">
      <c r="A602" s="58" t="s">
        <v>587</v>
      </c>
      <c r="B602" t="s">
        <v>5387</v>
      </c>
      <c r="C602" t="s">
        <v>4877</v>
      </c>
      <c r="D602" t="s">
        <v>2925</v>
      </c>
      <c r="E602" t="s">
        <v>5537</v>
      </c>
      <c r="F602" t="s">
        <v>587</v>
      </c>
    </row>
    <row r="603" spans="1:6" x14ac:dyDescent="0.3">
      <c r="A603" s="58" t="s">
        <v>588</v>
      </c>
      <c r="B603" t="s">
        <v>5387</v>
      </c>
      <c r="C603" t="s">
        <v>4877</v>
      </c>
      <c r="D603" t="s">
        <v>2926</v>
      </c>
      <c r="E603" t="s">
        <v>5537</v>
      </c>
      <c r="F603" t="s">
        <v>588</v>
      </c>
    </row>
    <row r="604" spans="1:6" x14ac:dyDescent="0.3">
      <c r="A604" s="58" t="s">
        <v>589</v>
      </c>
      <c r="B604" t="s">
        <v>5387</v>
      </c>
      <c r="C604" t="s">
        <v>4877</v>
      </c>
      <c r="D604" t="s">
        <v>4589</v>
      </c>
      <c r="E604" t="s">
        <v>5537</v>
      </c>
      <c r="F604" t="s">
        <v>589</v>
      </c>
    </row>
    <row r="605" spans="1:6" x14ac:dyDescent="0.3">
      <c r="A605" s="58" t="s">
        <v>590</v>
      </c>
      <c r="B605" t="s">
        <v>5387</v>
      </c>
      <c r="C605" t="s">
        <v>4878</v>
      </c>
      <c r="D605" t="s">
        <v>2927</v>
      </c>
      <c r="E605" t="s">
        <v>5538</v>
      </c>
      <c r="F605" t="s">
        <v>590</v>
      </c>
    </row>
    <row r="606" spans="1:6" x14ac:dyDescent="0.3">
      <c r="A606" s="58" t="s">
        <v>591</v>
      </c>
      <c r="B606" t="s">
        <v>5387</v>
      </c>
      <c r="C606" t="s">
        <v>4878</v>
      </c>
      <c r="D606" t="s">
        <v>2928</v>
      </c>
      <c r="E606" t="s">
        <v>5538</v>
      </c>
      <c r="F606" t="s">
        <v>591</v>
      </c>
    </row>
    <row r="607" spans="1:6" x14ac:dyDescent="0.3">
      <c r="A607" s="58" t="s">
        <v>592</v>
      </c>
      <c r="B607" t="s">
        <v>5387</v>
      </c>
      <c r="C607" t="s">
        <v>4878</v>
      </c>
      <c r="D607" t="s">
        <v>2929</v>
      </c>
      <c r="E607" t="s">
        <v>5538</v>
      </c>
      <c r="F607" t="s">
        <v>592</v>
      </c>
    </row>
    <row r="608" spans="1:6" x14ac:dyDescent="0.3">
      <c r="A608" s="58" t="s">
        <v>593</v>
      </c>
      <c r="B608" t="s">
        <v>5387</v>
      </c>
      <c r="C608" t="s">
        <v>2930</v>
      </c>
      <c r="D608" t="s">
        <v>2930</v>
      </c>
      <c r="E608" t="s">
        <v>5536</v>
      </c>
      <c r="F608" t="s">
        <v>593</v>
      </c>
    </row>
    <row r="609" spans="1:6" x14ac:dyDescent="0.3">
      <c r="A609" s="58" t="s">
        <v>594</v>
      </c>
      <c r="B609" t="s">
        <v>5387</v>
      </c>
      <c r="C609" t="s">
        <v>2911</v>
      </c>
      <c r="D609" t="s">
        <v>2911</v>
      </c>
      <c r="E609" t="s">
        <v>5536</v>
      </c>
      <c r="F609" t="s">
        <v>594</v>
      </c>
    </row>
    <row r="610" spans="1:6" x14ac:dyDescent="0.3">
      <c r="A610" s="58" t="s">
        <v>595</v>
      </c>
      <c r="B610" t="s">
        <v>5381</v>
      </c>
      <c r="C610" t="s">
        <v>4879</v>
      </c>
      <c r="D610" t="s">
        <v>4590</v>
      </c>
      <c r="E610" t="s">
        <v>5536</v>
      </c>
      <c r="F610" t="s">
        <v>595</v>
      </c>
    </row>
    <row r="611" spans="1:6" x14ac:dyDescent="0.3">
      <c r="A611" s="58" t="s">
        <v>596</v>
      </c>
      <c r="B611" t="s">
        <v>5381</v>
      </c>
      <c r="C611" t="s">
        <v>4879</v>
      </c>
      <c r="D611" t="s">
        <v>4591</v>
      </c>
      <c r="E611" t="s">
        <v>5537</v>
      </c>
      <c r="F611" t="s">
        <v>596</v>
      </c>
    </row>
    <row r="612" spans="1:6" x14ac:dyDescent="0.3">
      <c r="A612" s="58" t="s">
        <v>597</v>
      </c>
      <c r="B612" t="s">
        <v>5381</v>
      </c>
      <c r="C612" t="s">
        <v>4879</v>
      </c>
      <c r="D612" t="s">
        <v>2931</v>
      </c>
      <c r="E612" t="s">
        <v>5537</v>
      </c>
      <c r="F612" t="s">
        <v>597</v>
      </c>
    </row>
    <row r="613" spans="1:6" x14ac:dyDescent="0.3">
      <c r="A613" s="58" t="s">
        <v>598</v>
      </c>
      <c r="B613" t="s">
        <v>5381</v>
      </c>
      <c r="C613" t="s">
        <v>4879</v>
      </c>
      <c r="D613" t="s">
        <v>2932</v>
      </c>
      <c r="E613" t="s">
        <v>5537</v>
      </c>
      <c r="F613" t="s">
        <v>598</v>
      </c>
    </row>
    <row r="614" spans="1:6" x14ac:dyDescent="0.3">
      <c r="A614" s="58" t="s">
        <v>599</v>
      </c>
      <c r="B614" t="s">
        <v>5381</v>
      </c>
      <c r="C614" t="s">
        <v>4879</v>
      </c>
      <c r="D614" t="s">
        <v>2933</v>
      </c>
      <c r="E614" t="s">
        <v>5537</v>
      </c>
      <c r="F614" t="s">
        <v>599</v>
      </c>
    </row>
    <row r="615" spans="1:6" x14ac:dyDescent="0.3">
      <c r="A615" s="58" t="s">
        <v>600</v>
      </c>
      <c r="B615" t="s">
        <v>5381</v>
      </c>
      <c r="C615" t="s">
        <v>4879</v>
      </c>
      <c r="D615" t="s">
        <v>2934</v>
      </c>
      <c r="E615" t="s">
        <v>5537</v>
      </c>
      <c r="F615" t="s">
        <v>600</v>
      </c>
    </row>
    <row r="616" spans="1:6" x14ac:dyDescent="0.3">
      <c r="A616" s="58" t="s">
        <v>601</v>
      </c>
      <c r="B616" t="s">
        <v>5381</v>
      </c>
      <c r="C616" t="s">
        <v>4879</v>
      </c>
      <c r="D616" t="s">
        <v>2935</v>
      </c>
      <c r="E616" t="s">
        <v>5537</v>
      </c>
      <c r="F616" t="s">
        <v>601</v>
      </c>
    </row>
    <row r="617" spans="1:6" x14ac:dyDescent="0.3">
      <c r="A617" s="58" t="s">
        <v>602</v>
      </c>
      <c r="B617" t="s">
        <v>5381</v>
      </c>
      <c r="C617" t="s">
        <v>4879</v>
      </c>
      <c r="D617" t="s">
        <v>2936</v>
      </c>
      <c r="E617" t="s">
        <v>5538</v>
      </c>
      <c r="F617" t="s">
        <v>602</v>
      </c>
    </row>
    <row r="618" spans="1:6" x14ac:dyDescent="0.3">
      <c r="A618" s="58" t="s">
        <v>603</v>
      </c>
      <c r="B618" t="s">
        <v>5381</v>
      </c>
      <c r="C618" t="s">
        <v>4880</v>
      </c>
      <c r="D618" t="s">
        <v>4592</v>
      </c>
      <c r="E618" t="s">
        <v>5536</v>
      </c>
      <c r="F618" t="s">
        <v>603</v>
      </c>
    </row>
    <row r="619" spans="1:6" x14ac:dyDescent="0.3">
      <c r="A619" s="58" t="s">
        <v>604</v>
      </c>
      <c r="B619" t="s">
        <v>5381</v>
      </c>
      <c r="C619" t="s">
        <v>4880</v>
      </c>
      <c r="D619" t="s">
        <v>2937</v>
      </c>
      <c r="E619" t="s">
        <v>5537</v>
      </c>
      <c r="F619" t="s">
        <v>604</v>
      </c>
    </row>
    <row r="620" spans="1:6" x14ac:dyDescent="0.3">
      <c r="A620" s="58" t="s">
        <v>605</v>
      </c>
      <c r="B620" t="s">
        <v>5381</v>
      </c>
      <c r="C620" t="s">
        <v>4880</v>
      </c>
      <c r="D620" t="s">
        <v>2938</v>
      </c>
      <c r="E620" t="s">
        <v>5538</v>
      </c>
      <c r="F620" t="s">
        <v>5492</v>
      </c>
    </row>
    <row r="621" spans="1:6" x14ac:dyDescent="0.3">
      <c r="A621" s="58" t="s">
        <v>606</v>
      </c>
      <c r="B621" t="s">
        <v>5381</v>
      </c>
      <c r="C621" t="s">
        <v>4880</v>
      </c>
      <c r="D621" t="s">
        <v>2939</v>
      </c>
      <c r="E621" t="s">
        <v>5538</v>
      </c>
      <c r="F621" t="s">
        <v>606</v>
      </c>
    </row>
    <row r="622" spans="1:6" x14ac:dyDescent="0.3">
      <c r="A622" s="58" t="s">
        <v>607</v>
      </c>
      <c r="B622" t="s">
        <v>5381</v>
      </c>
      <c r="C622" t="s">
        <v>4880</v>
      </c>
      <c r="D622" t="s">
        <v>2940</v>
      </c>
      <c r="E622" t="s">
        <v>5537</v>
      </c>
      <c r="F622" t="s">
        <v>607</v>
      </c>
    </row>
    <row r="623" spans="1:6" x14ac:dyDescent="0.3">
      <c r="A623" s="58" t="s">
        <v>608</v>
      </c>
      <c r="B623" t="s">
        <v>5381</v>
      </c>
      <c r="C623" t="s">
        <v>4880</v>
      </c>
      <c r="D623" t="s">
        <v>4593</v>
      </c>
      <c r="E623" t="s">
        <v>5537</v>
      </c>
      <c r="F623" t="s">
        <v>608</v>
      </c>
    </row>
    <row r="624" spans="1:6" x14ac:dyDescent="0.3">
      <c r="A624" s="58" t="s">
        <v>609</v>
      </c>
      <c r="B624" t="s">
        <v>5381</v>
      </c>
      <c r="C624" t="s">
        <v>4880</v>
      </c>
      <c r="D624" t="s">
        <v>2941</v>
      </c>
      <c r="E624" t="s">
        <v>5537</v>
      </c>
      <c r="F624" t="s">
        <v>609</v>
      </c>
    </row>
    <row r="625" spans="1:6" x14ac:dyDescent="0.3">
      <c r="A625" s="58" t="s">
        <v>610</v>
      </c>
      <c r="B625" t="s">
        <v>5381</v>
      </c>
      <c r="C625" t="s">
        <v>4880</v>
      </c>
      <c r="D625" t="s">
        <v>2942</v>
      </c>
      <c r="E625" t="s">
        <v>5537</v>
      </c>
      <c r="F625" t="s">
        <v>610</v>
      </c>
    </row>
    <row r="626" spans="1:6" x14ac:dyDescent="0.3">
      <c r="A626" s="58" t="s">
        <v>611</v>
      </c>
      <c r="B626" t="s">
        <v>5381</v>
      </c>
      <c r="C626" t="s">
        <v>4880</v>
      </c>
      <c r="D626" t="s">
        <v>2943</v>
      </c>
      <c r="E626" t="s">
        <v>5537</v>
      </c>
      <c r="F626" t="s">
        <v>611</v>
      </c>
    </row>
    <row r="627" spans="1:6" x14ac:dyDescent="0.3">
      <c r="A627" s="58" t="s">
        <v>612</v>
      </c>
      <c r="B627" t="s">
        <v>5381</v>
      </c>
      <c r="C627" t="s">
        <v>4880</v>
      </c>
      <c r="D627" t="s">
        <v>2944</v>
      </c>
      <c r="E627" t="s">
        <v>5537</v>
      </c>
      <c r="F627" t="s">
        <v>612</v>
      </c>
    </row>
    <row r="628" spans="1:6" x14ac:dyDescent="0.3">
      <c r="A628" s="58" t="s">
        <v>613</v>
      </c>
      <c r="B628" t="s">
        <v>5381</v>
      </c>
      <c r="C628" t="s">
        <v>4880</v>
      </c>
      <c r="D628" t="s">
        <v>2945</v>
      </c>
      <c r="E628" t="s">
        <v>5538</v>
      </c>
      <c r="F628" t="s">
        <v>613</v>
      </c>
    </row>
    <row r="629" spans="1:6" x14ac:dyDescent="0.3">
      <c r="A629" s="58" t="s">
        <v>614</v>
      </c>
      <c r="B629" t="s">
        <v>5381</v>
      </c>
      <c r="C629" t="s">
        <v>4881</v>
      </c>
      <c r="D629" t="s">
        <v>2946</v>
      </c>
      <c r="E629" t="s">
        <v>5537</v>
      </c>
      <c r="F629" t="s">
        <v>614</v>
      </c>
    </row>
    <row r="630" spans="1:6" x14ac:dyDescent="0.3">
      <c r="A630" s="58" t="s">
        <v>615</v>
      </c>
      <c r="B630" t="s">
        <v>5381</v>
      </c>
      <c r="C630" t="s">
        <v>4881</v>
      </c>
      <c r="D630" t="s">
        <v>2947</v>
      </c>
      <c r="E630" t="s">
        <v>5538</v>
      </c>
      <c r="F630" t="s">
        <v>615</v>
      </c>
    </row>
    <row r="631" spans="1:6" x14ac:dyDescent="0.3">
      <c r="A631" s="58" t="s">
        <v>616</v>
      </c>
      <c r="B631" t="s">
        <v>5381</v>
      </c>
      <c r="C631" t="s">
        <v>4881</v>
      </c>
      <c r="D631" t="s">
        <v>2948</v>
      </c>
      <c r="E631" t="s">
        <v>5537</v>
      </c>
      <c r="F631" t="s">
        <v>616</v>
      </c>
    </row>
    <row r="632" spans="1:6" x14ac:dyDescent="0.3">
      <c r="A632" s="58" t="s">
        <v>617</v>
      </c>
      <c r="B632" t="s">
        <v>5381</v>
      </c>
      <c r="C632" t="s">
        <v>4881</v>
      </c>
      <c r="D632" t="s">
        <v>2949</v>
      </c>
      <c r="E632" t="s">
        <v>5537</v>
      </c>
      <c r="F632" t="s">
        <v>617</v>
      </c>
    </row>
    <row r="633" spans="1:6" x14ac:dyDescent="0.3">
      <c r="A633" s="58" t="s">
        <v>618</v>
      </c>
      <c r="B633" t="s">
        <v>5381</v>
      </c>
      <c r="C633" t="s">
        <v>4881</v>
      </c>
      <c r="D633" t="s">
        <v>2950</v>
      </c>
      <c r="E633" t="s">
        <v>5537</v>
      </c>
      <c r="F633" t="s">
        <v>618</v>
      </c>
    </row>
    <row r="634" spans="1:6" x14ac:dyDescent="0.3">
      <c r="A634" s="58" t="s">
        <v>619</v>
      </c>
      <c r="B634" t="s">
        <v>5381</v>
      </c>
      <c r="C634" t="s">
        <v>4882</v>
      </c>
      <c r="D634" t="s">
        <v>4594</v>
      </c>
      <c r="E634" t="s">
        <v>5536</v>
      </c>
      <c r="F634" t="s">
        <v>619</v>
      </c>
    </row>
    <row r="635" spans="1:6" x14ac:dyDescent="0.3">
      <c r="A635" s="58" t="s">
        <v>620</v>
      </c>
      <c r="B635" t="s">
        <v>5381</v>
      </c>
      <c r="C635" t="s">
        <v>4882</v>
      </c>
      <c r="D635" t="s">
        <v>2951</v>
      </c>
      <c r="E635" t="s">
        <v>5537</v>
      </c>
      <c r="F635" t="s">
        <v>620</v>
      </c>
    </row>
    <row r="636" spans="1:6" x14ac:dyDescent="0.3">
      <c r="A636" s="58" t="s">
        <v>621</v>
      </c>
      <c r="B636" t="s">
        <v>5381</v>
      </c>
      <c r="C636" t="s">
        <v>4882</v>
      </c>
      <c r="D636" t="s">
        <v>2952</v>
      </c>
      <c r="E636" t="s">
        <v>5537</v>
      </c>
      <c r="F636" t="s">
        <v>621</v>
      </c>
    </row>
    <row r="637" spans="1:6" x14ac:dyDescent="0.3">
      <c r="A637" s="58" t="s">
        <v>622</v>
      </c>
      <c r="B637" t="s">
        <v>5381</v>
      </c>
      <c r="C637" t="s">
        <v>4882</v>
      </c>
      <c r="D637" t="s">
        <v>2953</v>
      </c>
      <c r="E637" t="s">
        <v>5538</v>
      </c>
      <c r="F637" t="s">
        <v>5493</v>
      </c>
    </row>
    <row r="638" spans="1:6" x14ac:dyDescent="0.3">
      <c r="A638" s="58" t="s">
        <v>623</v>
      </c>
      <c r="B638" t="s">
        <v>5381</v>
      </c>
      <c r="C638" t="s">
        <v>4882</v>
      </c>
      <c r="D638" t="s">
        <v>4595</v>
      </c>
      <c r="E638" t="s">
        <v>5537</v>
      </c>
      <c r="F638" t="s">
        <v>623</v>
      </c>
    </row>
    <row r="639" spans="1:6" x14ac:dyDescent="0.3">
      <c r="A639" s="58" t="s">
        <v>5427</v>
      </c>
      <c r="B639" t="s">
        <v>5381</v>
      </c>
      <c r="C639" t="s">
        <v>4882</v>
      </c>
      <c r="D639" t="s">
        <v>2954</v>
      </c>
      <c r="E639" t="s">
        <v>5538</v>
      </c>
      <c r="F639" t="s">
        <v>5427</v>
      </c>
    </row>
    <row r="640" spans="1:6" x14ac:dyDescent="0.3">
      <c r="A640" s="58" t="s">
        <v>624</v>
      </c>
      <c r="B640" t="s">
        <v>5381</v>
      </c>
      <c r="C640" t="s">
        <v>4882</v>
      </c>
      <c r="D640" t="s">
        <v>2955</v>
      </c>
      <c r="E640" t="s">
        <v>5537</v>
      </c>
      <c r="F640" t="s">
        <v>624</v>
      </c>
    </row>
    <row r="641" spans="1:6" x14ac:dyDescent="0.3">
      <c r="A641" s="58" t="s">
        <v>625</v>
      </c>
      <c r="B641" t="s">
        <v>5381</v>
      </c>
      <c r="C641" t="s">
        <v>4882</v>
      </c>
      <c r="D641" t="s">
        <v>2956</v>
      </c>
      <c r="E641" t="s">
        <v>5537</v>
      </c>
      <c r="F641" t="s">
        <v>625</v>
      </c>
    </row>
    <row r="642" spans="1:6" x14ac:dyDescent="0.3">
      <c r="A642" s="58" t="s">
        <v>626</v>
      </c>
      <c r="B642" t="s">
        <v>5381</v>
      </c>
      <c r="C642" t="s">
        <v>4883</v>
      </c>
      <c r="D642" t="s">
        <v>4596</v>
      </c>
      <c r="E642" t="s">
        <v>5536</v>
      </c>
      <c r="F642" t="s">
        <v>626</v>
      </c>
    </row>
    <row r="643" spans="1:6" x14ac:dyDescent="0.3">
      <c r="A643" s="58" t="s">
        <v>627</v>
      </c>
      <c r="B643" t="s">
        <v>5381</v>
      </c>
      <c r="C643" t="s">
        <v>4883</v>
      </c>
      <c r="D643" t="s">
        <v>2957</v>
      </c>
      <c r="E643" t="s">
        <v>5537</v>
      </c>
      <c r="F643" t="s">
        <v>627</v>
      </c>
    </row>
    <row r="644" spans="1:6" x14ac:dyDescent="0.3">
      <c r="A644" s="58" t="s">
        <v>628</v>
      </c>
      <c r="B644" t="s">
        <v>5381</v>
      </c>
      <c r="C644" t="s">
        <v>4883</v>
      </c>
      <c r="D644" t="s">
        <v>2958</v>
      </c>
      <c r="E644" t="s">
        <v>5537</v>
      </c>
      <c r="F644" t="s">
        <v>628</v>
      </c>
    </row>
    <row r="645" spans="1:6" x14ac:dyDescent="0.3">
      <c r="A645" s="58" t="s">
        <v>629</v>
      </c>
      <c r="B645" t="s">
        <v>5381</v>
      </c>
      <c r="C645" t="s">
        <v>4883</v>
      </c>
      <c r="D645" t="s">
        <v>2959</v>
      </c>
      <c r="E645" t="s">
        <v>5537</v>
      </c>
      <c r="F645" t="s">
        <v>629</v>
      </c>
    </row>
    <row r="646" spans="1:6" x14ac:dyDescent="0.3">
      <c r="A646" s="58" t="s">
        <v>630</v>
      </c>
      <c r="B646" t="s">
        <v>5381</v>
      </c>
      <c r="C646" t="s">
        <v>4883</v>
      </c>
      <c r="D646" t="s">
        <v>2960</v>
      </c>
      <c r="E646" t="s">
        <v>5538</v>
      </c>
      <c r="F646" t="s">
        <v>5494</v>
      </c>
    </row>
    <row r="647" spans="1:6" x14ac:dyDescent="0.3">
      <c r="A647" s="58" t="s">
        <v>631</v>
      </c>
      <c r="B647" t="s">
        <v>5381</v>
      </c>
      <c r="C647" t="s">
        <v>4883</v>
      </c>
      <c r="D647" t="s">
        <v>2961</v>
      </c>
      <c r="E647" t="s">
        <v>5537</v>
      </c>
      <c r="F647" t="s">
        <v>631</v>
      </c>
    </row>
    <row r="648" spans="1:6" x14ac:dyDescent="0.3">
      <c r="A648" s="58" t="s">
        <v>632</v>
      </c>
      <c r="B648" t="s">
        <v>5381</v>
      </c>
      <c r="C648" t="s">
        <v>4883</v>
      </c>
      <c r="D648" t="s">
        <v>4597</v>
      </c>
      <c r="E648" t="s">
        <v>5537</v>
      </c>
      <c r="F648" t="s">
        <v>632</v>
      </c>
    </row>
    <row r="649" spans="1:6" x14ac:dyDescent="0.3">
      <c r="A649" s="58" t="s">
        <v>633</v>
      </c>
      <c r="B649" t="s">
        <v>5381</v>
      </c>
      <c r="C649" t="s">
        <v>4883</v>
      </c>
      <c r="D649" t="s">
        <v>2962</v>
      </c>
      <c r="E649" t="s">
        <v>5537</v>
      </c>
      <c r="F649" t="s">
        <v>633</v>
      </c>
    </row>
    <row r="650" spans="1:6" x14ac:dyDescent="0.3">
      <c r="A650" s="58" t="s">
        <v>634</v>
      </c>
      <c r="B650" t="s">
        <v>5381</v>
      </c>
      <c r="C650" t="s">
        <v>4883</v>
      </c>
      <c r="D650" t="s">
        <v>2963</v>
      </c>
      <c r="E650" t="s">
        <v>5537</v>
      </c>
      <c r="F650" t="s">
        <v>634</v>
      </c>
    </row>
    <row r="651" spans="1:6" x14ac:dyDescent="0.3">
      <c r="A651" s="58" t="s">
        <v>635</v>
      </c>
      <c r="B651" t="s">
        <v>5381</v>
      </c>
      <c r="C651" t="s">
        <v>4883</v>
      </c>
      <c r="D651" t="s">
        <v>2964</v>
      </c>
      <c r="E651" t="s">
        <v>5537</v>
      </c>
      <c r="F651" t="s">
        <v>635</v>
      </c>
    </row>
    <row r="652" spans="1:6" x14ac:dyDescent="0.3">
      <c r="A652" s="58" t="s">
        <v>636</v>
      </c>
      <c r="B652" t="s">
        <v>5381</v>
      </c>
      <c r="C652" t="s">
        <v>4884</v>
      </c>
      <c r="D652" t="s">
        <v>2965</v>
      </c>
      <c r="E652" t="s">
        <v>5537</v>
      </c>
      <c r="F652" t="s">
        <v>636</v>
      </c>
    </row>
    <row r="653" spans="1:6" x14ac:dyDescent="0.3">
      <c r="A653" s="58" t="s">
        <v>637</v>
      </c>
      <c r="B653" t="s">
        <v>5381</v>
      </c>
      <c r="C653" t="s">
        <v>4884</v>
      </c>
      <c r="D653" t="s">
        <v>2966</v>
      </c>
      <c r="E653" t="s">
        <v>5537</v>
      </c>
      <c r="F653" t="s">
        <v>637</v>
      </c>
    </row>
    <row r="654" spans="1:6" x14ac:dyDescent="0.3">
      <c r="A654" s="58" t="s">
        <v>638</v>
      </c>
      <c r="B654" t="s">
        <v>5381</v>
      </c>
      <c r="C654" t="s">
        <v>4884</v>
      </c>
      <c r="D654" t="s">
        <v>2967</v>
      </c>
      <c r="E654" t="s">
        <v>5538</v>
      </c>
      <c r="F654" t="s">
        <v>638</v>
      </c>
    </row>
    <row r="655" spans="1:6" x14ac:dyDescent="0.3">
      <c r="A655" s="58" t="s">
        <v>639</v>
      </c>
      <c r="B655" t="s">
        <v>5381</v>
      </c>
      <c r="C655" t="s">
        <v>4884</v>
      </c>
      <c r="D655" t="s">
        <v>2968</v>
      </c>
      <c r="E655" t="s">
        <v>5537</v>
      </c>
      <c r="F655" t="s">
        <v>639</v>
      </c>
    </row>
    <row r="656" spans="1:6" x14ac:dyDescent="0.3">
      <c r="A656" s="58" t="s">
        <v>640</v>
      </c>
      <c r="B656" t="s">
        <v>5381</v>
      </c>
      <c r="C656" t="s">
        <v>4884</v>
      </c>
      <c r="D656" t="s">
        <v>2969</v>
      </c>
      <c r="E656" t="s">
        <v>5538</v>
      </c>
      <c r="F656" t="s">
        <v>640</v>
      </c>
    </row>
    <row r="657" spans="1:6" x14ac:dyDescent="0.3">
      <c r="A657" s="58" t="s">
        <v>641</v>
      </c>
      <c r="B657" t="s">
        <v>5381</v>
      </c>
      <c r="C657" t="s">
        <v>4884</v>
      </c>
      <c r="D657" t="s">
        <v>2970</v>
      </c>
      <c r="E657" t="s">
        <v>5538</v>
      </c>
      <c r="F657" t="s">
        <v>641</v>
      </c>
    </row>
    <row r="658" spans="1:6" x14ac:dyDescent="0.3">
      <c r="A658" s="58" t="s">
        <v>642</v>
      </c>
      <c r="B658" t="s">
        <v>5381</v>
      </c>
      <c r="C658" t="s">
        <v>4885</v>
      </c>
      <c r="D658" t="s">
        <v>2971</v>
      </c>
      <c r="E658" t="s">
        <v>5538</v>
      </c>
      <c r="F658" t="s">
        <v>5495</v>
      </c>
    </row>
    <row r="659" spans="1:6" x14ac:dyDescent="0.3">
      <c r="A659" s="58" t="s">
        <v>643</v>
      </c>
      <c r="B659" t="s">
        <v>5381</v>
      </c>
      <c r="C659" t="s">
        <v>4885</v>
      </c>
      <c r="D659" t="s">
        <v>2972</v>
      </c>
      <c r="E659" t="s">
        <v>5538</v>
      </c>
      <c r="F659" t="s">
        <v>643</v>
      </c>
    </row>
    <row r="660" spans="1:6" x14ac:dyDescent="0.3">
      <c r="A660" s="58" t="s">
        <v>644</v>
      </c>
      <c r="B660" t="s">
        <v>5381</v>
      </c>
      <c r="C660" t="s">
        <v>4885</v>
      </c>
      <c r="D660" t="s">
        <v>2973</v>
      </c>
      <c r="E660" t="s">
        <v>5537</v>
      </c>
      <c r="F660" t="s">
        <v>644</v>
      </c>
    </row>
    <row r="661" spans="1:6" x14ac:dyDescent="0.3">
      <c r="A661" s="58" t="s">
        <v>645</v>
      </c>
      <c r="B661" t="s">
        <v>5381</v>
      </c>
      <c r="C661" t="s">
        <v>4885</v>
      </c>
      <c r="D661" t="s">
        <v>2974</v>
      </c>
      <c r="E661" t="s">
        <v>5538</v>
      </c>
      <c r="F661" t="s">
        <v>645</v>
      </c>
    </row>
    <row r="662" spans="1:6" x14ac:dyDescent="0.3">
      <c r="A662" s="58" t="s">
        <v>646</v>
      </c>
      <c r="B662" t="s">
        <v>5381</v>
      </c>
      <c r="C662" t="s">
        <v>4885</v>
      </c>
      <c r="D662" t="s">
        <v>2975</v>
      </c>
      <c r="E662" t="s">
        <v>5537</v>
      </c>
      <c r="F662" t="s">
        <v>646</v>
      </c>
    </row>
    <row r="663" spans="1:6" x14ac:dyDescent="0.3">
      <c r="A663" s="58" t="s">
        <v>647</v>
      </c>
      <c r="B663" t="s">
        <v>5381</v>
      </c>
      <c r="C663" t="s">
        <v>4885</v>
      </c>
      <c r="D663" t="s">
        <v>2976</v>
      </c>
      <c r="E663" t="s">
        <v>5537</v>
      </c>
      <c r="F663" t="s">
        <v>647</v>
      </c>
    </row>
    <row r="664" spans="1:6" x14ac:dyDescent="0.3">
      <c r="A664" s="58" t="s">
        <v>648</v>
      </c>
      <c r="B664" t="s">
        <v>5381</v>
      </c>
      <c r="C664" t="s">
        <v>4885</v>
      </c>
      <c r="D664" t="s">
        <v>2977</v>
      </c>
      <c r="E664" t="s">
        <v>5537</v>
      </c>
      <c r="F664" t="s">
        <v>648</v>
      </c>
    </row>
    <row r="665" spans="1:6" x14ac:dyDescent="0.3">
      <c r="A665" s="58" t="s">
        <v>649</v>
      </c>
      <c r="B665" t="s">
        <v>5381</v>
      </c>
      <c r="C665" t="s">
        <v>4885</v>
      </c>
      <c r="D665" t="s">
        <v>2978</v>
      </c>
      <c r="E665" t="s">
        <v>5538</v>
      </c>
      <c r="F665" t="s">
        <v>5496</v>
      </c>
    </row>
    <row r="666" spans="1:6" x14ac:dyDescent="0.3">
      <c r="A666" s="58" t="s">
        <v>650</v>
      </c>
      <c r="B666" t="s">
        <v>5381</v>
      </c>
      <c r="C666" t="s">
        <v>4886</v>
      </c>
      <c r="D666" t="s">
        <v>2979</v>
      </c>
      <c r="E666" t="s">
        <v>5536</v>
      </c>
      <c r="F666" t="s">
        <v>650</v>
      </c>
    </row>
    <row r="667" spans="1:6" x14ac:dyDescent="0.3">
      <c r="A667" s="58" t="s">
        <v>651</v>
      </c>
      <c r="B667" t="s">
        <v>5381</v>
      </c>
      <c r="C667" t="s">
        <v>4886</v>
      </c>
      <c r="D667" t="s">
        <v>4598</v>
      </c>
      <c r="E667" t="s">
        <v>5536</v>
      </c>
      <c r="F667" t="s">
        <v>651</v>
      </c>
    </row>
    <row r="668" spans="1:6" x14ac:dyDescent="0.3">
      <c r="A668" s="58" t="s">
        <v>652</v>
      </c>
      <c r="B668" t="s">
        <v>5381</v>
      </c>
      <c r="C668" t="s">
        <v>4886</v>
      </c>
      <c r="D668" t="s">
        <v>2980</v>
      </c>
      <c r="E668" t="s">
        <v>5537</v>
      </c>
      <c r="F668" t="s">
        <v>652</v>
      </c>
    </row>
    <row r="669" spans="1:6" x14ac:dyDescent="0.3">
      <c r="A669" s="58" t="s">
        <v>653</v>
      </c>
      <c r="B669" t="s">
        <v>5381</v>
      </c>
      <c r="C669" t="s">
        <v>4886</v>
      </c>
      <c r="D669" t="s">
        <v>2981</v>
      </c>
      <c r="E669" t="s">
        <v>5537</v>
      </c>
      <c r="F669" t="s">
        <v>653</v>
      </c>
    </row>
    <row r="670" spans="1:6" x14ac:dyDescent="0.3">
      <c r="A670" s="58" t="s">
        <v>654</v>
      </c>
      <c r="B670" t="s">
        <v>5381</v>
      </c>
      <c r="C670" t="s">
        <v>4886</v>
      </c>
      <c r="D670" t="s">
        <v>2982</v>
      </c>
      <c r="E670" t="s">
        <v>5537</v>
      </c>
      <c r="F670" t="s">
        <v>654</v>
      </c>
    </row>
    <row r="671" spans="1:6" x14ac:dyDescent="0.3">
      <c r="A671" s="58" t="s">
        <v>655</v>
      </c>
      <c r="B671" t="s">
        <v>5381</v>
      </c>
      <c r="C671" t="s">
        <v>4886</v>
      </c>
      <c r="D671" t="s">
        <v>2983</v>
      </c>
      <c r="E671" t="s">
        <v>5538</v>
      </c>
      <c r="F671" t="s">
        <v>5471</v>
      </c>
    </row>
    <row r="672" spans="1:6" x14ac:dyDescent="0.3">
      <c r="A672" s="58" t="s">
        <v>656</v>
      </c>
      <c r="B672" t="s">
        <v>5381</v>
      </c>
      <c r="C672" t="s">
        <v>4886</v>
      </c>
      <c r="D672" t="s">
        <v>4599</v>
      </c>
      <c r="E672" t="s">
        <v>5537</v>
      </c>
      <c r="F672" t="s">
        <v>656</v>
      </c>
    </row>
    <row r="673" spans="1:6" x14ac:dyDescent="0.3">
      <c r="A673" s="58" t="s">
        <v>657</v>
      </c>
      <c r="B673" t="s">
        <v>5381</v>
      </c>
      <c r="C673" t="s">
        <v>4887</v>
      </c>
      <c r="D673" t="s">
        <v>2984</v>
      </c>
      <c r="E673" t="s">
        <v>5538</v>
      </c>
      <c r="F673" t="s">
        <v>657</v>
      </c>
    </row>
    <row r="674" spans="1:6" x14ac:dyDescent="0.3">
      <c r="A674" s="58" t="s">
        <v>658</v>
      </c>
      <c r="B674" t="s">
        <v>5381</v>
      </c>
      <c r="C674" t="s">
        <v>4887</v>
      </c>
      <c r="D674" t="s">
        <v>2985</v>
      </c>
      <c r="E674" t="s">
        <v>5537</v>
      </c>
      <c r="F674" t="s">
        <v>658</v>
      </c>
    </row>
    <row r="675" spans="1:6" x14ac:dyDescent="0.3">
      <c r="A675" s="58" t="s">
        <v>659</v>
      </c>
      <c r="B675" t="s">
        <v>5381</v>
      </c>
      <c r="C675" t="s">
        <v>4887</v>
      </c>
      <c r="D675" t="s">
        <v>2986</v>
      </c>
      <c r="E675" t="s">
        <v>5537</v>
      </c>
      <c r="F675" t="s">
        <v>659</v>
      </c>
    </row>
    <row r="676" spans="1:6" x14ac:dyDescent="0.3">
      <c r="A676" s="58" t="s">
        <v>660</v>
      </c>
      <c r="B676" t="s">
        <v>5381</v>
      </c>
      <c r="C676" t="s">
        <v>4887</v>
      </c>
      <c r="D676" t="s">
        <v>2987</v>
      </c>
      <c r="E676" t="s">
        <v>5538</v>
      </c>
      <c r="F676" t="s">
        <v>660</v>
      </c>
    </row>
    <row r="677" spans="1:6" x14ac:dyDescent="0.3">
      <c r="A677" s="58" t="s">
        <v>661</v>
      </c>
      <c r="B677" t="s">
        <v>5381</v>
      </c>
      <c r="C677" t="s">
        <v>4887</v>
      </c>
      <c r="D677" t="s">
        <v>2988</v>
      </c>
      <c r="E677" t="s">
        <v>5537</v>
      </c>
      <c r="F677" t="s">
        <v>661</v>
      </c>
    </row>
    <row r="678" spans="1:6" x14ac:dyDescent="0.3">
      <c r="A678" s="58" t="s">
        <v>662</v>
      </c>
      <c r="B678" t="s">
        <v>5381</v>
      </c>
      <c r="C678" t="s">
        <v>4887</v>
      </c>
      <c r="D678" t="s">
        <v>2989</v>
      </c>
      <c r="E678" t="s">
        <v>5537</v>
      </c>
      <c r="F678" t="s">
        <v>662</v>
      </c>
    </row>
    <row r="679" spans="1:6" x14ac:dyDescent="0.3">
      <c r="A679" s="58" t="s">
        <v>663</v>
      </c>
      <c r="B679" t="s">
        <v>5381</v>
      </c>
      <c r="C679" t="s">
        <v>4887</v>
      </c>
      <c r="D679" t="s">
        <v>2990</v>
      </c>
      <c r="E679" t="s">
        <v>5537</v>
      </c>
      <c r="F679" t="s">
        <v>663</v>
      </c>
    </row>
    <row r="680" spans="1:6" x14ac:dyDescent="0.3">
      <c r="A680" s="58" t="s">
        <v>664</v>
      </c>
      <c r="B680" t="s">
        <v>5381</v>
      </c>
      <c r="C680" t="s">
        <v>4887</v>
      </c>
      <c r="D680" t="s">
        <v>2991</v>
      </c>
      <c r="E680" t="s">
        <v>5537</v>
      </c>
      <c r="F680" t="s">
        <v>664</v>
      </c>
    </row>
    <row r="681" spans="1:6" x14ac:dyDescent="0.3">
      <c r="A681" s="58" t="s">
        <v>665</v>
      </c>
      <c r="B681" t="s">
        <v>5381</v>
      </c>
      <c r="C681" t="s">
        <v>4888</v>
      </c>
      <c r="D681" t="s">
        <v>2692</v>
      </c>
      <c r="E681" t="s">
        <v>5537</v>
      </c>
      <c r="F681" t="s">
        <v>665</v>
      </c>
    </row>
    <row r="682" spans="1:6" x14ac:dyDescent="0.3">
      <c r="A682" s="58" t="s">
        <v>666</v>
      </c>
      <c r="B682" t="s">
        <v>5381</v>
      </c>
      <c r="C682" t="s">
        <v>4888</v>
      </c>
      <c r="D682" t="s">
        <v>2992</v>
      </c>
      <c r="E682" t="s">
        <v>5537</v>
      </c>
      <c r="F682" t="s">
        <v>666</v>
      </c>
    </row>
    <row r="683" spans="1:6" x14ac:dyDescent="0.3">
      <c r="A683" s="58" t="s">
        <v>667</v>
      </c>
      <c r="B683" t="s">
        <v>5381</v>
      </c>
      <c r="C683" t="s">
        <v>4888</v>
      </c>
      <c r="D683" t="s">
        <v>2993</v>
      </c>
      <c r="E683" t="s">
        <v>5537</v>
      </c>
      <c r="F683" t="s">
        <v>667</v>
      </c>
    </row>
    <row r="684" spans="1:6" x14ac:dyDescent="0.3">
      <c r="A684" s="58" t="s">
        <v>668</v>
      </c>
      <c r="B684" t="s">
        <v>5381</v>
      </c>
      <c r="C684" t="s">
        <v>4888</v>
      </c>
      <c r="D684" t="s">
        <v>2994</v>
      </c>
      <c r="E684" t="s">
        <v>5537</v>
      </c>
      <c r="F684" t="s">
        <v>668</v>
      </c>
    </row>
    <row r="685" spans="1:6" x14ac:dyDescent="0.3">
      <c r="A685" s="58" t="s">
        <v>669</v>
      </c>
      <c r="B685" t="s">
        <v>5381</v>
      </c>
      <c r="C685" t="s">
        <v>4888</v>
      </c>
      <c r="D685" t="s">
        <v>2995</v>
      </c>
      <c r="E685" t="s">
        <v>5537</v>
      </c>
      <c r="F685" t="s">
        <v>669</v>
      </c>
    </row>
    <row r="686" spans="1:6" x14ac:dyDescent="0.3">
      <c r="A686" s="58" t="s">
        <v>670</v>
      </c>
      <c r="B686" t="s">
        <v>5381</v>
      </c>
      <c r="C686" t="s">
        <v>4888</v>
      </c>
      <c r="D686" t="s">
        <v>2996</v>
      </c>
      <c r="E686" t="s">
        <v>5537</v>
      </c>
      <c r="F686" t="s">
        <v>670</v>
      </c>
    </row>
    <row r="687" spans="1:6" x14ac:dyDescent="0.3">
      <c r="A687" s="58" t="s">
        <v>671</v>
      </c>
      <c r="B687" t="s">
        <v>5381</v>
      </c>
      <c r="C687" t="s">
        <v>4888</v>
      </c>
      <c r="D687" t="s">
        <v>2997</v>
      </c>
      <c r="E687" t="s">
        <v>5537</v>
      </c>
      <c r="F687" t="s">
        <v>671</v>
      </c>
    </row>
    <row r="688" spans="1:6" x14ac:dyDescent="0.3">
      <c r="A688" s="58" t="s">
        <v>672</v>
      </c>
      <c r="B688" t="s">
        <v>5381</v>
      </c>
      <c r="C688" t="s">
        <v>4888</v>
      </c>
      <c r="D688" t="s">
        <v>2998</v>
      </c>
      <c r="E688" t="s">
        <v>5538</v>
      </c>
      <c r="F688" t="s">
        <v>5497</v>
      </c>
    </row>
    <row r="689" spans="1:6" x14ac:dyDescent="0.3">
      <c r="A689" s="58" t="s">
        <v>673</v>
      </c>
      <c r="B689" t="s">
        <v>5381</v>
      </c>
      <c r="C689" t="s">
        <v>4888</v>
      </c>
      <c r="D689" t="s">
        <v>2999</v>
      </c>
      <c r="E689" t="s">
        <v>5538</v>
      </c>
      <c r="F689" t="s">
        <v>673</v>
      </c>
    </row>
    <row r="690" spans="1:6" x14ac:dyDescent="0.3">
      <c r="A690" s="58" t="s">
        <v>674</v>
      </c>
      <c r="B690" t="s">
        <v>5381</v>
      </c>
      <c r="C690" t="s">
        <v>4888</v>
      </c>
      <c r="D690" t="s">
        <v>3000</v>
      </c>
      <c r="E690" t="s">
        <v>5537</v>
      </c>
      <c r="F690" t="s">
        <v>674</v>
      </c>
    </row>
    <row r="691" spans="1:6" x14ac:dyDescent="0.3">
      <c r="A691" s="58" t="s">
        <v>5164</v>
      </c>
      <c r="B691" t="s">
        <v>5381</v>
      </c>
      <c r="C691" t="s">
        <v>4888</v>
      </c>
      <c r="D691" t="s">
        <v>3001</v>
      </c>
      <c r="E691" t="s">
        <v>5538</v>
      </c>
      <c r="F691" t="s">
        <v>5164</v>
      </c>
    </row>
    <row r="692" spans="1:6" x14ac:dyDescent="0.3">
      <c r="A692" s="58" t="s">
        <v>675</v>
      </c>
      <c r="B692" t="s">
        <v>5381</v>
      </c>
      <c r="C692" t="s">
        <v>4889</v>
      </c>
      <c r="D692" t="s">
        <v>3002</v>
      </c>
      <c r="E692" t="s">
        <v>5537</v>
      </c>
      <c r="F692" t="s">
        <v>675</v>
      </c>
    </row>
    <row r="693" spans="1:6" x14ac:dyDescent="0.3">
      <c r="A693" s="58" t="s">
        <v>676</v>
      </c>
      <c r="B693" t="s">
        <v>5381</v>
      </c>
      <c r="C693" t="s">
        <v>4889</v>
      </c>
      <c r="D693" t="s">
        <v>3003</v>
      </c>
      <c r="E693" t="s">
        <v>5537</v>
      </c>
      <c r="F693" t="s">
        <v>676</v>
      </c>
    </row>
    <row r="694" spans="1:6" x14ac:dyDescent="0.3">
      <c r="A694" s="58" t="s">
        <v>677</v>
      </c>
      <c r="B694" t="s">
        <v>5381</v>
      </c>
      <c r="C694" t="s">
        <v>4889</v>
      </c>
      <c r="D694" t="s">
        <v>3004</v>
      </c>
      <c r="E694" t="s">
        <v>5538</v>
      </c>
      <c r="F694" t="s">
        <v>677</v>
      </c>
    </row>
    <row r="695" spans="1:6" x14ac:dyDescent="0.3">
      <c r="A695" s="58" t="s">
        <v>678</v>
      </c>
      <c r="B695" t="s">
        <v>5381</v>
      </c>
      <c r="C695" t="s">
        <v>4889</v>
      </c>
      <c r="D695" t="s">
        <v>3005</v>
      </c>
      <c r="E695" t="s">
        <v>5538</v>
      </c>
      <c r="F695" t="s">
        <v>678</v>
      </c>
    </row>
    <row r="696" spans="1:6" x14ac:dyDescent="0.3">
      <c r="A696" s="58" t="s">
        <v>679</v>
      </c>
      <c r="B696" t="s">
        <v>5381</v>
      </c>
      <c r="C696" t="s">
        <v>4889</v>
      </c>
      <c r="D696" t="s">
        <v>3006</v>
      </c>
      <c r="E696" t="s">
        <v>5537</v>
      </c>
      <c r="F696" t="s">
        <v>679</v>
      </c>
    </row>
    <row r="697" spans="1:6" x14ac:dyDescent="0.3">
      <c r="A697" s="58" t="s">
        <v>680</v>
      </c>
      <c r="B697" t="s">
        <v>5381</v>
      </c>
      <c r="C697" t="s">
        <v>4889</v>
      </c>
      <c r="D697" t="s">
        <v>3007</v>
      </c>
      <c r="E697" t="s">
        <v>5537</v>
      </c>
      <c r="F697" t="s">
        <v>680</v>
      </c>
    </row>
    <row r="698" spans="1:6" x14ac:dyDescent="0.3">
      <c r="A698" s="58" t="s">
        <v>681</v>
      </c>
      <c r="B698" t="s">
        <v>5381</v>
      </c>
      <c r="C698" t="s">
        <v>4890</v>
      </c>
      <c r="D698" t="s">
        <v>4600</v>
      </c>
      <c r="E698" t="s">
        <v>5536</v>
      </c>
      <c r="F698" t="s">
        <v>681</v>
      </c>
    </row>
    <row r="699" spans="1:6" x14ac:dyDescent="0.3">
      <c r="A699" s="58" t="s">
        <v>682</v>
      </c>
      <c r="B699" t="s">
        <v>5381</v>
      </c>
      <c r="C699" t="s">
        <v>4890</v>
      </c>
      <c r="D699" t="s">
        <v>3008</v>
      </c>
      <c r="E699" t="s">
        <v>5537</v>
      </c>
      <c r="F699" t="s">
        <v>682</v>
      </c>
    </row>
    <row r="700" spans="1:6" x14ac:dyDescent="0.3">
      <c r="A700" s="58" t="s">
        <v>683</v>
      </c>
      <c r="B700" t="s">
        <v>5381</v>
      </c>
      <c r="C700" t="s">
        <v>4890</v>
      </c>
      <c r="D700" t="s">
        <v>3009</v>
      </c>
      <c r="E700" t="s">
        <v>5537</v>
      </c>
      <c r="F700" t="s">
        <v>683</v>
      </c>
    </row>
    <row r="701" spans="1:6" x14ac:dyDescent="0.3">
      <c r="A701" s="58" t="s">
        <v>684</v>
      </c>
      <c r="B701" t="s">
        <v>5381</v>
      </c>
      <c r="C701" t="s">
        <v>4890</v>
      </c>
      <c r="D701" t="s">
        <v>3010</v>
      </c>
      <c r="E701" t="s">
        <v>5537</v>
      </c>
      <c r="F701" t="s">
        <v>684</v>
      </c>
    </row>
    <row r="702" spans="1:6" x14ac:dyDescent="0.3">
      <c r="A702" s="58" t="s">
        <v>685</v>
      </c>
      <c r="B702" t="s">
        <v>5381</v>
      </c>
      <c r="C702" t="s">
        <v>4890</v>
      </c>
      <c r="D702" t="s">
        <v>3011</v>
      </c>
      <c r="E702" t="s">
        <v>5538</v>
      </c>
      <c r="F702" t="s">
        <v>685</v>
      </c>
    </row>
    <row r="703" spans="1:6" x14ac:dyDescent="0.3">
      <c r="A703" s="58" t="s">
        <v>686</v>
      </c>
      <c r="B703" t="s">
        <v>5381</v>
      </c>
      <c r="C703" t="s">
        <v>4890</v>
      </c>
      <c r="D703" t="s">
        <v>3012</v>
      </c>
      <c r="E703" t="s">
        <v>5537</v>
      </c>
      <c r="F703" t="s">
        <v>686</v>
      </c>
    </row>
    <row r="704" spans="1:6" x14ac:dyDescent="0.3">
      <c r="A704" s="58" t="s">
        <v>687</v>
      </c>
      <c r="B704" t="s">
        <v>5381</v>
      </c>
      <c r="C704" t="s">
        <v>4890</v>
      </c>
      <c r="D704" t="s">
        <v>3013</v>
      </c>
      <c r="E704" t="s">
        <v>5537</v>
      </c>
      <c r="F704" t="s">
        <v>687</v>
      </c>
    </row>
    <row r="705" spans="1:6" x14ac:dyDescent="0.3">
      <c r="A705" s="58" t="s">
        <v>688</v>
      </c>
      <c r="B705" t="s">
        <v>5381</v>
      </c>
      <c r="C705" t="s">
        <v>4890</v>
      </c>
      <c r="D705" t="s">
        <v>3014</v>
      </c>
      <c r="E705" t="s">
        <v>5537</v>
      </c>
      <c r="F705" t="s">
        <v>688</v>
      </c>
    </row>
    <row r="706" spans="1:6" x14ac:dyDescent="0.3">
      <c r="A706" s="58" t="s">
        <v>689</v>
      </c>
      <c r="B706" t="s">
        <v>5381</v>
      </c>
      <c r="C706" t="s">
        <v>4890</v>
      </c>
      <c r="D706" t="s">
        <v>3015</v>
      </c>
      <c r="E706" t="s">
        <v>5537</v>
      </c>
      <c r="F706" t="s">
        <v>689</v>
      </c>
    </row>
    <row r="707" spans="1:6" x14ac:dyDescent="0.3">
      <c r="A707" s="58" t="s">
        <v>690</v>
      </c>
      <c r="B707" t="s">
        <v>5381</v>
      </c>
      <c r="C707" t="s">
        <v>4890</v>
      </c>
      <c r="D707" t="s">
        <v>3016</v>
      </c>
      <c r="E707" t="s">
        <v>5537</v>
      </c>
      <c r="F707" t="s">
        <v>690</v>
      </c>
    </row>
    <row r="708" spans="1:6" x14ac:dyDescent="0.3">
      <c r="A708" s="58" t="s">
        <v>691</v>
      </c>
      <c r="B708" t="s">
        <v>5381</v>
      </c>
      <c r="C708" t="s">
        <v>4890</v>
      </c>
      <c r="D708" t="s">
        <v>3017</v>
      </c>
      <c r="E708" t="s">
        <v>5538</v>
      </c>
      <c r="F708" t="s">
        <v>691</v>
      </c>
    </row>
    <row r="709" spans="1:6" x14ac:dyDescent="0.3">
      <c r="A709" s="58" t="s">
        <v>692</v>
      </c>
      <c r="B709" t="s">
        <v>5381</v>
      </c>
      <c r="C709" t="s">
        <v>4890</v>
      </c>
      <c r="D709" t="s">
        <v>4601</v>
      </c>
      <c r="E709" t="s">
        <v>5537</v>
      </c>
      <c r="F709" t="s">
        <v>692</v>
      </c>
    </row>
    <row r="710" spans="1:6" x14ac:dyDescent="0.3">
      <c r="A710" s="58" t="s">
        <v>693</v>
      </c>
      <c r="B710" t="s">
        <v>5381</v>
      </c>
      <c r="C710" t="s">
        <v>4890</v>
      </c>
      <c r="D710" t="s">
        <v>3018</v>
      </c>
      <c r="E710" t="s">
        <v>5537</v>
      </c>
      <c r="F710" t="s">
        <v>693</v>
      </c>
    </row>
    <row r="711" spans="1:6" x14ac:dyDescent="0.3">
      <c r="A711" s="58" t="s">
        <v>694</v>
      </c>
      <c r="B711" t="s">
        <v>5381</v>
      </c>
      <c r="C711" t="s">
        <v>4890</v>
      </c>
      <c r="D711" t="s">
        <v>3019</v>
      </c>
      <c r="E711" t="s">
        <v>5537</v>
      </c>
      <c r="F711" t="s">
        <v>694</v>
      </c>
    </row>
    <row r="712" spans="1:6" x14ac:dyDescent="0.3">
      <c r="A712" s="58" t="s">
        <v>695</v>
      </c>
      <c r="B712" t="s">
        <v>5381</v>
      </c>
      <c r="C712" t="s">
        <v>4891</v>
      </c>
      <c r="D712" t="s">
        <v>4602</v>
      </c>
      <c r="E712" t="s">
        <v>5536</v>
      </c>
      <c r="F712" t="s">
        <v>695</v>
      </c>
    </row>
    <row r="713" spans="1:6" x14ac:dyDescent="0.3">
      <c r="A713" s="58" t="s">
        <v>696</v>
      </c>
      <c r="B713" t="s">
        <v>5381</v>
      </c>
      <c r="C713" t="s">
        <v>4891</v>
      </c>
      <c r="D713" t="s">
        <v>3020</v>
      </c>
      <c r="E713" t="s">
        <v>5538</v>
      </c>
      <c r="F713" t="s">
        <v>696</v>
      </c>
    </row>
    <row r="714" spans="1:6" x14ac:dyDescent="0.3">
      <c r="A714" s="58" t="s">
        <v>697</v>
      </c>
      <c r="B714" t="s">
        <v>5381</v>
      </c>
      <c r="C714" t="s">
        <v>4891</v>
      </c>
      <c r="D714" t="s">
        <v>3021</v>
      </c>
      <c r="E714" t="s">
        <v>5537</v>
      </c>
      <c r="F714" t="s">
        <v>697</v>
      </c>
    </row>
    <row r="715" spans="1:6" x14ac:dyDescent="0.3">
      <c r="A715" s="58" t="s">
        <v>698</v>
      </c>
      <c r="B715" t="s">
        <v>5381</v>
      </c>
      <c r="C715" t="s">
        <v>4891</v>
      </c>
      <c r="D715" t="s">
        <v>4603</v>
      </c>
      <c r="E715" t="s">
        <v>5537</v>
      </c>
      <c r="F715" t="s">
        <v>698</v>
      </c>
    </row>
    <row r="716" spans="1:6" x14ac:dyDescent="0.3">
      <c r="A716" s="58" t="s">
        <v>699</v>
      </c>
      <c r="B716" t="s">
        <v>5381</v>
      </c>
      <c r="C716" t="s">
        <v>4891</v>
      </c>
      <c r="D716" t="s">
        <v>3022</v>
      </c>
      <c r="E716" t="s">
        <v>5537</v>
      </c>
      <c r="F716" t="s">
        <v>699</v>
      </c>
    </row>
    <row r="717" spans="1:6" x14ac:dyDescent="0.3">
      <c r="A717" s="58" t="s">
        <v>700</v>
      </c>
      <c r="B717" t="s">
        <v>5381</v>
      </c>
      <c r="C717" t="s">
        <v>4891</v>
      </c>
      <c r="D717" t="s">
        <v>3023</v>
      </c>
      <c r="E717" t="s">
        <v>5537</v>
      </c>
      <c r="F717" t="s">
        <v>700</v>
      </c>
    </row>
    <row r="718" spans="1:6" x14ac:dyDescent="0.3">
      <c r="A718" s="58" t="s">
        <v>701</v>
      </c>
      <c r="B718" t="s">
        <v>5381</v>
      </c>
      <c r="C718" t="s">
        <v>4892</v>
      </c>
      <c r="D718" t="s">
        <v>4604</v>
      </c>
      <c r="E718" t="s">
        <v>5536</v>
      </c>
      <c r="F718" t="s">
        <v>701</v>
      </c>
    </row>
    <row r="719" spans="1:6" x14ac:dyDescent="0.3">
      <c r="A719" s="58" t="s">
        <v>702</v>
      </c>
      <c r="B719" t="s">
        <v>5381</v>
      </c>
      <c r="C719" t="s">
        <v>4892</v>
      </c>
      <c r="D719" t="s">
        <v>3024</v>
      </c>
      <c r="E719" t="s">
        <v>5538</v>
      </c>
      <c r="F719" t="s">
        <v>702</v>
      </c>
    </row>
    <row r="720" spans="1:6" x14ac:dyDescent="0.3">
      <c r="A720" s="58" t="s">
        <v>703</v>
      </c>
      <c r="B720" t="s">
        <v>5381</v>
      </c>
      <c r="C720" t="s">
        <v>4892</v>
      </c>
      <c r="D720" t="s">
        <v>3025</v>
      </c>
      <c r="E720" t="s">
        <v>5537</v>
      </c>
      <c r="F720" t="s">
        <v>703</v>
      </c>
    </row>
    <row r="721" spans="1:6" x14ac:dyDescent="0.3">
      <c r="A721" s="58" t="s">
        <v>704</v>
      </c>
      <c r="B721" t="s">
        <v>5381</v>
      </c>
      <c r="C721" t="s">
        <v>4892</v>
      </c>
      <c r="D721" t="s">
        <v>3026</v>
      </c>
      <c r="E721" t="s">
        <v>5537</v>
      </c>
      <c r="F721" t="s">
        <v>704</v>
      </c>
    </row>
    <row r="722" spans="1:6" x14ac:dyDescent="0.3">
      <c r="A722" s="58" t="s">
        <v>705</v>
      </c>
      <c r="B722" t="s">
        <v>5381</v>
      </c>
      <c r="C722" t="s">
        <v>4892</v>
      </c>
      <c r="D722" t="s">
        <v>3027</v>
      </c>
      <c r="E722" t="s">
        <v>5537</v>
      </c>
      <c r="F722" t="s">
        <v>705</v>
      </c>
    </row>
    <row r="723" spans="1:6" x14ac:dyDescent="0.3">
      <c r="A723" s="58" t="s">
        <v>706</v>
      </c>
      <c r="B723" t="s">
        <v>5381</v>
      </c>
      <c r="C723" t="s">
        <v>4892</v>
      </c>
      <c r="D723" t="s">
        <v>3028</v>
      </c>
      <c r="E723" t="s">
        <v>5537</v>
      </c>
      <c r="F723" t="s">
        <v>706</v>
      </c>
    </row>
    <row r="724" spans="1:6" x14ac:dyDescent="0.3">
      <c r="A724" s="58" t="s">
        <v>707</v>
      </c>
      <c r="B724" t="s">
        <v>5381</v>
      </c>
      <c r="C724" t="s">
        <v>4892</v>
      </c>
      <c r="D724" t="s">
        <v>3029</v>
      </c>
      <c r="E724" t="s">
        <v>5537</v>
      </c>
      <c r="F724" t="s">
        <v>707</v>
      </c>
    </row>
    <row r="725" spans="1:6" x14ac:dyDescent="0.3">
      <c r="A725" s="58" t="s">
        <v>708</v>
      </c>
      <c r="B725" t="s">
        <v>5381</v>
      </c>
      <c r="C725" t="s">
        <v>4892</v>
      </c>
      <c r="D725" t="s">
        <v>4605</v>
      </c>
      <c r="E725" t="s">
        <v>5537</v>
      </c>
      <c r="F725" t="s">
        <v>708</v>
      </c>
    </row>
    <row r="726" spans="1:6" x14ac:dyDescent="0.3">
      <c r="A726" s="58" t="s">
        <v>709</v>
      </c>
      <c r="B726" t="s">
        <v>5381</v>
      </c>
      <c r="C726" t="s">
        <v>4892</v>
      </c>
      <c r="D726" t="s">
        <v>3030</v>
      </c>
      <c r="E726" t="s">
        <v>5538</v>
      </c>
      <c r="F726" t="s">
        <v>709</v>
      </c>
    </row>
    <row r="727" spans="1:6" x14ac:dyDescent="0.3">
      <c r="A727" s="58" t="s">
        <v>710</v>
      </c>
      <c r="B727" t="s">
        <v>5381</v>
      </c>
      <c r="C727" t="s">
        <v>4892</v>
      </c>
      <c r="D727" t="s">
        <v>3031</v>
      </c>
      <c r="E727" t="s">
        <v>5537</v>
      </c>
      <c r="F727" t="s">
        <v>710</v>
      </c>
    </row>
    <row r="728" spans="1:6" x14ac:dyDescent="0.3">
      <c r="A728" s="58" t="s">
        <v>711</v>
      </c>
      <c r="B728" t="s">
        <v>5381</v>
      </c>
      <c r="C728" t="s">
        <v>4892</v>
      </c>
      <c r="D728" t="s">
        <v>3032</v>
      </c>
      <c r="E728" t="s">
        <v>5538</v>
      </c>
      <c r="F728" t="s">
        <v>711</v>
      </c>
    </row>
    <row r="729" spans="1:6" x14ac:dyDescent="0.3">
      <c r="A729" s="58" t="s">
        <v>712</v>
      </c>
      <c r="B729" t="s">
        <v>5381</v>
      </c>
      <c r="C729" t="s">
        <v>4893</v>
      </c>
      <c r="D729" t="s">
        <v>3033</v>
      </c>
      <c r="E729" t="s">
        <v>5538</v>
      </c>
      <c r="F729" t="s">
        <v>5465</v>
      </c>
    </row>
    <row r="730" spans="1:6" x14ac:dyDescent="0.3">
      <c r="A730" s="58" t="s">
        <v>713</v>
      </c>
      <c r="B730" t="s">
        <v>5381</v>
      </c>
      <c r="C730" t="s">
        <v>4893</v>
      </c>
      <c r="D730" t="s">
        <v>3034</v>
      </c>
      <c r="E730" t="s">
        <v>5537</v>
      </c>
      <c r="F730" t="s">
        <v>713</v>
      </c>
    </row>
    <row r="731" spans="1:6" x14ac:dyDescent="0.3">
      <c r="A731" s="58" t="s">
        <v>714</v>
      </c>
      <c r="B731" t="s">
        <v>5381</v>
      </c>
      <c r="C731" t="s">
        <v>4893</v>
      </c>
      <c r="D731" t="s">
        <v>3035</v>
      </c>
      <c r="E731" t="s">
        <v>5537</v>
      </c>
      <c r="F731" t="s">
        <v>714</v>
      </c>
    </row>
    <row r="732" spans="1:6" x14ac:dyDescent="0.3">
      <c r="A732" s="58" t="s">
        <v>715</v>
      </c>
      <c r="B732" t="s">
        <v>5381</v>
      </c>
      <c r="C732" t="s">
        <v>4893</v>
      </c>
      <c r="D732" t="s">
        <v>3036</v>
      </c>
      <c r="E732" t="s">
        <v>5537</v>
      </c>
      <c r="F732" t="s">
        <v>715</v>
      </c>
    </row>
    <row r="733" spans="1:6" x14ac:dyDescent="0.3">
      <c r="A733" s="58" t="s">
        <v>716</v>
      </c>
      <c r="B733" t="s">
        <v>5381</v>
      </c>
      <c r="C733" t="s">
        <v>4893</v>
      </c>
      <c r="D733" t="s">
        <v>3037</v>
      </c>
      <c r="E733" t="s">
        <v>5537</v>
      </c>
      <c r="F733" t="s">
        <v>716</v>
      </c>
    </row>
    <row r="734" spans="1:6" x14ac:dyDescent="0.3">
      <c r="A734" s="58" t="s">
        <v>717</v>
      </c>
      <c r="B734" t="s">
        <v>5381</v>
      </c>
      <c r="C734" t="s">
        <v>4893</v>
      </c>
      <c r="D734" t="s">
        <v>3038</v>
      </c>
      <c r="E734" t="s">
        <v>5537</v>
      </c>
      <c r="F734" t="s">
        <v>717</v>
      </c>
    </row>
    <row r="735" spans="1:6" x14ac:dyDescent="0.3">
      <c r="A735" s="58" t="s">
        <v>718</v>
      </c>
      <c r="B735" t="s">
        <v>5381</v>
      </c>
      <c r="C735" t="s">
        <v>4893</v>
      </c>
      <c r="D735" t="s">
        <v>3039</v>
      </c>
      <c r="E735" t="s">
        <v>5537</v>
      </c>
      <c r="F735" t="s">
        <v>718</v>
      </c>
    </row>
    <row r="736" spans="1:6" x14ac:dyDescent="0.3">
      <c r="A736" s="58" t="s">
        <v>719</v>
      </c>
      <c r="B736" t="s">
        <v>5381</v>
      </c>
      <c r="C736" t="s">
        <v>4893</v>
      </c>
      <c r="D736" t="s">
        <v>3040</v>
      </c>
      <c r="E736" t="s">
        <v>5537</v>
      </c>
      <c r="F736" t="s">
        <v>719</v>
      </c>
    </row>
    <row r="737" spans="1:6" x14ac:dyDescent="0.3">
      <c r="A737" s="58" t="s">
        <v>720</v>
      </c>
      <c r="B737" t="s">
        <v>5381</v>
      </c>
      <c r="C737" t="s">
        <v>4893</v>
      </c>
      <c r="D737" t="s">
        <v>3041</v>
      </c>
      <c r="E737" t="s">
        <v>5537</v>
      </c>
      <c r="F737" t="s">
        <v>720</v>
      </c>
    </row>
    <row r="738" spans="1:6" x14ac:dyDescent="0.3">
      <c r="A738" s="58" t="s">
        <v>721</v>
      </c>
      <c r="B738" t="s">
        <v>5381</v>
      </c>
      <c r="C738" t="s">
        <v>4864</v>
      </c>
      <c r="D738" t="s">
        <v>4606</v>
      </c>
      <c r="E738" t="s">
        <v>5536</v>
      </c>
      <c r="F738" t="s">
        <v>721</v>
      </c>
    </row>
    <row r="739" spans="1:6" x14ac:dyDescent="0.3">
      <c r="A739" s="58" t="s">
        <v>722</v>
      </c>
      <c r="B739" t="s">
        <v>5381</v>
      </c>
      <c r="C739" t="s">
        <v>4864</v>
      </c>
      <c r="D739" t="s">
        <v>3042</v>
      </c>
      <c r="E739" t="s">
        <v>5537</v>
      </c>
      <c r="F739" t="s">
        <v>722</v>
      </c>
    </row>
    <row r="740" spans="1:6" x14ac:dyDescent="0.3">
      <c r="A740" s="58" t="s">
        <v>723</v>
      </c>
      <c r="B740" t="s">
        <v>5381</v>
      </c>
      <c r="C740" t="s">
        <v>4864</v>
      </c>
      <c r="D740" t="s">
        <v>3043</v>
      </c>
      <c r="E740" t="s">
        <v>5537</v>
      </c>
      <c r="F740" t="s">
        <v>723</v>
      </c>
    </row>
    <row r="741" spans="1:6" x14ac:dyDescent="0.3">
      <c r="A741" s="58" t="s">
        <v>724</v>
      </c>
      <c r="B741" t="s">
        <v>5381</v>
      </c>
      <c r="C741" t="s">
        <v>4864</v>
      </c>
      <c r="D741" t="s">
        <v>3044</v>
      </c>
      <c r="E741" t="s">
        <v>5537</v>
      </c>
      <c r="F741" t="s">
        <v>724</v>
      </c>
    </row>
    <row r="742" spans="1:6" x14ac:dyDescent="0.3">
      <c r="A742" s="58" t="s">
        <v>725</v>
      </c>
      <c r="B742" t="s">
        <v>5381</v>
      </c>
      <c r="C742" t="s">
        <v>4864</v>
      </c>
      <c r="D742" t="s">
        <v>3045</v>
      </c>
      <c r="E742" t="s">
        <v>5538</v>
      </c>
      <c r="F742" t="s">
        <v>5498</v>
      </c>
    </row>
    <row r="743" spans="1:6" x14ac:dyDescent="0.3">
      <c r="A743" s="58" t="s">
        <v>726</v>
      </c>
      <c r="B743" t="s">
        <v>5381</v>
      </c>
      <c r="C743" t="s">
        <v>4864</v>
      </c>
      <c r="D743" t="s">
        <v>3046</v>
      </c>
      <c r="E743" t="s">
        <v>5537</v>
      </c>
      <c r="F743" t="s">
        <v>726</v>
      </c>
    </row>
    <row r="744" spans="1:6" x14ac:dyDescent="0.3">
      <c r="A744" s="58" t="s">
        <v>727</v>
      </c>
      <c r="B744" t="s">
        <v>5381</v>
      </c>
      <c r="C744" t="s">
        <v>4864</v>
      </c>
      <c r="D744" t="s">
        <v>3047</v>
      </c>
      <c r="E744" t="s">
        <v>5537</v>
      </c>
      <c r="F744" t="s">
        <v>727</v>
      </c>
    </row>
    <row r="745" spans="1:6" x14ac:dyDescent="0.3">
      <c r="A745" s="58" t="s">
        <v>728</v>
      </c>
      <c r="B745" t="s">
        <v>5381</v>
      </c>
      <c r="C745" t="s">
        <v>4864</v>
      </c>
      <c r="D745" t="s">
        <v>3048</v>
      </c>
      <c r="E745" t="s">
        <v>5537</v>
      </c>
      <c r="F745" t="s">
        <v>728</v>
      </c>
    </row>
    <row r="746" spans="1:6" x14ac:dyDescent="0.3">
      <c r="A746" s="58" t="s">
        <v>729</v>
      </c>
      <c r="B746" t="s">
        <v>5381</v>
      </c>
      <c r="C746" t="s">
        <v>4864</v>
      </c>
      <c r="D746" t="s">
        <v>4607</v>
      </c>
      <c r="E746" t="s">
        <v>5537</v>
      </c>
      <c r="F746" t="s">
        <v>729</v>
      </c>
    </row>
    <row r="747" spans="1:6" x14ac:dyDescent="0.3">
      <c r="A747" s="58" t="s">
        <v>730</v>
      </c>
      <c r="B747" t="s">
        <v>5381</v>
      </c>
      <c r="C747" t="s">
        <v>4864</v>
      </c>
      <c r="D747" t="s">
        <v>3049</v>
      </c>
      <c r="E747" t="s">
        <v>5538</v>
      </c>
      <c r="F747" t="s">
        <v>5499</v>
      </c>
    </row>
    <row r="748" spans="1:6" x14ac:dyDescent="0.3">
      <c r="A748" s="58" t="s">
        <v>731</v>
      </c>
      <c r="B748" t="s">
        <v>5381</v>
      </c>
      <c r="C748" t="s">
        <v>4864</v>
      </c>
      <c r="D748" t="s">
        <v>3050</v>
      </c>
      <c r="E748" t="s">
        <v>5537</v>
      </c>
      <c r="F748" t="s">
        <v>731</v>
      </c>
    </row>
    <row r="749" spans="1:6" x14ac:dyDescent="0.3">
      <c r="A749" s="58" t="s">
        <v>732</v>
      </c>
      <c r="B749" t="s">
        <v>5381</v>
      </c>
      <c r="C749" t="s">
        <v>4894</v>
      </c>
      <c r="D749" t="s">
        <v>3051</v>
      </c>
      <c r="E749" t="s">
        <v>5537</v>
      </c>
      <c r="F749" t="s">
        <v>732</v>
      </c>
    </row>
    <row r="750" spans="1:6" x14ac:dyDescent="0.3">
      <c r="A750" s="58" t="s">
        <v>733</v>
      </c>
      <c r="B750" t="s">
        <v>5381</v>
      </c>
      <c r="C750" t="s">
        <v>4894</v>
      </c>
      <c r="D750" t="s">
        <v>3052</v>
      </c>
      <c r="E750" t="s">
        <v>5537</v>
      </c>
      <c r="F750" t="s">
        <v>733</v>
      </c>
    </row>
    <row r="751" spans="1:6" x14ac:dyDescent="0.3">
      <c r="A751" s="58" t="s">
        <v>734</v>
      </c>
      <c r="B751" t="s">
        <v>5381</v>
      </c>
      <c r="C751" t="s">
        <v>4894</v>
      </c>
      <c r="D751" t="s">
        <v>2764</v>
      </c>
      <c r="E751" t="s">
        <v>5537</v>
      </c>
      <c r="F751" t="s">
        <v>734</v>
      </c>
    </row>
    <row r="752" spans="1:6" x14ac:dyDescent="0.3">
      <c r="A752" s="58" t="s">
        <v>735</v>
      </c>
      <c r="B752" t="s">
        <v>5381</v>
      </c>
      <c r="C752" t="s">
        <v>4894</v>
      </c>
      <c r="D752" t="s">
        <v>3053</v>
      </c>
      <c r="E752" t="s">
        <v>5537</v>
      </c>
      <c r="F752" t="s">
        <v>735</v>
      </c>
    </row>
    <row r="753" spans="1:6" x14ac:dyDescent="0.3">
      <c r="A753" s="58" t="s">
        <v>736</v>
      </c>
      <c r="B753" t="s">
        <v>5381</v>
      </c>
      <c r="C753" t="s">
        <v>4894</v>
      </c>
      <c r="D753" t="s">
        <v>3054</v>
      </c>
      <c r="E753" t="s">
        <v>5538</v>
      </c>
      <c r="F753" t="s">
        <v>5500</v>
      </c>
    </row>
    <row r="754" spans="1:6" x14ac:dyDescent="0.3">
      <c r="A754" s="58" t="s">
        <v>737</v>
      </c>
      <c r="B754" t="s">
        <v>5381</v>
      </c>
      <c r="C754" t="s">
        <v>4894</v>
      </c>
      <c r="D754" t="s">
        <v>2754</v>
      </c>
      <c r="E754" t="s">
        <v>5537</v>
      </c>
      <c r="F754" t="s">
        <v>737</v>
      </c>
    </row>
    <row r="755" spans="1:6" x14ac:dyDescent="0.3">
      <c r="A755" s="58" t="s">
        <v>738</v>
      </c>
      <c r="B755" t="s">
        <v>5381</v>
      </c>
      <c r="C755" t="s">
        <v>4894</v>
      </c>
      <c r="D755" t="s">
        <v>3055</v>
      </c>
      <c r="E755" t="s">
        <v>5537</v>
      </c>
      <c r="F755" t="s">
        <v>738</v>
      </c>
    </row>
    <row r="756" spans="1:6" x14ac:dyDescent="0.3">
      <c r="A756" s="58" t="s">
        <v>739</v>
      </c>
      <c r="B756" t="s">
        <v>5381</v>
      </c>
      <c r="C756" t="s">
        <v>4894</v>
      </c>
      <c r="D756" t="s">
        <v>3056</v>
      </c>
      <c r="E756" t="s">
        <v>5537</v>
      </c>
      <c r="F756" t="s">
        <v>739</v>
      </c>
    </row>
    <row r="757" spans="1:6" x14ac:dyDescent="0.3">
      <c r="A757" s="58" t="s">
        <v>740</v>
      </c>
      <c r="B757" t="s">
        <v>5381</v>
      </c>
      <c r="C757" t="s">
        <v>4894</v>
      </c>
      <c r="D757" t="s">
        <v>3057</v>
      </c>
      <c r="E757" t="s">
        <v>5538</v>
      </c>
      <c r="F757" t="s">
        <v>740</v>
      </c>
    </row>
    <row r="758" spans="1:6" x14ac:dyDescent="0.3">
      <c r="A758" s="58" t="s">
        <v>741</v>
      </c>
      <c r="B758" t="s">
        <v>5381</v>
      </c>
      <c r="C758" t="s">
        <v>4894</v>
      </c>
      <c r="D758" t="s">
        <v>3058</v>
      </c>
      <c r="E758" t="s">
        <v>5537</v>
      </c>
      <c r="F758" t="s">
        <v>741</v>
      </c>
    </row>
    <row r="759" spans="1:6" x14ac:dyDescent="0.3">
      <c r="A759" s="58" t="s">
        <v>742</v>
      </c>
      <c r="B759" t="s">
        <v>5381</v>
      </c>
      <c r="C759" t="s">
        <v>4895</v>
      </c>
      <c r="D759" t="s">
        <v>3059</v>
      </c>
      <c r="E759" t="s">
        <v>5538</v>
      </c>
      <c r="F759" t="s">
        <v>5484</v>
      </c>
    </row>
    <row r="760" spans="1:6" x14ac:dyDescent="0.3">
      <c r="A760" s="58" t="s">
        <v>743</v>
      </c>
      <c r="B760" t="s">
        <v>5381</v>
      </c>
      <c r="C760" t="s">
        <v>4895</v>
      </c>
      <c r="D760" t="s">
        <v>3060</v>
      </c>
      <c r="E760" t="s">
        <v>5537</v>
      </c>
      <c r="F760" t="s">
        <v>743</v>
      </c>
    </row>
    <row r="761" spans="1:6" x14ac:dyDescent="0.3">
      <c r="A761" s="58" t="s">
        <v>744</v>
      </c>
      <c r="B761" t="s">
        <v>5381</v>
      </c>
      <c r="C761" t="s">
        <v>4895</v>
      </c>
      <c r="D761" t="s">
        <v>3061</v>
      </c>
      <c r="E761" t="s">
        <v>5537</v>
      </c>
      <c r="F761" t="s">
        <v>744</v>
      </c>
    </row>
    <row r="762" spans="1:6" x14ac:dyDescent="0.3">
      <c r="A762" s="58" t="s">
        <v>5414</v>
      </c>
      <c r="B762" t="s">
        <v>5381</v>
      </c>
      <c r="C762" t="s">
        <v>4895</v>
      </c>
      <c r="D762" t="s">
        <v>3062</v>
      </c>
      <c r="E762" t="s">
        <v>5538</v>
      </c>
      <c r="F762" t="s">
        <v>5414</v>
      </c>
    </row>
    <row r="763" spans="1:6" x14ac:dyDescent="0.3">
      <c r="A763" s="58" t="s">
        <v>745</v>
      </c>
      <c r="B763" t="s">
        <v>5381</v>
      </c>
      <c r="C763" t="s">
        <v>4895</v>
      </c>
      <c r="D763" t="s">
        <v>3063</v>
      </c>
      <c r="E763" t="s">
        <v>5537</v>
      </c>
      <c r="F763" t="s">
        <v>745</v>
      </c>
    </row>
    <row r="764" spans="1:6" x14ac:dyDescent="0.3">
      <c r="A764" s="58" t="s">
        <v>746</v>
      </c>
      <c r="B764" t="s">
        <v>5381</v>
      </c>
      <c r="C764" t="s">
        <v>4895</v>
      </c>
      <c r="D764" t="s">
        <v>3064</v>
      </c>
      <c r="E764" t="s">
        <v>5537</v>
      </c>
      <c r="F764" t="s">
        <v>746</v>
      </c>
    </row>
    <row r="765" spans="1:6" x14ac:dyDescent="0.3">
      <c r="A765" s="58" t="s">
        <v>747</v>
      </c>
      <c r="B765" t="s">
        <v>5381</v>
      </c>
      <c r="C765" t="s">
        <v>4895</v>
      </c>
      <c r="D765" t="s">
        <v>3065</v>
      </c>
      <c r="E765" t="s">
        <v>5538</v>
      </c>
      <c r="F765" t="s">
        <v>747</v>
      </c>
    </row>
    <row r="766" spans="1:6" x14ac:dyDescent="0.3">
      <c r="A766" s="58" t="s">
        <v>748</v>
      </c>
      <c r="B766" t="s">
        <v>5381</v>
      </c>
      <c r="C766" t="s">
        <v>4896</v>
      </c>
      <c r="D766" t="s">
        <v>4608</v>
      </c>
      <c r="E766" t="s">
        <v>5536</v>
      </c>
      <c r="F766" t="s">
        <v>748</v>
      </c>
    </row>
    <row r="767" spans="1:6" x14ac:dyDescent="0.3">
      <c r="A767" s="58" t="s">
        <v>749</v>
      </c>
      <c r="B767" t="s">
        <v>5381</v>
      </c>
      <c r="C767" t="s">
        <v>4896</v>
      </c>
      <c r="D767" t="s">
        <v>3066</v>
      </c>
      <c r="E767" t="s">
        <v>5538</v>
      </c>
      <c r="F767" t="s">
        <v>749</v>
      </c>
    </row>
    <row r="768" spans="1:6" x14ac:dyDescent="0.3">
      <c r="A768" s="58" t="s">
        <v>750</v>
      </c>
      <c r="B768" t="s">
        <v>5381</v>
      </c>
      <c r="C768" t="s">
        <v>4896</v>
      </c>
      <c r="D768" t="s">
        <v>3067</v>
      </c>
      <c r="E768" t="s">
        <v>5537</v>
      </c>
      <c r="F768" t="s">
        <v>750</v>
      </c>
    </row>
    <row r="769" spans="1:6" x14ac:dyDescent="0.3">
      <c r="A769" s="58" t="s">
        <v>751</v>
      </c>
      <c r="B769" t="s">
        <v>5381</v>
      </c>
      <c r="C769" t="s">
        <v>4896</v>
      </c>
      <c r="D769" t="s">
        <v>4609</v>
      </c>
      <c r="E769" t="s">
        <v>5537</v>
      </c>
      <c r="F769" t="s">
        <v>751</v>
      </c>
    </row>
    <row r="770" spans="1:6" x14ac:dyDescent="0.3">
      <c r="A770" s="58" t="s">
        <v>752</v>
      </c>
      <c r="B770" t="s">
        <v>5381</v>
      </c>
      <c r="C770" t="s">
        <v>4897</v>
      </c>
      <c r="D770" t="s">
        <v>4610</v>
      </c>
      <c r="E770" t="s">
        <v>5536</v>
      </c>
      <c r="F770" t="s">
        <v>752</v>
      </c>
    </row>
    <row r="771" spans="1:6" x14ac:dyDescent="0.3">
      <c r="A771" s="58" t="s">
        <v>753</v>
      </c>
      <c r="B771" t="s">
        <v>5381</v>
      </c>
      <c r="C771" t="s">
        <v>4897</v>
      </c>
      <c r="D771" t="s">
        <v>4611</v>
      </c>
      <c r="E771" t="s">
        <v>5536</v>
      </c>
      <c r="F771" t="s">
        <v>753</v>
      </c>
    </row>
    <row r="772" spans="1:6" x14ac:dyDescent="0.3">
      <c r="A772" s="58" t="s">
        <v>754</v>
      </c>
      <c r="B772" t="s">
        <v>5381</v>
      </c>
      <c r="C772" t="s">
        <v>4897</v>
      </c>
      <c r="D772" t="s">
        <v>4612</v>
      </c>
      <c r="E772" t="s">
        <v>5536</v>
      </c>
      <c r="F772" t="s">
        <v>754</v>
      </c>
    </row>
    <row r="773" spans="1:6" x14ac:dyDescent="0.3">
      <c r="A773" s="58" t="s">
        <v>755</v>
      </c>
      <c r="B773" t="s">
        <v>5381</v>
      </c>
      <c r="C773" t="s">
        <v>4897</v>
      </c>
      <c r="D773" t="s">
        <v>3068</v>
      </c>
      <c r="E773" t="s">
        <v>5538</v>
      </c>
      <c r="F773" t="s">
        <v>755</v>
      </c>
    </row>
    <row r="774" spans="1:6" x14ac:dyDescent="0.3">
      <c r="A774" s="58" t="s">
        <v>756</v>
      </c>
      <c r="B774" t="s">
        <v>5381</v>
      </c>
      <c r="C774" t="s">
        <v>4897</v>
      </c>
      <c r="D774" t="s">
        <v>4613</v>
      </c>
      <c r="E774" t="s">
        <v>5537</v>
      </c>
      <c r="F774" t="s">
        <v>756</v>
      </c>
    </row>
    <row r="775" spans="1:6" x14ac:dyDescent="0.3">
      <c r="A775" s="58" t="s">
        <v>757</v>
      </c>
      <c r="B775" t="s">
        <v>5381</v>
      </c>
      <c r="C775" t="s">
        <v>4897</v>
      </c>
      <c r="D775" t="s">
        <v>4614</v>
      </c>
      <c r="E775" t="s">
        <v>5537</v>
      </c>
      <c r="F775" t="s">
        <v>757</v>
      </c>
    </row>
    <row r="776" spans="1:6" x14ac:dyDescent="0.3">
      <c r="A776" s="58" t="s">
        <v>758</v>
      </c>
      <c r="B776" t="s">
        <v>5381</v>
      </c>
      <c r="C776" t="s">
        <v>4897</v>
      </c>
      <c r="D776" t="s">
        <v>3069</v>
      </c>
      <c r="E776" t="s">
        <v>5538</v>
      </c>
      <c r="F776" t="s">
        <v>5501</v>
      </c>
    </row>
    <row r="777" spans="1:6" x14ac:dyDescent="0.3">
      <c r="A777" s="58" t="s">
        <v>759</v>
      </c>
      <c r="B777" t="s">
        <v>5381</v>
      </c>
      <c r="C777" t="s">
        <v>4897</v>
      </c>
      <c r="D777" t="s">
        <v>3070</v>
      </c>
      <c r="E777" t="s">
        <v>5538</v>
      </c>
      <c r="F777" t="s">
        <v>759</v>
      </c>
    </row>
    <row r="778" spans="1:6" x14ac:dyDescent="0.3">
      <c r="A778" s="58" t="s">
        <v>760</v>
      </c>
      <c r="B778" t="s">
        <v>5381</v>
      </c>
      <c r="C778" t="s">
        <v>4897</v>
      </c>
      <c r="D778" t="s">
        <v>4615</v>
      </c>
      <c r="E778" t="s">
        <v>5537</v>
      </c>
      <c r="F778" t="s">
        <v>760</v>
      </c>
    </row>
    <row r="779" spans="1:6" x14ac:dyDescent="0.3">
      <c r="A779" s="58" t="s">
        <v>761</v>
      </c>
      <c r="B779" t="s">
        <v>5381</v>
      </c>
      <c r="C779" t="s">
        <v>4898</v>
      </c>
      <c r="D779" t="s">
        <v>5395</v>
      </c>
      <c r="E779" t="s">
        <v>5536</v>
      </c>
      <c r="F779" t="s">
        <v>761</v>
      </c>
    </row>
    <row r="780" spans="1:6" x14ac:dyDescent="0.3">
      <c r="A780" s="58" t="s">
        <v>762</v>
      </c>
      <c r="B780" t="s">
        <v>5381</v>
      </c>
      <c r="C780" t="s">
        <v>4898</v>
      </c>
      <c r="D780" t="s">
        <v>5396</v>
      </c>
      <c r="E780" t="s">
        <v>5537</v>
      </c>
      <c r="F780" t="s">
        <v>762</v>
      </c>
    </row>
    <row r="781" spans="1:6" x14ac:dyDescent="0.3">
      <c r="A781" s="58" t="s">
        <v>763</v>
      </c>
      <c r="B781" t="s">
        <v>5381</v>
      </c>
      <c r="C781" t="s">
        <v>4898</v>
      </c>
      <c r="D781" t="s">
        <v>3071</v>
      </c>
      <c r="E781" t="s">
        <v>5537</v>
      </c>
      <c r="F781" t="s">
        <v>763</v>
      </c>
    </row>
    <row r="782" spans="1:6" x14ac:dyDescent="0.3">
      <c r="A782" s="58" t="s">
        <v>764</v>
      </c>
      <c r="B782" t="s">
        <v>5381</v>
      </c>
      <c r="C782" t="s">
        <v>4898</v>
      </c>
      <c r="D782" t="s">
        <v>3072</v>
      </c>
      <c r="E782" t="s">
        <v>5538</v>
      </c>
      <c r="F782" t="s">
        <v>5502</v>
      </c>
    </row>
    <row r="783" spans="1:6" x14ac:dyDescent="0.3">
      <c r="A783" s="58" t="s">
        <v>765</v>
      </c>
      <c r="B783" t="s">
        <v>5381</v>
      </c>
      <c r="C783" t="s">
        <v>4898</v>
      </c>
      <c r="D783" t="s">
        <v>3073</v>
      </c>
      <c r="E783" t="s">
        <v>5537</v>
      </c>
      <c r="F783" t="s">
        <v>765</v>
      </c>
    </row>
    <row r="784" spans="1:6" x14ac:dyDescent="0.3">
      <c r="A784" s="58" t="s">
        <v>766</v>
      </c>
      <c r="B784" t="s">
        <v>5381</v>
      </c>
      <c r="C784" t="s">
        <v>3074</v>
      </c>
      <c r="D784" t="s">
        <v>3074</v>
      </c>
      <c r="E784" t="s">
        <v>5536</v>
      </c>
      <c r="F784" t="s">
        <v>766</v>
      </c>
    </row>
    <row r="785" spans="1:6" x14ac:dyDescent="0.3">
      <c r="A785" s="58" t="s">
        <v>767</v>
      </c>
      <c r="B785" t="s">
        <v>5381</v>
      </c>
      <c r="C785" t="s">
        <v>3075</v>
      </c>
      <c r="D785" t="s">
        <v>3075</v>
      </c>
      <c r="E785" t="s">
        <v>5536</v>
      </c>
      <c r="F785" t="s">
        <v>767</v>
      </c>
    </row>
    <row r="786" spans="1:6" x14ac:dyDescent="0.3">
      <c r="A786" s="58" t="s">
        <v>768</v>
      </c>
      <c r="B786" t="s">
        <v>5381</v>
      </c>
      <c r="C786" t="s">
        <v>3040</v>
      </c>
      <c r="D786" t="s">
        <v>3040</v>
      </c>
      <c r="E786" t="s">
        <v>5536</v>
      </c>
      <c r="F786" t="s">
        <v>768</v>
      </c>
    </row>
    <row r="787" spans="1:6" x14ac:dyDescent="0.3">
      <c r="A787" s="58" t="s">
        <v>769</v>
      </c>
      <c r="B787" t="s">
        <v>5383</v>
      </c>
      <c r="C787" t="s">
        <v>4899</v>
      </c>
      <c r="D787" t="s">
        <v>4616</v>
      </c>
      <c r="E787" t="s">
        <v>5536</v>
      </c>
      <c r="F787" t="s">
        <v>769</v>
      </c>
    </row>
    <row r="788" spans="1:6" x14ac:dyDescent="0.3">
      <c r="A788" s="58" t="s">
        <v>770</v>
      </c>
      <c r="B788" t="s">
        <v>5383</v>
      </c>
      <c r="C788" t="s">
        <v>4899</v>
      </c>
      <c r="D788" t="s">
        <v>4617</v>
      </c>
      <c r="E788" t="s">
        <v>5537</v>
      </c>
      <c r="F788" t="s">
        <v>770</v>
      </c>
    </row>
    <row r="789" spans="1:6" x14ac:dyDescent="0.3">
      <c r="A789" s="58" t="s">
        <v>771</v>
      </c>
      <c r="B789" t="s">
        <v>5383</v>
      </c>
      <c r="C789" t="s">
        <v>4899</v>
      </c>
      <c r="D789" t="s">
        <v>3076</v>
      </c>
      <c r="E789" t="s">
        <v>5537</v>
      </c>
      <c r="F789" t="s">
        <v>771</v>
      </c>
    </row>
    <row r="790" spans="1:6" x14ac:dyDescent="0.3">
      <c r="A790" s="58" t="s">
        <v>772</v>
      </c>
      <c r="B790" t="s">
        <v>5383</v>
      </c>
      <c r="C790" t="s">
        <v>4899</v>
      </c>
      <c r="D790" t="s">
        <v>3077</v>
      </c>
      <c r="E790" t="s">
        <v>5537</v>
      </c>
      <c r="F790" t="s">
        <v>772</v>
      </c>
    </row>
    <row r="791" spans="1:6" x14ac:dyDescent="0.3">
      <c r="A791" s="58" t="s">
        <v>773</v>
      </c>
      <c r="B791" t="s">
        <v>5383</v>
      </c>
      <c r="C791" t="s">
        <v>4899</v>
      </c>
      <c r="D791" t="s">
        <v>3078</v>
      </c>
      <c r="E791" t="s">
        <v>5537</v>
      </c>
      <c r="F791" t="s">
        <v>773</v>
      </c>
    </row>
    <row r="792" spans="1:6" x14ac:dyDescent="0.3">
      <c r="A792" s="58" t="s">
        <v>774</v>
      </c>
      <c r="B792" t="s">
        <v>5383</v>
      </c>
      <c r="C792" t="s">
        <v>4899</v>
      </c>
      <c r="D792" t="s">
        <v>3079</v>
      </c>
      <c r="E792" t="s">
        <v>5538</v>
      </c>
      <c r="F792" t="s">
        <v>774</v>
      </c>
    </row>
    <row r="793" spans="1:6" x14ac:dyDescent="0.3">
      <c r="A793" s="58" t="s">
        <v>775</v>
      </c>
      <c r="B793" t="s">
        <v>5383</v>
      </c>
      <c r="C793" t="s">
        <v>4899</v>
      </c>
      <c r="D793" t="s">
        <v>3080</v>
      </c>
      <c r="E793" t="s">
        <v>5537</v>
      </c>
      <c r="F793" t="s">
        <v>775</v>
      </c>
    </row>
    <row r="794" spans="1:6" x14ac:dyDescent="0.3">
      <c r="A794" s="58" t="s">
        <v>776</v>
      </c>
      <c r="B794" t="s">
        <v>5383</v>
      </c>
      <c r="C794" t="s">
        <v>4899</v>
      </c>
      <c r="D794" t="s">
        <v>3081</v>
      </c>
      <c r="E794" t="s">
        <v>5537</v>
      </c>
      <c r="F794" t="s">
        <v>776</v>
      </c>
    </row>
    <row r="795" spans="1:6" x14ac:dyDescent="0.3">
      <c r="A795" s="58" t="s">
        <v>777</v>
      </c>
      <c r="B795" t="s">
        <v>5383</v>
      </c>
      <c r="C795" t="s">
        <v>4899</v>
      </c>
      <c r="D795" t="s">
        <v>3082</v>
      </c>
      <c r="E795" t="s">
        <v>5537</v>
      </c>
      <c r="F795" t="s">
        <v>777</v>
      </c>
    </row>
    <row r="796" spans="1:6" x14ac:dyDescent="0.3">
      <c r="A796" s="58" t="s">
        <v>778</v>
      </c>
      <c r="B796" t="s">
        <v>5383</v>
      </c>
      <c r="C796" t="s">
        <v>4900</v>
      </c>
      <c r="D796" t="s">
        <v>3083</v>
      </c>
      <c r="E796" t="s">
        <v>5537</v>
      </c>
      <c r="F796" t="s">
        <v>778</v>
      </c>
    </row>
    <row r="797" spans="1:6" x14ac:dyDescent="0.3">
      <c r="A797" s="58" t="s">
        <v>779</v>
      </c>
      <c r="B797" t="s">
        <v>5383</v>
      </c>
      <c r="C797" t="s">
        <v>4900</v>
      </c>
      <c r="D797" t="s">
        <v>3084</v>
      </c>
      <c r="E797" t="s">
        <v>5538</v>
      </c>
      <c r="F797" t="s">
        <v>779</v>
      </c>
    </row>
    <row r="798" spans="1:6" x14ac:dyDescent="0.3">
      <c r="A798" s="58" t="s">
        <v>780</v>
      </c>
      <c r="B798" t="s">
        <v>5383</v>
      </c>
      <c r="C798" t="s">
        <v>4900</v>
      </c>
      <c r="D798" t="s">
        <v>3085</v>
      </c>
      <c r="E798" t="s">
        <v>5538</v>
      </c>
      <c r="F798" t="s">
        <v>780</v>
      </c>
    </row>
    <row r="799" spans="1:6" x14ac:dyDescent="0.3">
      <c r="A799" s="58" t="s">
        <v>781</v>
      </c>
      <c r="B799" t="s">
        <v>5383</v>
      </c>
      <c r="C799" t="s">
        <v>4900</v>
      </c>
      <c r="D799" t="s">
        <v>3086</v>
      </c>
      <c r="E799" t="s">
        <v>5537</v>
      </c>
      <c r="F799" t="s">
        <v>781</v>
      </c>
    </row>
    <row r="800" spans="1:6" x14ac:dyDescent="0.3">
      <c r="A800" s="58" t="s">
        <v>782</v>
      </c>
      <c r="B800" t="s">
        <v>5383</v>
      </c>
      <c r="C800" t="s">
        <v>4900</v>
      </c>
      <c r="D800" t="s">
        <v>3087</v>
      </c>
      <c r="E800" t="s">
        <v>5537</v>
      </c>
      <c r="F800" t="s">
        <v>782</v>
      </c>
    </row>
    <row r="801" spans="1:6" x14ac:dyDescent="0.3">
      <c r="A801" s="58" t="s">
        <v>783</v>
      </c>
      <c r="B801" t="s">
        <v>5383</v>
      </c>
      <c r="C801" t="s">
        <v>4900</v>
      </c>
      <c r="D801" t="s">
        <v>3088</v>
      </c>
      <c r="E801" t="s">
        <v>5537</v>
      </c>
      <c r="F801" t="s">
        <v>783</v>
      </c>
    </row>
    <row r="802" spans="1:6" x14ac:dyDescent="0.3">
      <c r="A802" s="58" t="s">
        <v>784</v>
      </c>
      <c r="B802" t="s">
        <v>5383</v>
      </c>
      <c r="C802" t="s">
        <v>4900</v>
      </c>
      <c r="D802" t="s">
        <v>3089</v>
      </c>
      <c r="E802" t="s">
        <v>5537</v>
      </c>
      <c r="F802" t="s">
        <v>784</v>
      </c>
    </row>
    <row r="803" spans="1:6" x14ac:dyDescent="0.3">
      <c r="A803" s="58" t="s">
        <v>785</v>
      </c>
      <c r="B803" t="s">
        <v>5383</v>
      </c>
      <c r="C803" t="s">
        <v>4901</v>
      </c>
      <c r="D803" t="s">
        <v>3090</v>
      </c>
      <c r="E803" t="s">
        <v>5538</v>
      </c>
      <c r="F803" t="s">
        <v>785</v>
      </c>
    </row>
    <row r="804" spans="1:6" x14ac:dyDescent="0.3">
      <c r="A804" s="58" t="s">
        <v>786</v>
      </c>
      <c r="B804" t="s">
        <v>5383</v>
      </c>
      <c r="C804" t="s">
        <v>4901</v>
      </c>
      <c r="D804" t="s">
        <v>3091</v>
      </c>
      <c r="E804" t="s">
        <v>5537</v>
      </c>
      <c r="F804" t="s">
        <v>786</v>
      </c>
    </row>
    <row r="805" spans="1:6" x14ac:dyDescent="0.3">
      <c r="A805" s="58" t="s">
        <v>787</v>
      </c>
      <c r="B805" t="s">
        <v>5383</v>
      </c>
      <c r="C805" t="s">
        <v>4901</v>
      </c>
      <c r="D805" t="s">
        <v>2724</v>
      </c>
      <c r="E805" t="s">
        <v>5538</v>
      </c>
      <c r="F805" t="s">
        <v>787</v>
      </c>
    </row>
    <row r="806" spans="1:6" x14ac:dyDescent="0.3">
      <c r="A806" s="58" t="s">
        <v>788</v>
      </c>
      <c r="B806" t="s">
        <v>5383</v>
      </c>
      <c r="C806" t="s">
        <v>4901</v>
      </c>
      <c r="D806" t="s">
        <v>3092</v>
      </c>
      <c r="E806" t="s">
        <v>5538</v>
      </c>
      <c r="F806" t="s">
        <v>788</v>
      </c>
    </row>
    <row r="807" spans="1:6" x14ac:dyDescent="0.3">
      <c r="A807" s="58" t="s">
        <v>789</v>
      </c>
      <c r="B807" t="s">
        <v>5383</v>
      </c>
      <c r="C807" t="s">
        <v>4901</v>
      </c>
      <c r="D807" t="s">
        <v>3093</v>
      </c>
      <c r="E807" t="s">
        <v>5538</v>
      </c>
      <c r="F807" t="s">
        <v>789</v>
      </c>
    </row>
    <row r="808" spans="1:6" x14ac:dyDescent="0.3">
      <c r="A808" s="58" t="s">
        <v>790</v>
      </c>
      <c r="B808" t="s">
        <v>5383</v>
      </c>
      <c r="C808" t="s">
        <v>4902</v>
      </c>
      <c r="D808" t="s">
        <v>3094</v>
      </c>
      <c r="E808" t="s">
        <v>5537</v>
      </c>
      <c r="F808" t="s">
        <v>790</v>
      </c>
    </row>
    <row r="809" spans="1:6" x14ac:dyDescent="0.3">
      <c r="A809" s="58" t="s">
        <v>791</v>
      </c>
      <c r="B809" t="s">
        <v>5383</v>
      </c>
      <c r="C809" t="s">
        <v>4902</v>
      </c>
      <c r="D809" t="s">
        <v>3095</v>
      </c>
      <c r="E809" t="s">
        <v>5538</v>
      </c>
      <c r="F809" t="s">
        <v>791</v>
      </c>
    </row>
    <row r="810" spans="1:6" x14ac:dyDescent="0.3">
      <c r="A810" s="58" t="s">
        <v>792</v>
      </c>
      <c r="B810" t="s">
        <v>5383</v>
      </c>
      <c r="C810" t="s">
        <v>4902</v>
      </c>
      <c r="D810" t="s">
        <v>3096</v>
      </c>
      <c r="E810" t="s">
        <v>5537</v>
      </c>
      <c r="F810" t="s">
        <v>792</v>
      </c>
    </row>
    <row r="811" spans="1:6" x14ac:dyDescent="0.3">
      <c r="A811" s="58" t="s">
        <v>793</v>
      </c>
      <c r="B811" t="s">
        <v>5383</v>
      </c>
      <c r="C811" t="s">
        <v>4902</v>
      </c>
      <c r="D811" t="s">
        <v>3097</v>
      </c>
      <c r="E811" t="s">
        <v>5537</v>
      </c>
      <c r="F811" t="s">
        <v>793</v>
      </c>
    </row>
    <row r="812" spans="1:6" x14ac:dyDescent="0.3">
      <c r="A812" s="58" t="s">
        <v>794</v>
      </c>
      <c r="B812" t="s">
        <v>5383</v>
      </c>
      <c r="C812" t="s">
        <v>4902</v>
      </c>
      <c r="D812" t="s">
        <v>3098</v>
      </c>
      <c r="E812" t="s">
        <v>5537</v>
      </c>
      <c r="F812" t="s">
        <v>794</v>
      </c>
    </row>
    <row r="813" spans="1:6" x14ac:dyDescent="0.3">
      <c r="A813" s="58" t="s">
        <v>795</v>
      </c>
      <c r="B813" t="s">
        <v>5383</v>
      </c>
      <c r="C813" t="s">
        <v>4902</v>
      </c>
      <c r="D813" t="s">
        <v>3099</v>
      </c>
      <c r="E813" t="s">
        <v>5537</v>
      </c>
      <c r="F813" t="s">
        <v>795</v>
      </c>
    </row>
    <row r="814" spans="1:6" x14ac:dyDescent="0.3">
      <c r="A814" s="58" t="s">
        <v>796</v>
      </c>
      <c r="B814" t="s">
        <v>5383</v>
      </c>
      <c r="C814" t="s">
        <v>4902</v>
      </c>
      <c r="D814" t="s">
        <v>3100</v>
      </c>
      <c r="E814" t="s">
        <v>5538</v>
      </c>
      <c r="F814" t="s">
        <v>796</v>
      </c>
    </row>
    <row r="815" spans="1:6" x14ac:dyDescent="0.3">
      <c r="A815" s="58" t="s">
        <v>797</v>
      </c>
      <c r="B815" t="s">
        <v>5383</v>
      </c>
      <c r="C815" t="s">
        <v>4903</v>
      </c>
      <c r="D815" t="s">
        <v>4618</v>
      </c>
      <c r="E815" t="s">
        <v>5536</v>
      </c>
      <c r="F815" t="s">
        <v>797</v>
      </c>
    </row>
    <row r="816" spans="1:6" x14ac:dyDescent="0.3">
      <c r="A816" s="58" t="s">
        <v>798</v>
      </c>
      <c r="B816" t="s">
        <v>5383</v>
      </c>
      <c r="C816" t="s">
        <v>4903</v>
      </c>
      <c r="D816" t="s">
        <v>3101</v>
      </c>
      <c r="E816" t="s">
        <v>5538</v>
      </c>
      <c r="F816" t="s">
        <v>798</v>
      </c>
    </row>
    <row r="817" spans="1:6" x14ac:dyDescent="0.3">
      <c r="A817" s="58" t="s">
        <v>799</v>
      </c>
      <c r="B817" t="s">
        <v>5383</v>
      </c>
      <c r="C817" t="s">
        <v>4903</v>
      </c>
      <c r="D817" t="s">
        <v>3102</v>
      </c>
      <c r="E817" t="s">
        <v>5538</v>
      </c>
      <c r="F817" t="s">
        <v>799</v>
      </c>
    </row>
    <row r="818" spans="1:6" x14ac:dyDescent="0.3">
      <c r="A818" s="58" t="s">
        <v>800</v>
      </c>
      <c r="B818" t="s">
        <v>5383</v>
      </c>
      <c r="C818" t="s">
        <v>4903</v>
      </c>
      <c r="D818" t="s">
        <v>4619</v>
      </c>
      <c r="E818" t="s">
        <v>5537</v>
      </c>
      <c r="F818" t="s">
        <v>800</v>
      </c>
    </row>
    <row r="819" spans="1:6" x14ac:dyDescent="0.3">
      <c r="A819" s="58" t="s">
        <v>801</v>
      </c>
      <c r="B819" t="s">
        <v>5383</v>
      </c>
      <c r="C819" t="s">
        <v>4903</v>
      </c>
      <c r="D819" t="s">
        <v>3103</v>
      </c>
      <c r="E819" t="s">
        <v>5537</v>
      </c>
      <c r="F819" t="s">
        <v>801</v>
      </c>
    </row>
    <row r="820" spans="1:6" x14ac:dyDescent="0.3">
      <c r="A820" s="58" t="s">
        <v>802</v>
      </c>
      <c r="B820" t="s">
        <v>5383</v>
      </c>
      <c r="C820" t="s">
        <v>4903</v>
      </c>
      <c r="D820" t="s">
        <v>3104</v>
      </c>
      <c r="E820" t="s">
        <v>5537</v>
      </c>
      <c r="F820" t="s">
        <v>802</v>
      </c>
    </row>
    <row r="821" spans="1:6" x14ac:dyDescent="0.3">
      <c r="A821" s="58" t="s">
        <v>803</v>
      </c>
      <c r="B821" t="s">
        <v>5383</v>
      </c>
      <c r="C821" t="s">
        <v>4903</v>
      </c>
      <c r="D821" t="s">
        <v>2996</v>
      </c>
      <c r="E821" t="s">
        <v>5537</v>
      </c>
      <c r="F821" t="s">
        <v>803</v>
      </c>
    </row>
    <row r="822" spans="1:6" x14ac:dyDescent="0.3">
      <c r="A822" s="58" t="s">
        <v>804</v>
      </c>
      <c r="B822" t="s">
        <v>5383</v>
      </c>
      <c r="C822" t="s">
        <v>4903</v>
      </c>
      <c r="D822" t="s">
        <v>3105</v>
      </c>
      <c r="E822" t="s">
        <v>5537</v>
      </c>
      <c r="F822" t="s">
        <v>804</v>
      </c>
    </row>
    <row r="823" spans="1:6" x14ac:dyDescent="0.3">
      <c r="A823" s="58" t="s">
        <v>805</v>
      </c>
      <c r="B823" t="s">
        <v>5383</v>
      </c>
      <c r="C823" t="s">
        <v>4903</v>
      </c>
      <c r="D823" t="s">
        <v>3106</v>
      </c>
      <c r="E823" t="s">
        <v>5537</v>
      </c>
      <c r="F823" t="s">
        <v>805</v>
      </c>
    </row>
    <row r="824" spans="1:6" x14ac:dyDescent="0.3">
      <c r="A824" s="58" t="s">
        <v>806</v>
      </c>
      <c r="B824" t="s">
        <v>5383</v>
      </c>
      <c r="C824" t="s">
        <v>4903</v>
      </c>
      <c r="D824" t="s">
        <v>3107</v>
      </c>
      <c r="E824" t="s">
        <v>5537</v>
      </c>
      <c r="F824" t="s">
        <v>806</v>
      </c>
    </row>
    <row r="825" spans="1:6" x14ac:dyDescent="0.3">
      <c r="A825" s="58" t="s">
        <v>807</v>
      </c>
      <c r="B825" t="s">
        <v>5383</v>
      </c>
      <c r="C825" t="s">
        <v>4904</v>
      </c>
      <c r="D825" t="s">
        <v>3108</v>
      </c>
      <c r="E825" t="s">
        <v>5537</v>
      </c>
      <c r="F825" t="s">
        <v>807</v>
      </c>
    </row>
    <row r="826" spans="1:6" x14ac:dyDescent="0.3">
      <c r="A826" s="58" t="s">
        <v>808</v>
      </c>
      <c r="B826" t="s">
        <v>5383</v>
      </c>
      <c r="C826" t="s">
        <v>4904</v>
      </c>
      <c r="D826" t="s">
        <v>3109</v>
      </c>
      <c r="E826" t="s">
        <v>5537</v>
      </c>
      <c r="F826" t="s">
        <v>808</v>
      </c>
    </row>
    <row r="827" spans="1:6" x14ac:dyDescent="0.3">
      <c r="A827" s="58" t="s">
        <v>809</v>
      </c>
      <c r="B827" t="s">
        <v>5383</v>
      </c>
      <c r="C827" t="s">
        <v>4904</v>
      </c>
      <c r="D827" t="s">
        <v>3110</v>
      </c>
      <c r="E827" t="s">
        <v>5537</v>
      </c>
      <c r="F827" t="s">
        <v>809</v>
      </c>
    </row>
    <row r="828" spans="1:6" x14ac:dyDescent="0.3">
      <c r="A828" s="58" t="s">
        <v>810</v>
      </c>
      <c r="B828" t="s">
        <v>5383</v>
      </c>
      <c r="C828" t="s">
        <v>4904</v>
      </c>
      <c r="D828" t="s">
        <v>3111</v>
      </c>
      <c r="E828" t="s">
        <v>5537</v>
      </c>
      <c r="F828" t="s">
        <v>810</v>
      </c>
    </row>
    <row r="829" spans="1:6" x14ac:dyDescent="0.3">
      <c r="A829" s="58" t="s">
        <v>811</v>
      </c>
      <c r="B829" t="s">
        <v>5383</v>
      </c>
      <c r="C829" t="s">
        <v>4904</v>
      </c>
      <c r="D829" t="s">
        <v>3112</v>
      </c>
      <c r="E829" t="s">
        <v>5537</v>
      </c>
      <c r="F829" t="s">
        <v>811</v>
      </c>
    </row>
    <row r="830" spans="1:6" x14ac:dyDescent="0.3">
      <c r="A830" s="58" t="s">
        <v>812</v>
      </c>
      <c r="B830" t="s">
        <v>5383</v>
      </c>
      <c r="C830" t="s">
        <v>4904</v>
      </c>
      <c r="D830" t="s">
        <v>3113</v>
      </c>
      <c r="E830" t="s">
        <v>5538</v>
      </c>
      <c r="F830" t="s">
        <v>812</v>
      </c>
    </row>
    <row r="831" spans="1:6" x14ac:dyDescent="0.3">
      <c r="A831" s="58" t="s">
        <v>813</v>
      </c>
      <c r="B831" t="s">
        <v>5383</v>
      </c>
      <c r="C831" t="s">
        <v>4904</v>
      </c>
      <c r="D831" t="s">
        <v>3114</v>
      </c>
      <c r="E831" t="s">
        <v>5537</v>
      </c>
      <c r="F831" t="s">
        <v>813</v>
      </c>
    </row>
    <row r="832" spans="1:6" x14ac:dyDescent="0.3">
      <c r="A832" s="58" t="s">
        <v>814</v>
      </c>
      <c r="B832" t="s">
        <v>5383</v>
      </c>
      <c r="C832" t="s">
        <v>4904</v>
      </c>
      <c r="D832" t="s">
        <v>3115</v>
      </c>
      <c r="E832" t="s">
        <v>5537</v>
      </c>
      <c r="F832" t="s">
        <v>814</v>
      </c>
    </row>
    <row r="833" spans="1:6" x14ac:dyDescent="0.3">
      <c r="A833" s="58" t="s">
        <v>815</v>
      </c>
      <c r="B833" t="s">
        <v>5383</v>
      </c>
      <c r="C833" t="s">
        <v>4904</v>
      </c>
      <c r="D833" t="s">
        <v>3116</v>
      </c>
      <c r="E833" t="s">
        <v>5537</v>
      </c>
      <c r="F833" t="s">
        <v>815</v>
      </c>
    </row>
    <row r="834" spans="1:6" x14ac:dyDescent="0.3">
      <c r="A834" s="58" t="s">
        <v>816</v>
      </c>
      <c r="B834" t="s">
        <v>5383</v>
      </c>
      <c r="C834" t="s">
        <v>4904</v>
      </c>
      <c r="D834" t="s">
        <v>3117</v>
      </c>
      <c r="E834" t="s">
        <v>5538</v>
      </c>
      <c r="F834" t="s">
        <v>816</v>
      </c>
    </row>
    <row r="835" spans="1:6" x14ac:dyDescent="0.3">
      <c r="A835" s="58" t="s">
        <v>817</v>
      </c>
      <c r="B835" t="s">
        <v>5383</v>
      </c>
      <c r="C835" t="s">
        <v>4904</v>
      </c>
      <c r="D835" t="s">
        <v>3118</v>
      </c>
      <c r="E835" t="s">
        <v>5538</v>
      </c>
      <c r="F835" t="s">
        <v>817</v>
      </c>
    </row>
    <row r="836" spans="1:6" x14ac:dyDescent="0.3">
      <c r="A836" s="58" t="s">
        <v>818</v>
      </c>
      <c r="B836" t="s">
        <v>5383</v>
      </c>
      <c r="C836" t="s">
        <v>4904</v>
      </c>
      <c r="D836" t="s">
        <v>3119</v>
      </c>
      <c r="E836" t="s">
        <v>5538</v>
      </c>
      <c r="F836" t="s">
        <v>818</v>
      </c>
    </row>
    <row r="837" spans="1:6" x14ac:dyDescent="0.3">
      <c r="A837" s="58" t="s">
        <v>819</v>
      </c>
      <c r="B837" t="s">
        <v>5383</v>
      </c>
      <c r="C837" t="s">
        <v>4904</v>
      </c>
      <c r="D837" t="s">
        <v>3120</v>
      </c>
      <c r="E837" t="s">
        <v>5537</v>
      </c>
      <c r="F837" t="s">
        <v>819</v>
      </c>
    </row>
    <row r="838" spans="1:6" x14ac:dyDescent="0.3">
      <c r="A838" s="58" t="s">
        <v>820</v>
      </c>
      <c r="B838" t="s">
        <v>5383</v>
      </c>
      <c r="C838" t="s">
        <v>4904</v>
      </c>
      <c r="D838" t="s">
        <v>3121</v>
      </c>
      <c r="E838" t="s">
        <v>5538</v>
      </c>
      <c r="F838" t="s">
        <v>820</v>
      </c>
    </row>
    <row r="839" spans="1:6" x14ac:dyDescent="0.3">
      <c r="A839" s="58" t="s">
        <v>821</v>
      </c>
      <c r="B839" t="s">
        <v>5383</v>
      </c>
      <c r="C839" t="s">
        <v>4904</v>
      </c>
      <c r="D839" t="s">
        <v>3122</v>
      </c>
      <c r="E839" t="s">
        <v>5537</v>
      </c>
      <c r="F839" t="s">
        <v>821</v>
      </c>
    </row>
    <row r="840" spans="1:6" x14ac:dyDescent="0.3">
      <c r="A840" s="58" t="s">
        <v>822</v>
      </c>
      <c r="B840" t="s">
        <v>5383</v>
      </c>
      <c r="C840" t="s">
        <v>4904</v>
      </c>
      <c r="D840" t="s">
        <v>3123</v>
      </c>
      <c r="E840" t="s">
        <v>5537</v>
      </c>
      <c r="F840" t="s">
        <v>822</v>
      </c>
    </row>
    <row r="841" spans="1:6" x14ac:dyDescent="0.3">
      <c r="A841" s="58" t="s">
        <v>823</v>
      </c>
      <c r="B841" t="s">
        <v>5383</v>
      </c>
      <c r="C841" t="s">
        <v>4904</v>
      </c>
      <c r="D841" t="s">
        <v>3124</v>
      </c>
      <c r="E841" t="s">
        <v>5537</v>
      </c>
      <c r="F841" t="s">
        <v>823</v>
      </c>
    </row>
    <row r="842" spans="1:6" x14ac:dyDescent="0.3">
      <c r="A842" s="58" t="s">
        <v>824</v>
      </c>
      <c r="B842" t="s">
        <v>5383</v>
      </c>
      <c r="C842" t="s">
        <v>4905</v>
      </c>
      <c r="D842" t="s">
        <v>4620</v>
      </c>
      <c r="E842" t="s">
        <v>5536</v>
      </c>
      <c r="F842" t="s">
        <v>824</v>
      </c>
    </row>
    <row r="843" spans="1:6" x14ac:dyDescent="0.3">
      <c r="A843" s="58" t="s">
        <v>825</v>
      </c>
      <c r="B843" t="s">
        <v>5383</v>
      </c>
      <c r="C843" t="s">
        <v>4905</v>
      </c>
      <c r="D843" t="s">
        <v>4621</v>
      </c>
      <c r="E843" t="s">
        <v>5536</v>
      </c>
      <c r="F843" t="s">
        <v>825</v>
      </c>
    </row>
    <row r="844" spans="1:6" x14ac:dyDescent="0.3">
      <c r="A844" s="58" t="s">
        <v>826</v>
      </c>
      <c r="B844" t="s">
        <v>5383</v>
      </c>
      <c r="C844" t="s">
        <v>4905</v>
      </c>
      <c r="D844" t="s">
        <v>3125</v>
      </c>
      <c r="E844" t="s">
        <v>5537</v>
      </c>
      <c r="F844" t="s">
        <v>826</v>
      </c>
    </row>
    <row r="845" spans="1:6" x14ac:dyDescent="0.3">
      <c r="A845" s="58" t="s">
        <v>827</v>
      </c>
      <c r="B845" t="s">
        <v>5383</v>
      </c>
      <c r="C845" t="s">
        <v>4905</v>
      </c>
      <c r="D845" t="s">
        <v>3126</v>
      </c>
      <c r="E845" t="s">
        <v>5537</v>
      </c>
      <c r="F845" t="s">
        <v>827</v>
      </c>
    </row>
    <row r="846" spans="1:6" x14ac:dyDescent="0.3">
      <c r="A846" s="58" t="s">
        <v>828</v>
      </c>
      <c r="B846" t="s">
        <v>5383</v>
      </c>
      <c r="C846" t="s">
        <v>4905</v>
      </c>
      <c r="D846" t="s">
        <v>3127</v>
      </c>
      <c r="E846" t="s">
        <v>5537</v>
      </c>
      <c r="F846" t="s">
        <v>828</v>
      </c>
    </row>
    <row r="847" spans="1:6" x14ac:dyDescent="0.3">
      <c r="A847" s="58" t="s">
        <v>829</v>
      </c>
      <c r="B847" t="s">
        <v>5383</v>
      </c>
      <c r="C847" t="s">
        <v>4905</v>
      </c>
      <c r="D847" t="s">
        <v>3128</v>
      </c>
      <c r="E847" t="s">
        <v>5537</v>
      </c>
      <c r="F847" t="s">
        <v>829</v>
      </c>
    </row>
    <row r="848" spans="1:6" x14ac:dyDescent="0.3">
      <c r="A848" s="58" t="s">
        <v>830</v>
      </c>
      <c r="B848" t="s">
        <v>5383</v>
      </c>
      <c r="C848" t="s">
        <v>4905</v>
      </c>
      <c r="D848" t="s">
        <v>4622</v>
      </c>
      <c r="E848" t="s">
        <v>5537</v>
      </c>
      <c r="F848" t="s">
        <v>830</v>
      </c>
    </row>
    <row r="849" spans="1:6" x14ac:dyDescent="0.3">
      <c r="A849" s="58" t="s">
        <v>831</v>
      </c>
      <c r="B849" t="s">
        <v>5383</v>
      </c>
      <c r="C849" t="s">
        <v>4905</v>
      </c>
      <c r="D849" t="s">
        <v>3129</v>
      </c>
      <c r="E849" t="s">
        <v>5537</v>
      </c>
      <c r="F849" t="s">
        <v>831</v>
      </c>
    </row>
    <row r="850" spans="1:6" x14ac:dyDescent="0.3">
      <c r="A850" s="58" t="s">
        <v>832</v>
      </c>
      <c r="B850" t="s">
        <v>5383</v>
      </c>
      <c r="C850" t="s">
        <v>4905</v>
      </c>
      <c r="D850" t="s">
        <v>4623</v>
      </c>
      <c r="E850" t="s">
        <v>5537</v>
      </c>
      <c r="F850" t="s">
        <v>832</v>
      </c>
    </row>
    <row r="851" spans="1:6" x14ac:dyDescent="0.3">
      <c r="A851" s="58" t="s">
        <v>833</v>
      </c>
      <c r="B851" t="s">
        <v>5383</v>
      </c>
      <c r="C851" t="s">
        <v>4905</v>
      </c>
      <c r="D851" t="s">
        <v>3130</v>
      </c>
      <c r="E851" t="s">
        <v>5537</v>
      </c>
      <c r="F851" t="s">
        <v>833</v>
      </c>
    </row>
    <row r="852" spans="1:6" x14ac:dyDescent="0.3">
      <c r="A852" s="58" t="s">
        <v>834</v>
      </c>
      <c r="B852" t="s">
        <v>5383</v>
      </c>
      <c r="C852" t="s">
        <v>4905</v>
      </c>
      <c r="D852" t="s">
        <v>3131</v>
      </c>
      <c r="E852" t="s">
        <v>5537</v>
      </c>
      <c r="F852" t="s">
        <v>834</v>
      </c>
    </row>
    <row r="853" spans="1:6" x14ac:dyDescent="0.3">
      <c r="A853" s="58" t="s">
        <v>835</v>
      </c>
      <c r="B853" t="s">
        <v>5383</v>
      </c>
      <c r="C853" t="s">
        <v>4905</v>
      </c>
      <c r="D853" t="s">
        <v>3132</v>
      </c>
      <c r="E853" t="s">
        <v>5537</v>
      </c>
      <c r="F853" t="s">
        <v>835</v>
      </c>
    </row>
    <row r="854" spans="1:6" x14ac:dyDescent="0.3">
      <c r="B854" t="s">
        <v>5383</v>
      </c>
      <c r="C854" t="s">
        <v>4905</v>
      </c>
      <c r="D854" t="s">
        <v>5542</v>
      </c>
      <c r="E854" t="s">
        <v>5537</v>
      </c>
      <c r="F854" t="s">
        <v>5544</v>
      </c>
    </row>
    <row r="855" spans="1:6" x14ac:dyDescent="0.3">
      <c r="A855" s="58" t="s">
        <v>836</v>
      </c>
      <c r="B855" t="s">
        <v>5383</v>
      </c>
      <c r="C855" t="s">
        <v>4906</v>
      </c>
      <c r="D855" t="s">
        <v>3133</v>
      </c>
      <c r="E855" t="s">
        <v>5537</v>
      </c>
      <c r="F855" t="s">
        <v>836</v>
      </c>
    </row>
    <row r="856" spans="1:6" x14ac:dyDescent="0.3">
      <c r="A856" s="58" t="s">
        <v>837</v>
      </c>
      <c r="B856" t="s">
        <v>5383</v>
      </c>
      <c r="C856" t="s">
        <v>4906</v>
      </c>
      <c r="D856" t="s">
        <v>3134</v>
      </c>
      <c r="E856" t="s">
        <v>5537</v>
      </c>
      <c r="F856" t="s">
        <v>837</v>
      </c>
    </row>
    <row r="857" spans="1:6" x14ac:dyDescent="0.3">
      <c r="A857" s="58" t="s">
        <v>838</v>
      </c>
      <c r="B857" t="s">
        <v>5383</v>
      </c>
      <c r="C857" t="s">
        <v>4906</v>
      </c>
      <c r="D857" t="s">
        <v>3135</v>
      </c>
      <c r="E857" t="s">
        <v>5537</v>
      </c>
      <c r="F857" t="s">
        <v>838</v>
      </c>
    </row>
    <row r="858" spans="1:6" x14ac:dyDescent="0.3">
      <c r="A858" s="58" t="s">
        <v>839</v>
      </c>
      <c r="B858" t="s">
        <v>5383</v>
      </c>
      <c r="C858" t="s">
        <v>4906</v>
      </c>
      <c r="D858" t="s">
        <v>3136</v>
      </c>
      <c r="E858" t="s">
        <v>5538</v>
      </c>
      <c r="F858" t="s">
        <v>5503</v>
      </c>
    </row>
    <row r="859" spans="1:6" x14ac:dyDescent="0.3">
      <c r="A859" s="58" t="s">
        <v>840</v>
      </c>
      <c r="B859" t="s">
        <v>5383</v>
      </c>
      <c r="C859" t="s">
        <v>4906</v>
      </c>
      <c r="D859" t="s">
        <v>3137</v>
      </c>
      <c r="E859" t="s">
        <v>5538</v>
      </c>
      <c r="F859" t="s">
        <v>840</v>
      </c>
    </row>
    <row r="860" spans="1:6" x14ac:dyDescent="0.3">
      <c r="A860" s="58" t="s">
        <v>841</v>
      </c>
      <c r="B860" t="s">
        <v>5383</v>
      </c>
      <c r="C860" t="s">
        <v>4906</v>
      </c>
      <c r="D860" t="s">
        <v>3138</v>
      </c>
      <c r="E860" t="s">
        <v>5537</v>
      </c>
      <c r="F860" t="s">
        <v>841</v>
      </c>
    </row>
    <row r="861" spans="1:6" x14ac:dyDescent="0.3">
      <c r="A861" s="58" t="s">
        <v>842</v>
      </c>
      <c r="B861" t="s">
        <v>5383</v>
      </c>
      <c r="C861" t="s">
        <v>4906</v>
      </c>
      <c r="D861" t="s">
        <v>3139</v>
      </c>
      <c r="E861" t="s">
        <v>5537</v>
      </c>
      <c r="F861" t="s">
        <v>842</v>
      </c>
    </row>
    <row r="862" spans="1:6" x14ac:dyDescent="0.3">
      <c r="A862" s="58" t="s">
        <v>843</v>
      </c>
      <c r="B862" t="s">
        <v>5383</v>
      </c>
      <c r="C862" t="s">
        <v>4907</v>
      </c>
      <c r="D862" t="s">
        <v>3140</v>
      </c>
      <c r="E862" t="s">
        <v>5538</v>
      </c>
      <c r="F862" t="s">
        <v>843</v>
      </c>
    </row>
    <row r="863" spans="1:6" x14ac:dyDescent="0.3">
      <c r="A863" s="58" t="s">
        <v>844</v>
      </c>
      <c r="B863" t="s">
        <v>5383</v>
      </c>
      <c r="C863" t="s">
        <v>4907</v>
      </c>
      <c r="D863" t="s">
        <v>3141</v>
      </c>
      <c r="E863" t="s">
        <v>5537</v>
      </c>
      <c r="F863" t="s">
        <v>844</v>
      </c>
    </row>
    <row r="864" spans="1:6" x14ac:dyDescent="0.3">
      <c r="A864" s="58" t="s">
        <v>845</v>
      </c>
      <c r="B864" t="s">
        <v>5383</v>
      </c>
      <c r="C864" t="s">
        <v>4907</v>
      </c>
      <c r="D864" t="s">
        <v>3142</v>
      </c>
      <c r="E864" t="s">
        <v>5538</v>
      </c>
      <c r="F864" t="s">
        <v>845</v>
      </c>
    </row>
    <row r="865" spans="1:6" x14ac:dyDescent="0.3">
      <c r="A865" s="58" t="s">
        <v>846</v>
      </c>
      <c r="B865" t="s">
        <v>5383</v>
      </c>
      <c r="C865" t="s">
        <v>4907</v>
      </c>
      <c r="D865" t="s">
        <v>3143</v>
      </c>
      <c r="E865" t="s">
        <v>5537</v>
      </c>
      <c r="F865" t="s">
        <v>846</v>
      </c>
    </row>
    <row r="866" spans="1:6" x14ac:dyDescent="0.3">
      <c r="A866" s="58" t="s">
        <v>847</v>
      </c>
      <c r="B866" t="s">
        <v>5383</v>
      </c>
      <c r="C866" t="s">
        <v>4907</v>
      </c>
      <c r="D866" t="s">
        <v>3144</v>
      </c>
      <c r="E866" t="s">
        <v>5537</v>
      </c>
      <c r="F866" t="s">
        <v>847</v>
      </c>
    </row>
    <row r="867" spans="1:6" x14ac:dyDescent="0.3">
      <c r="A867" s="58" t="s">
        <v>848</v>
      </c>
      <c r="B867" t="s">
        <v>5383</v>
      </c>
      <c r="C867" t="s">
        <v>4907</v>
      </c>
      <c r="D867" t="s">
        <v>3145</v>
      </c>
      <c r="E867" t="s">
        <v>5537</v>
      </c>
      <c r="F867" t="s">
        <v>848</v>
      </c>
    </row>
    <row r="868" spans="1:6" x14ac:dyDescent="0.3">
      <c r="A868" s="58" t="s">
        <v>849</v>
      </c>
      <c r="B868" t="s">
        <v>5383</v>
      </c>
      <c r="C868" t="s">
        <v>4907</v>
      </c>
      <c r="D868" t="s">
        <v>3146</v>
      </c>
      <c r="E868" t="s">
        <v>5538</v>
      </c>
      <c r="F868" t="s">
        <v>849</v>
      </c>
    </row>
    <row r="869" spans="1:6" x14ac:dyDescent="0.3">
      <c r="A869" s="58" t="s">
        <v>850</v>
      </c>
      <c r="B869" t="s">
        <v>5383</v>
      </c>
      <c r="C869" t="s">
        <v>4907</v>
      </c>
      <c r="D869" t="s">
        <v>3147</v>
      </c>
      <c r="E869" t="s">
        <v>5537</v>
      </c>
      <c r="F869" t="s">
        <v>850</v>
      </c>
    </row>
    <row r="870" spans="1:6" x14ac:dyDescent="0.3">
      <c r="A870" s="58" t="s">
        <v>851</v>
      </c>
      <c r="B870" t="s">
        <v>5383</v>
      </c>
      <c r="C870" t="s">
        <v>4907</v>
      </c>
      <c r="D870" t="s">
        <v>3148</v>
      </c>
      <c r="E870" t="s">
        <v>5537</v>
      </c>
      <c r="F870" t="s">
        <v>851</v>
      </c>
    </row>
    <row r="871" spans="1:6" x14ac:dyDescent="0.3">
      <c r="A871" s="58" t="s">
        <v>852</v>
      </c>
      <c r="B871" t="s">
        <v>5383</v>
      </c>
      <c r="C871" t="s">
        <v>4908</v>
      </c>
      <c r="D871" t="s">
        <v>4624</v>
      </c>
      <c r="E871" t="s">
        <v>5536</v>
      </c>
      <c r="F871" t="s">
        <v>852</v>
      </c>
    </row>
    <row r="872" spans="1:6" x14ac:dyDescent="0.3">
      <c r="A872" s="58" t="s">
        <v>853</v>
      </c>
      <c r="B872" t="s">
        <v>5383</v>
      </c>
      <c r="C872" t="s">
        <v>4908</v>
      </c>
      <c r="D872" t="s">
        <v>3149</v>
      </c>
      <c r="E872" t="s">
        <v>5537</v>
      </c>
      <c r="F872" t="s">
        <v>853</v>
      </c>
    </row>
    <row r="873" spans="1:6" x14ac:dyDescent="0.3">
      <c r="A873" s="58" t="s">
        <v>854</v>
      </c>
      <c r="B873" t="s">
        <v>5383</v>
      </c>
      <c r="C873" t="s">
        <v>4908</v>
      </c>
      <c r="D873" t="s">
        <v>3150</v>
      </c>
      <c r="E873" t="s">
        <v>5537</v>
      </c>
      <c r="F873" t="s">
        <v>854</v>
      </c>
    </row>
    <row r="874" spans="1:6" x14ac:dyDescent="0.3">
      <c r="A874" s="58" t="s">
        <v>855</v>
      </c>
      <c r="B874" t="s">
        <v>5383</v>
      </c>
      <c r="C874" t="s">
        <v>4908</v>
      </c>
      <c r="D874" t="s">
        <v>4625</v>
      </c>
      <c r="E874" t="s">
        <v>5537</v>
      </c>
      <c r="F874" t="s">
        <v>855</v>
      </c>
    </row>
    <row r="875" spans="1:6" x14ac:dyDescent="0.3">
      <c r="A875" s="58" t="s">
        <v>856</v>
      </c>
      <c r="B875" t="s">
        <v>5383</v>
      </c>
      <c r="C875" t="s">
        <v>4908</v>
      </c>
      <c r="D875" t="s">
        <v>3151</v>
      </c>
      <c r="E875" t="s">
        <v>5537</v>
      </c>
      <c r="F875" t="s">
        <v>856</v>
      </c>
    </row>
    <row r="876" spans="1:6" x14ac:dyDescent="0.3">
      <c r="A876" s="58" t="s">
        <v>857</v>
      </c>
      <c r="B876" t="s">
        <v>5383</v>
      </c>
      <c r="C876" t="s">
        <v>4908</v>
      </c>
      <c r="D876" t="s">
        <v>3152</v>
      </c>
      <c r="E876" t="s">
        <v>5537</v>
      </c>
      <c r="F876" t="s">
        <v>857</v>
      </c>
    </row>
    <row r="877" spans="1:6" x14ac:dyDescent="0.3">
      <c r="A877" s="58" t="s">
        <v>858</v>
      </c>
      <c r="B877" t="s">
        <v>5383</v>
      </c>
      <c r="C877" t="s">
        <v>4908</v>
      </c>
      <c r="D877" t="s">
        <v>3153</v>
      </c>
      <c r="E877" t="s">
        <v>5538</v>
      </c>
      <c r="F877" t="s">
        <v>858</v>
      </c>
    </row>
    <row r="878" spans="1:6" x14ac:dyDescent="0.3">
      <c r="A878" s="58" t="s">
        <v>859</v>
      </c>
      <c r="B878" t="s">
        <v>5383</v>
      </c>
      <c r="C878" t="s">
        <v>4908</v>
      </c>
      <c r="D878" t="s">
        <v>3154</v>
      </c>
      <c r="E878" t="s">
        <v>5537</v>
      </c>
      <c r="F878" t="s">
        <v>859</v>
      </c>
    </row>
    <row r="879" spans="1:6" x14ac:dyDescent="0.3">
      <c r="A879" s="58" t="s">
        <v>860</v>
      </c>
      <c r="B879" t="s">
        <v>5383</v>
      </c>
      <c r="C879" t="s">
        <v>4908</v>
      </c>
      <c r="D879" t="s">
        <v>3155</v>
      </c>
      <c r="E879" t="s">
        <v>5537</v>
      </c>
      <c r="F879" t="s">
        <v>860</v>
      </c>
    </row>
    <row r="880" spans="1:6" x14ac:dyDescent="0.3">
      <c r="A880" s="58" t="s">
        <v>861</v>
      </c>
      <c r="B880" t="s">
        <v>5383</v>
      </c>
      <c r="C880" t="s">
        <v>4908</v>
      </c>
      <c r="D880" t="s">
        <v>3156</v>
      </c>
      <c r="E880" t="s">
        <v>5537</v>
      </c>
      <c r="F880" t="s">
        <v>861</v>
      </c>
    </row>
    <row r="881" spans="1:6" x14ac:dyDescent="0.3">
      <c r="A881" s="58" t="s">
        <v>862</v>
      </c>
      <c r="B881" t="s">
        <v>5383</v>
      </c>
      <c r="C881" t="s">
        <v>4908</v>
      </c>
      <c r="D881" t="s">
        <v>3157</v>
      </c>
      <c r="E881" t="s">
        <v>5538</v>
      </c>
      <c r="F881" t="s">
        <v>862</v>
      </c>
    </row>
    <row r="882" spans="1:6" x14ac:dyDescent="0.3">
      <c r="A882" s="58" t="s">
        <v>863</v>
      </c>
      <c r="B882" t="s">
        <v>5383</v>
      </c>
      <c r="C882" t="s">
        <v>4908</v>
      </c>
      <c r="D882" t="s">
        <v>3158</v>
      </c>
      <c r="E882" t="s">
        <v>5537</v>
      </c>
      <c r="F882" t="s">
        <v>863</v>
      </c>
    </row>
    <row r="883" spans="1:6" x14ac:dyDescent="0.3">
      <c r="A883" s="58" t="s">
        <v>864</v>
      </c>
      <c r="B883" t="s">
        <v>5383</v>
      </c>
      <c r="C883" t="s">
        <v>4908</v>
      </c>
      <c r="D883" t="s">
        <v>3159</v>
      </c>
      <c r="E883" t="s">
        <v>5538</v>
      </c>
      <c r="F883" t="s">
        <v>864</v>
      </c>
    </row>
    <row r="884" spans="1:6" x14ac:dyDescent="0.3">
      <c r="A884" s="58" t="s">
        <v>865</v>
      </c>
      <c r="B884" t="s">
        <v>5383</v>
      </c>
      <c r="C884" t="s">
        <v>4908</v>
      </c>
      <c r="D884" t="s">
        <v>3160</v>
      </c>
      <c r="E884" t="s">
        <v>5537</v>
      </c>
      <c r="F884" t="s">
        <v>865</v>
      </c>
    </row>
    <row r="885" spans="1:6" x14ac:dyDescent="0.3">
      <c r="A885" s="58" t="s">
        <v>866</v>
      </c>
      <c r="B885" t="s">
        <v>5383</v>
      </c>
      <c r="C885" t="s">
        <v>4908</v>
      </c>
      <c r="D885" t="s">
        <v>3161</v>
      </c>
      <c r="E885" t="s">
        <v>5537</v>
      </c>
      <c r="F885" t="s">
        <v>866</v>
      </c>
    </row>
    <row r="886" spans="1:6" x14ac:dyDescent="0.3">
      <c r="A886" s="58" t="s">
        <v>867</v>
      </c>
      <c r="B886" t="s">
        <v>5383</v>
      </c>
      <c r="C886" t="s">
        <v>4908</v>
      </c>
      <c r="D886" t="s">
        <v>3162</v>
      </c>
      <c r="E886" t="s">
        <v>5538</v>
      </c>
      <c r="F886" t="s">
        <v>867</v>
      </c>
    </row>
    <row r="887" spans="1:6" x14ac:dyDescent="0.3">
      <c r="A887" s="58" t="s">
        <v>868</v>
      </c>
      <c r="B887" t="s">
        <v>5383</v>
      </c>
      <c r="C887" t="s">
        <v>4909</v>
      </c>
      <c r="D887" t="s">
        <v>4626</v>
      </c>
      <c r="E887" t="s">
        <v>5536</v>
      </c>
      <c r="F887" t="s">
        <v>868</v>
      </c>
    </row>
    <row r="888" spans="1:6" x14ac:dyDescent="0.3">
      <c r="A888" s="58" t="s">
        <v>869</v>
      </c>
      <c r="B888" t="s">
        <v>5383</v>
      </c>
      <c r="C888" t="s">
        <v>4909</v>
      </c>
      <c r="D888" t="s">
        <v>3163</v>
      </c>
      <c r="E888" t="s">
        <v>5538</v>
      </c>
      <c r="F888" t="s">
        <v>869</v>
      </c>
    </row>
    <row r="889" spans="1:6" x14ac:dyDescent="0.3">
      <c r="A889" s="58" t="s">
        <v>870</v>
      </c>
      <c r="B889" t="s">
        <v>5383</v>
      </c>
      <c r="C889" t="s">
        <v>4909</v>
      </c>
      <c r="D889" t="s">
        <v>3164</v>
      </c>
      <c r="E889" t="s">
        <v>5538</v>
      </c>
      <c r="F889" t="s">
        <v>5504</v>
      </c>
    </row>
    <row r="890" spans="1:6" x14ac:dyDescent="0.3">
      <c r="A890" s="58" t="s">
        <v>871</v>
      </c>
      <c r="B890" t="s">
        <v>5383</v>
      </c>
      <c r="C890" t="s">
        <v>4909</v>
      </c>
      <c r="D890" t="s">
        <v>3165</v>
      </c>
      <c r="E890" t="s">
        <v>5537</v>
      </c>
      <c r="F890" t="s">
        <v>871</v>
      </c>
    </row>
    <row r="891" spans="1:6" x14ac:dyDescent="0.3">
      <c r="A891" s="58" t="s">
        <v>872</v>
      </c>
      <c r="B891" t="s">
        <v>5383</v>
      </c>
      <c r="C891" t="s">
        <v>4909</v>
      </c>
      <c r="D891" t="s">
        <v>3166</v>
      </c>
      <c r="E891" t="s">
        <v>5537</v>
      </c>
      <c r="F891" t="s">
        <v>872</v>
      </c>
    </row>
    <row r="892" spans="1:6" x14ac:dyDescent="0.3">
      <c r="A892" s="58" t="s">
        <v>873</v>
      </c>
      <c r="B892" t="s">
        <v>5383</v>
      </c>
      <c r="C892" t="s">
        <v>4909</v>
      </c>
      <c r="D892" t="s">
        <v>3167</v>
      </c>
      <c r="E892" t="s">
        <v>5537</v>
      </c>
      <c r="F892" t="s">
        <v>873</v>
      </c>
    </row>
    <row r="893" spans="1:6" x14ac:dyDescent="0.3">
      <c r="A893" s="58" t="s">
        <v>874</v>
      </c>
      <c r="B893" t="s">
        <v>5383</v>
      </c>
      <c r="C893" t="s">
        <v>4909</v>
      </c>
      <c r="D893" t="s">
        <v>3168</v>
      </c>
      <c r="E893" t="s">
        <v>5537</v>
      </c>
      <c r="F893" t="s">
        <v>874</v>
      </c>
    </row>
    <row r="894" spans="1:6" x14ac:dyDescent="0.3">
      <c r="A894" s="58" t="s">
        <v>875</v>
      </c>
      <c r="B894" t="s">
        <v>5383</v>
      </c>
      <c r="C894" t="s">
        <v>4909</v>
      </c>
      <c r="D894" t="s">
        <v>3169</v>
      </c>
      <c r="E894" t="s">
        <v>5537</v>
      </c>
      <c r="F894" t="s">
        <v>875</v>
      </c>
    </row>
    <row r="895" spans="1:6" x14ac:dyDescent="0.3">
      <c r="A895" s="58" t="s">
        <v>876</v>
      </c>
      <c r="B895" t="s">
        <v>5383</v>
      </c>
      <c r="C895" t="s">
        <v>4909</v>
      </c>
      <c r="D895" t="s">
        <v>4627</v>
      </c>
      <c r="E895" t="s">
        <v>5537</v>
      </c>
      <c r="F895" t="s">
        <v>876</v>
      </c>
    </row>
    <row r="896" spans="1:6" x14ac:dyDescent="0.3">
      <c r="A896" s="58" t="s">
        <v>877</v>
      </c>
      <c r="B896" t="s">
        <v>5383</v>
      </c>
      <c r="C896" t="s">
        <v>4909</v>
      </c>
      <c r="D896" t="s">
        <v>3170</v>
      </c>
      <c r="E896" t="s">
        <v>5537</v>
      </c>
      <c r="F896" t="s">
        <v>877</v>
      </c>
    </row>
    <row r="897" spans="1:6" x14ac:dyDescent="0.3">
      <c r="A897" s="58" t="s">
        <v>878</v>
      </c>
      <c r="B897" t="s">
        <v>5383</v>
      </c>
      <c r="C897" t="s">
        <v>4909</v>
      </c>
      <c r="D897" t="s">
        <v>3171</v>
      </c>
      <c r="E897" t="s">
        <v>5537</v>
      </c>
      <c r="F897" t="s">
        <v>878</v>
      </c>
    </row>
    <row r="898" spans="1:6" x14ac:dyDescent="0.3">
      <c r="A898" s="58" t="s">
        <v>879</v>
      </c>
      <c r="B898" t="s">
        <v>5383</v>
      </c>
      <c r="C898" t="s">
        <v>4909</v>
      </c>
      <c r="D898" t="s">
        <v>3172</v>
      </c>
      <c r="E898" t="s">
        <v>5538</v>
      </c>
      <c r="F898" t="s">
        <v>879</v>
      </c>
    </row>
    <row r="899" spans="1:6" x14ac:dyDescent="0.3">
      <c r="A899" s="58" t="s">
        <v>880</v>
      </c>
      <c r="B899" t="s">
        <v>5383</v>
      </c>
      <c r="C899" t="s">
        <v>4909</v>
      </c>
      <c r="D899" t="s">
        <v>3173</v>
      </c>
      <c r="E899" t="s">
        <v>5537</v>
      </c>
      <c r="F899" t="s">
        <v>880</v>
      </c>
    </row>
    <row r="900" spans="1:6" x14ac:dyDescent="0.3">
      <c r="A900" s="58" t="s">
        <v>881</v>
      </c>
      <c r="B900" t="s">
        <v>5383</v>
      </c>
      <c r="C900" t="s">
        <v>4909</v>
      </c>
      <c r="D900" t="s">
        <v>3174</v>
      </c>
      <c r="E900" t="s">
        <v>5537</v>
      </c>
      <c r="F900" t="s">
        <v>881</v>
      </c>
    </row>
    <row r="901" spans="1:6" x14ac:dyDescent="0.3">
      <c r="A901" s="58" t="s">
        <v>882</v>
      </c>
      <c r="B901" t="s">
        <v>5383</v>
      </c>
      <c r="C901" t="s">
        <v>4910</v>
      </c>
      <c r="D901" t="s">
        <v>3175</v>
      </c>
      <c r="E901" t="s">
        <v>5536</v>
      </c>
      <c r="F901" t="s">
        <v>882</v>
      </c>
    </row>
    <row r="902" spans="1:6" x14ac:dyDescent="0.3">
      <c r="A902" s="58" t="s">
        <v>883</v>
      </c>
      <c r="B902" t="s">
        <v>5383</v>
      </c>
      <c r="C902" t="s">
        <v>4910</v>
      </c>
      <c r="D902" t="s">
        <v>3094</v>
      </c>
      <c r="E902" t="s">
        <v>5537</v>
      </c>
      <c r="F902" t="s">
        <v>883</v>
      </c>
    </row>
    <row r="903" spans="1:6" x14ac:dyDescent="0.3">
      <c r="A903" s="58" t="s">
        <v>884</v>
      </c>
      <c r="B903" t="s">
        <v>5383</v>
      </c>
      <c r="C903" t="s">
        <v>4910</v>
      </c>
      <c r="D903" t="s">
        <v>3176</v>
      </c>
      <c r="E903" t="s">
        <v>5537</v>
      </c>
      <c r="F903" t="s">
        <v>884</v>
      </c>
    </row>
    <row r="904" spans="1:6" x14ac:dyDescent="0.3">
      <c r="A904" s="58" t="s">
        <v>885</v>
      </c>
      <c r="B904" t="s">
        <v>5383</v>
      </c>
      <c r="C904" t="s">
        <v>4910</v>
      </c>
      <c r="D904" t="s">
        <v>3177</v>
      </c>
      <c r="E904" t="s">
        <v>5538</v>
      </c>
      <c r="F904" t="s">
        <v>885</v>
      </c>
    </row>
    <row r="905" spans="1:6" x14ac:dyDescent="0.3">
      <c r="A905" s="58" t="s">
        <v>886</v>
      </c>
      <c r="B905" t="s">
        <v>5383</v>
      </c>
      <c r="C905" t="s">
        <v>4910</v>
      </c>
      <c r="D905" t="s">
        <v>3178</v>
      </c>
      <c r="E905" t="s">
        <v>5537</v>
      </c>
      <c r="F905" t="s">
        <v>886</v>
      </c>
    </row>
    <row r="906" spans="1:6" x14ac:dyDescent="0.3">
      <c r="A906" s="58" t="s">
        <v>887</v>
      </c>
      <c r="B906" t="s">
        <v>5383</v>
      </c>
      <c r="C906" t="s">
        <v>4910</v>
      </c>
      <c r="D906" t="s">
        <v>3179</v>
      </c>
      <c r="E906" t="s">
        <v>5538</v>
      </c>
      <c r="F906" t="s">
        <v>887</v>
      </c>
    </row>
    <row r="907" spans="1:6" x14ac:dyDescent="0.3">
      <c r="A907" s="58" t="s">
        <v>888</v>
      </c>
      <c r="B907" t="s">
        <v>5383</v>
      </c>
      <c r="C907" t="s">
        <v>4911</v>
      </c>
      <c r="D907" t="s">
        <v>4628</v>
      </c>
      <c r="E907" t="s">
        <v>5536</v>
      </c>
      <c r="F907" t="s">
        <v>888</v>
      </c>
    </row>
    <row r="908" spans="1:6" x14ac:dyDescent="0.3">
      <c r="A908" s="58" t="s">
        <v>889</v>
      </c>
      <c r="B908" t="s">
        <v>5383</v>
      </c>
      <c r="C908" t="s">
        <v>4911</v>
      </c>
      <c r="D908" t="s">
        <v>3180</v>
      </c>
      <c r="E908" t="s">
        <v>5538</v>
      </c>
      <c r="F908" t="s">
        <v>889</v>
      </c>
    </row>
    <row r="909" spans="1:6" x14ac:dyDescent="0.3">
      <c r="A909" s="58" t="s">
        <v>890</v>
      </c>
      <c r="B909" t="s">
        <v>5383</v>
      </c>
      <c r="C909" t="s">
        <v>4911</v>
      </c>
      <c r="D909" t="s">
        <v>3181</v>
      </c>
      <c r="E909" t="s">
        <v>5538</v>
      </c>
      <c r="F909" t="s">
        <v>890</v>
      </c>
    </row>
    <row r="910" spans="1:6" x14ac:dyDescent="0.3">
      <c r="A910" s="58" t="s">
        <v>891</v>
      </c>
      <c r="B910" t="s">
        <v>5383</v>
      </c>
      <c r="C910" t="s">
        <v>4911</v>
      </c>
      <c r="D910" t="s">
        <v>3182</v>
      </c>
      <c r="E910" t="s">
        <v>5538</v>
      </c>
      <c r="F910" t="s">
        <v>891</v>
      </c>
    </row>
    <row r="911" spans="1:6" x14ac:dyDescent="0.3">
      <c r="A911" s="58" t="s">
        <v>892</v>
      </c>
      <c r="B911" t="s">
        <v>5383</v>
      </c>
      <c r="C911" t="s">
        <v>4911</v>
      </c>
      <c r="D911" t="s">
        <v>2569</v>
      </c>
      <c r="E911" t="s">
        <v>5537</v>
      </c>
      <c r="F911" t="s">
        <v>892</v>
      </c>
    </row>
    <row r="912" spans="1:6" x14ac:dyDescent="0.3">
      <c r="A912" s="58" t="s">
        <v>893</v>
      </c>
      <c r="B912" t="s">
        <v>5383</v>
      </c>
      <c r="C912" t="s">
        <v>4911</v>
      </c>
      <c r="D912" t="s">
        <v>4629</v>
      </c>
      <c r="E912" t="s">
        <v>5537</v>
      </c>
      <c r="F912" t="s">
        <v>893</v>
      </c>
    </row>
    <row r="913" spans="1:6" x14ac:dyDescent="0.3">
      <c r="A913" s="58" t="s">
        <v>894</v>
      </c>
      <c r="B913" t="s">
        <v>5383</v>
      </c>
      <c r="C913" t="s">
        <v>4911</v>
      </c>
      <c r="D913" t="s">
        <v>3183</v>
      </c>
      <c r="E913" t="s">
        <v>5537</v>
      </c>
      <c r="F913" t="s">
        <v>894</v>
      </c>
    </row>
    <row r="914" spans="1:6" x14ac:dyDescent="0.3">
      <c r="A914" s="58" t="s">
        <v>895</v>
      </c>
      <c r="B914" t="s">
        <v>5383</v>
      </c>
      <c r="C914" t="s">
        <v>4911</v>
      </c>
      <c r="D914" t="s">
        <v>3184</v>
      </c>
      <c r="E914" t="s">
        <v>5537</v>
      </c>
      <c r="F914" t="s">
        <v>895</v>
      </c>
    </row>
    <row r="915" spans="1:6" x14ac:dyDescent="0.3">
      <c r="A915" s="58" t="s">
        <v>896</v>
      </c>
      <c r="B915" t="s">
        <v>5383</v>
      </c>
      <c r="C915" t="s">
        <v>4911</v>
      </c>
      <c r="D915" t="s">
        <v>3185</v>
      </c>
      <c r="E915" t="s">
        <v>5538</v>
      </c>
      <c r="F915" t="s">
        <v>896</v>
      </c>
    </row>
    <row r="916" spans="1:6" x14ac:dyDescent="0.3">
      <c r="A916" s="58" t="s">
        <v>897</v>
      </c>
      <c r="B916" t="s">
        <v>5383</v>
      </c>
      <c r="C916" t="s">
        <v>4912</v>
      </c>
      <c r="D916" t="s">
        <v>3186</v>
      </c>
      <c r="E916" t="s">
        <v>5537</v>
      </c>
      <c r="F916" t="s">
        <v>897</v>
      </c>
    </row>
    <row r="917" spans="1:6" x14ac:dyDescent="0.3">
      <c r="A917" s="58" t="s">
        <v>5410</v>
      </c>
      <c r="B917" t="s">
        <v>5383</v>
      </c>
      <c r="C917" t="s">
        <v>4912</v>
      </c>
      <c r="D917" t="s">
        <v>3187</v>
      </c>
      <c r="E917" t="s">
        <v>5538</v>
      </c>
      <c r="F917" t="s">
        <v>5410</v>
      </c>
    </row>
    <row r="918" spans="1:6" x14ac:dyDescent="0.3">
      <c r="A918" s="58" t="s">
        <v>5165</v>
      </c>
      <c r="B918" t="s">
        <v>5383</v>
      </c>
      <c r="C918" t="s">
        <v>4912</v>
      </c>
      <c r="D918" t="s">
        <v>3188</v>
      </c>
      <c r="E918" t="s">
        <v>5538</v>
      </c>
      <c r="F918" t="s">
        <v>5165</v>
      </c>
    </row>
    <row r="919" spans="1:6" x14ac:dyDescent="0.3">
      <c r="A919" s="58" t="s">
        <v>898</v>
      </c>
      <c r="B919" t="s">
        <v>5383</v>
      </c>
      <c r="C919" t="s">
        <v>4912</v>
      </c>
      <c r="D919" t="s">
        <v>3189</v>
      </c>
      <c r="E919" t="s">
        <v>5537</v>
      </c>
      <c r="F919" t="s">
        <v>898</v>
      </c>
    </row>
    <row r="920" spans="1:6" x14ac:dyDescent="0.3">
      <c r="A920" s="58" t="s">
        <v>899</v>
      </c>
      <c r="B920" t="s">
        <v>5383</v>
      </c>
      <c r="C920" t="s">
        <v>4912</v>
      </c>
      <c r="D920" t="s">
        <v>3190</v>
      </c>
      <c r="E920" t="s">
        <v>5538</v>
      </c>
      <c r="F920" t="s">
        <v>899</v>
      </c>
    </row>
    <row r="921" spans="1:6" x14ac:dyDescent="0.3">
      <c r="A921" s="58" t="s">
        <v>900</v>
      </c>
      <c r="B921" t="s">
        <v>5383</v>
      </c>
      <c r="C921" t="s">
        <v>4912</v>
      </c>
      <c r="D921" t="s">
        <v>3191</v>
      </c>
      <c r="E921" t="s">
        <v>5537</v>
      </c>
      <c r="F921" t="s">
        <v>900</v>
      </c>
    </row>
    <row r="922" spans="1:6" x14ac:dyDescent="0.3">
      <c r="A922" s="58" t="s">
        <v>901</v>
      </c>
      <c r="B922" t="s">
        <v>5383</v>
      </c>
      <c r="C922" t="s">
        <v>4913</v>
      </c>
      <c r="D922" t="s">
        <v>4630</v>
      </c>
      <c r="E922" t="s">
        <v>5536</v>
      </c>
      <c r="F922" t="s">
        <v>901</v>
      </c>
    </row>
    <row r="923" spans="1:6" x14ac:dyDescent="0.3">
      <c r="A923" s="58" t="s">
        <v>902</v>
      </c>
      <c r="B923" t="s">
        <v>5383</v>
      </c>
      <c r="C923" t="s">
        <v>4913</v>
      </c>
      <c r="D923" t="s">
        <v>3192</v>
      </c>
      <c r="E923" t="s">
        <v>5536</v>
      </c>
      <c r="F923" t="s">
        <v>902</v>
      </c>
    </row>
    <row r="924" spans="1:6" x14ac:dyDescent="0.3">
      <c r="A924" s="58" t="s">
        <v>903</v>
      </c>
      <c r="B924" t="s">
        <v>5383</v>
      </c>
      <c r="C924" t="s">
        <v>4913</v>
      </c>
      <c r="D924" t="s">
        <v>3193</v>
      </c>
      <c r="E924" t="s">
        <v>5537</v>
      </c>
      <c r="F924" t="s">
        <v>903</v>
      </c>
    </row>
    <row r="925" spans="1:6" x14ac:dyDescent="0.3">
      <c r="A925" s="58" t="s">
        <v>904</v>
      </c>
      <c r="B925" t="s">
        <v>5383</v>
      </c>
      <c r="C925" t="s">
        <v>4913</v>
      </c>
      <c r="D925" t="s">
        <v>3194</v>
      </c>
      <c r="E925" t="s">
        <v>5537</v>
      </c>
      <c r="F925" t="s">
        <v>904</v>
      </c>
    </row>
    <row r="926" spans="1:6" x14ac:dyDescent="0.3">
      <c r="A926" s="58" t="s">
        <v>905</v>
      </c>
      <c r="B926" t="s">
        <v>5383</v>
      </c>
      <c r="C926" t="s">
        <v>4913</v>
      </c>
      <c r="D926" t="s">
        <v>4631</v>
      </c>
      <c r="E926" t="s">
        <v>5537</v>
      </c>
      <c r="F926" t="s">
        <v>905</v>
      </c>
    </row>
    <row r="927" spans="1:6" x14ac:dyDescent="0.3">
      <c r="A927" s="58" t="s">
        <v>906</v>
      </c>
      <c r="B927" t="s">
        <v>5383</v>
      </c>
      <c r="C927" t="s">
        <v>4913</v>
      </c>
      <c r="D927" t="s">
        <v>3195</v>
      </c>
      <c r="E927" t="s">
        <v>5538</v>
      </c>
      <c r="F927" t="s">
        <v>906</v>
      </c>
    </row>
    <row r="928" spans="1:6" x14ac:dyDescent="0.3">
      <c r="A928" s="58" t="s">
        <v>907</v>
      </c>
      <c r="B928" t="s">
        <v>5383</v>
      </c>
      <c r="C928" t="s">
        <v>4913</v>
      </c>
      <c r="D928" t="s">
        <v>3196</v>
      </c>
      <c r="E928" t="s">
        <v>5537</v>
      </c>
      <c r="F928" t="s">
        <v>907</v>
      </c>
    </row>
    <row r="929" spans="1:6" x14ac:dyDescent="0.3">
      <c r="A929" s="58" t="s">
        <v>908</v>
      </c>
      <c r="B929" t="s">
        <v>5383</v>
      </c>
      <c r="C929" t="s">
        <v>4913</v>
      </c>
      <c r="D929" t="s">
        <v>3197</v>
      </c>
      <c r="E929" t="s">
        <v>5537</v>
      </c>
      <c r="F929" t="s">
        <v>908</v>
      </c>
    </row>
    <row r="930" spans="1:6" x14ac:dyDescent="0.3">
      <c r="A930" s="58" t="s">
        <v>909</v>
      </c>
      <c r="B930" t="s">
        <v>5383</v>
      </c>
      <c r="C930" t="s">
        <v>4913</v>
      </c>
      <c r="D930" t="s">
        <v>3198</v>
      </c>
      <c r="E930" t="s">
        <v>5537</v>
      </c>
      <c r="F930" t="s">
        <v>909</v>
      </c>
    </row>
    <row r="931" spans="1:6" x14ac:dyDescent="0.3">
      <c r="A931" s="58" t="s">
        <v>910</v>
      </c>
      <c r="B931" t="s">
        <v>5383</v>
      </c>
      <c r="C931" t="s">
        <v>4914</v>
      </c>
      <c r="D931" t="s">
        <v>3199</v>
      </c>
      <c r="E931" t="s">
        <v>5538</v>
      </c>
      <c r="F931" t="s">
        <v>910</v>
      </c>
    </row>
    <row r="932" spans="1:6" x14ac:dyDescent="0.3">
      <c r="A932" s="58" t="s">
        <v>911</v>
      </c>
      <c r="B932" t="s">
        <v>5383</v>
      </c>
      <c r="C932" t="s">
        <v>4914</v>
      </c>
      <c r="D932" t="s">
        <v>3200</v>
      </c>
      <c r="E932" t="s">
        <v>5537</v>
      </c>
      <c r="F932" t="s">
        <v>911</v>
      </c>
    </row>
    <row r="933" spans="1:6" x14ac:dyDescent="0.3">
      <c r="A933" s="58" t="s">
        <v>912</v>
      </c>
      <c r="B933" t="s">
        <v>5383</v>
      </c>
      <c r="C933" t="s">
        <v>4914</v>
      </c>
      <c r="D933" t="s">
        <v>3201</v>
      </c>
      <c r="E933" t="s">
        <v>5537</v>
      </c>
      <c r="F933" t="s">
        <v>912</v>
      </c>
    </row>
    <row r="934" spans="1:6" x14ac:dyDescent="0.3">
      <c r="A934" s="58" t="s">
        <v>913</v>
      </c>
      <c r="B934" t="s">
        <v>5383</v>
      </c>
      <c r="C934" t="s">
        <v>4914</v>
      </c>
      <c r="D934" t="s">
        <v>3202</v>
      </c>
      <c r="E934" t="s">
        <v>5537</v>
      </c>
      <c r="F934" t="s">
        <v>913</v>
      </c>
    </row>
    <row r="935" spans="1:6" x14ac:dyDescent="0.3">
      <c r="A935" s="58" t="s">
        <v>5166</v>
      </c>
      <c r="B935" t="s">
        <v>5383</v>
      </c>
      <c r="C935" t="s">
        <v>4914</v>
      </c>
      <c r="D935" t="s">
        <v>3203</v>
      </c>
      <c r="E935" t="s">
        <v>5538</v>
      </c>
      <c r="F935" t="s">
        <v>5166</v>
      </c>
    </row>
    <row r="936" spans="1:6" x14ac:dyDescent="0.3">
      <c r="A936" s="58" t="s">
        <v>914</v>
      </c>
      <c r="B936" t="s">
        <v>5383</v>
      </c>
      <c r="C936" t="s">
        <v>4914</v>
      </c>
      <c r="D936" t="s">
        <v>3204</v>
      </c>
      <c r="E936" t="s">
        <v>5538</v>
      </c>
      <c r="F936" t="s">
        <v>914</v>
      </c>
    </row>
    <row r="937" spans="1:6" x14ac:dyDescent="0.3">
      <c r="A937" s="58" t="s">
        <v>915</v>
      </c>
      <c r="B937" t="s">
        <v>5383</v>
      </c>
      <c r="C937" t="s">
        <v>4914</v>
      </c>
      <c r="D937" t="s">
        <v>3205</v>
      </c>
      <c r="E937" t="s">
        <v>5537</v>
      </c>
      <c r="F937" t="s">
        <v>915</v>
      </c>
    </row>
    <row r="938" spans="1:6" x14ac:dyDescent="0.3">
      <c r="A938" s="58" t="s">
        <v>916</v>
      </c>
      <c r="B938" t="s">
        <v>5383</v>
      </c>
      <c r="C938" t="s">
        <v>4914</v>
      </c>
      <c r="D938" t="s">
        <v>3206</v>
      </c>
      <c r="E938" t="s">
        <v>5537</v>
      </c>
      <c r="F938" t="s">
        <v>916</v>
      </c>
    </row>
    <row r="939" spans="1:6" x14ac:dyDescent="0.3">
      <c r="A939" s="58" t="s">
        <v>917</v>
      </c>
      <c r="B939" t="s">
        <v>5383</v>
      </c>
      <c r="C939" t="s">
        <v>4914</v>
      </c>
      <c r="D939" t="s">
        <v>3207</v>
      </c>
      <c r="E939" t="s">
        <v>5537</v>
      </c>
      <c r="F939" t="s">
        <v>917</v>
      </c>
    </row>
    <row r="940" spans="1:6" x14ac:dyDescent="0.3">
      <c r="A940" s="58" t="s">
        <v>918</v>
      </c>
      <c r="B940" t="s">
        <v>5383</v>
      </c>
      <c r="C940" t="s">
        <v>4914</v>
      </c>
      <c r="D940" t="s">
        <v>3208</v>
      </c>
      <c r="E940" t="s">
        <v>5538</v>
      </c>
      <c r="F940" t="s">
        <v>918</v>
      </c>
    </row>
    <row r="941" spans="1:6" x14ac:dyDescent="0.3">
      <c r="A941" s="58" t="s">
        <v>919</v>
      </c>
      <c r="B941" t="s">
        <v>5383</v>
      </c>
      <c r="C941" t="s">
        <v>4914</v>
      </c>
      <c r="D941" t="s">
        <v>3209</v>
      </c>
      <c r="E941" t="s">
        <v>5537</v>
      </c>
      <c r="F941" t="s">
        <v>919</v>
      </c>
    </row>
    <row r="942" spans="1:6" x14ac:dyDescent="0.3">
      <c r="A942" s="58" t="s">
        <v>920</v>
      </c>
      <c r="B942" t="s">
        <v>5383</v>
      </c>
      <c r="C942" t="s">
        <v>4914</v>
      </c>
      <c r="D942" t="s">
        <v>3210</v>
      </c>
      <c r="E942" t="s">
        <v>5537</v>
      </c>
      <c r="F942" t="s">
        <v>920</v>
      </c>
    </row>
    <row r="943" spans="1:6" x14ac:dyDescent="0.3">
      <c r="A943" s="58" t="s">
        <v>921</v>
      </c>
      <c r="B943" t="s">
        <v>5383</v>
      </c>
      <c r="C943" t="s">
        <v>4914</v>
      </c>
      <c r="D943" t="s">
        <v>3211</v>
      </c>
      <c r="E943" t="s">
        <v>5538</v>
      </c>
      <c r="F943" t="s">
        <v>921</v>
      </c>
    </row>
    <row r="944" spans="1:6" x14ac:dyDescent="0.3">
      <c r="A944" s="58" t="s">
        <v>922</v>
      </c>
      <c r="B944" t="s">
        <v>5383</v>
      </c>
      <c r="C944" t="s">
        <v>4914</v>
      </c>
      <c r="D944" t="s">
        <v>3212</v>
      </c>
      <c r="E944" t="s">
        <v>5538</v>
      </c>
      <c r="F944" t="s">
        <v>922</v>
      </c>
    </row>
    <row r="945" spans="1:6" x14ac:dyDescent="0.3">
      <c r="A945" s="58" t="s">
        <v>923</v>
      </c>
      <c r="B945" t="s">
        <v>5383</v>
      </c>
      <c r="C945" t="s">
        <v>4914</v>
      </c>
      <c r="D945" t="s">
        <v>3213</v>
      </c>
      <c r="E945" t="s">
        <v>5538</v>
      </c>
      <c r="F945" t="s">
        <v>923</v>
      </c>
    </row>
    <row r="946" spans="1:6" x14ac:dyDescent="0.3">
      <c r="A946" s="58" t="s">
        <v>924</v>
      </c>
      <c r="B946" t="s">
        <v>5383</v>
      </c>
      <c r="C946" t="s">
        <v>4914</v>
      </c>
      <c r="D946" t="s">
        <v>3214</v>
      </c>
      <c r="E946" t="s">
        <v>5537</v>
      </c>
      <c r="F946" t="s">
        <v>924</v>
      </c>
    </row>
    <row r="947" spans="1:6" x14ac:dyDescent="0.3">
      <c r="A947" s="58" t="s">
        <v>925</v>
      </c>
      <c r="B947" t="s">
        <v>5383</v>
      </c>
      <c r="C947" t="s">
        <v>4915</v>
      </c>
      <c r="D947" t="s">
        <v>3215</v>
      </c>
      <c r="E947" t="s">
        <v>5536</v>
      </c>
      <c r="F947" t="s">
        <v>925</v>
      </c>
    </row>
    <row r="948" spans="1:6" x14ac:dyDescent="0.3">
      <c r="A948" s="58" t="s">
        <v>926</v>
      </c>
      <c r="B948" t="s">
        <v>5383</v>
      </c>
      <c r="C948" t="s">
        <v>4915</v>
      </c>
      <c r="D948" t="s">
        <v>3216</v>
      </c>
      <c r="E948" t="s">
        <v>5537</v>
      </c>
      <c r="F948" t="s">
        <v>926</v>
      </c>
    </row>
    <row r="949" spans="1:6" x14ac:dyDescent="0.3">
      <c r="A949" s="58" t="s">
        <v>927</v>
      </c>
      <c r="B949" t="s">
        <v>5383</v>
      </c>
      <c r="C949" t="s">
        <v>4915</v>
      </c>
      <c r="D949" t="s">
        <v>3217</v>
      </c>
      <c r="E949" t="s">
        <v>5537</v>
      </c>
      <c r="F949" t="s">
        <v>927</v>
      </c>
    </row>
    <row r="950" spans="1:6" x14ac:dyDescent="0.3">
      <c r="A950" s="58" t="s">
        <v>928</v>
      </c>
      <c r="B950" t="s">
        <v>5383</v>
      </c>
      <c r="C950" t="s">
        <v>4915</v>
      </c>
      <c r="D950" t="s">
        <v>3218</v>
      </c>
      <c r="E950" t="s">
        <v>5537</v>
      </c>
      <c r="F950" t="s">
        <v>928</v>
      </c>
    </row>
    <row r="951" spans="1:6" x14ac:dyDescent="0.3">
      <c r="A951" s="58" t="s">
        <v>929</v>
      </c>
      <c r="B951" t="s">
        <v>5383</v>
      </c>
      <c r="C951" t="s">
        <v>4915</v>
      </c>
      <c r="D951" t="s">
        <v>3219</v>
      </c>
      <c r="E951" t="s">
        <v>5537</v>
      </c>
      <c r="F951" t="s">
        <v>929</v>
      </c>
    </row>
    <row r="952" spans="1:6" x14ac:dyDescent="0.3">
      <c r="A952" s="58" t="s">
        <v>930</v>
      </c>
      <c r="B952" t="s">
        <v>5383</v>
      </c>
      <c r="C952" t="s">
        <v>4916</v>
      </c>
      <c r="D952" t="s">
        <v>3220</v>
      </c>
      <c r="E952" t="s">
        <v>5538</v>
      </c>
      <c r="F952" t="s">
        <v>930</v>
      </c>
    </row>
    <row r="953" spans="1:6" x14ac:dyDescent="0.3">
      <c r="A953" s="58" t="s">
        <v>931</v>
      </c>
      <c r="B953" t="s">
        <v>5383</v>
      </c>
      <c r="C953" t="s">
        <v>4916</v>
      </c>
      <c r="D953" t="s">
        <v>2913</v>
      </c>
      <c r="E953" t="s">
        <v>5537</v>
      </c>
      <c r="F953" t="s">
        <v>931</v>
      </c>
    </row>
    <row r="954" spans="1:6" x14ac:dyDescent="0.3">
      <c r="A954" s="58" t="s">
        <v>932</v>
      </c>
      <c r="B954" t="s">
        <v>5383</v>
      </c>
      <c r="C954" t="s">
        <v>4916</v>
      </c>
      <c r="D954" t="s">
        <v>3221</v>
      </c>
      <c r="E954" t="s">
        <v>5538</v>
      </c>
      <c r="F954" t="s">
        <v>932</v>
      </c>
    </row>
    <row r="955" spans="1:6" x14ac:dyDescent="0.3">
      <c r="A955" s="58" t="s">
        <v>933</v>
      </c>
      <c r="B955" t="s">
        <v>5383</v>
      </c>
      <c r="C955" t="s">
        <v>4916</v>
      </c>
      <c r="D955" t="s">
        <v>3222</v>
      </c>
      <c r="E955" t="s">
        <v>5537</v>
      </c>
      <c r="F955" t="s">
        <v>933</v>
      </c>
    </row>
    <row r="956" spans="1:6" x14ac:dyDescent="0.3">
      <c r="A956" s="58" t="s">
        <v>934</v>
      </c>
      <c r="B956" t="s">
        <v>5383</v>
      </c>
      <c r="C956" t="s">
        <v>4916</v>
      </c>
      <c r="D956" t="s">
        <v>3223</v>
      </c>
      <c r="E956" t="s">
        <v>5537</v>
      </c>
      <c r="F956" t="s">
        <v>934</v>
      </c>
    </row>
    <row r="957" spans="1:6" x14ac:dyDescent="0.3">
      <c r="A957" s="58" t="s">
        <v>935</v>
      </c>
      <c r="B957" t="s">
        <v>5383</v>
      </c>
      <c r="C957" t="s">
        <v>4916</v>
      </c>
      <c r="D957" t="s">
        <v>3173</v>
      </c>
      <c r="E957" t="s">
        <v>5537</v>
      </c>
      <c r="F957" t="s">
        <v>935</v>
      </c>
    </row>
    <row r="958" spans="1:6" x14ac:dyDescent="0.3">
      <c r="A958" s="58" t="s">
        <v>936</v>
      </c>
      <c r="B958" t="s">
        <v>5383</v>
      </c>
      <c r="C958" t="s">
        <v>4916</v>
      </c>
      <c r="D958" t="s">
        <v>3224</v>
      </c>
      <c r="E958" t="s">
        <v>5537</v>
      </c>
      <c r="F958" t="s">
        <v>936</v>
      </c>
    </row>
    <row r="959" spans="1:6" x14ac:dyDescent="0.3">
      <c r="A959" s="58" t="s">
        <v>937</v>
      </c>
      <c r="B959" t="s">
        <v>5383</v>
      </c>
      <c r="C959" t="s">
        <v>4916</v>
      </c>
      <c r="D959" t="s">
        <v>3225</v>
      </c>
      <c r="E959" t="s">
        <v>5537</v>
      </c>
      <c r="F959" t="s">
        <v>937</v>
      </c>
    </row>
    <row r="960" spans="1:6" x14ac:dyDescent="0.3">
      <c r="A960" s="58" t="s">
        <v>938</v>
      </c>
      <c r="B960" t="s">
        <v>5383</v>
      </c>
      <c r="C960" t="s">
        <v>4916</v>
      </c>
      <c r="D960" t="s">
        <v>3226</v>
      </c>
      <c r="E960" t="s">
        <v>5538</v>
      </c>
      <c r="F960" t="s">
        <v>938</v>
      </c>
    </row>
    <row r="961" spans="1:6" x14ac:dyDescent="0.3">
      <c r="A961" s="58" t="s">
        <v>939</v>
      </c>
      <c r="B961" t="s">
        <v>5383</v>
      </c>
      <c r="C961" t="s">
        <v>4916</v>
      </c>
      <c r="D961" t="s">
        <v>3227</v>
      </c>
      <c r="E961" t="s">
        <v>5537</v>
      </c>
      <c r="F961" t="s">
        <v>939</v>
      </c>
    </row>
    <row r="962" spans="1:6" x14ac:dyDescent="0.3">
      <c r="A962" s="58" t="s">
        <v>940</v>
      </c>
      <c r="B962" t="s">
        <v>5383</v>
      </c>
      <c r="C962" t="s">
        <v>4917</v>
      </c>
      <c r="D962" t="s">
        <v>3228</v>
      </c>
      <c r="E962" t="s">
        <v>5537</v>
      </c>
      <c r="F962" t="s">
        <v>940</v>
      </c>
    </row>
    <row r="963" spans="1:6" x14ac:dyDescent="0.3">
      <c r="A963" s="58" t="s">
        <v>941</v>
      </c>
      <c r="B963" t="s">
        <v>5383</v>
      </c>
      <c r="C963" t="s">
        <v>4917</v>
      </c>
      <c r="D963" t="s">
        <v>3229</v>
      </c>
      <c r="E963" t="s">
        <v>5537</v>
      </c>
      <c r="F963" t="s">
        <v>941</v>
      </c>
    </row>
    <row r="964" spans="1:6" x14ac:dyDescent="0.3">
      <c r="A964" s="58" t="s">
        <v>942</v>
      </c>
      <c r="B964" t="s">
        <v>5383</v>
      </c>
      <c r="C964" t="s">
        <v>4917</v>
      </c>
      <c r="D964" t="s">
        <v>3230</v>
      </c>
      <c r="E964" t="s">
        <v>5537</v>
      </c>
      <c r="F964" t="s">
        <v>942</v>
      </c>
    </row>
    <row r="965" spans="1:6" x14ac:dyDescent="0.3">
      <c r="A965" s="58" t="s">
        <v>943</v>
      </c>
      <c r="B965" t="s">
        <v>5383</v>
      </c>
      <c r="C965" t="s">
        <v>4917</v>
      </c>
      <c r="D965" t="s">
        <v>3231</v>
      </c>
      <c r="E965" t="s">
        <v>5538</v>
      </c>
      <c r="F965" t="s">
        <v>943</v>
      </c>
    </row>
    <row r="966" spans="1:6" x14ac:dyDescent="0.3">
      <c r="A966" s="58" t="s">
        <v>944</v>
      </c>
      <c r="B966" t="s">
        <v>5383</v>
      </c>
      <c r="C966" t="s">
        <v>4917</v>
      </c>
      <c r="D966" t="s">
        <v>3232</v>
      </c>
      <c r="E966" t="s">
        <v>5538</v>
      </c>
      <c r="F966" t="s">
        <v>944</v>
      </c>
    </row>
    <row r="967" spans="1:6" x14ac:dyDescent="0.3">
      <c r="A967" s="58" t="s">
        <v>945</v>
      </c>
      <c r="B967" t="s">
        <v>5383</v>
      </c>
      <c r="C967" t="s">
        <v>3233</v>
      </c>
      <c r="D967" t="s">
        <v>3233</v>
      </c>
      <c r="E967" t="s">
        <v>5536</v>
      </c>
      <c r="F967" t="s">
        <v>945</v>
      </c>
    </row>
    <row r="968" spans="1:6" x14ac:dyDescent="0.3">
      <c r="A968" s="58" t="s">
        <v>946</v>
      </c>
      <c r="B968" t="s">
        <v>5383</v>
      </c>
      <c r="C968" t="s">
        <v>3234</v>
      </c>
      <c r="D968" t="s">
        <v>3234</v>
      </c>
      <c r="E968" t="s">
        <v>5536</v>
      </c>
      <c r="F968" t="s">
        <v>946</v>
      </c>
    </row>
    <row r="969" spans="1:6" x14ac:dyDescent="0.3">
      <c r="A969" s="58" t="s">
        <v>947</v>
      </c>
      <c r="B969" t="s">
        <v>5383</v>
      </c>
      <c r="C969" t="s">
        <v>3207</v>
      </c>
      <c r="D969" t="s">
        <v>3207</v>
      </c>
      <c r="E969" t="s">
        <v>5536</v>
      </c>
      <c r="F969" t="s">
        <v>947</v>
      </c>
    </row>
    <row r="970" spans="1:6" x14ac:dyDescent="0.3">
      <c r="A970" s="58" t="s">
        <v>948</v>
      </c>
      <c r="B970" t="s">
        <v>5384</v>
      </c>
      <c r="C970" t="s">
        <v>4918</v>
      </c>
      <c r="D970" t="s">
        <v>3235</v>
      </c>
      <c r="E970" t="s">
        <v>5538</v>
      </c>
      <c r="F970" t="s">
        <v>948</v>
      </c>
    </row>
    <row r="971" spans="1:6" x14ac:dyDescent="0.3">
      <c r="A971" s="58" t="s">
        <v>949</v>
      </c>
      <c r="B971" t="s">
        <v>5384</v>
      </c>
      <c r="C971" t="s">
        <v>4918</v>
      </c>
      <c r="D971" t="s">
        <v>3236</v>
      </c>
      <c r="E971" t="s">
        <v>5537</v>
      </c>
      <c r="F971" t="s">
        <v>949</v>
      </c>
    </row>
    <row r="972" spans="1:6" x14ac:dyDescent="0.3">
      <c r="A972" s="58" t="s">
        <v>950</v>
      </c>
      <c r="B972" t="s">
        <v>5384</v>
      </c>
      <c r="C972" t="s">
        <v>4918</v>
      </c>
      <c r="D972" t="s">
        <v>3237</v>
      </c>
      <c r="E972" t="s">
        <v>5537</v>
      </c>
      <c r="F972" t="s">
        <v>950</v>
      </c>
    </row>
    <row r="973" spans="1:6" x14ac:dyDescent="0.3">
      <c r="A973" s="58" t="s">
        <v>951</v>
      </c>
      <c r="B973" t="s">
        <v>5384</v>
      </c>
      <c r="C973" t="s">
        <v>4918</v>
      </c>
      <c r="D973" t="s">
        <v>3238</v>
      </c>
      <c r="E973" t="s">
        <v>5537</v>
      </c>
      <c r="F973" t="s">
        <v>951</v>
      </c>
    </row>
    <row r="974" spans="1:6" x14ac:dyDescent="0.3">
      <c r="A974" s="58" t="s">
        <v>952</v>
      </c>
      <c r="B974" t="s">
        <v>5384</v>
      </c>
      <c r="C974" t="s">
        <v>4918</v>
      </c>
      <c r="D974" t="s">
        <v>3239</v>
      </c>
      <c r="E974" t="s">
        <v>5537</v>
      </c>
      <c r="F974" t="s">
        <v>952</v>
      </c>
    </row>
    <row r="975" spans="1:6" x14ac:dyDescent="0.3">
      <c r="A975" s="58" t="s">
        <v>953</v>
      </c>
      <c r="B975" t="s">
        <v>5384</v>
      </c>
      <c r="C975" t="s">
        <v>4918</v>
      </c>
      <c r="D975" t="s">
        <v>3240</v>
      </c>
      <c r="E975" t="s">
        <v>5538</v>
      </c>
      <c r="F975" t="s">
        <v>953</v>
      </c>
    </row>
    <row r="976" spans="1:6" x14ac:dyDescent="0.3">
      <c r="A976" s="58" t="s">
        <v>954</v>
      </c>
      <c r="B976" t="s">
        <v>5384</v>
      </c>
      <c r="C976" t="s">
        <v>4919</v>
      </c>
      <c r="D976" t="s">
        <v>4632</v>
      </c>
      <c r="E976" t="s">
        <v>5536</v>
      </c>
      <c r="F976" t="s">
        <v>954</v>
      </c>
    </row>
    <row r="977" spans="1:6" x14ac:dyDescent="0.3">
      <c r="A977" s="58" t="s">
        <v>955</v>
      </c>
      <c r="B977" t="s">
        <v>5384</v>
      </c>
      <c r="C977" t="s">
        <v>4919</v>
      </c>
      <c r="D977" t="s">
        <v>4633</v>
      </c>
      <c r="E977" t="s">
        <v>5537</v>
      </c>
      <c r="F977" t="s">
        <v>955</v>
      </c>
    </row>
    <row r="978" spans="1:6" x14ac:dyDescent="0.3">
      <c r="A978" s="58" t="s">
        <v>956</v>
      </c>
      <c r="B978" t="s">
        <v>5384</v>
      </c>
      <c r="C978" t="s">
        <v>4919</v>
      </c>
      <c r="D978" t="s">
        <v>3241</v>
      </c>
      <c r="E978" t="s">
        <v>5538</v>
      </c>
      <c r="F978" t="s">
        <v>956</v>
      </c>
    </row>
    <row r="979" spans="1:6" x14ac:dyDescent="0.3">
      <c r="A979" s="58" t="s">
        <v>957</v>
      </c>
      <c r="B979" t="s">
        <v>5384</v>
      </c>
      <c r="C979" t="s">
        <v>4919</v>
      </c>
      <c r="D979" t="s">
        <v>3242</v>
      </c>
      <c r="E979" t="s">
        <v>5537</v>
      </c>
      <c r="F979" t="s">
        <v>957</v>
      </c>
    </row>
    <row r="980" spans="1:6" x14ac:dyDescent="0.3">
      <c r="A980" s="58" t="s">
        <v>958</v>
      </c>
      <c r="B980" t="s">
        <v>5384</v>
      </c>
      <c r="C980" t="s">
        <v>4919</v>
      </c>
      <c r="D980" t="s">
        <v>3243</v>
      </c>
      <c r="E980" t="s">
        <v>5537</v>
      </c>
      <c r="F980" t="s">
        <v>958</v>
      </c>
    </row>
    <row r="981" spans="1:6" x14ac:dyDescent="0.3">
      <c r="A981" s="58" t="s">
        <v>959</v>
      </c>
      <c r="B981" t="s">
        <v>5384</v>
      </c>
      <c r="C981" t="s">
        <v>4919</v>
      </c>
      <c r="D981" t="s">
        <v>3244</v>
      </c>
      <c r="E981" t="s">
        <v>5537</v>
      </c>
      <c r="F981" t="s">
        <v>959</v>
      </c>
    </row>
    <row r="982" spans="1:6" x14ac:dyDescent="0.3">
      <c r="A982" s="58" t="s">
        <v>960</v>
      </c>
      <c r="B982" t="s">
        <v>5384</v>
      </c>
      <c r="C982" t="s">
        <v>4919</v>
      </c>
      <c r="D982" t="s">
        <v>3245</v>
      </c>
      <c r="E982" t="s">
        <v>5537</v>
      </c>
      <c r="F982" t="s">
        <v>960</v>
      </c>
    </row>
    <row r="983" spans="1:6" x14ac:dyDescent="0.3">
      <c r="A983" s="58" t="s">
        <v>961</v>
      </c>
      <c r="B983" t="s">
        <v>5384</v>
      </c>
      <c r="C983" t="s">
        <v>4919</v>
      </c>
      <c r="D983" t="s">
        <v>3246</v>
      </c>
      <c r="E983" t="s">
        <v>5537</v>
      </c>
      <c r="F983" t="s">
        <v>961</v>
      </c>
    </row>
    <row r="984" spans="1:6" x14ac:dyDescent="0.3">
      <c r="A984" s="58" t="s">
        <v>962</v>
      </c>
      <c r="B984" t="s">
        <v>5384</v>
      </c>
      <c r="C984" t="s">
        <v>4919</v>
      </c>
      <c r="D984" t="s">
        <v>3247</v>
      </c>
      <c r="E984" t="s">
        <v>5537</v>
      </c>
      <c r="F984" t="s">
        <v>962</v>
      </c>
    </row>
    <row r="985" spans="1:6" x14ac:dyDescent="0.3">
      <c r="A985" s="58" t="s">
        <v>963</v>
      </c>
      <c r="B985" t="s">
        <v>5384</v>
      </c>
      <c r="C985" t="s">
        <v>4920</v>
      </c>
      <c r="D985" t="s">
        <v>4634</v>
      </c>
      <c r="E985" t="s">
        <v>5536</v>
      </c>
      <c r="F985" t="s">
        <v>963</v>
      </c>
    </row>
    <row r="986" spans="1:6" x14ac:dyDescent="0.3">
      <c r="A986" s="58" t="s">
        <v>964</v>
      </c>
      <c r="B986" t="s">
        <v>5384</v>
      </c>
      <c r="C986" t="s">
        <v>4920</v>
      </c>
      <c r="D986" t="s">
        <v>4635</v>
      </c>
      <c r="E986" t="s">
        <v>5536</v>
      </c>
      <c r="F986" t="s">
        <v>964</v>
      </c>
    </row>
    <row r="987" spans="1:6" x14ac:dyDescent="0.3">
      <c r="A987" s="58" t="s">
        <v>965</v>
      </c>
      <c r="B987" t="s">
        <v>5384</v>
      </c>
      <c r="C987" t="s">
        <v>4920</v>
      </c>
      <c r="D987" t="s">
        <v>3248</v>
      </c>
      <c r="E987" t="s">
        <v>5537</v>
      </c>
      <c r="F987" t="s">
        <v>965</v>
      </c>
    </row>
    <row r="988" spans="1:6" x14ac:dyDescent="0.3">
      <c r="A988" s="58" t="s">
        <v>966</v>
      </c>
      <c r="B988" t="s">
        <v>5384</v>
      </c>
      <c r="C988" t="s">
        <v>4920</v>
      </c>
      <c r="D988" t="s">
        <v>4636</v>
      </c>
      <c r="E988" t="s">
        <v>5537</v>
      </c>
      <c r="F988" t="s">
        <v>966</v>
      </c>
    </row>
    <row r="989" spans="1:6" x14ac:dyDescent="0.3">
      <c r="A989" s="58" t="s">
        <v>967</v>
      </c>
      <c r="B989" t="s">
        <v>5384</v>
      </c>
      <c r="C989" t="s">
        <v>4920</v>
      </c>
      <c r="D989" t="s">
        <v>2566</v>
      </c>
      <c r="E989" t="s">
        <v>5537</v>
      </c>
      <c r="F989" t="s">
        <v>967</v>
      </c>
    </row>
    <row r="990" spans="1:6" x14ac:dyDescent="0.3">
      <c r="A990" s="58" t="s">
        <v>968</v>
      </c>
      <c r="B990" t="s">
        <v>5384</v>
      </c>
      <c r="C990" t="s">
        <v>4920</v>
      </c>
      <c r="D990" t="s">
        <v>4637</v>
      </c>
      <c r="E990" t="s">
        <v>5537</v>
      </c>
      <c r="F990" t="s">
        <v>968</v>
      </c>
    </row>
    <row r="991" spans="1:6" x14ac:dyDescent="0.3">
      <c r="A991" s="58" t="s">
        <v>969</v>
      </c>
      <c r="B991" t="s">
        <v>5384</v>
      </c>
      <c r="C991" t="s">
        <v>4920</v>
      </c>
      <c r="D991" t="s">
        <v>3249</v>
      </c>
      <c r="E991" t="s">
        <v>5538</v>
      </c>
      <c r="F991" t="s">
        <v>5505</v>
      </c>
    </row>
    <row r="992" spans="1:6" x14ac:dyDescent="0.3">
      <c r="A992" s="58" t="s">
        <v>970</v>
      </c>
      <c r="B992" t="s">
        <v>5384</v>
      </c>
      <c r="C992" t="s">
        <v>4920</v>
      </c>
      <c r="D992" t="s">
        <v>3250</v>
      </c>
      <c r="E992" t="s">
        <v>5537</v>
      </c>
      <c r="F992" t="s">
        <v>970</v>
      </c>
    </row>
    <row r="993" spans="1:6" x14ac:dyDescent="0.3">
      <c r="A993" s="58" t="s">
        <v>971</v>
      </c>
      <c r="B993" t="s">
        <v>5384</v>
      </c>
      <c r="C993" t="s">
        <v>4920</v>
      </c>
      <c r="D993" t="s">
        <v>3251</v>
      </c>
      <c r="E993" t="s">
        <v>5537</v>
      </c>
      <c r="F993" t="s">
        <v>971</v>
      </c>
    </row>
    <row r="994" spans="1:6" x14ac:dyDescent="0.3">
      <c r="A994" s="58" t="s">
        <v>972</v>
      </c>
      <c r="B994" t="s">
        <v>5384</v>
      </c>
      <c r="C994" t="s">
        <v>4920</v>
      </c>
      <c r="D994" t="s">
        <v>3252</v>
      </c>
      <c r="E994" t="s">
        <v>5538</v>
      </c>
      <c r="F994" t="s">
        <v>972</v>
      </c>
    </row>
    <row r="995" spans="1:6" x14ac:dyDescent="0.3">
      <c r="A995" s="58" t="s">
        <v>973</v>
      </c>
      <c r="B995" t="s">
        <v>5384</v>
      </c>
      <c r="C995" t="s">
        <v>4920</v>
      </c>
      <c r="D995" t="s">
        <v>3253</v>
      </c>
      <c r="E995" t="s">
        <v>5537</v>
      </c>
      <c r="F995" t="s">
        <v>973</v>
      </c>
    </row>
    <row r="996" spans="1:6" x14ac:dyDescent="0.3">
      <c r="A996" s="58" t="s">
        <v>974</v>
      </c>
      <c r="B996" t="s">
        <v>5384</v>
      </c>
      <c r="C996" t="s">
        <v>4920</v>
      </c>
      <c r="D996" t="s">
        <v>3254</v>
      </c>
      <c r="E996" t="s">
        <v>5537</v>
      </c>
      <c r="F996" t="s">
        <v>974</v>
      </c>
    </row>
    <row r="997" spans="1:6" x14ac:dyDescent="0.3">
      <c r="A997" s="58" t="s">
        <v>975</v>
      </c>
      <c r="B997" t="s">
        <v>5384</v>
      </c>
      <c r="C997" t="s">
        <v>4920</v>
      </c>
      <c r="D997" t="s">
        <v>3255</v>
      </c>
      <c r="E997" t="s">
        <v>5537</v>
      </c>
      <c r="F997" t="s">
        <v>975</v>
      </c>
    </row>
    <row r="998" spans="1:6" x14ac:dyDescent="0.3">
      <c r="A998" s="58" t="s">
        <v>976</v>
      </c>
      <c r="B998" t="s">
        <v>5384</v>
      </c>
      <c r="C998" t="s">
        <v>4920</v>
      </c>
      <c r="D998" t="s">
        <v>3256</v>
      </c>
      <c r="E998" t="s">
        <v>5538</v>
      </c>
      <c r="F998" t="s">
        <v>976</v>
      </c>
    </row>
    <row r="999" spans="1:6" x14ac:dyDescent="0.3">
      <c r="A999" s="58" t="s">
        <v>977</v>
      </c>
      <c r="B999" t="s">
        <v>5384</v>
      </c>
      <c r="C999" t="s">
        <v>4921</v>
      </c>
      <c r="D999" t="s">
        <v>4638</v>
      </c>
      <c r="E999" t="s">
        <v>5536</v>
      </c>
      <c r="F999" t="s">
        <v>977</v>
      </c>
    </row>
    <row r="1000" spans="1:6" x14ac:dyDescent="0.3">
      <c r="A1000" s="58" t="s">
        <v>978</v>
      </c>
      <c r="B1000" t="s">
        <v>5384</v>
      </c>
      <c r="C1000" t="s">
        <v>4921</v>
      </c>
      <c r="D1000" t="s">
        <v>4639</v>
      </c>
      <c r="E1000" t="s">
        <v>5537</v>
      </c>
      <c r="F1000" t="s">
        <v>978</v>
      </c>
    </row>
    <row r="1001" spans="1:6" x14ac:dyDescent="0.3">
      <c r="A1001" s="58" t="s">
        <v>979</v>
      </c>
      <c r="B1001" t="s">
        <v>5384</v>
      </c>
      <c r="C1001" t="s">
        <v>4921</v>
      </c>
      <c r="D1001" t="s">
        <v>3257</v>
      </c>
      <c r="E1001" t="s">
        <v>5537</v>
      </c>
      <c r="F1001" t="s">
        <v>979</v>
      </c>
    </row>
    <row r="1002" spans="1:6" x14ac:dyDescent="0.3">
      <c r="A1002" s="58" t="s">
        <v>5433</v>
      </c>
      <c r="B1002" t="s">
        <v>5384</v>
      </c>
      <c r="C1002" t="s">
        <v>4921</v>
      </c>
      <c r="D1002" t="s">
        <v>3258</v>
      </c>
      <c r="E1002" t="s">
        <v>5538</v>
      </c>
      <c r="F1002" t="s">
        <v>5433</v>
      </c>
    </row>
    <row r="1003" spans="1:6" x14ac:dyDescent="0.3">
      <c r="A1003" s="58" t="s">
        <v>980</v>
      </c>
      <c r="B1003" t="s">
        <v>5384</v>
      </c>
      <c r="C1003" t="s">
        <v>4921</v>
      </c>
      <c r="D1003" t="s">
        <v>3259</v>
      </c>
      <c r="E1003" t="s">
        <v>5537</v>
      </c>
      <c r="F1003" t="s">
        <v>980</v>
      </c>
    </row>
    <row r="1004" spans="1:6" x14ac:dyDescent="0.3">
      <c r="A1004" s="58" t="s">
        <v>981</v>
      </c>
      <c r="B1004" t="s">
        <v>5384</v>
      </c>
      <c r="C1004" t="s">
        <v>4922</v>
      </c>
      <c r="D1004" t="s">
        <v>3260</v>
      </c>
      <c r="E1004" t="s">
        <v>5536</v>
      </c>
      <c r="F1004" t="s">
        <v>981</v>
      </c>
    </row>
    <row r="1005" spans="1:6" x14ac:dyDescent="0.3">
      <c r="A1005" s="58" t="s">
        <v>982</v>
      </c>
      <c r="B1005" t="s">
        <v>5384</v>
      </c>
      <c r="C1005" t="s">
        <v>4922</v>
      </c>
      <c r="D1005" t="s">
        <v>3261</v>
      </c>
      <c r="E1005" t="s">
        <v>5536</v>
      </c>
      <c r="F1005" t="s">
        <v>982</v>
      </c>
    </row>
    <row r="1006" spans="1:6" x14ac:dyDescent="0.3">
      <c r="A1006" s="58" t="s">
        <v>983</v>
      </c>
      <c r="B1006" t="s">
        <v>5384</v>
      </c>
      <c r="C1006" t="s">
        <v>4922</v>
      </c>
      <c r="D1006" t="s">
        <v>2800</v>
      </c>
      <c r="E1006" t="s">
        <v>5537</v>
      </c>
      <c r="F1006" t="s">
        <v>983</v>
      </c>
    </row>
    <row r="1007" spans="1:6" x14ac:dyDescent="0.3">
      <c r="A1007" s="58" t="s">
        <v>984</v>
      </c>
      <c r="B1007" t="s">
        <v>5384</v>
      </c>
      <c r="C1007" t="s">
        <v>4922</v>
      </c>
      <c r="D1007" t="s">
        <v>3262</v>
      </c>
      <c r="E1007" t="s">
        <v>5538</v>
      </c>
      <c r="F1007" t="s">
        <v>984</v>
      </c>
    </row>
    <row r="1008" spans="1:6" x14ac:dyDescent="0.3">
      <c r="A1008" s="58" t="s">
        <v>985</v>
      </c>
      <c r="B1008" t="s">
        <v>5384</v>
      </c>
      <c r="C1008" t="s">
        <v>4922</v>
      </c>
      <c r="D1008" t="s">
        <v>3263</v>
      </c>
      <c r="E1008" t="s">
        <v>5537</v>
      </c>
      <c r="F1008" t="s">
        <v>985</v>
      </c>
    </row>
    <row r="1009" spans="1:6" x14ac:dyDescent="0.3">
      <c r="A1009" s="58" t="s">
        <v>986</v>
      </c>
      <c r="B1009" t="s">
        <v>5384</v>
      </c>
      <c r="C1009" t="s">
        <v>4922</v>
      </c>
      <c r="D1009" t="s">
        <v>3264</v>
      </c>
      <c r="E1009" t="s">
        <v>5537</v>
      </c>
      <c r="F1009" t="s">
        <v>986</v>
      </c>
    </row>
    <row r="1010" spans="1:6" x14ac:dyDescent="0.3">
      <c r="A1010" s="58" t="s">
        <v>987</v>
      </c>
      <c r="B1010" t="s">
        <v>5384</v>
      </c>
      <c r="C1010" t="s">
        <v>4923</v>
      </c>
      <c r="D1010" t="s">
        <v>3265</v>
      </c>
      <c r="E1010" t="s">
        <v>5537</v>
      </c>
      <c r="F1010" t="s">
        <v>987</v>
      </c>
    </row>
    <row r="1011" spans="1:6" x14ac:dyDescent="0.3">
      <c r="A1011" s="58" t="s">
        <v>988</v>
      </c>
      <c r="B1011" t="s">
        <v>5384</v>
      </c>
      <c r="C1011" t="s">
        <v>4923</v>
      </c>
      <c r="D1011" t="s">
        <v>3266</v>
      </c>
      <c r="E1011" t="s">
        <v>5537</v>
      </c>
      <c r="F1011" t="s">
        <v>988</v>
      </c>
    </row>
    <row r="1012" spans="1:6" x14ac:dyDescent="0.3">
      <c r="A1012" s="58" t="s">
        <v>989</v>
      </c>
      <c r="B1012" t="s">
        <v>5384</v>
      </c>
      <c r="C1012" t="s">
        <v>4923</v>
      </c>
      <c r="D1012" t="s">
        <v>3267</v>
      </c>
      <c r="E1012" t="s">
        <v>5537</v>
      </c>
      <c r="F1012" t="s">
        <v>989</v>
      </c>
    </row>
    <row r="1013" spans="1:6" x14ac:dyDescent="0.3">
      <c r="A1013" s="58" t="s">
        <v>990</v>
      </c>
      <c r="B1013" t="s">
        <v>5384</v>
      </c>
      <c r="C1013" t="s">
        <v>4923</v>
      </c>
      <c r="D1013" t="s">
        <v>3268</v>
      </c>
      <c r="E1013" t="s">
        <v>5537</v>
      </c>
      <c r="F1013" t="s">
        <v>990</v>
      </c>
    </row>
    <row r="1014" spans="1:6" x14ac:dyDescent="0.3">
      <c r="A1014" s="58" t="s">
        <v>991</v>
      </c>
      <c r="B1014" t="s">
        <v>5384</v>
      </c>
      <c r="C1014" t="s">
        <v>4923</v>
      </c>
      <c r="D1014" t="s">
        <v>3269</v>
      </c>
      <c r="E1014" t="s">
        <v>5538</v>
      </c>
      <c r="F1014" t="s">
        <v>991</v>
      </c>
    </row>
    <row r="1015" spans="1:6" x14ac:dyDescent="0.3">
      <c r="A1015" s="58" t="s">
        <v>992</v>
      </c>
      <c r="B1015" t="s">
        <v>5384</v>
      </c>
      <c r="C1015" t="s">
        <v>4923</v>
      </c>
      <c r="D1015" t="s">
        <v>3270</v>
      </c>
      <c r="E1015" t="s">
        <v>5537</v>
      </c>
      <c r="F1015" t="s">
        <v>992</v>
      </c>
    </row>
    <row r="1016" spans="1:6" x14ac:dyDescent="0.3">
      <c r="A1016" s="58" t="s">
        <v>993</v>
      </c>
      <c r="B1016" t="s">
        <v>5384</v>
      </c>
      <c r="C1016" t="s">
        <v>4923</v>
      </c>
      <c r="D1016" t="s">
        <v>3271</v>
      </c>
      <c r="E1016" t="s">
        <v>5538</v>
      </c>
      <c r="F1016" t="s">
        <v>993</v>
      </c>
    </row>
    <row r="1017" spans="1:6" x14ac:dyDescent="0.3">
      <c r="A1017" s="58" t="s">
        <v>994</v>
      </c>
      <c r="B1017" t="s">
        <v>5384</v>
      </c>
      <c r="C1017" t="s">
        <v>4923</v>
      </c>
      <c r="D1017" t="s">
        <v>3272</v>
      </c>
      <c r="E1017" t="s">
        <v>5538</v>
      </c>
      <c r="F1017" t="s">
        <v>994</v>
      </c>
    </row>
    <row r="1018" spans="1:6" x14ac:dyDescent="0.3">
      <c r="A1018" s="58" t="s">
        <v>995</v>
      </c>
      <c r="B1018" t="s">
        <v>5384</v>
      </c>
      <c r="C1018" t="s">
        <v>4923</v>
      </c>
      <c r="D1018" t="s">
        <v>3273</v>
      </c>
      <c r="E1018" t="s">
        <v>5537</v>
      </c>
      <c r="F1018" t="s">
        <v>995</v>
      </c>
    </row>
    <row r="1019" spans="1:6" x14ac:dyDescent="0.3">
      <c r="A1019" s="58" t="s">
        <v>996</v>
      </c>
      <c r="B1019" t="s">
        <v>5384</v>
      </c>
      <c r="C1019" t="s">
        <v>4923</v>
      </c>
      <c r="D1019" t="s">
        <v>3274</v>
      </c>
      <c r="E1019" t="s">
        <v>5538</v>
      </c>
      <c r="F1019" t="s">
        <v>996</v>
      </c>
    </row>
    <row r="1020" spans="1:6" x14ac:dyDescent="0.3">
      <c r="A1020" s="58" t="s">
        <v>997</v>
      </c>
      <c r="B1020" t="s">
        <v>5384</v>
      </c>
      <c r="C1020" t="s">
        <v>4924</v>
      </c>
      <c r="D1020" t="s">
        <v>3275</v>
      </c>
      <c r="E1020" t="s">
        <v>5537</v>
      </c>
      <c r="F1020" t="s">
        <v>997</v>
      </c>
    </row>
    <row r="1021" spans="1:6" x14ac:dyDescent="0.3">
      <c r="A1021" s="58" t="s">
        <v>998</v>
      </c>
      <c r="B1021" t="s">
        <v>5384</v>
      </c>
      <c r="C1021" t="s">
        <v>4924</v>
      </c>
      <c r="D1021" t="s">
        <v>3276</v>
      </c>
      <c r="E1021" t="s">
        <v>5538</v>
      </c>
      <c r="F1021" t="s">
        <v>5506</v>
      </c>
    </row>
    <row r="1022" spans="1:6" x14ac:dyDescent="0.3">
      <c r="A1022" s="58" t="s">
        <v>999</v>
      </c>
      <c r="B1022" t="s">
        <v>5384</v>
      </c>
      <c r="C1022" t="s">
        <v>4924</v>
      </c>
      <c r="D1022" t="s">
        <v>3277</v>
      </c>
      <c r="E1022" t="s">
        <v>5537</v>
      </c>
      <c r="F1022" t="s">
        <v>999</v>
      </c>
    </row>
    <row r="1023" spans="1:6" x14ac:dyDescent="0.3">
      <c r="A1023" s="58" t="s">
        <v>1000</v>
      </c>
      <c r="B1023" t="s">
        <v>5384</v>
      </c>
      <c r="C1023" t="s">
        <v>4924</v>
      </c>
      <c r="D1023" t="s">
        <v>3278</v>
      </c>
      <c r="E1023" t="s">
        <v>5537</v>
      </c>
      <c r="F1023" t="s">
        <v>1000</v>
      </c>
    </row>
    <row r="1024" spans="1:6" x14ac:dyDescent="0.3">
      <c r="A1024" s="58" t="s">
        <v>1001</v>
      </c>
      <c r="B1024" t="s">
        <v>5384</v>
      </c>
      <c r="C1024" t="s">
        <v>4924</v>
      </c>
      <c r="D1024" t="s">
        <v>3279</v>
      </c>
      <c r="E1024" t="s">
        <v>5538</v>
      </c>
      <c r="F1024" t="s">
        <v>1001</v>
      </c>
    </row>
    <row r="1025" spans="1:6" x14ac:dyDescent="0.3">
      <c r="A1025" s="58" t="s">
        <v>1002</v>
      </c>
      <c r="B1025" t="s">
        <v>5384</v>
      </c>
      <c r="C1025" t="s">
        <v>4924</v>
      </c>
      <c r="D1025" t="s">
        <v>3280</v>
      </c>
      <c r="E1025" t="s">
        <v>5538</v>
      </c>
      <c r="F1025" t="s">
        <v>5507</v>
      </c>
    </row>
    <row r="1026" spans="1:6" x14ac:dyDescent="0.3">
      <c r="A1026" s="58" t="s">
        <v>1003</v>
      </c>
      <c r="B1026" t="s">
        <v>5384</v>
      </c>
      <c r="C1026" t="s">
        <v>4924</v>
      </c>
      <c r="D1026" t="s">
        <v>3281</v>
      </c>
      <c r="E1026" t="s">
        <v>5537</v>
      </c>
      <c r="F1026" t="s">
        <v>1003</v>
      </c>
    </row>
    <row r="1027" spans="1:6" x14ac:dyDescent="0.3">
      <c r="A1027" s="58" t="s">
        <v>1004</v>
      </c>
      <c r="B1027" t="s">
        <v>5384</v>
      </c>
      <c r="C1027" t="s">
        <v>4925</v>
      </c>
      <c r="D1027" t="s">
        <v>3282</v>
      </c>
      <c r="E1027" t="s">
        <v>5536</v>
      </c>
      <c r="F1027" t="s">
        <v>1004</v>
      </c>
    </row>
    <row r="1028" spans="1:6" x14ac:dyDescent="0.3">
      <c r="A1028" s="58" t="s">
        <v>1005</v>
      </c>
      <c r="B1028" t="s">
        <v>5384</v>
      </c>
      <c r="C1028" t="s">
        <v>4925</v>
      </c>
      <c r="D1028" t="s">
        <v>2762</v>
      </c>
      <c r="E1028" t="s">
        <v>5537</v>
      </c>
      <c r="F1028" t="s">
        <v>1005</v>
      </c>
    </row>
    <row r="1029" spans="1:6" x14ac:dyDescent="0.3">
      <c r="A1029" s="58" t="s">
        <v>1006</v>
      </c>
      <c r="B1029" t="s">
        <v>5384</v>
      </c>
      <c r="C1029" t="s">
        <v>4925</v>
      </c>
      <c r="D1029" t="s">
        <v>3283</v>
      </c>
      <c r="E1029" t="s">
        <v>5537</v>
      </c>
      <c r="F1029" t="s">
        <v>1006</v>
      </c>
    </row>
    <row r="1030" spans="1:6" x14ac:dyDescent="0.3">
      <c r="A1030" s="58" t="s">
        <v>1007</v>
      </c>
      <c r="B1030" t="s">
        <v>5384</v>
      </c>
      <c r="C1030" t="s">
        <v>4925</v>
      </c>
      <c r="D1030" t="s">
        <v>3284</v>
      </c>
      <c r="E1030" t="s">
        <v>5538</v>
      </c>
      <c r="F1030" t="s">
        <v>1007</v>
      </c>
    </row>
    <row r="1031" spans="1:6" x14ac:dyDescent="0.3">
      <c r="A1031" s="58" t="s">
        <v>1008</v>
      </c>
      <c r="B1031" t="s">
        <v>5384</v>
      </c>
      <c r="C1031" t="s">
        <v>4925</v>
      </c>
      <c r="D1031" t="s">
        <v>3285</v>
      </c>
      <c r="E1031" t="s">
        <v>5537</v>
      </c>
      <c r="F1031" t="s">
        <v>1008</v>
      </c>
    </row>
    <row r="1032" spans="1:6" x14ac:dyDescent="0.3">
      <c r="A1032" s="58" t="s">
        <v>1009</v>
      </c>
      <c r="B1032" t="s">
        <v>5384</v>
      </c>
      <c r="C1032" t="s">
        <v>4926</v>
      </c>
      <c r="D1032" t="s">
        <v>3286</v>
      </c>
      <c r="E1032" t="s">
        <v>5537</v>
      </c>
      <c r="F1032" t="s">
        <v>1009</v>
      </c>
    </row>
    <row r="1033" spans="1:6" x14ac:dyDescent="0.3">
      <c r="A1033" s="58" t="s">
        <v>1010</v>
      </c>
      <c r="B1033" t="s">
        <v>5384</v>
      </c>
      <c r="C1033" t="s">
        <v>4926</v>
      </c>
      <c r="D1033" t="s">
        <v>3287</v>
      </c>
      <c r="E1033" t="s">
        <v>5538</v>
      </c>
      <c r="F1033" t="s">
        <v>5508</v>
      </c>
    </row>
    <row r="1034" spans="1:6" x14ac:dyDescent="0.3">
      <c r="A1034" s="58" t="s">
        <v>1011</v>
      </c>
      <c r="B1034" t="s">
        <v>5384</v>
      </c>
      <c r="C1034" t="s">
        <v>4926</v>
      </c>
      <c r="D1034" t="s">
        <v>3288</v>
      </c>
      <c r="E1034" t="s">
        <v>5538</v>
      </c>
      <c r="F1034" t="s">
        <v>1011</v>
      </c>
    </row>
    <row r="1035" spans="1:6" x14ac:dyDescent="0.3">
      <c r="A1035" s="58" t="s">
        <v>1012</v>
      </c>
      <c r="B1035" t="s">
        <v>5384</v>
      </c>
      <c r="C1035" t="s">
        <v>4926</v>
      </c>
      <c r="D1035" t="s">
        <v>3289</v>
      </c>
      <c r="E1035" t="s">
        <v>5537</v>
      </c>
      <c r="F1035" t="s">
        <v>1012</v>
      </c>
    </row>
    <row r="1036" spans="1:6" x14ac:dyDescent="0.3">
      <c r="A1036" s="58" t="s">
        <v>1013</v>
      </c>
      <c r="B1036" t="s">
        <v>5384</v>
      </c>
      <c r="C1036" t="s">
        <v>4926</v>
      </c>
      <c r="D1036" t="s">
        <v>3290</v>
      </c>
      <c r="E1036" t="s">
        <v>5538</v>
      </c>
      <c r="F1036" t="s">
        <v>5509</v>
      </c>
    </row>
    <row r="1037" spans="1:6" x14ac:dyDescent="0.3">
      <c r="A1037" s="58" t="s">
        <v>5438</v>
      </c>
      <c r="B1037" t="s">
        <v>5384</v>
      </c>
      <c r="C1037" t="s">
        <v>4926</v>
      </c>
      <c r="D1037" t="s">
        <v>3291</v>
      </c>
      <c r="E1037" t="s">
        <v>5538</v>
      </c>
      <c r="F1037" t="s">
        <v>5438</v>
      </c>
    </row>
    <row r="1038" spans="1:6" x14ac:dyDescent="0.3">
      <c r="A1038" s="58" t="s">
        <v>1014</v>
      </c>
      <c r="B1038" t="s">
        <v>5384</v>
      </c>
      <c r="C1038" t="s">
        <v>4927</v>
      </c>
      <c r="D1038" t="s">
        <v>3292</v>
      </c>
      <c r="E1038" t="s">
        <v>5537</v>
      </c>
      <c r="F1038" t="s">
        <v>1014</v>
      </c>
    </row>
    <row r="1039" spans="1:6" x14ac:dyDescent="0.3">
      <c r="A1039" s="58" t="s">
        <v>1015</v>
      </c>
      <c r="B1039" t="s">
        <v>5384</v>
      </c>
      <c r="C1039" t="s">
        <v>4927</v>
      </c>
      <c r="D1039" t="s">
        <v>3293</v>
      </c>
      <c r="E1039" t="s">
        <v>5538</v>
      </c>
      <c r="F1039" t="s">
        <v>1015</v>
      </c>
    </row>
    <row r="1040" spans="1:6" x14ac:dyDescent="0.3">
      <c r="A1040" s="58" t="s">
        <v>1016</v>
      </c>
      <c r="B1040" t="s">
        <v>5384</v>
      </c>
      <c r="C1040" t="s">
        <v>4927</v>
      </c>
      <c r="D1040" t="s">
        <v>3294</v>
      </c>
      <c r="E1040" t="s">
        <v>5537</v>
      </c>
      <c r="F1040" t="s">
        <v>1016</v>
      </c>
    </row>
    <row r="1041" spans="1:6" x14ac:dyDescent="0.3">
      <c r="A1041" s="58" t="s">
        <v>1017</v>
      </c>
      <c r="B1041" t="s">
        <v>5384</v>
      </c>
      <c r="C1041" t="s">
        <v>4927</v>
      </c>
      <c r="D1041" t="s">
        <v>3295</v>
      </c>
      <c r="E1041" t="s">
        <v>5537</v>
      </c>
      <c r="F1041" t="s">
        <v>1017</v>
      </c>
    </row>
    <row r="1042" spans="1:6" x14ac:dyDescent="0.3">
      <c r="A1042" s="58" t="s">
        <v>1018</v>
      </c>
      <c r="B1042" t="s">
        <v>5384</v>
      </c>
      <c r="C1042" t="s">
        <v>4927</v>
      </c>
      <c r="D1042" t="s">
        <v>3296</v>
      </c>
      <c r="E1042" t="s">
        <v>5537</v>
      </c>
      <c r="F1042" t="s">
        <v>1018</v>
      </c>
    </row>
    <row r="1043" spans="1:6" x14ac:dyDescent="0.3">
      <c r="A1043" s="58" t="s">
        <v>1019</v>
      </c>
      <c r="B1043" t="s">
        <v>5384</v>
      </c>
      <c r="C1043" t="s">
        <v>4927</v>
      </c>
      <c r="D1043" t="s">
        <v>3297</v>
      </c>
      <c r="E1043" t="s">
        <v>5537</v>
      </c>
      <c r="F1043" t="s">
        <v>1019</v>
      </c>
    </row>
    <row r="1044" spans="1:6" x14ac:dyDescent="0.3">
      <c r="A1044" s="58" t="s">
        <v>1020</v>
      </c>
      <c r="B1044" t="s">
        <v>5384</v>
      </c>
      <c r="C1044" t="s">
        <v>4928</v>
      </c>
      <c r="D1044" t="s">
        <v>3298</v>
      </c>
      <c r="E1044" t="s">
        <v>5536</v>
      </c>
      <c r="F1044" t="s">
        <v>1020</v>
      </c>
    </row>
    <row r="1045" spans="1:6" x14ac:dyDescent="0.3">
      <c r="A1045" s="58" t="s">
        <v>1021</v>
      </c>
      <c r="B1045" t="s">
        <v>5384</v>
      </c>
      <c r="C1045" t="s">
        <v>4928</v>
      </c>
      <c r="D1045" t="s">
        <v>3299</v>
      </c>
      <c r="E1045" t="s">
        <v>5537</v>
      </c>
      <c r="F1045" t="s">
        <v>1021</v>
      </c>
    </row>
    <row r="1046" spans="1:6" x14ac:dyDescent="0.3">
      <c r="A1046" s="58" t="s">
        <v>1022</v>
      </c>
      <c r="B1046" t="s">
        <v>5384</v>
      </c>
      <c r="C1046" t="s">
        <v>4928</v>
      </c>
      <c r="D1046" t="s">
        <v>3300</v>
      </c>
      <c r="E1046" t="s">
        <v>5537</v>
      </c>
      <c r="F1046" t="s">
        <v>1022</v>
      </c>
    </row>
    <row r="1047" spans="1:6" x14ac:dyDescent="0.3">
      <c r="A1047" s="58" t="s">
        <v>1023</v>
      </c>
      <c r="B1047" t="s">
        <v>5384</v>
      </c>
      <c r="C1047" t="s">
        <v>4928</v>
      </c>
      <c r="D1047" t="s">
        <v>3301</v>
      </c>
      <c r="E1047" t="s">
        <v>5537</v>
      </c>
      <c r="F1047" t="s">
        <v>1023</v>
      </c>
    </row>
    <row r="1048" spans="1:6" x14ac:dyDescent="0.3">
      <c r="A1048" s="58" t="s">
        <v>1024</v>
      </c>
      <c r="B1048" t="s">
        <v>5384</v>
      </c>
      <c r="C1048" t="s">
        <v>4928</v>
      </c>
      <c r="D1048" t="s">
        <v>3302</v>
      </c>
      <c r="E1048" t="s">
        <v>5537</v>
      </c>
      <c r="F1048" t="s">
        <v>1024</v>
      </c>
    </row>
    <row r="1049" spans="1:6" x14ac:dyDescent="0.3">
      <c r="A1049" s="58" t="s">
        <v>1025</v>
      </c>
      <c r="B1049" t="s">
        <v>5384</v>
      </c>
      <c r="C1049" t="s">
        <v>4928</v>
      </c>
      <c r="D1049" t="s">
        <v>3303</v>
      </c>
      <c r="E1049" t="s">
        <v>5537</v>
      </c>
      <c r="F1049" t="s">
        <v>1025</v>
      </c>
    </row>
    <row r="1050" spans="1:6" x14ac:dyDescent="0.3">
      <c r="A1050" s="58" t="s">
        <v>1026</v>
      </c>
      <c r="B1050" t="s">
        <v>5384</v>
      </c>
      <c r="C1050" t="s">
        <v>4928</v>
      </c>
      <c r="D1050" t="s">
        <v>3304</v>
      </c>
      <c r="E1050" t="s">
        <v>5538</v>
      </c>
      <c r="F1050" t="s">
        <v>1026</v>
      </c>
    </row>
    <row r="1051" spans="1:6" x14ac:dyDescent="0.3">
      <c r="A1051" s="58" t="s">
        <v>1027</v>
      </c>
      <c r="B1051" t="s">
        <v>5384</v>
      </c>
      <c r="C1051" t="s">
        <v>4928</v>
      </c>
      <c r="D1051" t="s">
        <v>3305</v>
      </c>
      <c r="E1051" t="s">
        <v>5537</v>
      </c>
      <c r="F1051" t="s">
        <v>1027</v>
      </c>
    </row>
    <row r="1052" spans="1:6" x14ac:dyDescent="0.3">
      <c r="A1052" s="58" t="s">
        <v>1028</v>
      </c>
      <c r="B1052" t="s">
        <v>5384</v>
      </c>
      <c r="C1052" t="s">
        <v>4928</v>
      </c>
      <c r="D1052" t="s">
        <v>3306</v>
      </c>
      <c r="E1052" t="s">
        <v>5537</v>
      </c>
      <c r="F1052" t="s">
        <v>1028</v>
      </c>
    </row>
    <row r="1053" spans="1:6" x14ac:dyDescent="0.3">
      <c r="A1053" s="58" t="s">
        <v>1029</v>
      </c>
      <c r="B1053" t="s">
        <v>5384</v>
      </c>
      <c r="C1053" t="s">
        <v>4928</v>
      </c>
      <c r="D1053" t="s">
        <v>3307</v>
      </c>
      <c r="E1053" t="s">
        <v>5537</v>
      </c>
      <c r="F1053" t="s">
        <v>1029</v>
      </c>
    </row>
    <row r="1054" spans="1:6" x14ac:dyDescent="0.3">
      <c r="A1054" s="58" t="s">
        <v>1030</v>
      </c>
      <c r="B1054" t="s">
        <v>5384</v>
      </c>
      <c r="C1054" t="s">
        <v>4929</v>
      </c>
      <c r="D1054" t="s">
        <v>4640</v>
      </c>
      <c r="E1054" t="s">
        <v>5536</v>
      </c>
      <c r="F1054" t="s">
        <v>1030</v>
      </c>
    </row>
    <row r="1055" spans="1:6" x14ac:dyDescent="0.3">
      <c r="A1055" s="58" t="s">
        <v>1031</v>
      </c>
      <c r="B1055" t="s">
        <v>5384</v>
      </c>
      <c r="C1055" t="s">
        <v>4929</v>
      </c>
      <c r="D1055" t="s">
        <v>3308</v>
      </c>
      <c r="E1055" t="s">
        <v>5538</v>
      </c>
      <c r="F1055" t="s">
        <v>5466</v>
      </c>
    </row>
    <row r="1056" spans="1:6" x14ac:dyDescent="0.3">
      <c r="A1056" s="58" t="s">
        <v>1032</v>
      </c>
      <c r="B1056" t="s">
        <v>5384</v>
      </c>
      <c r="C1056" t="s">
        <v>4929</v>
      </c>
      <c r="D1056" t="s">
        <v>3309</v>
      </c>
      <c r="E1056" t="s">
        <v>5537</v>
      </c>
      <c r="F1056" t="s">
        <v>1032</v>
      </c>
    </row>
    <row r="1057" spans="1:6" x14ac:dyDescent="0.3">
      <c r="A1057" s="58" t="s">
        <v>1033</v>
      </c>
      <c r="B1057" t="s">
        <v>5384</v>
      </c>
      <c r="C1057" t="s">
        <v>4929</v>
      </c>
      <c r="D1057" t="s">
        <v>2620</v>
      </c>
      <c r="E1057" t="s">
        <v>5538</v>
      </c>
      <c r="F1057" t="s">
        <v>5541</v>
      </c>
    </row>
    <row r="1058" spans="1:6" x14ac:dyDescent="0.3">
      <c r="A1058" s="58" t="s">
        <v>1034</v>
      </c>
      <c r="B1058" t="s">
        <v>5384</v>
      </c>
      <c r="C1058" t="s">
        <v>4929</v>
      </c>
      <c r="D1058" t="s">
        <v>3310</v>
      </c>
      <c r="E1058" t="s">
        <v>5538</v>
      </c>
      <c r="F1058" t="s">
        <v>1034</v>
      </c>
    </row>
    <row r="1059" spans="1:6" x14ac:dyDescent="0.3">
      <c r="A1059" s="58" t="s">
        <v>1035</v>
      </c>
      <c r="B1059" t="s">
        <v>5384</v>
      </c>
      <c r="C1059" t="s">
        <v>4929</v>
      </c>
      <c r="D1059" t="s">
        <v>3311</v>
      </c>
      <c r="E1059" t="s">
        <v>5537</v>
      </c>
      <c r="F1059" t="s">
        <v>1035</v>
      </c>
    </row>
    <row r="1060" spans="1:6" x14ac:dyDescent="0.3">
      <c r="A1060" s="58" t="s">
        <v>1036</v>
      </c>
      <c r="B1060" t="s">
        <v>5384</v>
      </c>
      <c r="C1060" t="s">
        <v>4929</v>
      </c>
      <c r="D1060" t="s">
        <v>3312</v>
      </c>
      <c r="E1060" t="s">
        <v>5538</v>
      </c>
      <c r="F1060" t="s">
        <v>1036</v>
      </c>
    </row>
    <row r="1061" spans="1:6" x14ac:dyDescent="0.3">
      <c r="A1061" s="58" t="s">
        <v>1037</v>
      </c>
      <c r="B1061" t="s">
        <v>5384</v>
      </c>
      <c r="C1061" t="s">
        <v>4929</v>
      </c>
      <c r="D1061" t="s">
        <v>3313</v>
      </c>
      <c r="E1061" t="s">
        <v>5538</v>
      </c>
      <c r="F1061" t="s">
        <v>5510</v>
      </c>
    </row>
    <row r="1062" spans="1:6" x14ac:dyDescent="0.3">
      <c r="A1062" s="58" t="s">
        <v>1038</v>
      </c>
      <c r="B1062" t="s">
        <v>5384</v>
      </c>
      <c r="C1062" t="s">
        <v>4929</v>
      </c>
      <c r="D1062" t="s">
        <v>4641</v>
      </c>
      <c r="E1062" t="s">
        <v>5537</v>
      </c>
      <c r="F1062" t="s">
        <v>1038</v>
      </c>
    </row>
    <row r="1063" spans="1:6" x14ac:dyDescent="0.3">
      <c r="A1063" s="58" t="s">
        <v>5167</v>
      </c>
      <c r="B1063" t="s">
        <v>5384</v>
      </c>
      <c r="C1063" t="s">
        <v>4929</v>
      </c>
      <c r="D1063" t="s">
        <v>3314</v>
      </c>
      <c r="E1063" t="s">
        <v>5538</v>
      </c>
      <c r="F1063" t="s">
        <v>5167</v>
      </c>
    </row>
    <row r="1064" spans="1:6" x14ac:dyDescent="0.3">
      <c r="A1064" s="58" t="s">
        <v>1039</v>
      </c>
      <c r="B1064" t="s">
        <v>5384</v>
      </c>
      <c r="C1064" t="s">
        <v>4929</v>
      </c>
      <c r="D1064" t="s">
        <v>3315</v>
      </c>
      <c r="E1064" t="s">
        <v>5538</v>
      </c>
      <c r="F1064" t="s">
        <v>5511</v>
      </c>
    </row>
    <row r="1065" spans="1:6" x14ac:dyDescent="0.3">
      <c r="A1065" s="58" t="s">
        <v>1040</v>
      </c>
      <c r="B1065" t="s">
        <v>5384</v>
      </c>
      <c r="C1065" t="s">
        <v>4929</v>
      </c>
      <c r="D1065" t="s">
        <v>3316</v>
      </c>
      <c r="E1065" t="s">
        <v>5538</v>
      </c>
      <c r="F1065" s="181" t="s">
        <v>5606</v>
      </c>
    </row>
    <row r="1066" spans="1:6" x14ac:dyDescent="0.3">
      <c r="A1066" s="58" t="s">
        <v>1041</v>
      </c>
      <c r="B1066" t="s">
        <v>5384</v>
      </c>
      <c r="C1066" t="s">
        <v>4929</v>
      </c>
      <c r="D1066" t="s">
        <v>3317</v>
      </c>
      <c r="E1066" t="s">
        <v>5536</v>
      </c>
      <c r="F1066" t="s">
        <v>1041</v>
      </c>
    </row>
    <row r="1067" spans="1:6" x14ac:dyDescent="0.3">
      <c r="A1067" s="58" t="s">
        <v>1042</v>
      </c>
      <c r="B1067" t="s">
        <v>5384</v>
      </c>
      <c r="C1067" t="s">
        <v>4930</v>
      </c>
      <c r="D1067" t="s">
        <v>3318</v>
      </c>
      <c r="E1067" t="s">
        <v>5536</v>
      </c>
      <c r="F1067" t="s">
        <v>1042</v>
      </c>
    </row>
    <row r="1068" spans="1:6" x14ac:dyDescent="0.3">
      <c r="A1068" s="58" t="s">
        <v>1043</v>
      </c>
      <c r="B1068" t="s">
        <v>5384</v>
      </c>
      <c r="C1068" t="s">
        <v>4930</v>
      </c>
      <c r="D1068" t="s">
        <v>3319</v>
      </c>
      <c r="E1068" t="s">
        <v>5537</v>
      </c>
      <c r="F1068" t="s">
        <v>1043</v>
      </c>
    </row>
    <row r="1069" spans="1:6" x14ac:dyDescent="0.3">
      <c r="A1069" s="58" t="s">
        <v>1044</v>
      </c>
      <c r="B1069" t="s">
        <v>5384</v>
      </c>
      <c r="C1069" t="s">
        <v>4930</v>
      </c>
      <c r="D1069" t="s">
        <v>3320</v>
      </c>
      <c r="E1069" t="s">
        <v>5537</v>
      </c>
      <c r="F1069" t="s">
        <v>1044</v>
      </c>
    </row>
    <row r="1070" spans="1:6" x14ac:dyDescent="0.3">
      <c r="A1070" s="58" t="s">
        <v>1045</v>
      </c>
      <c r="B1070" t="s">
        <v>5384</v>
      </c>
      <c r="C1070" t="s">
        <v>4930</v>
      </c>
      <c r="D1070" t="s">
        <v>3237</v>
      </c>
      <c r="E1070" t="s">
        <v>5537</v>
      </c>
      <c r="F1070" t="s">
        <v>1045</v>
      </c>
    </row>
    <row r="1071" spans="1:6" x14ac:dyDescent="0.3">
      <c r="A1071" s="58" t="s">
        <v>1046</v>
      </c>
      <c r="B1071" t="s">
        <v>5384</v>
      </c>
      <c r="C1071" t="s">
        <v>4930</v>
      </c>
      <c r="D1071" t="s">
        <v>3321</v>
      </c>
      <c r="E1071" t="s">
        <v>5537</v>
      </c>
      <c r="F1071" t="s">
        <v>1046</v>
      </c>
    </row>
    <row r="1072" spans="1:6" x14ac:dyDescent="0.3">
      <c r="A1072" s="58" t="s">
        <v>1047</v>
      </c>
      <c r="B1072" t="s">
        <v>5384</v>
      </c>
      <c r="C1072" t="s">
        <v>4930</v>
      </c>
      <c r="D1072" t="s">
        <v>3322</v>
      </c>
      <c r="E1072" t="s">
        <v>5537</v>
      </c>
      <c r="F1072" t="s">
        <v>1047</v>
      </c>
    </row>
    <row r="1073" spans="1:6" x14ac:dyDescent="0.3">
      <c r="A1073" s="58" t="s">
        <v>1048</v>
      </c>
      <c r="B1073" t="s">
        <v>5384</v>
      </c>
      <c r="C1073" t="s">
        <v>4930</v>
      </c>
      <c r="D1073" t="s">
        <v>3323</v>
      </c>
      <c r="E1073" t="s">
        <v>5537</v>
      </c>
      <c r="F1073" t="s">
        <v>1048</v>
      </c>
    </row>
    <row r="1074" spans="1:6" x14ac:dyDescent="0.3">
      <c r="A1074" s="58" t="s">
        <v>1049</v>
      </c>
      <c r="B1074" t="s">
        <v>5384</v>
      </c>
      <c r="C1074" t="s">
        <v>4930</v>
      </c>
      <c r="D1074" t="s">
        <v>3324</v>
      </c>
      <c r="E1074" t="s">
        <v>5537</v>
      </c>
      <c r="F1074" t="s">
        <v>1049</v>
      </c>
    </row>
    <row r="1075" spans="1:6" x14ac:dyDescent="0.3">
      <c r="A1075" s="58" t="s">
        <v>1050</v>
      </c>
      <c r="B1075" t="s">
        <v>5384</v>
      </c>
      <c r="C1075" t="s">
        <v>4930</v>
      </c>
      <c r="D1075" t="s">
        <v>3325</v>
      </c>
      <c r="E1075" t="s">
        <v>5537</v>
      </c>
      <c r="F1075" t="s">
        <v>1050</v>
      </c>
    </row>
    <row r="1076" spans="1:6" x14ac:dyDescent="0.3">
      <c r="A1076" s="58" t="s">
        <v>1051</v>
      </c>
      <c r="B1076" t="s">
        <v>5384</v>
      </c>
      <c r="C1076" t="s">
        <v>4930</v>
      </c>
      <c r="D1076" t="s">
        <v>3326</v>
      </c>
      <c r="E1076" t="s">
        <v>5537</v>
      </c>
      <c r="F1076" t="s">
        <v>1051</v>
      </c>
    </row>
    <row r="1077" spans="1:6" x14ac:dyDescent="0.3">
      <c r="A1077" s="58" t="s">
        <v>1052</v>
      </c>
      <c r="B1077" t="s">
        <v>5384</v>
      </c>
      <c r="C1077" t="s">
        <v>4931</v>
      </c>
      <c r="D1077" t="s">
        <v>3327</v>
      </c>
      <c r="E1077" t="s">
        <v>5536</v>
      </c>
      <c r="F1077" t="s">
        <v>1052</v>
      </c>
    </row>
    <row r="1078" spans="1:6" x14ac:dyDescent="0.3">
      <c r="A1078" s="58" t="s">
        <v>1053</v>
      </c>
      <c r="B1078" t="s">
        <v>5384</v>
      </c>
      <c r="C1078" t="s">
        <v>4931</v>
      </c>
      <c r="D1078" t="s">
        <v>3328</v>
      </c>
      <c r="E1078" t="s">
        <v>5537</v>
      </c>
      <c r="F1078" t="s">
        <v>1053</v>
      </c>
    </row>
    <row r="1079" spans="1:6" x14ac:dyDescent="0.3">
      <c r="A1079" s="58" t="s">
        <v>1054</v>
      </c>
      <c r="B1079" t="s">
        <v>5384</v>
      </c>
      <c r="C1079" t="s">
        <v>4931</v>
      </c>
      <c r="D1079" t="s">
        <v>3329</v>
      </c>
      <c r="E1079" t="s">
        <v>5537</v>
      </c>
      <c r="F1079" t="s">
        <v>1054</v>
      </c>
    </row>
    <row r="1080" spans="1:6" x14ac:dyDescent="0.3">
      <c r="A1080" s="58" t="s">
        <v>1055</v>
      </c>
      <c r="B1080" t="s">
        <v>5384</v>
      </c>
      <c r="C1080" t="s">
        <v>4931</v>
      </c>
      <c r="D1080" t="s">
        <v>3330</v>
      </c>
      <c r="E1080" t="s">
        <v>5538</v>
      </c>
      <c r="F1080" t="s">
        <v>1055</v>
      </c>
    </row>
    <row r="1081" spans="1:6" x14ac:dyDescent="0.3">
      <c r="A1081" s="58" t="s">
        <v>1056</v>
      </c>
      <c r="B1081" t="s">
        <v>5384</v>
      </c>
      <c r="C1081" t="s">
        <v>4931</v>
      </c>
      <c r="D1081" t="s">
        <v>3331</v>
      </c>
      <c r="E1081" t="s">
        <v>5537</v>
      </c>
      <c r="F1081" t="s">
        <v>1056</v>
      </c>
    </row>
    <row r="1082" spans="1:6" x14ac:dyDescent="0.3">
      <c r="A1082" s="58" t="s">
        <v>1057</v>
      </c>
      <c r="B1082" t="s">
        <v>5384</v>
      </c>
      <c r="C1082" t="s">
        <v>4931</v>
      </c>
      <c r="D1082" t="s">
        <v>3332</v>
      </c>
      <c r="E1082" t="s">
        <v>5538</v>
      </c>
      <c r="F1082" t="s">
        <v>1057</v>
      </c>
    </row>
    <row r="1083" spans="1:6" x14ac:dyDescent="0.3">
      <c r="A1083" s="58" t="s">
        <v>1058</v>
      </c>
      <c r="B1083" t="s">
        <v>5384</v>
      </c>
      <c r="C1083" t="s">
        <v>4932</v>
      </c>
      <c r="D1083" t="s">
        <v>3333</v>
      </c>
      <c r="E1083" t="s">
        <v>5537</v>
      </c>
      <c r="F1083" t="s">
        <v>1058</v>
      </c>
    </row>
    <row r="1084" spans="1:6" x14ac:dyDescent="0.3">
      <c r="A1084" s="58" t="s">
        <v>1059</v>
      </c>
      <c r="B1084" t="s">
        <v>5384</v>
      </c>
      <c r="C1084" t="s">
        <v>4932</v>
      </c>
      <c r="D1084" t="s">
        <v>3334</v>
      </c>
      <c r="E1084" t="s">
        <v>5537</v>
      </c>
      <c r="F1084" t="s">
        <v>1059</v>
      </c>
    </row>
    <row r="1085" spans="1:6" x14ac:dyDescent="0.3">
      <c r="A1085" s="58" t="s">
        <v>1060</v>
      </c>
      <c r="B1085" t="s">
        <v>5384</v>
      </c>
      <c r="C1085" t="s">
        <v>4932</v>
      </c>
      <c r="D1085" t="s">
        <v>3335</v>
      </c>
      <c r="E1085" t="s">
        <v>5537</v>
      </c>
      <c r="F1085" t="s">
        <v>1060</v>
      </c>
    </row>
    <row r="1086" spans="1:6" x14ac:dyDescent="0.3">
      <c r="A1086" s="58" t="s">
        <v>1061</v>
      </c>
      <c r="B1086" t="s">
        <v>5384</v>
      </c>
      <c r="C1086" t="s">
        <v>4932</v>
      </c>
      <c r="D1086" t="s">
        <v>3336</v>
      </c>
      <c r="E1086" t="s">
        <v>5537</v>
      </c>
      <c r="F1086" t="s">
        <v>1061</v>
      </c>
    </row>
    <row r="1087" spans="1:6" x14ac:dyDescent="0.3">
      <c r="A1087" s="58" t="s">
        <v>1062</v>
      </c>
      <c r="B1087" t="s">
        <v>5384</v>
      </c>
      <c r="C1087" t="s">
        <v>4932</v>
      </c>
      <c r="D1087" t="s">
        <v>3337</v>
      </c>
      <c r="E1087" t="s">
        <v>5537</v>
      </c>
      <c r="F1087" t="s">
        <v>1062</v>
      </c>
    </row>
    <row r="1088" spans="1:6" x14ac:dyDescent="0.3">
      <c r="A1088" s="58" t="s">
        <v>1063</v>
      </c>
      <c r="B1088" t="s">
        <v>5384</v>
      </c>
      <c r="C1088" t="s">
        <v>4932</v>
      </c>
      <c r="D1088" t="s">
        <v>3338</v>
      </c>
      <c r="E1088" t="s">
        <v>5537</v>
      </c>
      <c r="F1088" t="s">
        <v>1063</v>
      </c>
    </row>
    <row r="1089" spans="1:6" x14ac:dyDescent="0.3">
      <c r="A1089" s="58" t="s">
        <v>1064</v>
      </c>
      <c r="B1089" t="s">
        <v>5384</v>
      </c>
      <c r="C1089" t="s">
        <v>4932</v>
      </c>
      <c r="D1089" t="s">
        <v>3339</v>
      </c>
      <c r="E1089" t="s">
        <v>5537</v>
      </c>
      <c r="F1089" t="s">
        <v>1064</v>
      </c>
    </row>
    <row r="1090" spans="1:6" x14ac:dyDescent="0.3">
      <c r="A1090" s="58" t="s">
        <v>1065</v>
      </c>
      <c r="B1090" t="s">
        <v>5384</v>
      </c>
      <c r="C1090" t="s">
        <v>4932</v>
      </c>
      <c r="D1090" t="s">
        <v>3340</v>
      </c>
      <c r="E1090" t="s">
        <v>5538</v>
      </c>
      <c r="F1090" t="s">
        <v>1065</v>
      </c>
    </row>
    <row r="1091" spans="1:6" x14ac:dyDescent="0.3">
      <c r="A1091" s="58" t="s">
        <v>1066</v>
      </c>
      <c r="B1091" t="s">
        <v>5384</v>
      </c>
      <c r="C1091" t="s">
        <v>4932</v>
      </c>
      <c r="D1091" t="s">
        <v>3341</v>
      </c>
      <c r="E1091" t="s">
        <v>5537</v>
      </c>
      <c r="F1091" t="s">
        <v>1066</v>
      </c>
    </row>
    <row r="1092" spans="1:6" x14ac:dyDescent="0.3">
      <c r="A1092" s="58" t="s">
        <v>1067</v>
      </c>
      <c r="B1092" t="s">
        <v>5384</v>
      </c>
      <c r="C1092" t="s">
        <v>4932</v>
      </c>
      <c r="D1092" t="s">
        <v>3342</v>
      </c>
      <c r="E1092" t="s">
        <v>5537</v>
      </c>
      <c r="F1092" t="s">
        <v>1067</v>
      </c>
    </row>
    <row r="1093" spans="1:6" x14ac:dyDescent="0.3">
      <c r="A1093" s="58" t="s">
        <v>1068</v>
      </c>
      <c r="B1093" t="s">
        <v>5384</v>
      </c>
      <c r="C1093" t="s">
        <v>4932</v>
      </c>
      <c r="D1093" t="s">
        <v>3343</v>
      </c>
      <c r="E1093" t="s">
        <v>5537</v>
      </c>
      <c r="F1093" t="s">
        <v>1068</v>
      </c>
    </row>
    <row r="1094" spans="1:6" x14ac:dyDescent="0.3">
      <c r="A1094" s="58" t="s">
        <v>1069</v>
      </c>
      <c r="B1094" t="s">
        <v>5384</v>
      </c>
      <c r="C1094" t="s">
        <v>4787</v>
      </c>
      <c r="D1094" t="s">
        <v>4642</v>
      </c>
      <c r="E1094" t="s">
        <v>5536</v>
      </c>
      <c r="F1094" t="s">
        <v>1069</v>
      </c>
    </row>
    <row r="1095" spans="1:6" x14ac:dyDescent="0.3">
      <c r="A1095" s="58" t="s">
        <v>1070</v>
      </c>
      <c r="B1095" t="s">
        <v>5384</v>
      </c>
      <c r="C1095" t="s">
        <v>4787</v>
      </c>
      <c r="D1095" t="s">
        <v>3344</v>
      </c>
      <c r="E1095" t="s">
        <v>5537</v>
      </c>
      <c r="F1095" t="s">
        <v>1070</v>
      </c>
    </row>
    <row r="1096" spans="1:6" x14ac:dyDescent="0.3">
      <c r="A1096" s="58" t="s">
        <v>1071</v>
      </c>
      <c r="B1096" t="s">
        <v>5384</v>
      </c>
      <c r="C1096" t="s">
        <v>4787</v>
      </c>
      <c r="D1096" t="s">
        <v>3345</v>
      </c>
      <c r="E1096" t="s">
        <v>5537</v>
      </c>
      <c r="F1096" t="s">
        <v>1071</v>
      </c>
    </row>
    <row r="1097" spans="1:6" x14ac:dyDescent="0.3">
      <c r="A1097" s="58" t="s">
        <v>1072</v>
      </c>
      <c r="B1097" t="s">
        <v>5384</v>
      </c>
      <c r="C1097" t="s">
        <v>4787</v>
      </c>
      <c r="D1097" t="s">
        <v>3346</v>
      </c>
      <c r="E1097" t="s">
        <v>5538</v>
      </c>
      <c r="F1097" t="s">
        <v>1072</v>
      </c>
    </row>
    <row r="1098" spans="1:6" x14ac:dyDescent="0.3">
      <c r="A1098" s="58" t="s">
        <v>1073</v>
      </c>
      <c r="B1098" t="s">
        <v>5384</v>
      </c>
      <c r="C1098" t="s">
        <v>4787</v>
      </c>
      <c r="D1098" t="s">
        <v>3347</v>
      </c>
      <c r="E1098" t="s">
        <v>5538</v>
      </c>
      <c r="F1098" s="181" t="s">
        <v>5607</v>
      </c>
    </row>
    <row r="1099" spans="1:6" x14ac:dyDescent="0.3">
      <c r="A1099" s="58" t="s">
        <v>1074</v>
      </c>
      <c r="B1099" t="s">
        <v>5384</v>
      </c>
      <c r="C1099" t="s">
        <v>4787</v>
      </c>
      <c r="D1099" t="s">
        <v>3348</v>
      </c>
      <c r="E1099" t="s">
        <v>5537</v>
      </c>
      <c r="F1099" t="s">
        <v>1074</v>
      </c>
    </row>
    <row r="1100" spans="1:6" x14ac:dyDescent="0.3">
      <c r="A1100" s="58" t="s">
        <v>1075</v>
      </c>
      <c r="B1100" t="s">
        <v>5384</v>
      </c>
      <c r="C1100" t="s">
        <v>4787</v>
      </c>
      <c r="D1100" t="s">
        <v>4643</v>
      </c>
      <c r="E1100" t="s">
        <v>5537</v>
      </c>
      <c r="F1100" t="s">
        <v>1075</v>
      </c>
    </row>
    <row r="1101" spans="1:6" x14ac:dyDescent="0.3">
      <c r="A1101" s="58" t="s">
        <v>1076</v>
      </c>
      <c r="B1101" t="s">
        <v>5384</v>
      </c>
      <c r="C1101" t="s">
        <v>4787</v>
      </c>
      <c r="D1101" t="s">
        <v>3349</v>
      </c>
      <c r="E1101" t="s">
        <v>5537</v>
      </c>
      <c r="F1101" t="s">
        <v>1076</v>
      </c>
    </row>
    <row r="1102" spans="1:6" x14ac:dyDescent="0.3">
      <c r="A1102" s="58" t="s">
        <v>1077</v>
      </c>
      <c r="B1102" t="s">
        <v>5384</v>
      </c>
      <c r="C1102" t="s">
        <v>4787</v>
      </c>
      <c r="D1102" t="s">
        <v>3350</v>
      </c>
      <c r="E1102" t="s">
        <v>5537</v>
      </c>
      <c r="F1102" t="s">
        <v>1077</v>
      </c>
    </row>
    <row r="1103" spans="1:6" x14ac:dyDescent="0.3">
      <c r="A1103" s="58" t="s">
        <v>1078</v>
      </c>
      <c r="B1103" t="s">
        <v>5384</v>
      </c>
      <c r="C1103" t="s">
        <v>4787</v>
      </c>
      <c r="D1103" t="s">
        <v>3351</v>
      </c>
      <c r="E1103" t="s">
        <v>5537</v>
      </c>
      <c r="F1103" t="s">
        <v>1078</v>
      </c>
    </row>
    <row r="1104" spans="1:6" x14ac:dyDescent="0.3">
      <c r="A1104" s="58" t="s">
        <v>1079</v>
      </c>
      <c r="B1104" t="s">
        <v>5384</v>
      </c>
      <c r="C1104" t="s">
        <v>4787</v>
      </c>
      <c r="D1104" t="s">
        <v>3352</v>
      </c>
      <c r="E1104" t="s">
        <v>5537</v>
      </c>
      <c r="F1104" t="s">
        <v>1079</v>
      </c>
    </row>
    <row r="1105" spans="1:6" x14ac:dyDescent="0.3">
      <c r="A1105" s="58" t="s">
        <v>1080</v>
      </c>
      <c r="B1105" t="s">
        <v>5384</v>
      </c>
      <c r="C1105" t="s">
        <v>4933</v>
      </c>
      <c r="D1105" t="s">
        <v>2696</v>
      </c>
      <c r="E1105" t="s">
        <v>5536</v>
      </c>
      <c r="F1105" t="s">
        <v>1080</v>
      </c>
    </row>
    <row r="1106" spans="1:6" x14ac:dyDescent="0.3">
      <c r="A1106" s="58" t="s">
        <v>1081</v>
      </c>
      <c r="B1106" t="s">
        <v>5384</v>
      </c>
      <c r="C1106" t="s">
        <v>4933</v>
      </c>
      <c r="D1106" t="s">
        <v>3353</v>
      </c>
      <c r="E1106" t="s">
        <v>5536</v>
      </c>
      <c r="F1106" t="s">
        <v>1081</v>
      </c>
    </row>
    <row r="1107" spans="1:6" x14ac:dyDescent="0.3">
      <c r="A1107" s="58" t="s">
        <v>1082</v>
      </c>
      <c r="B1107" t="s">
        <v>5384</v>
      </c>
      <c r="C1107" t="s">
        <v>4933</v>
      </c>
      <c r="D1107" t="s">
        <v>3354</v>
      </c>
      <c r="E1107" t="s">
        <v>5537</v>
      </c>
      <c r="F1107" t="s">
        <v>1082</v>
      </c>
    </row>
    <row r="1108" spans="1:6" x14ac:dyDescent="0.3">
      <c r="A1108" s="58" t="s">
        <v>1083</v>
      </c>
      <c r="B1108" t="s">
        <v>5384</v>
      </c>
      <c r="C1108" t="s">
        <v>4933</v>
      </c>
      <c r="D1108" t="s">
        <v>3355</v>
      </c>
      <c r="E1108" t="s">
        <v>5538</v>
      </c>
      <c r="F1108" t="s">
        <v>1083</v>
      </c>
    </row>
    <row r="1109" spans="1:6" x14ac:dyDescent="0.3">
      <c r="A1109" s="58" t="s">
        <v>1084</v>
      </c>
      <c r="B1109" t="s">
        <v>5384</v>
      </c>
      <c r="C1109" t="s">
        <v>4933</v>
      </c>
      <c r="D1109" t="s">
        <v>3356</v>
      </c>
      <c r="E1109" t="s">
        <v>5537</v>
      </c>
      <c r="F1109" t="s">
        <v>1084</v>
      </c>
    </row>
    <row r="1110" spans="1:6" x14ac:dyDescent="0.3">
      <c r="A1110" s="58" t="s">
        <v>1085</v>
      </c>
      <c r="B1110" t="s">
        <v>5384</v>
      </c>
      <c r="C1110" t="s">
        <v>4933</v>
      </c>
      <c r="D1110" t="s">
        <v>3357</v>
      </c>
      <c r="E1110" t="s">
        <v>5538</v>
      </c>
      <c r="F1110" t="s">
        <v>5512</v>
      </c>
    </row>
    <row r="1111" spans="1:6" x14ac:dyDescent="0.3">
      <c r="A1111" s="58" t="s">
        <v>1086</v>
      </c>
      <c r="B1111" t="s">
        <v>5384</v>
      </c>
      <c r="C1111" t="s">
        <v>4933</v>
      </c>
      <c r="D1111" t="s">
        <v>3358</v>
      </c>
      <c r="E1111" t="s">
        <v>5537</v>
      </c>
      <c r="F1111" t="s">
        <v>1086</v>
      </c>
    </row>
    <row r="1112" spans="1:6" x14ac:dyDescent="0.3">
      <c r="A1112" s="58" t="s">
        <v>1087</v>
      </c>
      <c r="B1112" t="s">
        <v>5384</v>
      </c>
      <c r="C1112" t="s">
        <v>4933</v>
      </c>
      <c r="D1112" t="s">
        <v>3359</v>
      </c>
      <c r="E1112" t="s">
        <v>5537</v>
      </c>
      <c r="F1112" t="s">
        <v>1087</v>
      </c>
    </row>
    <row r="1113" spans="1:6" x14ac:dyDescent="0.3">
      <c r="A1113" s="58" t="s">
        <v>1088</v>
      </c>
      <c r="B1113" t="s">
        <v>5384</v>
      </c>
      <c r="C1113" t="s">
        <v>4934</v>
      </c>
      <c r="D1113" t="s">
        <v>3360</v>
      </c>
      <c r="E1113" t="s">
        <v>5538</v>
      </c>
      <c r="F1113" t="s">
        <v>1088</v>
      </c>
    </row>
    <row r="1114" spans="1:6" x14ac:dyDescent="0.3">
      <c r="A1114" s="58" t="s">
        <v>1089</v>
      </c>
      <c r="B1114" t="s">
        <v>5384</v>
      </c>
      <c r="C1114" t="s">
        <v>4934</v>
      </c>
      <c r="D1114" t="s">
        <v>3361</v>
      </c>
      <c r="E1114" t="s">
        <v>5538</v>
      </c>
      <c r="F1114" t="s">
        <v>1089</v>
      </c>
    </row>
    <row r="1115" spans="1:6" x14ac:dyDescent="0.3">
      <c r="A1115" s="58" t="s">
        <v>1090</v>
      </c>
      <c r="B1115" t="s">
        <v>5384</v>
      </c>
      <c r="C1115" t="s">
        <v>4934</v>
      </c>
      <c r="D1115" t="s">
        <v>3362</v>
      </c>
      <c r="E1115" t="s">
        <v>5537</v>
      </c>
      <c r="F1115" t="s">
        <v>1090</v>
      </c>
    </row>
    <row r="1116" spans="1:6" x14ac:dyDescent="0.3">
      <c r="A1116" s="58" t="s">
        <v>1091</v>
      </c>
      <c r="B1116" t="s">
        <v>5384</v>
      </c>
      <c r="C1116" t="s">
        <v>4934</v>
      </c>
      <c r="D1116" t="s">
        <v>3363</v>
      </c>
      <c r="E1116" t="s">
        <v>5538</v>
      </c>
      <c r="F1116" t="s">
        <v>1091</v>
      </c>
    </row>
    <row r="1117" spans="1:6" x14ac:dyDescent="0.3">
      <c r="A1117" s="58" t="s">
        <v>1092</v>
      </c>
      <c r="B1117" t="s">
        <v>5384</v>
      </c>
      <c r="C1117" t="s">
        <v>4934</v>
      </c>
      <c r="D1117" t="s">
        <v>3364</v>
      </c>
      <c r="E1117" t="s">
        <v>5537</v>
      </c>
      <c r="F1117" t="s">
        <v>1092</v>
      </c>
    </row>
    <row r="1118" spans="1:6" x14ac:dyDescent="0.3">
      <c r="A1118" s="58" t="s">
        <v>1093</v>
      </c>
      <c r="B1118" t="s">
        <v>5384</v>
      </c>
      <c r="C1118" t="s">
        <v>4934</v>
      </c>
      <c r="D1118" t="s">
        <v>3365</v>
      </c>
      <c r="E1118" t="s">
        <v>5538</v>
      </c>
      <c r="F1118" t="s">
        <v>1093</v>
      </c>
    </row>
    <row r="1119" spans="1:6" x14ac:dyDescent="0.3">
      <c r="A1119" s="58" t="s">
        <v>1094</v>
      </c>
      <c r="B1119" t="s">
        <v>5384</v>
      </c>
      <c r="C1119" t="s">
        <v>4935</v>
      </c>
      <c r="D1119" t="s">
        <v>3366</v>
      </c>
      <c r="E1119" t="s">
        <v>5537</v>
      </c>
      <c r="F1119" t="s">
        <v>1094</v>
      </c>
    </row>
    <row r="1120" spans="1:6" x14ac:dyDescent="0.3">
      <c r="A1120" s="58" t="s">
        <v>1095</v>
      </c>
      <c r="B1120" t="s">
        <v>5384</v>
      </c>
      <c r="C1120" t="s">
        <v>4935</v>
      </c>
      <c r="D1120" t="s">
        <v>3367</v>
      </c>
      <c r="E1120" t="s">
        <v>5538</v>
      </c>
      <c r="F1120" t="s">
        <v>5513</v>
      </c>
    </row>
    <row r="1121" spans="1:6" x14ac:dyDescent="0.3">
      <c r="A1121" s="58" t="s">
        <v>1096</v>
      </c>
      <c r="B1121" t="s">
        <v>5384</v>
      </c>
      <c r="C1121" t="s">
        <v>4935</v>
      </c>
      <c r="D1121" t="s">
        <v>3368</v>
      </c>
      <c r="E1121" t="s">
        <v>5537</v>
      </c>
      <c r="F1121" t="s">
        <v>1096</v>
      </c>
    </row>
    <row r="1122" spans="1:6" x14ac:dyDescent="0.3">
      <c r="A1122" s="58" t="s">
        <v>1097</v>
      </c>
      <c r="B1122" t="s">
        <v>5384</v>
      </c>
      <c r="C1122" t="s">
        <v>4935</v>
      </c>
      <c r="D1122" t="s">
        <v>3369</v>
      </c>
      <c r="E1122" t="s">
        <v>5537</v>
      </c>
      <c r="F1122" t="s">
        <v>1097</v>
      </c>
    </row>
    <row r="1123" spans="1:6" x14ac:dyDescent="0.3">
      <c r="A1123" s="58" t="s">
        <v>1098</v>
      </c>
      <c r="B1123" t="s">
        <v>5384</v>
      </c>
      <c r="C1123" t="s">
        <v>4935</v>
      </c>
      <c r="D1123" t="s">
        <v>3370</v>
      </c>
      <c r="E1123" t="s">
        <v>5538</v>
      </c>
      <c r="F1123" t="s">
        <v>1098</v>
      </c>
    </row>
    <row r="1124" spans="1:6" x14ac:dyDescent="0.3">
      <c r="A1124" s="58" t="s">
        <v>1099</v>
      </c>
      <c r="B1124" t="s">
        <v>5384</v>
      </c>
      <c r="C1124" t="s">
        <v>4935</v>
      </c>
      <c r="D1124" t="s">
        <v>3371</v>
      </c>
      <c r="E1124" t="s">
        <v>5538</v>
      </c>
      <c r="F1124" t="s">
        <v>1099</v>
      </c>
    </row>
    <row r="1125" spans="1:6" x14ac:dyDescent="0.3">
      <c r="A1125" s="58" t="s">
        <v>1100</v>
      </c>
      <c r="B1125" t="s">
        <v>5384</v>
      </c>
      <c r="C1125" t="s">
        <v>4935</v>
      </c>
      <c r="D1125" t="s">
        <v>3372</v>
      </c>
      <c r="E1125" t="s">
        <v>5537</v>
      </c>
      <c r="F1125" t="s">
        <v>1100</v>
      </c>
    </row>
    <row r="1126" spans="1:6" x14ac:dyDescent="0.3">
      <c r="A1126" s="58" t="s">
        <v>1101</v>
      </c>
      <c r="B1126" t="s">
        <v>5384</v>
      </c>
      <c r="C1126" t="s">
        <v>4935</v>
      </c>
      <c r="D1126" t="s">
        <v>3373</v>
      </c>
      <c r="E1126" t="s">
        <v>5537</v>
      </c>
      <c r="F1126" t="s">
        <v>1101</v>
      </c>
    </row>
    <row r="1127" spans="1:6" x14ac:dyDescent="0.3">
      <c r="A1127" s="58" t="s">
        <v>1102</v>
      </c>
      <c r="B1127" t="s">
        <v>5384</v>
      </c>
      <c r="C1127" t="s">
        <v>4935</v>
      </c>
      <c r="D1127" t="s">
        <v>3374</v>
      </c>
      <c r="E1127" t="s">
        <v>5537</v>
      </c>
      <c r="F1127" t="s">
        <v>1102</v>
      </c>
    </row>
    <row r="1128" spans="1:6" x14ac:dyDescent="0.3">
      <c r="A1128" s="58" t="s">
        <v>1103</v>
      </c>
      <c r="B1128" t="s">
        <v>5384</v>
      </c>
      <c r="C1128" t="s">
        <v>4935</v>
      </c>
      <c r="D1128" t="s">
        <v>3375</v>
      </c>
      <c r="E1128" t="s">
        <v>5537</v>
      </c>
      <c r="F1128" t="s">
        <v>1103</v>
      </c>
    </row>
    <row r="1129" spans="1:6" x14ac:dyDescent="0.3">
      <c r="A1129" s="58" t="s">
        <v>1104</v>
      </c>
      <c r="B1129" t="s">
        <v>5384</v>
      </c>
      <c r="C1129" t="s">
        <v>4935</v>
      </c>
      <c r="D1129" t="s">
        <v>2886</v>
      </c>
      <c r="E1129" t="s">
        <v>5537</v>
      </c>
      <c r="F1129" t="s">
        <v>1104</v>
      </c>
    </row>
    <row r="1130" spans="1:6" x14ac:dyDescent="0.3">
      <c r="A1130" s="58" t="s">
        <v>1105</v>
      </c>
      <c r="B1130" t="s">
        <v>5384</v>
      </c>
      <c r="C1130" t="s">
        <v>4935</v>
      </c>
      <c r="D1130" t="s">
        <v>3376</v>
      </c>
      <c r="E1130" t="s">
        <v>5537</v>
      </c>
      <c r="F1130" t="s">
        <v>1105</v>
      </c>
    </row>
    <row r="1131" spans="1:6" x14ac:dyDescent="0.3">
      <c r="A1131" s="58" t="s">
        <v>1106</v>
      </c>
      <c r="B1131" t="s">
        <v>5384</v>
      </c>
      <c r="C1131" t="s">
        <v>4935</v>
      </c>
      <c r="D1131" t="s">
        <v>3377</v>
      </c>
      <c r="E1131" t="s">
        <v>5537</v>
      </c>
      <c r="F1131" t="s">
        <v>1106</v>
      </c>
    </row>
    <row r="1132" spans="1:6" x14ac:dyDescent="0.3">
      <c r="A1132" s="58" t="s">
        <v>1107</v>
      </c>
      <c r="B1132" t="s">
        <v>5384</v>
      </c>
      <c r="C1132" t="s">
        <v>4935</v>
      </c>
      <c r="D1132" t="s">
        <v>3378</v>
      </c>
      <c r="E1132" t="s">
        <v>5538</v>
      </c>
      <c r="F1132" s="181" t="s">
        <v>5608</v>
      </c>
    </row>
    <row r="1133" spans="1:6" x14ac:dyDescent="0.3">
      <c r="A1133" s="58" t="s">
        <v>1108</v>
      </c>
      <c r="B1133" t="s">
        <v>5384</v>
      </c>
      <c r="C1133" t="s">
        <v>4935</v>
      </c>
      <c r="D1133" t="s">
        <v>3379</v>
      </c>
      <c r="E1133" t="s">
        <v>5538</v>
      </c>
      <c r="F1133" t="s">
        <v>1108</v>
      </c>
    </row>
    <row r="1134" spans="1:6" x14ac:dyDescent="0.3">
      <c r="A1134" s="58" t="s">
        <v>1109</v>
      </c>
      <c r="B1134" t="s">
        <v>5384</v>
      </c>
      <c r="C1134" t="s">
        <v>4936</v>
      </c>
      <c r="D1134" t="s">
        <v>4644</v>
      </c>
      <c r="E1134" t="s">
        <v>5536</v>
      </c>
      <c r="F1134" t="s">
        <v>1109</v>
      </c>
    </row>
    <row r="1135" spans="1:6" x14ac:dyDescent="0.3">
      <c r="A1135" s="58" t="s">
        <v>1110</v>
      </c>
      <c r="B1135" t="s">
        <v>5384</v>
      </c>
      <c r="C1135" t="s">
        <v>4936</v>
      </c>
      <c r="D1135" t="s">
        <v>4645</v>
      </c>
      <c r="E1135" t="s">
        <v>5536</v>
      </c>
      <c r="F1135" t="s">
        <v>1110</v>
      </c>
    </row>
    <row r="1136" spans="1:6" x14ac:dyDescent="0.3">
      <c r="A1136" s="58" t="s">
        <v>1111</v>
      </c>
      <c r="B1136" t="s">
        <v>5384</v>
      </c>
      <c r="C1136" t="s">
        <v>4936</v>
      </c>
      <c r="D1136" t="s">
        <v>3380</v>
      </c>
      <c r="E1136" t="s">
        <v>5537</v>
      </c>
      <c r="F1136" t="s">
        <v>1111</v>
      </c>
    </row>
    <row r="1137" spans="1:6" x14ac:dyDescent="0.3">
      <c r="A1137" s="58" t="s">
        <v>5399</v>
      </c>
      <c r="B1137" t="s">
        <v>5384</v>
      </c>
      <c r="C1137" t="s">
        <v>4936</v>
      </c>
      <c r="D1137" t="s">
        <v>3381</v>
      </c>
      <c r="E1137" t="s">
        <v>5538</v>
      </c>
      <c r="F1137" t="s">
        <v>5399</v>
      </c>
    </row>
    <row r="1138" spans="1:6" x14ac:dyDescent="0.3">
      <c r="A1138" s="58" t="s">
        <v>1112</v>
      </c>
      <c r="B1138" t="s">
        <v>5384</v>
      </c>
      <c r="C1138" t="s">
        <v>4936</v>
      </c>
      <c r="D1138" t="s">
        <v>3382</v>
      </c>
      <c r="E1138" t="s">
        <v>5537</v>
      </c>
      <c r="F1138" t="s">
        <v>1112</v>
      </c>
    </row>
    <row r="1139" spans="1:6" x14ac:dyDescent="0.3">
      <c r="A1139" s="58" t="s">
        <v>1113</v>
      </c>
      <c r="B1139" t="s">
        <v>5384</v>
      </c>
      <c r="C1139" t="s">
        <v>4936</v>
      </c>
      <c r="D1139" t="s">
        <v>3383</v>
      </c>
      <c r="E1139" t="s">
        <v>5537</v>
      </c>
      <c r="F1139" t="s">
        <v>1113</v>
      </c>
    </row>
    <row r="1140" spans="1:6" x14ac:dyDescent="0.3">
      <c r="A1140" s="58" t="s">
        <v>1114</v>
      </c>
      <c r="B1140" t="s">
        <v>5384</v>
      </c>
      <c r="C1140" t="s">
        <v>4936</v>
      </c>
      <c r="D1140" t="s">
        <v>3384</v>
      </c>
      <c r="E1140" t="s">
        <v>5537</v>
      </c>
      <c r="F1140" t="s">
        <v>1114</v>
      </c>
    </row>
    <row r="1141" spans="1:6" x14ac:dyDescent="0.3">
      <c r="A1141" s="58" t="s">
        <v>1115</v>
      </c>
      <c r="B1141" t="s">
        <v>5384</v>
      </c>
      <c r="C1141" t="s">
        <v>4936</v>
      </c>
      <c r="D1141" t="s">
        <v>3385</v>
      </c>
      <c r="E1141" t="s">
        <v>5538</v>
      </c>
      <c r="F1141" t="s">
        <v>5472</v>
      </c>
    </row>
    <row r="1142" spans="1:6" x14ac:dyDescent="0.3">
      <c r="A1142" s="58" t="s">
        <v>1116</v>
      </c>
      <c r="B1142" t="s">
        <v>5384</v>
      </c>
      <c r="C1142" t="s">
        <v>4936</v>
      </c>
      <c r="D1142" t="s">
        <v>4646</v>
      </c>
      <c r="E1142" t="s">
        <v>5537</v>
      </c>
      <c r="F1142" t="s">
        <v>1116</v>
      </c>
    </row>
    <row r="1143" spans="1:6" x14ac:dyDescent="0.3">
      <c r="A1143" s="58" t="s">
        <v>1117</v>
      </c>
      <c r="B1143" t="s">
        <v>5384</v>
      </c>
      <c r="C1143" t="s">
        <v>4936</v>
      </c>
      <c r="D1143" t="s">
        <v>4647</v>
      </c>
      <c r="E1143" t="s">
        <v>5537</v>
      </c>
      <c r="F1143" t="s">
        <v>1117</v>
      </c>
    </row>
    <row r="1144" spans="1:6" x14ac:dyDescent="0.3">
      <c r="A1144" s="58" t="s">
        <v>5437</v>
      </c>
      <c r="B1144" t="s">
        <v>5384</v>
      </c>
      <c r="C1144" t="s">
        <v>4936</v>
      </c>
      <c r="D1144" t="s">
        <v>3386</v>
      </c>
      <c r="E1144" t="s">
        <v>5538</v>
      </c>
      <c r="F1144" t="s">
        <v>5437</v>
      </c>
    </row>
    <row r="1145" spans="1:6" x14ac:dyDescent="0.3">
      <c r="A1145" s="58" t="s">
        <v>1118</v>
      </c>
      <c r="B1145" t="s">
        <v>5384</v>
      </c>
      <c r="C1145" t="s">
        <v>4936</v>
      </c>
      <c r="D1145" t="s">
        <v>3387</v>
      </c>
      <c r="E1145" t="s">
        <v>5537</v>
      </c>
      <c r="F1145" t="s">
        <v>1118</v>
      </c>
    </row>
    <row r="1146" spans="1:6" x14ac:dyDescent="0.3">
      <c r="A1146" s="58" t="s">
        <v>1119</v>
      </c>
      <c r="B1146" t="s">
        <v>5384</v>
      </c>
      <c r="C1146" t="s">
        <v>4937</v>
      </c>
      <c r="D1146" t="s">
        <v>3388</v>
      </c>
      <c r="E1146" t="s">
        <v>5536</v>
      </c>
      <c r="F1146" t="s">
        <v>1119</v>
      </c>
    </row>
    <row r="1147" spans="1:6" x14ac:dyDescent="0.3">
      <c r="A1147" s="58" t="s">
        <v>1120</v>
      </c>
      <c r="B1147" t="s">
        <v>5384</v>
      </c>
      <c r="C1147" t="s">
        <v>4937</v>
      </c>
      <c r="D1147" t="s">
        <v>3389</v>
      </c>
      <c r="E1147" t="s">
        <v>5536</v>
      </c>
      <c r="F1147" t="s">
        <v>1120</v>
      </c>
    </row>
    <row r="1148" spans="1:6" x14ac:dyDescent="0.3">
      <c r="A1148" s="58" t="s">
        <v>1121</v>
      </c>
      <c r="B1148" t="s">
        <v>5384</v>
      </c>
      <c r="C1148" t="s">
        <v>4937</v>
      </c>
      <c r="D1148" t="s">
        <v>3390</v>
      </c>
      <c r="E1148" t="s">
        <v>5538</v>
      </c>
      <c r="F1148" t="s">
        <v>1121</v>
      </c>
    </row>
    <row r="1149" spans="1:6" x14ac:dyDescent="0.3">
      <c r="A1149" s="58" t="s">
        <v>1122</v>
      </c>
      <c r="B1149" t="s">
        <v>5384</v>
      </c>
      <c r="C1149" t="s">
        <v>4937</v>
      </c>
      <c r="D1149" t="s">
        <v>3115</v>
      </c>
      <c r="E1149" t="s">
        <v>5537</v>
      </c>
      <c r="F1149" t="s">
        <v>1122</v>
      </c>
    </row>
    <row r="1150" spans="1:6" x14ac:dyDescent="0.3">
      <c r="A1150" s="58" t="s">
        <v>1123</v>
      </c>
      <c r="B1150" t="s">
        <v>5384</v>
      </c>
      <c r="C1150" t="s">
        <v>4937</v>
      </c>
      <c r="D1150" t="s">
        <v>3391</v>
      </c>
      <c r="E1150" t="s">
        <v>5537</v>
      </c>
      <c r="F1150" t="s">
        <v>1123</v>
      </c>
    </row>
    <row r="1151" spans="1:6" x14ac:dyDescent="0.3">
      <c r="A1151" s="58" t="s">
        <v>1124</v>
      </c>
      <c r="B1151" t="s">
        <v>5384</v>
      </c>
      <c r="C1151" t="s">
        <v>4937</v>
      </c>
      <c r="D1151" t="s">
        <v>3392</v>
      </c>
      <c r="E1151" t="s">
        <v>5537</v>
      </c>
      <c r="F1151" t="s">
        <v>1124</v>
      </c>
    </row>
    <row r="1152" spans="1:6" x14ac:dyDescent="0.3">
      <c r="A1152" s="58" t="s">
        <v>1125</v>
      </c>
      <c r="B1152" t="s">
        <v>5384</v>
      </c>
      <c r="C1152" t="s">
        <v>4938</v>
      </c>
      <c r="D1152" t="s">
        <v>4648</v>
      </c>
      <c r="E1152" t="s">
        <v>5536</v>
      </c>
      <c r="F1152" t="s">
        <v>1125</v>
      </c>
    </row>
    <row r="1153" spans="1:6" x14ac:dyDescent="0.3">
      <c r="A1153" s="58" t="s">
        <v>1126</v>
      </c>
      <c r="B1153" t="s">
        <v>5384</v>
      </c>
      <c r="C1153" t="s">
        <v>4938</v>
      </c>
      <c r="D1153" t="s">
        <v>3393</v>
      </c>
      <c r="E1153" t="s">
        <v>5538</v>
      </c>
      <c r="F1153" t="s">
        <v>1126</v>
      </c>
    </row>
    <row r="1154" spans="1:6" x14ac:dyDescent="0.3">
      <c r="A1154" s="58" t="s">
        <v>1127</v>
      </c>
      <c r="B1154" t="s">
        <v>5384</v>
      </c>
      <c r="C1154" t="s">
        <v>4938</v>
      </c>
      <c r="D1154" t="s">
        <v>3394</v>
      </c>
      <c r="E1154" t="s">
        <v>5537</v>
      </c>
      <c r="F1154" t="s">
        <v>1127</v>
      </c>
    </row>
    <row r="1155" spans="1:6" x14ac:dyDescent="0.3">
      <c r="A1155" s="58" t="s">
        <v>1128</v>
      </c>
      <c r="B1155" t="s">
        <v>5384</v>
      </c>
      <c r="C1155" t="s">
        <v>4938</v>
      </c>
      <c r="D1155" t="s">
        <v>3395</v>
      </c>
      <c r="E1155" t="s">
        <v>5537</v>
      </c>
      <c r="F1155" t="s">
        <v>1128</v>
      </c>
    </row>
    <row r="1156" spans="1:6" x14ac:dyDescent="0.3">
      <c r="A1156" s="58" t="s">
        <v>1129</v>
      </c>
      <c r="B1156" t="s">
        <v>5384</v>
      </c>
      <c r="C1156" t="s">
        <v>4938</v>
      </c>
      <c r="D1156" t="s">
        <v>3396</v>
      </c>
      <c r="E1156" t="s">
        <v>5537</v>
      </c>
      <c r="F1156" t="s">
        <v>1129</v>
      </c>
    </row>
    <row r="1157" spans="1:6" x14ac:dyDescent="0.3">
      <c r="A1157" s="58" t="s">
        <v>1130</v>
      </c>
      <c r="B1157" t="s">
        <v>5384</v>
      </c>
      <c r="C1157" t="s">
        <v>4938</v>
      </c>
      <c r="D1157" t="s">
        <v>3397</v>
      </c>
      <c r="E1157" t="s">
        <v>5537</v>
      </c>
      <c r="F1157" t="s">
        <v>1130</v>
      </c>
    </row>
    <row r="1158" spans="1:6" x14ac:dyDescent="0.3">
      <c r="A1158" s="58" t="s">
        <v>1131</v>
      </c>
      <c r="B1158" t="s">
        <v>5384</v>
      </c>
      <c r="C1158" t="s">
        <v>4938</v>
      </c>
      <c r="D1158" t="s">
        <v>4649</v>
      </c>
      <c r="E1158" t="s">
        <v>5537</v>
      </c>
      <c r="F1158" t="s">
        <v>1131</v>
      </c>
    </row>
    <row r="1159" spans="1:6" x14ac:dyDescent="0.3">
      <c r="A1159" s="58" t="s">
        <v>1132</v>
      </c>
      <c r="B1159" t="s">
        <v>5384</v>
      </c>
      <c r="C1159" t="s">
        <v>4939</v>
      </c>
      <c r="D1159" t="s">
        <v>3398</v>
      </c>
      <c r="E1159" t="s">
        <v>5537</v>
      </c>
      <c r="F1159" t="s">
        <v>1132</v>
      </c>
    </row>
    <row r="1160" spans="1:6" x14ac:dyDescent="0.3">
      <c r="A1160" s="58" t="s">
        <v>1133</v>
      </c>
      <c r="B1160" t="s">
        <v>5384</v>
      </c>
      <c r="C1160" t="s">
        <v>4939</v>
      </c>
      <c r="D1160" t="s">
        <v>3399</v>
      </c>
      <c r="E1160" t="s">
        <v>5538</v>
      </c>
      <c r="F1160" t="s">
        <v>5514</v>
      </c>
    </row>
    <row r="1161" spans="1:6" x14ac:dyDescent="0.3">
      <c r="A1161" s="58" t="s">
        <v>1134</v>
      </c>
      <c r="B1161" t="s">
        <v>5384</v>
      </c>
      <c r="C1161" t="s">
        <v>4939</v>
      </c>
      <c r="D1161" t="s">
        <v>3400</v>
      </c>
      <c r="E1161" t="s">
        <v>5537</v>
      </c>
      <c r="F1161" t="s">
        <v>1134</v>
      </c>
    </row>
    <row r="1162" spans="1:6" x14ac:dyDescent="0.3">
      <c r="A1162" s="58" t="s">
        <v>1135</v>
      </c>
      <c r="B1162" t="s">
        <v>5384</v>
      </c>
      <c r="C1162" t="s">
        <v>4939</v>
      </c>
      <c r="D1162" t="s">
        <v>3401</v>
      </c>
      <c r="E1162" t="s">
        <v>5538</v>
      </c>
      <c r="F1162" t="s">
        <v>5515</v>
      </c>
    </row>
    <row r="1163" spans="1:6" x14ac:dyDescent="0.3">
      <c r="A1163" s="58" t="s">
        <v>1136</v>
      </c>
      <c r="B1163" t="s">
        <v>5384</v>
      </c>
      <c r="C1163" t="s">
        <v>4939</v>
      </c>
      <c r="D1163" t="s">
        <v>3402</v>
      </c>
      <c r="E1163" t="s">
        <v>5537</v>
      </c>
      <c r="F1163" t="s">
        <v>1136</v>
      </c>
    </row>
    <row r="1164" spans="1:6" x14ac:dyDescent="0.3">
      <c r="A1164" s="58" t="s">
        <v>1137</v>
      </c>
      <c r="B1164" t="s">
        <v>5384</v>
      </c>
      <c r="C1164" t="s">
        <v>4939</v>
      </c>
      <c r="D1164" t="s">
        <v>3403</v>
      </c>
      <c r="E1164" t="s">
        <v>5538</v>
      </c>
      <c r="F1164" t="s">
        <v>1137</v>
      </c>
    </row>
    <row r="1165" spans="1:6" x14ac:dyDescent="0.3">
      <c r="A1165" s="58" t="s">
        <v>1138</v>
      </c>
      <c r="B1165" t="s">
        <v>5384</v>
      </c>
      <c r="C1165" t="s">
        <v>4939</v>
      </c>
      <c r="D1165" t="s">
        <v>3404</v>
      </c>
      <c r="E1165" t="s">
        <v>5537</v>
      </c>
      <c r="F1165" t="s">
        <v>1138</v>
      </c>
    </row>
    <row r="1166" spans="1:6" x14ac:dyDescent="0.3">
      <c r="A1166" s="58" t="s">
        <v>1139</v>
      </c>
      <c r="B1166" t="s">
        <v>5384</v>
      </c>
      <c r="C1166" t="s">
        <v>4939</v>
      </c>
      <c r="D1166" t="s">
        <v>3405</v>
      </c>
      <c r="E1166" t="s">
        <v>5537</v>
      </c>
      <c r="F1166" t="s">
        <v>1139</v>
      </c>
    </row>
    <row r="1167" spans="1:6" x14ac:dyDescent="0.3">
      <c r="A1167" s="58" t="s">
        <v>1140</v>
      </c>
      <c r="B1167" t="s">
        <v>5384</v>
      </c>
      <c r="C1167" t="s">
        <v>4940</v>
      </c>
      <c r="D1167" t="s">
        <v>3406</v>
      </c>
      <c r="E1167" t="s">
        <v>5537</v>
      </c>
      <c r="F1167" t="s">
        <v>1140</v>
      </c>
    </row>
    <row r="1168" spans="1:6" x14ac:dyDescent="0.3">
      <c r="A1168" s="58" t="s">
        <v>1141</v>
      </c>
      <c r="B1168" t="s">
        <v>5384</v>
      </c>
      <c r="C1168" t="s">
        <v>4940</v>
      </c>
      <c r="D1168" t="s">
        <v>3407</v>
      </c>
      <c r="E1168" t="s">
        <v>5537</v>
      </c>
      <c r="F1168" t="s">
        <v>1141</v>
      </c>
    </row>
    <row r="1169" spans="1:6" x14ac:dyDescent="0.3">
      <c r="A1169" s="58" t="s">
        <v>1142</v>
      </c>
      <c r="B1169" t="s">
        <v>5384</v>
      </c>
      <c r="C1169" t="s">
        <v>4940</v>
      </c>
      <c r="D1169" t="s">
        <v>3408</v>
      </c>
      <c r="E1169" t="s">
        <v>5537</v>
      </c>
      <c r="F1169" t="s">
        <v>1142</v>
      </c>
    </row>
    <row r="1170" spans="1:6" x14ac:dyDescent="0.3">
      <c r="A1170" s="58" t="s">
        <v>1143</v>
      </c>
      <c r="B1170" t="s">
        <v>5384</v>
      </c>
      <c r="C1170" t="s">
        <v>4940</v>
      </c>
      <c r="D1170" t="s">
        <v>3409</v>
      </c>
      <c r="E1170" t="s">
        <v>5538</v>
      </c>
      <c r="F1170" t="s">
        <v>1143</v>
      </c>
    </row>
    <row r="1171" spans="1:6" x14ac:dyDescent="0.3">
      <c r="A1171" s="58" t="s">
        <v>1144</v>
      </c>
      <c r="B1171" t="s">
        <v>5384</v>
      </c>
      <c r="C1171" t="s">
        <v>4940</v>
      </c>
      <c r="D1171" t="s">
        <v>3410</v>
      </c>
      <c r="E1171" t="s">
        <v>5537</v>
      </c>
      <c r="F1171" t="s">
        <v>1144</v>
      </c>
    </row>
    <row r="1172" spans="1:6" x14ac:dyDescent="0.3">
      <c r="A1172" s="58" t="s">
        <v>1145</v>
      </c>
      <c r="B1172" t="s">
        <v>5384</v>
      </c>
      <c r="C1172" t="s">
        <v>4940</v>
      </c>
      <c r="D1172" t="s">
        <v>3411</v>
      </c>
      <c r="E1172" t="s">
        <v>5537</v>
      </c>
      <c r="F1172" t="s">
        <v>1145</v>
      </c>
    </row>
    <row r="1173" spans="1:6" x14ac:dyDescent="0.3">
      <c r="A1173" s="58" t="s">
        <v>1146</v>
      </c>
      <c r="B1173" t="s">
        <v>5384</v>
      </c>
      <c r="C1173" t="s">
        <v>4940</v>
      </c>
      <c r="D1173" t="s">
        <v>3412</v>
      </c>
      <c r="E1173" t="s">
        <v>5537</v>
      </c>
      <c r="F1173" t="s">
        <v>1146</v>
      </c>
    </row>
    <row r="1174" spans="1:6" x14ac:dyDescent="0.3">
      <c r="A1174" s="58" t="s">
        <v>1147</v>
      </c>
      <c r="B1174" t="s">
        <v>5384</v>
      </c>
      <c r="C1174" t="s">
        <v>4941</v>
      </c>
      <c r="D1174" t="s">
        <v>4650</v>
      </c>
      <c r="E1174" t="s">
        <v>5536</v>
      </c>
      <c r="F1174" t="s">
        <v>1147</v>
      </c>
    </row>
    <row r="1175" spans="1:6" x14ac:dyDescent="0.3">
      <c r="A1175" s="58" t="s">
        <v>1148</v>
      </c>
      <c r="B1175" t="s">
        <v>5384</v>
      </c>
      <c r="C1175" t="s">
        <v>4941</v>
      </c>
      <c r="D1175" t="s">
        <v>3413</v>
      </c>
      <c r="E1175" t="s">
        <v>5537</v>
      </c>
      <c r="F1175" t="s">
        <v>1148</v>
      </c>
    </row>
    <row r="1176" spans="1:6" x14ac:dyDescent="0.3">
      <c r="A1176" s="58" t="s">
        <v>1149</v>
      </c>
      <c r="B1176" t="s">
        <v>5384</v>
      </c>
      <c r="C1176" t="s">
        <v>4941</v>
      </c>
      <c r="D1176" t="s">
        <v>3414</v>
      </c>
      <c r="E1176" t="s">
        <v>5538</v>
      </c>
      <c r="F1176" t="s">
        <v>1149</v>
      </c>
    </row>
    <row r="1177" spans="1:6" x14ac:dyDescent="0.3">
      <c r="A1177" s="58" t="s">
        <v>1150</v>
      </c>
      <c r="B1177" t="s">
        <v>5384</v>
      </c>
      <c r="C1177" t="s">
        <v>4941</v>
      </c>
      <c r="D1177" t="s">
        <v>3415</v>
      </c>
      <c r="E1177" t="s">
        <v>5537</v>
      </c>
      <c r="F1177" t="s">
        <v>1150</v>
      </c>
    </row>
    <row r="1178" spans="1:6" x14ac:dyDescent="0.3">
      <c r="A1178" s="58" t="s">
        <v>1151</v>
      </c>
      <c r="B1178" t="s">
        <v>5384</v>
      </c>
      <c r="C1178" t="s">
        <v>4941</v>
      </c>
      <c r="D1178" t="s">
        <v>3416</v>
      </c>
      <c r="E1178" t="s">
        <v>5537</v>
      </c>
      <c r="F1178" t="s">
        <v>1151</v>
      </c>
    </row>
    <row r="1179" spans="1:6" x14ac:dyDescent="0.3">
      <c r="A1179" s="58" t="s">
        <v>1152</v>
      </c>
      <c r="B1179" t="s">
        <v>5384</v>
      </c>
      <c r="C1179" t="s">
        <v>4941</v>
      </c>
      <c r="D1179" t="s">
        <v>3417</v>
      </c>
      <c r="E1179" t="s">
        <v>5538</v>
      </c>
      <c r="F1179" t="s">
        <v>5469</v>
      </c>
    </row>
    <row r="1180" spans="1:6" x14ac:dyDescent="0.3">
      <c r="A1180" s="58" t="s">
        <v>1153</v>
      </c>
      <c r="B1180" t="s">
        <v>5384</v>
      </c>
      <c r="C1180" t="s">
        <v>4941</v>
      </c>
      <c r="D1180" t="s">
        <v>3418</v>
      </c>
      <c r="E1180" t="s">
        <v>5537</v>
      </c>
      <c r="F1180" t="s">
        <v>1153</v>
      </c>
    </row>
    <row r="1181" spans="1:6" x14ac:dyDescent="0.3">
      <c r="A1181" s="58" t="s">
        <v>1154</v>
      </c>
      <c r="B1181" t="s">
        <v>5384</v>
      </c>
      <c r="C1181" t="s">
        <v>4941</v>
      </c>
      <c r="D1181" t="s">
        <v>4651</v>
      </c>
      <c r="E1181" t="s">
        <v>5537</v>
      </c>
      <c r="F1181" t="s">
        <v>1154</v>
      </c>
    </row>
    <row r="1182" spans="1:6" x14ac:dyDescent="0.3">
      <c r="A1182" s="58" t="s">
        <v>1155</v>
      </c>
      <c r="B1182" t="s">
        <v>5384</v>
      </c>
      <c r="C1182" t="s">
        <v>4941</v>
      </c>
      <c r="D1182" t="s">
        <v>3419</v>
      </c>
      <c r="E1182" t="s">
        <v>5538</v>
      </c>
      <c r="F1182" t="s">
        <v>5516</v>
      </c>
    </row>
    <row r="1183" spans="1:6" x14ac:dyDescent="0.3">
      <c r="A1183" s="58" t="s">
        <v>1156</v>
      </c>
      <c r="B1183" t="s">
        <v>5384</v>
      </c>
      <c r="C1183" t="s">
        <v>4941</v>
      </c>
      <c r="D1183" t="s">
        <v>3420</v>
      </c>
      <c r="E1183" t="s">
        <v>5538</v>
      </c>
      <c r="F1183" t="s">
        <v>1156</v>
      </c>
    </row>
    <row r="1184" spans="1:6" x14ac:dyDescent="0.3">
      <c r="A1184" s="58" t="s">
        <v>1157</v>
      </c>
      <c r="B1184" t="s">
        <v>5384</v>
      </c>
      <c r="C1184" t="s">
        <v>4941</v>
      </c>
      <c r="D1184" t="s">
        <v>2713</v>
      </c>
      <c r="E1184" t="s">
        <v>5537</v>
      </c>
      <c r="F1184" t="s">
        <v>1157</v>
      </c>
    </row>
    <row r="1185" spans="1:6" x14ac:dyDescent="0.3">
      <c r="A1185" s="58" t="s">
        <v>1158</v>
      </c>
      <c r="B1185" t="s">
        <v>5384</v>
      </c>
      <c r="C1185" t="s">
        <v>4941</v>
      </c>
      <c r="D1185" t="s">
        <v>3421</v>
      </c>
      <c r="E1185" t="s">
        <v>5537</v>
      </c>
      <c r="F1185" t="s">
        <v>1158</v>
      </c>
    </row>
    <row r="1186" spans="1:6" x14ac:dyDescent="0.3">
      <c r="A1186" s="58" t="s">
        <v>1159</v>
      </c>
      <c r="B1186" t="s">
        <v>5384</v>
      </c>
      <c r="C1186" t="s">
        <v>4941</v>
      </c>
      <c r="D1186" t="s">
        <v>2772</v>
      </c>
      <c r="E1186" t="s">
        <v>5537</v>
      </c>
      <c r="F1186" t="s">
        <v>1159</v>
      </c>
    </row>
    <row r="1187" spans="1:6" x14ac:dyDescent="0.3">
      <c r="A1187" s="58" t="s">
        <v>1160</v>
      </c>
      <c r="B1187" t="s">
        <v>5384</v>
      </c>
      <c r="C1187" t="s">
        <v>4942</v>
      </c>
      <c r="D1187" t="s">
        <v>3422</v>
      </c>
      <c r="E1187" t="s">
        <v>5537</v>
      </c>
      <c r="F1187" t="s">
        <v>1160</v>
      </c>
    </row>
    <row r="1188" spans="1:6" x14ac:dyDescent="0.3">
      <c r="A1188" s="58" t="s">
        <v>1161</v>
      </c>
      <c r="B1188" t="s">
        <v>5384</v>
      </c>
      <c r="C1188" t="s">
        <v>4942</v>
      </c>
      <c r="D1188" t="s">
        <v>3423</v>
      </c>
      <c r="E1188" t="s">
        <v>5537</v>
      </c>
      <c r="F1188" t="s">
        <v>1161</v>
      </c>
    </row>
    <row r="1189" spans="1:6" x14ac:dyDescent="0.3">
      <c r="A1189" s="58" t="s">
        <v>1162</v>
      </c>
      <c r="B1189" t="s">
        <v>5384</v>
      </c>
      <c r="C1189" t="s">
        <v>4942</v>
      </c>
      <c r="D1189" t="s">
        <v>3424</v>
      </c>
      <c r="E1189" t="s">
        <v>5537</v>
      </c>
      <c r="F1189" t="s">
        <v>1162</v>
      </c>
    </row>
    <row r="1190" spans="1:6" x14ac:dyDescent="0.3">
      <c r="A1190" s="58" t="s">
        <v>1163</v>
      </c>
      <c r="B1190" t="s">
        <v>5384</v>
      </c>
      <c r="C1190" t="s">
        <v>4942</v>
      </c>
      <c r="D1190" t="s">
        <v>3425</v>
      </c>
      <c r="E1190" t="s">
        <v>5537</v>
      </c>
      <c r="F1190" t="s">
        <v>1163</v>
      </c>
    </row>
    <row r="1191" spans="1:6" x14ac:dyDescent="0.3">
      <c r="A1191" s="58" t="s">
        <v>1164</v>
      </c>
      <c r="B1191" t="s">
        <v>5384</v>
      </c>
      <c r="C1191" t="s">
        <v>4942</v>
      </c>
      <c r="D1191" t="s">
        <v>3426</v>
      </c>
      <c r="E1191" t="s">
        <v>5538</v>
      </c>
      <c r="F1191" t="s">
        <v>1164</v>
      </c>
    </row>
    <row r="1192" spans="1:6" x14ac:dyDescent="0.3">
      <c r="A1192" s="58" t="s">
        <v>1165</v>
      </c>
      <c r="B1192" t="s">
        <v>5384</v>
      </c>
      <c r="C1192" t="s">
        <v>4942</v>
      </c>
      <c r="D1192" t="s">
        <v>3427</v>
      </c>
      <c r="E1192" t="s">
        <v>5537</v>
      </c>
      <c r="F1192" t="s">
        <v>1165</v>
      </c>
    </row>
    <row r="1193" spans="1:6" x14ac:dyDescent="0.3">
      <c r="A1193" s="58" t="s">
        <v>1166</v>
      </c>
      <c r="B1193" t="s">
        <v>5384</v>
      </c>
      <c r="C1193" t="s">
        <v>4942</v>
      </c>
      <c r="D1193" t="s">
        <v>3428</v>
      </c>
      <c r="E1193" t="s">
        <v>5537</v>
      </c>
      <c r="F1193" t="s">
        <v>1166</v>
      </c>
    </row>
    <row r="1194" spans="1:6" x14ac:dyDescent="0.3">
      <c r="A1194" s="58" t="s">
        <v>1167</v>
      </c>
      <c r="B1194" t="s">
        <v>5384</v>
      </c>
      <c r="C1194" t="s">
        <v>4942</v>
      </c>
      <c r="D1194" t="s">
        <v>3429</v>
      </c>
      <c r="E1194" t="s">
        <v>5537</v>
      </c>
      <c r="F1194" t="s">
        <v>1167</v>
      </c>
    </row>
    <row r="1195" spans="1:6" x14ac:dyDescent="0.3">
      <c r="A1195" s="58" t="s">
        <v>1168</v>
      </c>
      <c r="B1195" t="s">
        <v>5384</v>
      </c>
      <c r="C1195" t="s">
        <v>4942</v>
      </c>
      <c r="D1195" t="s">
        <v>3430</v>
      </c>
      <c r="E1195" t="s">
        <v>5537</v>
      </c>
      <c r="F1195" t="s">
        <v>1168</v>
      </c>
    </row>
    <row r="1196" spans="1:6" x14ac:dyDescent="0.3">
      <c r="A1196" s="58" t="s">
        <v>1169</v>
      </c>
      <c r="B1196" t="s">
        <v>5384</v>
      </c>
      <c r="C1196" t="s">
        <v>4942</v>
      </c>
      <c r="D1196" t="s">
        <v>3431</v>
      </c>
      <c r="E1196" t="s">
        <v>5537</v>
      </c>
      <c r="F1196" t="s">
        <v>1169</v>
      </c>
    </row>
    <row r="1197" spans="1:6" x14ac:dyDescent="0.3">
      <c r="A1197" s="58" t="s">
        <v>1170</v>
      </c>
      <c r="B1197" t="s">
        <v>5384</v>
      </c>
      <c r="C1197" t="s">
        <v>4942</v>
      </c>
      <c r="D1197" t="s">
        <v>3432</v>
      </c>
      <c r="E1197" t="s">
        <v>5537</v>
      </c>
      <c r="F1197" t="s">
        <v>1170</v>
      </c>
    </row>
    <row r="1198" spans="1:6" x14ac:dyDescent="0.3">
      <c r="A1198" s="58" t="s">
        <v>1171</v>
      </c>
      <c r="B1198" t="s">
        <v>5384</v>
      </c>
      <c r="C1198" t="s">
        <v>4942</v>
      </c>
      <c r="D1198" t="s">
        <v>3433</v>
      </c>
      <c r="E1198" t="s">
        <v>5537</v>
      </c>
      <c r="F1198" t="s">
        <v>1171</v>
      </c>
    </row>
    <row r="1199" spans="1:6" x14ac:dyDescent="0.3">
      <c r="A1199" s="58" t="s">
        <v>1172</v>
      </c>
      <c r="B1199" t="s">
        <v>5384</v>
      </c>
      <c r="C1199" t="s">
        <v>4942</v>
      </c>
      <c r="D1199" t="s">
        <v>3434</v>
      </c>
      <c r="E1199" t="s">
        <v>5537</v>
      </c>
      <c r="F1199" t="s">
        <v>1172</v>
      </c>
    </row>
    <row r="1200" spans="1:6" x14ac:dyDescent="0.3">
      <c r="A1200" s="58" t="s">
        <v>1173</v>
      </c>
      <c r="B1200" t="s">
        <v>5384</v>
      </c>
      <c r="C1200" t="s">
        <v>4943</v>
      </c>
      <c r="D1200" t="s">
        <v>4652</v>
      </c>
      <c r="E1200" t="s">
        <v>5536</v>
      </c>
      <c r="F1200" t="s">
        <v>1173</v>
      </c>
    </row>
    <row r="1201" spans="1:6" x14ac:dyDescent="0.3">
      <c r="A1201" s="58" t="s">
        <v>1174</v>
      </c>
      <c r="B1201" t="s">
        <v>5384</v>
      </c>
      <c r="C1201" t="s">
        <v>4943</v>
      </c>
      <c r="D1201" t="s">
        <v>3435</v>
      </c>
      <c r="E1201" t="s">
        <v>5537</v>
      </c>
      <c r="F1201" t="s">
        <v>1174</v>
      </c>
    </row>
    <row r="1202" spans="1:6" x14ac:dyDescent="0.3">
      <c r="A1202" s="58" t="s">
        <v>1175</v>
      </c>
      <c r="B1202" t="s">
        <v>5384</v>
      </c>
      <c r="C1202" t="s">
        <v>4943</v>
      </c>
      <c r="D1202" t="s">
        <v>3436</v>
      </c>
      <c r="E1202" t="s">
        <v>5537</v>
      </c>
      <c r="F1202" t="s">
        <v>1175</v>
      </c>
    </row>
    <row r="1203" spans="1:6" x14ac:dyDescent="0.3">
      <c r="A1203" s="58" t="s">
        <v>1176</v>
      </c>
      <c r="B1203" t="s">
        <v>5384</v>
      </c>
      <c r="C1203" t="s">
        <v>4943</v>
      </c>
      <c r="D1203" t="s">
        <v>3437</v>
      </c>
      <c r="E1203" t="s">
        <v>5537</v>
      </c>
      <c r="F1203" t="s">
        <v>1176</v>
      </c>
    </row>
    <row r="1204" spans="1:6" x14ac:dyDescent="0.3">
      <c r="A1204" s="58" t="s">
        <v>1177</v>
      </c>
      <c r="B1204" t="s">
        <v>5384</v>
      </c>
      <c r="C1204" t="s">
        <v>4943</v>
      </c>
      <c r="D1204" t="s">
        <v>4653</v>
      </c>
      <c r="E1204" t="s">
        <v>5537</v>
      </c>
      <c r="F1204" t="s">
        <v>1177</v>
      </c>
    </row>
    <row r="1205" spans="1:6" x14ac:dyDescent="0.3">
      <c r="A1205" s="58" t="s">
        <v>1178</v>
      </c>
      <c r="B1205" t="s">
        <v>5384</v>
      </c>
      <c r="C1205" t="s">
        <v>4943</v>
      </c>
      <c r="D1205" t="s">
        <v>3438</v>
      </c>
      <c r="E1205" t="s">
        <v>5537</v>
      </c>
      <c r="F1205" t="s">
        <v>1178</v>
      </c>
    </row>
    <row r="1206" spans="1:6" x14ac:dyDescent="0.3">
      <c r="A1206" s="58" t="s">
        <v>1179</v>
      </c>
      <c r="B1206" t="s">
        <v>5384</v>
      </c>
      <c r="C1206" t="s">
        <v>4943</v>
      </c>
      <c r="D1206" t="s">
        <v>3439</v>
      </c>
      <c r="E1206" t="s">
        <v>5537</v>
      </c>
      <c r="F1206" t="s">
        <v>1179</v>
      </c>
    </row>
    <row r="1207" spans="1:6" x14ac:dyDescent="0.3">
      <c r="A1207" s="58" t="s">
        <v>1180</v>
      </c>
      <c r="B1207" t="s">
        <v>5384</v>
      </c>
      <c r="C1207" t="s">
        <v>4944</v>
      </c>
      <c r="D1207" t="s">
        <v>4654</v>
      </c>
      <c r="E1207" t="s">
        <v>5536</v>
      </c>
      <c r="F1207" t="s">
        <v>1180</v>
      </c>
    </row>
    <row r="1208" spans="1:6" x14ac:dyDescent="0.3">
      <c r="A1208" s="58" t="s">
        <v>1181</v>
      </c>
      <c r="B1208" t="s">
        <v>5384</v>
      </c>
      <c r="C1208" t="s">
        <v>4944</v>
      </c>
      <c r="D1208" t="s">
        <v>3440</v>
      </c>
      <c r="E1208" t="s">
        <v>5537</v>
      </c>
      <c r="F1208" t="s">
        <v>1181</v>
      </c>
    </row>
    <row r="1209" spans="1:6" x14ac:dyDescent="0.3">
      <c r="A1209" s="58" t="s">
        <v>1182</v>
      </c>
      <c r="B1209" t="s">
        <v>5384</v>
      </c>
      <c r="C1209" t="s">
        <v>4944</v>
      </c>
      <c r="D1209" t="s">
        <v>3441</v>
      </c>
      <c r="E1209" t="s">
        <v>5537</v>
      </c>
      <c r="F1209" t="s">
        <v>1182</v>
      </c>
    </row>
    <row r="1210" spans="1:6" x14ac:dyDescent="0.3">
      <c r="A1210" s="58" t="s">
        <v>1183</v>
      </c>
      <c r="B1210" t="s">
        <v>5384</v>
      </c>
      <c r="C1210" t="s">
        <v>4944</v>
      </c>
      <c r="D1210" t="s">
        <v>3442</v>
      </c>
      <c r="E1210" t="s">
        <v>5537</v>
      </c>
      <c r="F1210" t="s">
        <v>1183</v>
      </c>
    </row>
    <row r="1211" spans="1:6" x14ac:dyDescent="0.3">
      <c r="A1211" s="58" t="s">
        <v>1184</v>
      </c>
      <c r="B1211" t="s">
        <v>5384</v>
      </c>
      <c r="C1211" t="s">
        <v>4944</v>
      </c>
      <c r="D1211" t="s">
        <v>3443</v>
      </c>
      <c r="E1211" t="s">
        <v>5537</v>
      </c>
      <c r="F1211" t="s">
        <v>1184</v>
      </c>
    </row>
    <row r="1212" spans="1:6" x14ac:dyDescent="0.3">
      <c r="A1212" s="58" t="s">
        <v>1185</v>
      </c>
      <c r="B1212" t="s">
        <v>5384</v>
      </c>
      <c r="C1212" t="s">
        <v>4944</v>
      </c>
      <c r="D1212" t="s">
        <v>3444</v>
      </c>
      <c r="E1212" t="s">
        <v>5537</v>
      </c>
      <c r="F1212" t="s">
        <v>1185</v>
      </c>
    </row>
    <row r="1213" spans="1:6" x14ac:dyDescent="0.3">
      <c r="A1213" s="58" t="s">
        <v>1186</v>
      </c>
      <c r="B1213" t="s">
        <v>5384</v>
      </c>
      <c r="C1213" t="s">
        <v>4944</v>
      </c>
      <c r="D1213" t="s">
        <v>4655</v>
      </c>
      <c r="E1213" t="s">
        <v>5537</v>
      </c>
      <c r="F1213" t="s">
        <v>1186</v>
      </c>
    </row>
    <row r="1214" spans="1:6" x14ac:dyDescent="0.3">
      <c r="A1214" s="58" t="s">
        <v>1187</v>
      </c>
      <c r="B1214" t="s">
        <v>5384</v>
      </c>
      <c r="C1214" t="s">
        <v>4944</v>
      </c>
      <c r="D1214" t="s">
        <v>3445</v>
      </c>
      <c r="E1214" t="s">
        <v>5537</v>
      </c>
      <c r="F1214" t="s">
        <v>1187</v>
      </c>
    </row>
    <row r="1215" spans="1:6" x14ac:dyDescent="0.3">
      <c r="A1215" s="58" t="s">
        <v>1188</v>
      </c>
      <c r="B1215" t="s">
        <v>5384</v>
      </c>
      <c r="C1215" t="s">
        <v>4945</v>
      </c>
      <c r="D1215" t="s">
        <v>4656</v>
      </c>
      <c r="E1215" t="s">
        <v>5536</v>
      </c>
      <c r="F1215" t="s">
        <v>1188</v>
      </c>
    </row>
    <row r="1216" spans="1:6" x14ac:dyDescent="0.3">
      <c r="A1216" s="58" t="s">
        <v>1189</v>
      </c>
      <c r="B1216" t="s">
        <v>5384</v>
      </c>
      <c r="C1216" t="s">
        <v>4945</v>
      </c>
      <c r="D1216" t="s">
        <v>3446</v>
      </c>
      <c r="E1216" t="s">
        <v>5537</v>
      </c>
      <c r="F1216" t="s">
        <v>1189</v>
      </c>
    </row>
    <row r="1217" spans="1:6" x14ac:dyDescent="0.3">
      <c r="A1217" s="58" t="s">
        <v>1190</v>
      </c>
      <c r="B1217" t="s">
        <v>5384</v>
      </c>
      <c r="C1217" t="s">
        <v>4945</v>
      </c>
      <c r="D1217" t="s">
        <v>3447</v>
      </c>
      <c r="E1217" t="s">
        <v>5537</v>
      </c>
      <c r="F1217" t="s">
        <v>1190</v>
      </c>
    </row>
    <row r="1218" spans="1:6" x14ac:dyDescent="0.3">
      <c r="A1218" s="58" t="s">
        <v>1191</v>
      </c>
      <c r="B1218" t="s">
        <v>5384</v>
      </c>
      <c r="C1218" t="s">
        <v>4945</v>
      </c>
      <c r="D1218" t="s">
        <v>3448</v>
      </c>
      <c r="E1218" t="s">
        <v>5537</v>
      </c>
      <c r="F1218" t="s">
        <v>1191</v>
      </c>
    </row>
    <row r="1219" spans="1:6" x14ac:dyDescent="0.3">
      <c r="A1219" s="58" t="s">
        <v>1192</v>
      </c>
      <c r="B1219" t="s">
        <v>5384</v>
      </c>
      <c r="C1219" t="s">
        <v>4945</v>
      </c>
      <c r="D1219" t="s">
        <v>3449</v>
      </c>
      <c r="E1219" t="s">
        <v>5538</v>
      </c>
      <c r="F1219" t="s">
        <v>1192</v>
      </c>
    </row>
    <row r="1220" spans="1:6" x14ac:dyDescent="0.3">
      <c r="A1220" s="58" t="s">
        <v>1193</v>
      </c>
      <c r="B1220" t="s">
        <v>5384</v>
      </c>
      <c r="C1220" t="s">
        <v>4945</v>
      </c>
      <c r="D1220" t="s">
        <v>3450</v>
      </c>
      <c r="E1220" t="s">
        <v>5537</v>
      </c>
      <c r="F1220" t="s">
        <v>1193</v>
      </c>
    </row>
    <row r="1221" spans="1:6" x14ac:dyDescent="0.3">
      <c r="A1221" s="58" t="s">
        <v>1194</v>
      </c>
      <c r="B1221" t="s">
        <v>5384</v>
      </c>
      <c r="C1221" t="s">
        <v>4945</v>
      </c>
      <c r="D1221" t="s">
        <v>3451</v>
      </c>
      <c r="E1221" t="s">
        <v>5537</v>
      </c>
      <c r="F1221" t="s">
        <v>1194</v>
      </c>
    </row>
    <row r="1222" spans="1:6" x14ac:dyDescent="0.3">
      <c r="A1222" s="58" t="s">
        <v>1195</v>
      </c>
      <c r="B1222" t="s">
        <v>5384</v>
      </c>
      <c r="C1222" t="s">
        <v>4945</v>
      </c>
      <c r="D1222" t="s">
        <v>4657</v>
      </c>
      <c r="E1222" t="s">
        <v>5537</v>
      </c>
      <c r="F1222" t="s">
        <v>1195</v>
      </c>
    </row>
    <row r="1223" spans="1:6" x14ac:dyDescent="0.3">
      <c r="A1223" s="58" t="s">
        <v>1196</v>
      </c>
      <c r="B1223" t="s">
        <v>5384</v>
      </c>
      <c r="C1223" t="s">
        <v>4945</v>
      </c>
      <c r="D1223" t="s">
        <v>3452</v>
      </c>
      <c r="E1223" t="s">
        <v>5537</v>
      </c>
      <c r="F1223" t="s">
        <v>1196</v>
      </c>
    </row>
    <row r="1224" spans="1:6" x14ac:dyDescent="0.3">
      <c r="A1224" s="58" t="s">
        <v>1197</v>
      </c>
      <c r="B1224" t="s">
        <v>5384</v>
      </c>
      <c r="C1224" t="s">
        <v>4946</v>
      </c>
      <c r="D1224" t="s">
        <v>3453</v>
      </c>
      <c r="E1224" t="s">
        <v>5537</v>
      </c>
      <c r="F1224" t="s">
        <v>1197</v>
      </c>
    </row>
    <row r="1225" spans="1:6" x14ac:dyDescent="0.3">
      <c r="A1225" s="58" t="s">
        <v>1198</v>
      </c>
      <c r="B1225" t="s">
        <v>5384</v>
      </c>
      <c r="C1225" t="s">
        <v>4946</v>
      </c>
      <c r="D1225" t="s">
        <v>3454</v>
      </c>
      <c r="E1225" t="s">
        <v>5538</v>
      </c>
      <c r="F1225" t="s">
        <v>5517</v>
      </c>
    </row>
    <row r="1226" spans="1:6" x14ac:dyDescent="0.3">
      <c r="A1226" s="58" t="s">
        <v>1199</v>
      </c>
      <c r="B1226" t="s">
        <v>5384</v>
      </c>
      <c r="C1226" t="s">
        <v>4946</v>
      </c>
      <c r="D1226" t="s">
        <v>3455</v>
      </c>
      <c r="E1226" t="s">
        <v>5537</v>
      </c>
      <c r="F1226" t="s">
        <v>1199</v>
      </c>
    </row>
    <row r="1227" spans="1:6" x14ac:dyDescent="0.3">
      <c r="A1227" s="58" t="s">
        <v>1200</v>
      </c>
      <c r="B1227" t="s">
        <v>5384</v>
      </c>
      <c r="C1227" t="s">
        <v>4946</v>
      </c>
      <c r="D1227" t="s">
        <v>3456</v>
      </c>
      <c r="E1227" t="s">
        <v>5537</v>
      </c>
      <c r="F1227" t="s">
        <v>1200</v>
      </c>
    </row>
    <row r="1228" spans="1:6" x14ac:dyDescent="0.3">
      <c r="A1228" s="58" t="s">
        <v>1201</v>
      </c>
      <c r="B1228" t="s">
        <v>5384</v>
      </c>
      <c r="C1228" t="s">
        <v>4946</v>
      </c>
      <c r="D1228" t="s">
        <v>3457</v>
      </c>
      <c r="E1228" t="s">
        <v>5538</v>
      </c>
      <c r="F1228" t="s">
        <v>1201</v>
      </c>
    </row>
    <row r="1229" spans="1:6" x14ac:dyDescent="0.3">
      <c r="A1229" s="58" t="s">
        <v>1202</v>
      </c>
      <c r="B1229" t="s">
        <v>5384</v>
      </c>
      <c r="C1229" t="s">
        <v>4947</v>
      </c>
      <c r="D1229" t="s">
        <v>3458</v>
      </c>
      <c r="E1229" t="s">
        <v>5538</v>
      </c>
      <c r="F1229" t="s">
        <v>1202</v>
      </c>
    </row>
    <row r="1230" spans="1:6" x14ac:dyDescent="0.3">
      <c r="A1230" s="58" t="s">
        <v>1203</v>
      </c>
      <c r="B1230" t="s">
        <v>5384</v>
      </c>
      <c r="C1230" t="s">
        <v>4947</v>
      </c>
      <c r="D1230" t="s">
        <v>3459</v>
      </c>
      <c r="E1230" t="s">
        <v>5537</v>
      </c>
      <c r="F1230" t="s">
        <v>1203</v>
      </c>
    </row>
    <row r="1231" spans="1:6" x14ac:dyDescent="0.3">
      <c r="A1231" s="58" t="s">
        <v>1204</v>
      </c>
      <c r="B1231" t="s">
        <v>5384</v>
      </c>
      <c r="C1231" t="s">
        <v>4947</v>
      </c>
      <c r="D1231" t="s">
        <v>3460</v>
      </c>
      <c r="E1231" t="s">
        <v>5537</v>
      </c>
      <c r="F1231" t="s">
        <v>1204</v>
      </c>
    </row>
    <row r="1232" spans="1:6" x14ac:dyDescent="0.3">
      <c r="A1232" s="58" t="s">
        <v>1205</v>
      </c>
      <c r="B1232" t="s">
        <v>5384</v>
      </c>
      <c r="C1232" t="s">
        <v>4947</v>
      </c>
      <c r="D1232" t="s">
        <v>3461</v>
      </c>
      <c r="E1232" t="s">
        <v>5537</v>
      </c>
      <c r="F1232" t="s">
        <v>1205</v>
      </c>
    </row>
    <row r="1233" spans="1:6" x14ac:dyDescent="0.3">
      <c r="A1233" s="58" t="s">
        <v>1206</v>
      </c>
      <c r="B1233" t="s">
        <v>5384</v>
      </c>
      <c r="C1233" t="s">
        <v>4947</v>
      </c>
      <c r="D1233" t="s">
        <v>3462</v>
      </c>
      <c r="E1233" t="s">
        <v>5538</v>
      </c>
      <c r="F1233" t="s">
        <v>1206</v>
      </c>
    </row>
    <row r="1234" spans="1:6" x14ac:dyDescent="0.3">
      <c r="A1234" s="58" t="s">
        <v>1207</v>
      </c>
      <c r="B1234" t="s">
        <v>5384</v>
      </c>
      <c r="C1234" t="s">
        <v>4947</v>
      </c>
      <c r="D1234" t="s">
        <v>3463</v>
      </c>
      <c r="E1234" t="s">
        <v>5538</v>
      </c>
      <c r="F1234" t="s">
        <v>1207</v>
      </c>
    </row>
    <row r="1235" spans="1:6" x14ac:dyDescent="0.3">
      <c r="A1235" s="58" t="s">
        <v>1208</v>
      </c>
      <c r="B1235" t="s">
        <v>5384</v>
      </c>
      <c r="C1235" t="s">
        <v>4947</v>
      </c>
      <c r="D1235" t="s">
        <v>3464</v>
      </c>
      <c r="E1235" t="s">
        <v>5537</v>
      </c>
      <c r="F1235" t="s">
        <v>1208</v>
      </c>
    </row>
    <row r="1236" spans="1:6" x14ac:dyDescent="0.3">
      <c r="A1236" s="58" t="s">
        <v>1209</v>
      </c>
      <c r="B1236" t="s">
        <v>5384</v>
      </c>
      <c r="C1236" t="s">
        <v>4948</v>
      </c>
      <c r="D1236" t="s">
        <v>3465</v>
      </c>
      <c r="E1236" t="s">
        <v>5536</v>
      </c>
      <c r="F1236" t="s">
        <v>1209</v>
      </c>
    </row>
    <row r="1237" spans="1:6" x14ac:dyDescent="0.3">
      <c r="A1237" s="58" t="s">
        <v>1210</v>
      </c>
      <c r="B1237" t="s">
        <v>5384</v>
      </c>
      <c r="C1237" t="s">
        <v>4948</v>
      </c>
      <c r="D1237" t="s">
        <v>3466</v>
      </c>
      <c r="E1237" t="s">
        <v>5537</v>
      </c>
      <c r="F1237" t="s">
        <v>1210</v>
      </c>
    </row>
    <row r="1238" spans="1:6" x14ac:dyDescent="0.3">
      <c r="A1238" s="58" t="s">
        <v>1211</v>
      </c>
      <c r="B1238" t="s">
        <v>5384</v>
      </c>
      <c r="C1238" t="s">
        <v>4948</v>
      </c>
      <c r="D1238" t="s">
        <v>3467</v>
      </c>
      <c r="E1238" t="s">
        <v>5537</v>
      </c>
      <c r="F1238" t="s">
        <v>1211</v>
      </c>
    </row>
    <row r="1239" spans="1:6" x14ac:dyDescent="0.3">
      <c r="A1239" s="58" t="s">
        <v>1212</v>
      </c>
      <c r="B1239" t="s">
        <v>5384</v>
      </c>
      <c r="C1239" t="s">
        <v>4948</v>
      </c>
      <c r="D1239" t="s">
        <v>3468</v>
      </c>
      <c r="E1239" t="s">
        <v>5537</v>
      </c>
      <c r="F1239" t="s">
        <v>1212</v>
      </c>
    </row>
    <row r="1240" spans="1:6" x14ac:dyDescent="0.3">
      <c r="A1240" s="58" t="s">
        <v>1213</v>
      </c>
      <c r="B1240" t="s">
        <v>5384</v>
      </c>
      <c r="C1240" t="s">
        <v>4948</v>
      </c>
      <c r="D1240" t="s">
        <v>3469</v>
      </c>
      <c r="E1240" t="s">
        <v>5538</v>
      </c>
      <c r="F1240" t="s">
        <v>1213</v>
      </c>
    </row>
    <row r="1241" spans="1:6" x14ac:dyDescent="0.3">
      <c r="A1241" s="58" t="s">
        <v>1214</v>
      </c>
      <c r="B1241" t="s">
        <v>5384</v>
      </c>
      <c r="C1241" t="s">
        <v>4948</v>
      </c>
      <c r="D1241" t="s">
        <v>3470</v>
      </c>
      <c r="E1241" t="s">
        <v>5537</v>
      </c>
      <c r="F1241" t="s">
        <v>1214</v>
      </c>
    </row>
    <row r="1242" spans="1:6" x14ac:dyDescent="0.3">
      <c r="A1242" s="58" t="s">
        <v>1215</v>
      </c>
      <c r="B1242" t="s">
        <v>5384</v>
      </c>
      <c r="C1242" t="s">
        <v>4948</v>
      </c>
      <c r="D1242" t="s">
        <v>3471</v>
      </c>
      <c r="E1242" t="s">
        <v>5537</v>
      </c>
      <c r="F1242" t="s">
        <v>1215</v>
      </c>
    </row>
    <row r="1243" spans="1:6" x14ac:dyDescent="0.3">
      <c r="A1243" s="58" t="s">
        <v>1216</v>
      </c>
      <c r="B1243" t="s">
        <v>5384</v>
      </c>
      <c r="C1243" t="s">
        <v>4948</v>
      </c>
      <c r="D1243" t="s">
        <v>3472</v>
      </c>
      <c r="E1243" t="s">
        <v>5537</v>
      </c>
      <c r="F1243" t="s">
        <v>1216</v>
      </c>
    </row>
    <row r="1244" spans="1:6" x14ac:dyDescent="0.3">
      <c r="A1244" s="58" t="s">
        <v>1217</v>
      </c>
      <c r="B1244" t="s">
        <v>5384</v>
      </c>
      <c r="C1244" t="s">
        <v>4948</v>
      </c>
      <c r="D1244" t="s">
        <v>3473</v>
      </c>
      <c r="E1244" t="s">
        <v>5537</v>
      </c>
      <c r="F1244" t="s">
        <v>1217</v>
      </c>
    </row>
    <row r="1245" spans="1:6" x14ac:dyDescent="0.3">
      <c r="A1245" s="58" t="s">
        <v>1218</v>
      </c>
      <c r="B1245" t="s">
        <v>5384</v>
      </c>
      <c r="C1245" t="s">
        <v>4949</v>
      </c>
      <c r="D1245" t="s">
        <v>3474</v>
      </c>
      <c r="E1245" t="s">
        <v>5536</v>
      </c>
      <c r="F1245" t="s">
        <v>1218</v>
      </c>
    </row>
    <row r="1246" spans="1:6" x14ac:dyDescent="0.3">
      <c r="A1246" s="58" t="s">
        <v>1219</v>
      </c>
      <c r="B1246" t="s">
        <v>5384</v>
      </c>
      <c r="C1246" t="s">
        <v>4949</v>
      </c>
      <c r="D1246" t="s">
        <v>3475</v>
      </c>
      <c r="E1246" t="s">
        <v>5536</v>
      </c>
      <c r="F1246" t="s">
        <v>1219</v>
      </c>
    </row>
    <row r="1247" spans="1:6" x14ac:dyDescent="0.3">
      <c r="A1247" s="58" t="s">
        <v>1220</v>
      </c>
      <c r="B1247" t="s">
        <v>5384</v>
      </c>
      <c r="C1247" t="s">
        <v>4949</v>
      </c>
      <c r="D1247" t="s">
        <v>3476</v>
      </c>
      <c r="E1247" t="s">
        <v>5536</v>
      </c>
      <c r="F1247" t="s">
        <v>1220</v>
      </c>
    </row>
    <row r="1248" spans="1:6" x14ac:dyDescent="0.3">
      <c r="A1248" s="58" t="s">
        <v>1221</v>
      </c>
      <c r="B1248" t="s">
        <v>5384</v>
      </c>
      <c r="C1248" t="s">
        <v>4949</v>
      </c>
      <c r="D1248" t="s">
        <v>3477</v>
      </c>
      <c r="E1248" t="s">
        <v>5536</v>
      </c>
      <c r="F1248" t="s">
        <v>1221</v>
      </c>
    </row>
    <row r="1249" spans="1:6" x14ac:dyDescent="0.3">
      <c r="A1249" s="58" t="s">
        <v>1222</v>
      </c>
      <c r="B1249" t="s">
        <v>5384</v>
      </c>
      <c r="C1249" t="s">
        <v>4949</v>
      </c>
      <c r="D1249" t="s">
        <v>3478</v>
      </c>
      <c r="E1249" t="s">
        <v>5537</v>
      </c>
      <c r="F1249" t="s">
        <v>1222</v>
      </c>
    </row>
    <row r="1250" spans="1:6" x14ac:dyDescent="0.3">
      <c r="A1250" s="58" t="s">
        <v>1223</v>
      </c>
      <c r="B1250" t="s">
        <v>5384</v>
      </c>
      <c r="C1250" t="s">
        <v>4949</v>
      </c>
      <c r="D1250" t="s">
        <v>3479</v>
      </c>
      <c r="E1250" t="s">
        <v>5538</v>
      </c>
      <c r="F1250" t="s">
        <v>5518</v>
      </c>
    </row>
    <row r="1251" spans="1:6" x14ac:dyDescent="0.3">
      <c r="A1251" s="58" t="s">
        <v>1224</v>
      </c>
      <c r="B1251" t="s">
        <v>5384</v>
      </c>
      <c r="C1251" t="s">
        <v>4949</v>
      </c>
      <c r="D1251" t="s">
        <v>3480</v>
      </c>
      <c r="E1251" t="s">
        <v>5537</v>
      </c>
      <c r="F1251" t="s">
        <v>1224</v>
      </c>
    </row>
    <row r="1252" spans="1:6" x14ac:dyDescent="0.3">
      <c r="A1252" s="58" t="s">
        <v>1225</v>
      </c>
      <c r="B1252" t="s">
        <v>5384</v>
      </c>
      <c r="C1252" t="s">
        <v>4949</v>
      </c>
      <c r="D1252" t="s">
        <v>2976</v>
      </c>
      <c r="E1252" t="s">
        <v>5537</v>
      </c>
      <c r="F1252" t="s">
        <v>1225</v>
      </c>
    </row>
    <row r="1253" spans="1:6" x14ac:dyDescent="0.3">
      <c r="A1253" s="58" t="s">
        <v>1226</v>
      </c>
      <c r="B1253" t="s">
        <v>5384</v>
      </c>
      <c r="C1253" t="s">
        <v>4949</v>
      </c>
      <c r="D1253" t="s">
        <v>3481</v>
      </c>
      <c r="E1253" t="s">
        <v>5538</v>
      </c>
      <c r="F1253" t="s">
        <v>1226</v>
      </c>
    </row>
    <row r="1254" spans="1:6" x14ac:dyDescent="0.3">
      <c r="A1254" s="58" t="s">
        <v>1227</v>
      </c>
      <c r="B1254" t="s">
        <v>5384</v>
      </c>
      <c r="C1254" t="s">
        <v>4949</v>
      </c>
      <c r="D1254" t="s">
        <v>3482</v>
      </c>
      <c r="E1254" t="s">
        <v>5537</v>
      </c>
      <c r="F1254" t="s">
        <v>1227</v>
      </c>
    </row>
    <row r="1255" spans="1:6" x14ac:dyDescent="0.3">
      <c r="A1255" s="58" t="s">
        <v>1228</v>
      </c>
      <c r="B1255" t="s">
        <v>5384</v>
      </c>
      <c r="C1255" t="s">
        <v>4949</v>
      </c>
      <c r="D1255" t="s">
        <v>3483</v>
      </c>
      <c r="E1255" t="s">
        <v>5538</v>
      </c>
      <c r="F1255" t="s">
        <v>1228</v>
      </c>
    </row>
    <row r="1256" spans="1:6" x14ac:dyDescent="0.3">
      <c r="A1256" s="58" t="s">
        <v>1229</v>
      </c>
      <c r="B1256" t="s">
        <v>5384</v>
      </c>
      <c r="C1256" t="s">
        <v>4949</v>
      </c>
      <c r="D1256" t="s">
        <v>3484</v>
      </c>
      <c r="E1256" t="s">
        <v>5538</v>
      </c>
      <c r="F1256" t="s">
        <v>1229</v>
      </c>
    </row>
    <row r="1257" spans="1:6" x14ac:dyDescent="0.3">
      <c r="A1257" s="58" t="s">
        <v>1230</v>
      </c>
      <c r="B1257" t="s">
        <v>5384</v>
      </c>
      <c r="C1257" t="s">
        <v>4950</v>
      </c>
      <c r="D1257" t="s">
        <v>3485</v>
      </c>
      <c r="E1257" t="s">
        <v>5537</v>
      </c>
      <c r="F1257" t="s">
        <v>1230</v>
      </c>
    </row>
    <row r="1258" spans="1:6" x14ac:dyDescent="0.3">
      <c r="A1258" s="58" t="s">
        <v>1231</v>
      </c>
      <c r="B1258" t="s">
        <v>5384</v>
      </c>
      <c r="C1258" t="s">
        <v>4950</v>
      </c>
      <c r="D1258" t="s">
        <v>3486</v>
      </c>
      <c r="E1258" t="s">
        <v>5537</v>
      </c>
      <c r="F1258" t="s">
        <v>1231</v>
      </c>
    </row>
    <row r="1259" spans="1:6" x14ac:dyDescent="0.3">
      <c r="A1259" s="58" t="s">
        <v>1232</v>
      </c>
      <c r="B1259" t="s">
        <v>5384</v>
      </c>
      <c r="C1259" t="s">
        <v>4950</v>
      </c>
      <c r="D1259" t="s">
        <v>3487</v>
      </c>
      <c r="E1259" t="s">
        <v>5537</v>
      </c>
      <c r="F1259" t="s">
        <v>1232</v>
      </c>
    </row>
    <row r="1260" spans="1:6" x14ac:dyDescent="0.3">
      <c r="A1260" s="58" t="s">
        <v>1233</v>
      </c>
      <c r="B1260" t="s">
        <v>5384</v>
      </c>
      <c r="C1260" t="s">
        <v>4950</v>
      </c>
      <c r="D1260" t="s">
        <v>3488</v>
      </c>
      <c r="E1260" t="s">
        <v>5537</v>
      </c>
      <c r="F1260" t="s">
        <v>1233</v>
      </c>
    </row>
    <row r="1261" spans="1:6" x14ac:dyDescent="0.3">
      <c r="A1261" s="58" t="s">
        <v>1234</v>
      </c>
      <c r="B1261" t="s">
        <v>5384</v>
      </c>
      <c r="C1261" t="s">
        <v>4950</v>
      </c>
      <c r="D1261" t="s">
        <v>3489</v>
      </c>
      <c r="E1261" t="s">
        <v>5538</v>
      </c>
      <c r="F1261" t="s">
        <v>1234</v>
      </c>
    </row>
    <row r="1262" spans="1:6" x14ac:dyDescent="0.3">
      <c r="A1262" s="58" t="s">
        <v>1235</v>
      </c>
      <c r="B1262" t="s">
        <v>5384</v>
      </c>
      <c r="C1262" t="s">
        <v>4950</v>
      </c>
      <c r="D1262" t="s">
        <v>3490</v>
      </c>
      <c r="E1262" t="s">
        <v>5537</v>
      </c>
      <c r="F1262" t="s">
        <v>1235</v>
      </c>
    </row>
    <row r="1263" spans="1:6" x14ac:dyDescent="0.3">
      <c r="A1263" s="58" t="s">
        <v>1236</v>
      </c>
      <c r="B1263" t="s">
        <v>5384</v>
      </c>
      <c r="C1263" t="s">
        <v>4951</v>
      </c>
      <c r="D1263" t="s">
        <v>3491</v>
      </c>
      <c r="E1263" t="s">
        <v>5538</v>
      </c>
      <c r="F1263" t="s">
        <v>5519</v>
      </c>
    </row>
    <row r="1264" spans="1:6" x14ac:dyDescent="0.3">
      <c r="A1264" s="58" t="s">
        <v>1237</v>
      </c>
      <c r="B1264" t="s">
        <v>5384</v>
      </c>
      <c r="C1264" t="s">
        <v>4951</v>
      </c>
      <c r="D1264" t="s">
        <v>3492</v>
      </c>
      <c r="E1264" t="s">
        <v>5537</v>
      </c>
      <c r="F1264" t="s">
        <v>1237</v>
      </c>
    </row>
    <row r="1265" spans="1:6" x14ac:dyDescent="0.3">
      <c r="A1265" s="58" t="s">
        <v>1238</v>
      </c>
      <c r="B1265" t="s">
        <v>5384</v>
      </c>
      <c r="C1265" t="s">
        <v>4951</v>
      </c>
      <c r="D1265" t="s">
        <v>3493</v>
      </c>
      <c r="E1265" t="s">
        <v>5537</v>
      </c>
      <c r="F1265" t="s">
        <v>1238</v>
      </c>
    </row>
    <row r="1266" spans="1:6" x14ac:dyDescent="0.3">
      <c r="A1266" s="58" t="s">
        <v>1239</v>
      </c>
      <c r="B1266" t="s">
        <v>5384</v>
      </c>
      <c r="C1266" t="s">
        <v>4951</v>
      </c>
      <c r="D1266" t="s">
        <v>3494</v>
      </c>
      <c r="E1266" t="s">
        <v>5537</v>
      </c>
      <c r="F1266" t="s">
        <v>1239</v>
      </c>
    </row>
    <row r="1267" spans="1:6" x14ac:dyDescent="0.3">
      <c r="A1267" s="58" t="s">
        <v>1240</v>
      </c>
      <c r="B1267" t="s">
        <v>5384</v>
      </c>
      <c r="C1267" t="s">
        <v>4951</v>
      </c>
      <c r="D1267" t="s">
        <v>3495</v>
      </c>
      <c r="E1267" t="s">
        <v>5538</v>
      </c>
      <c r="F1267" t="s">
        <v>1240</v>
      </c>
    </row>
    <row r="1268" spans="1:6" x14ac:dyDescent="0.3">
      <c r="A1268" s="58" t="s">
        <v>1241</v>
      </c>
      <c r="B1268" t="s">
        <v>5384</v>
      </c>
      <c r="C1268" t="s">
        <v>4952</v>
      </c>
      <c r="D1268" t="s">
        <v>3496</v>
      </c>
      <c r="E1268" t="s">
        <v>5538</v>
      </c>
      <c r="F1268" t="s">
        <v>1241</v>
      </c>
    </row>
    <row r="1269" spans="1:6" x14ac:dyDescent="0.3">
      <c r="A1269" s="58" t="s">
        <v>1242</v>
      </c>
      <c r="B1269" t="s">
        <v>5384</v>
      </c>
      <c r="C1269" t="s">
        <v>4952</v>
      </c>
      <c r="D1269" t="s">
        <v>3497</v>
      </c>
      <c r="E1269" t="s">
        <v>5537</v>
      </c>
      <c r="F1269" t="s">
        <v>1242</v>
      </c>
    </row>
    <row r="1270" spans="1:6" x14ac:dyDescent="0.3">
      <c r="A1270" s="58" t="s">
        <v>5412</v>
      </c>
      <c r="B1270" t="s">
        <v>5384</v>
      </c>
      <c r="C1270" t="s">
        <v>4952</v>
      </c>
      <c r="D1270" t="s">
        <v>3498</v>
      </c>
      <c r="E1270" t="s">
        <v>5538</v>
      </c>
      <c r="F1270" t="s">
        <v>5412</v>
      </c>
    </row>
    <row r="1271" spans="1:6" x14ac:dyDescent="0.3">
      <c r="A1271" s="58" t="s">
        <v>1243</v>
      </c>
      <c r="B1271" t="s">
        <v>5384</v>
      </c>
      <c r="C1271" t="s">
        <v>4952</v>
      </c>
      <c r="D1271" t="s">
        <v>3499</v>
      </c>
      <c r="E1271" t="s">
        <v>5537</v>
      </c>
      <c r="F1271" t="s">
        <v>1243</v>
      </c>
    </row>
    <row r="1272" spans="1:6" x14ac:dyDescent="0.3">
      <c r="A1272" s="58" t="s">
        <v>1244</v>
      </c>
      <c r="B1272" t="s">
        <v>5384</v>
      </c>
      <c r="C1272" t="s">
        <v>4952</v>
      </c>
      <c r="D1272" t="s">
        <v>3500</v>
      </c>
      <c r="E1272" t="s">
        <v>5537</v>
      </c>
      <c r="F1272" t="s">
        <v>1244</v>
      </c>
    </row>
    <row r="1273" spans="1:6" x14ac:dyDescent="0.3">
      <c r="A1273" s="58" t="s">
        <v>1245</v>
      </c>
      <c r="B1273" t="s">
        <v>5384</v>
      </c>
      <c r="C1273" t="s">
        <v>4952</v>
      </c>
      <c r="D1273" t="s">
        <v>3501</v>
      </c>
      <c r="E1273" t="s">
        <v>5538</v>
      </c>
      <c r="F1273" t="s">
        <v>1245</v>
      </c>
    </row>
    <row r="1274" spans="1:6" x14ac:dyDescent="0.3">
      <c r="A1274" s="58" t="s">
        <v>1246</v>
      </c>
      <c r="B1274" t="s">
        <v>5384</v>
      </c>
      <c r="C1274" t="s">
        <v>4953</v>
      </c>
      <c r="D1274" t="s">
        <v>3502</v>
      </c>
      <c r="E1274" t="s">
        <v>5536</v>
      </c>
      <c r="F1274" t="s">
        <v>1246</v>
      </c>
    </row>
    <row r="1275" spans="1:6" x14ac:dyDescent="0.3">
      <c r="A1275" s="58" t="s">
        <v>1247</v>
      </c>
      <c r="B1275" t="s">
        <v>5384</v>
      </c>
      <c r="C1275" t="s">
        <v>4953</v>
      </c>
      <c r="D1275" t="s">
        <v>3503</v>
      </c>
      <c r="E1275" t="s">
        <v>5538</v>
      </c>
      <c r="F1275" t="s">
        <v>1247</v>
      </c>
    </row>
    <row r="1276" spans="1:6" x14ac:dyDescent="0.3">
      <c r="A1276" s="58" t="s">
        <v>1248</v>
      </c>
      <c r="B1276" t="s">
        <v>5384</v>
      </c>
      <c r="C1276" t="s">
        <v>4953</v>
      </c>
      <c r="D1276" t="s">
        <v>3504</v>
      </c>
      <c r="E1276" t="s">
        <v>5537</v>
      </c>
      <c r="F1276" t="s">
        <v>1248</v>
      </c>
    </row>
    <row r="1277" spans="1:6" x14ac:dyDescent="0.3">
      <c r="A1277" s="58" t="s">
        <v>1249</v>
      </c>
      <c r="B1277" t="s">
        <v>5384</v>
      </c>
      <c r="C1277" t="s">
        <v>4953</v>
      </c>
      <c r="D1277" t="s">
        <v>3505</v>
      </c>
      <c r="E1277" t="s">
        <v>5537</v>
      </c>
      <c r="F1277" t="s">
        <v>1249</v>
      </c>
    </row>
    <row r="1278" spans="1:6" x14ac:dyDescent="0.3">
      <c r="A1278" s="58" t="s">
        <v>5450</v>
      </c>
      <c r="B1278" t="s">
        <v>5384</v>
      </c>
      <c r="C1278" t="s">
        <v>4953</v>
      </c>
      <c r="D1278" t="s">
        <v>3506</v>
      </c>
      <c r="E1278" t="s">
        <v>5538</v>
      </c>
      <c r="F1278" t="s">
        <v>5450</v>
      </c>
    </row>
    <row r="1279" spans="1:6" x14ac:dyDescent="0.3">
      <c r="A1279" s="58" t="s">
        <v>1250</v>
      </c>
      <c r="B1279" t="s">
        <v>5384</v>
      </c>
      <c r="C1279" t="s">
        <v>3507</v>
      </c>
      <c r="D1279" t="s">
        <v>3507</v>
      </c>
      <c r="E1279" t="s">
        <v>5536</v>
      </c>
      <c r="F1279" t="s">
        <v>1250</v>
      </c>
    </row>
    <row r="1280" spans="1:6" x14ac:dyDescent="0.3">
      <c r="A1280" s="58" t="s">
        <v>1251</v>
      </c>
      <c r="B1280" t="s">
        <v>5384</v>
      </c>
      <c r="C1280" t="s">
        <v>3508</v>
      </c>
      <c r="D1280" t="s">
        <v>3508</v>
      </c>
      <c r="E1280" t="s">
        <v>5536</v>
      </c>
      <c r="F1280" t="s">
        <v>1251</v>
      </c>
    </row>
    <row r="1281" spans="1:6" x14ac:dyDescent="0.3">
      <c r="A1281" s="58" t="s">
        <v>1252</v>
      </c>
      <c r="B1281" t="s">
        <v>5384</v>
      </c>
      <c r="C1281" t="s">
        <v>3509</v>
      </c>
      <c r="D1281" t="s">
        <v>3509</v>
      </c>
      <c r="E1281" t="s">
        <v>5536</v>
      </c>
      <c r="F1281" t="s">
        <v>1252</v>
      </c>
    </row>
    <row r="1282" spans="1:6" x14ac:dyDescent="0.3">
      <c r="A1282" s="58" t="s">
        <v>1253</v>
      </c>
      <c r="B1282" t="s">
        <v>5384</v>
      </c>
      <c r="C1282" t="s">
        <v>3429</v>
      </c>
      <c r="D1282" t="s">
        <v>3429</v>
      </c>
      <c r="E1282" t="s">
        <v>5536</v>
      </c>
      <c r="F1282" t="s">
        <v>1253</v>
      </c>
    </row>
    <row r="1283" spans="1:6" x14ac:dyDescent="0.3">
      <c r="A1283" s="58" t="s">
        <v>1254</v>
      </c>
      <c r="B1283" t="s">
        <v>5384</v>
      </c>
      <c r="C1283" t="s">
        <v>5416</v>
      </c>
      <c r="D1283" t="s">
        <v>5416</v>
      </c>
      <c r="E1283" t="s">
        <v>5539</v>
      </c>
      <c r="F1283" t="s">
        <v>1254</v>
      </c>
    </row>
    <row r="1284" spans="1:6" x14ac:dyDescent="0.3">
      <c r="A1284" s="58" t="s">
        <v>1255</v>
      </c>
      <c r="B1284" t="s">
        <v>5388</v>
      </c>
      <c r="C1284" t="s">
        <v>4900</v>
      </c>
      <c r="D1284" t="s">
        <v>3510</v>
      </c>
      <c r="E1284" t="s">
        <v>5536</v>
      </c>
      <c r="F1284" t="s">
        <v>1255</v>
      </c>
    </row>
    <row r="1285" spans="1:6" x14ac:dyDescent="0.3">
      <c r="A1285" s="58" t="s">
        <v>1256</v>
      </c>
      <c r="B1285" t="s">
        <v>5388</v>
      </c>
      <c r="C1285" t="s">
        <v>4900</v>
      </c>
      <c r="D1285" t="s">
        <v>3511</v>
      </c>
      <c r="E1285" t="s">
        <v>5537</v>
      </c>
      <c r="F1285" t="s">
        <v>1256</v>
      </c>
    </row>
    <row r="1286" spans="1:6" x14ac:dyDescent="0.3">
      <c r="A1286" s="58" t="s">
        <v>1257</v>
      </c>
      <c r="B1286" t="s">
        <v>5388</v>
      </c>
      <c r="C1286" t="s">
        <v>4900</v>
      </c>
      <c r="D1286" t="s">
        <v>3512</v>
      </c>
      <c r="E1286" t="s">
        <v>5538</v>
      </c>
      <c r="F1286" t="s">
        <v>1257</v>
      </c>
    </row>
    <row r="1287" spans="1:6" x14ac:dyDescent="0.3">
      <c r="A1287" s="58" t="s">
        <v>1258</v>
      </c>
      <c r="B1287" t="s">
        <v>5388</v>
      </c>
      <c r="C1287" t="s">
        <v>4900</v>
      </c>
      <c r="D1287" t="s">
        <v>3513</v>
      </c>
      <c r="E1287" t="s">
        <v>5538</v>
      </c>
      <c r="F1287" t="s">
        <v>1258</v>
      </c>
    </row>
    <row r="1288" spans="1:6" x14ac:dyDescent="0.3">
      <c r="A1288" s="58" t="s">
        <v>1259</v>
      </c>
      <c r="B1288" t="s">
        <v>5388</v>
      </c>
      <c r="C1288" t="s">
        <v>4900</v>
      </c>
      <c r="D1288" t="s">
        <v>3514</v>
      </c>
      <c r="E1288" t="s">
        <v>5537</v>
      </c>
      <c r="F1288" t="s">
        <v>1259</v>
      </c>
    </row>
    <row r="1289" spans="1:6" x14ac:dyDescent="0.3">
      <c r="A1289" s="58" t="s">
        <v>1260</v>
      </c>
      <c r="B1289" t="s">
        <v>5388</v>
      </c>
      <c r="C1289" t="s">
        <v>4900</v>
      </c>
      <c r="D1289" t="s">
        <v>3294</v>
      </c>
      <c r="E1289" t="s">
        <v>5537</v>
      </c>
      <c r="F1289" t="s">
        <v>1260</v>
      </c>
    </row>
    <row r="1290" spans="1:6" x14ac:dyDescent="0.3">
      <c r="A1290" s="58" t="s">
        <v>1261</v>
      </c>
      <c r="B1290" t="s">
        <v>5388</v>
      </c>
      <c r="C1290" t="s">
        <v>4954</v>
      </c>
      <c r="D1290" t="s">
        <v>3515</v>
      </c>
      <c r="E1290" t="s">
        <v>5538</v>
      </c>
      <c r="F1290" t="s">
        <v>1261</v>
      </c>
    </row>
    <row r="1291" spans="1:6" x14ac:dyDescent="0.3">
      <c r="A1291" s="58" t="s">
        <v>1262</v>
      </c>
      <c r="B1291" t="s">
        <v>5388</v>
      </c>
      <c r="C1291" t="s">
        <v>4954</v>
      </c>
      <c r="D1291" t="s">
        <v>3516</v>
      </c>
      <c r="E1291" t="s">
        <v>5538</v>
      </c>
      <c r="F1291" s="181" t="s">
        <v>5609</v>
      </c>
    </row>
    <row r="1292" spans="1:6" x14ac:dyDescent="0.3">
      <c r="A1292" s="58" t="s">
        <v>1263</v>
      </c>
      <c r="B1292" t="s">
        <v>5388</v>
      </c>
      <c r="C1292" t="s">
        <v>4954</v>
      </c>
      <c r="D1292" t="s">
        <v>3517</v>
      </c>
      <c r="E1292" t="s">
        <v>5538</v>
      </c>
      <c r="F1292" t="s">
        <v>1263</v>
      </c>
    </row>
    <row r="1293" spans="1:6" x14ac:dyDescent="0.3">
      <c r="A1293" s="58" t="s">
        <v>1264</v>
      </c>
      <c r="B1293" t="s">
        <v>5388</v>
      </c>
      <c r="C1293" t="s">
        <v>4954</v>
      </c>
      <c r="D1293" t="s">
        <v>3518</v>
      </c>
      <c r="E1293" t="s">
        <v>5538</v>
      </c>
      <c r="F1293" t="s">
        <v>1264</v>
      </c>
    </row>
    <row r="1294" spans="1:6" x14ac:dyDescent="0.3">
      <c r="A1294" s="58" t="s">
        <v>1265</v>
      </c>
      <c r="B1294" t="s">
        <v>5388</v>
      </c>
      <c r="C1294" t="s">
        <v>4955</v>
      </c>
      <c r="D1294" t="s">
        <v>3519</v>
      </c>
      <c r="E1294" t="s">
        <v>5536</v>
      </c>
      <c r="F1294" t="s">
        <v>1265</v>
      </c>
    </row>
    <row r="1295" spans="1:6" x14ac:dyDescent="0.3">
      <c r="A1295" s="58" t="s">
        <v>1266</v>
      </c>
      <c r="B1295" t="s">
        <v>5388</v>
      </c>
      <c r="C1295" t="s">
        <v>4955</v>
      </c>
      <c r="D1295" t="s">
        <v>3520</v>
      </c>
      <c r="E1295" t="s">
        <v>5537</v>
      </c>
      <c r="F1295" t="s">
        <v>1266</v>
      </c>
    </row>
    <row r="1296" spans="1:6" x14ac:dyDescent="0.3">
      <c r="A1296" s="58" t="s">
        <v>1267</v>
      </c>
      <c r="B1296" t="s">
        <v>5388</v>
      </c>
      <c r="C1296" t="s">
        <v>4955</v>
      </c>
      <c r="D1296" t="s">
        <v>3521</v>
      </c>
      <c r="E1296" t="s">
        <v>5537</v>
      </c>
      <c r="F1296" t="s">
        <v>1267</v>
      </c>
    </row>
    <row r="1297" spans="1:6" x14ac:dyDescent="0.3">
      <c r="A1297" s="58" t="s">
        <v>1268</v>
      </c>
      <c r="B1297" t="s">
        <v>5388</v>
      </c>
      <c r="C1297" t="s">
        <v>4955</v>
      </c>
      <c r="D1297" t="s">
        <v>3522</v>
      </c>
      <c r="E1297" t="s">
        <v>5537</v>
      </c>
      <c r="F1297" t="s">
        <v>1268</v>
      </c>
    </row>
    <row r="1298" spans="1:6" x14ac:dyDescent="0.3">
      <c r="A1298" s="58" t="s">
        <v>1269</v>
      </c>
      <c r="B1298" t="s">
        <v>5388</v>
      </c>
      <c r="C1298" t="s">
        <v>4955</v>
      </c>
      <c r="D1298" t="s">
        <v>3523</v>
      </c>
      <c r="E1298" t="s">
        <v>5537</v>
      </c>
      <c r="F1298" t="s">
        <v>1269</v>
      </c>
    </row>
    <row r="1299" spans="1:6" x14ac:dyDescent="0.3">
      <c r="A1299" s="58" t="s">
        <v>1270</v>
      </c>
      <c r="B1299" t="s">
        <v>5388</v>
      </c>
      <c r="C1299" t="s">
        <v>4955</v>
      </c>
      <c r="D1299" t="s">
        <v>3524</v>
      </c>
      <c r="E1299" t="s">
        <v>5537</v>
      </c>
      <c r="F1299" t="s">
        <v>1270</v>
      </c>
    </row>
    <row r="1300" spans="1:6" x14ac:dyDescent="0.3">
      <c r="A1300" s="58" t="s">
        <v>1271</v>
      </c>
      <c r="B1300" t="s">
        <v>5388</v>
      </c>
      <c r="C1300" t="s">
        <v>4956</v>
      </c>
      <c r="D1300" t="s">
        <v>3525</v>
      </c>
      <c r="E1300" t="s">
        <v>5538</v>
      </c>
      <c r="F1300" t="s">
        <v>1271</v>
      </c>
    </row>
    <row r="1301" spans="1:6" x14ac:dyDescent="0.3">
      <c r="A1301" s="58" t="s">
        <v>1272</v>
      </c>
      <c r="B1301" t="s">
        <v>5388</v>
      </c>
      <c r="C1301" t="s">
        <v>4956</v>
      </c>
      <c r="D1301" t="s">
        <v>3526</v>
      </c>
      <c r="E1301" t="s">
        <v>5538</v>
      </c>
      <c r="F1301" t="s">
        <v>1272</v>
      </c>
    </row>
    <row r="1302" spans="1:6" x14ac:dyDescent="0.3">
      <c r="A1302" s="58" t="s">
        <v>1273</v>
      </c>
      <c r="B1302" t="s">
        <v>5388</v>
      </c>
      <c r="C1302" t="s">
        <v>4956</v>
      </c>
      <c r="D1302" t="s">
        <v>3527</v>
      </c>
      <c r="E1302" t="s">
        <v>5537</v>
      </c>
      <c r="F1302" t="s">
        <v>1273</v>
      </c>
    </row>
    <row r="1303" spans="1:6" x14ac:dyDescent="0.3">
      <c r="A1303" s="58" t="s">
        <v>1274</v>
      </c>
      <c r="B1303" t="s">
        <v>5388</v>
      </c>
      <c r="C1303" t="s">
        <v>4956</v>
      </c>
      <c r="D1303" t="s">
        <v>3528</v>
      </c>
      <c r="E1303" t="s">
        <v>5538</v>
      </c>
      <c r="F1303" t="s">
        <v>1274</v>
      </c>
    </row>
    <row r="1304" spans="1:6" x14ac:dyDescent="0.3">
      <c r="A1304" s="58" t="s">
        <v>1275</v>
      </c>
      <c r="B1304" t="s">
        <v>5388</v>
      </c>
      <c r="C1304" t="s">
        <v>4957</v>
      </c>
      <c r="D1304" t="s">
        <v>3529</v>
      </c>
      <c r="E1304" t="s">
        <v>5538</v>
      </c>
      <c r="F1304" t="s">
        <v>1275</v>
      </c>
    </row>
    <row r="1305" spans="1:6" x14ac:dyDescent="0.3">
      <c r="A1305" s="58" t="s">
        <v>1276</v>
      </c>
      <c r="B1305" t="s">
        <v>5388</v>
      </c>
      <c r="C1305" t="s">
        <v>4957</v>
      </c>
      <c r="D1305" t="s">
        <v>3530</v>
      </c>
      <c r="E1305" t="s">
        <v>5538</v>
      </c>
      <c r="F1305" t="s">
        <v>1276</v>
      </c>
    </row>
    <row r="1306" spans="1:6" x14ac:dyDescent="0.3">
      <c r="A1306" s="58" t="s">
        <v>1277</v>
      </c>
      <c r="B1306" t="s">
        <v>5388</v>
      </c>
      <c r="C1306" t="s">
        <v>4957</v>
      </c>
      <c r="D1306" t="s">
        <v>3531</v>
      </c>
      <c r="E1306" t="s">
        <v>5538</v>
      </c>
      <c r="F1306" t="s">
        <v>5520</v>
      </c>
    </row>
    <row r="1307" spans="1:6" x14ac:dyDescent="0.3">
      <c r="A1307" s="58" t="s">
        <v>1278</v>
      </c>
      <c r="B1307" t="s">
        <v>5388</v>
      </c>
      <c r="C1307" t="s">
        <v>4957</v>
      </c>
      <c r="D1307" t="s">
        <v>3532</v>
      </c>
      <c r="E1307" t="s">
        <v>5537</v>
      </c>
      <c r="F1307" t="s">
        <v>1278</v>
      </c>
    </row>
    <row r="1308" spans="1:6" x14ac:dyDescent="0.3">
      <c r="A1308" s="58" t="s">
        <v>1279</v>
      </c>
      <c r="B1308" t="s">
        <v>5388</v>
      </c>
      <c r="C1308" t="s">
        <v>4957</v>
      </c>
      <c r="D1308" t="s">
        <v>3533</v>
      </c>
      <c r="E1308" t="s">
        <v>5538</v>
      </c>
      <c r="F1308" t="s">
        <v>1279</v>
      </c>
    </row>
    <row r="1309" spans="1:6" x14ac:dyDescent="0.3">
      <c r="A1309" s="58" t="s">
        <v>1280</v>
      </c>
      <c r="B1309" t="s">
        <v>5388</v>
      </c>
      <c r="C1309" t="s">
        <v>4958</v>
      </c>
      <c r="D1309" t="s">
        <v>3534</v>
      </c>
      <c r="E1309" t="s">
        <v>5537</v>
      </c>
      <c r="F1309" t="s">
        <v>1280</v>
      </c>
    </row>
    <row r="1310" spans="1:6" x14ac:dyDescent="0.3">
      <c r="A1310" s="58" t="s">
        <v>1281</v>
      </c>
      <c r="B1310" t="s">
        <v>5388</v>
      </c>
      <c r="C1310" t="s">
        <v>4958</v>
      </c>
      <c r="D1310" t="s">
        <v>3535</v>
      </c>
      <c r="E1310" t="s">
        <v>5538</v>
      </c>
      <c r="F1310" t="s">
        <v>1281</v>
      </c>
    </row>
    <row r="1311" spans="1:6" x14ac:dyDescent="0.3">
      <c r="A1311" s="58" t="s">
        <v>1282</v>
      </c>
      <c r="B1311" t="s">
        <v>5388</v>
      </c>
      <c r="C1311" t="s">
        <v>4958</v>
      </c>
      <c r="D1311" t="s">
        <v>3536</v>
      </c>
      <c r="E1311" t="s">
        <v>5537</v>
      </c>
      <c r="F1311" t="s">
        <v>1282</v>
      </c>
    </row>
    <row r="1312" spans="1:6" x14ac:dyDescent="0.3">
      <c r="A1312" s="58" t="s">
        <v>1283</v>
      </c>
      <c r="B1312" t="s">
        <v>5388</v>
      </c>
      <c r="C1312" t="s">
        <v>4958</v>
      </c>
      <c r="D1312" t="s">
        <v>3537</v>
      </c>
      <c r="E1312" t="s">
        <v>5537</v>
      </c>
      <c r="F1312" t="s">
        <v>1283</v>
      </c>
    </row>
    <row r="1313" spans="1:6" x14ac:dyDescent="0.3">
      <c r="A1313" s="58" t="s">
        <v>1284</v>
      </c>
      <c r="B1313" t="s">
        <v>5388</v>
      </c>
      <c r="C1313" t="s">
        <v>4958</v>
      </c>
      <c r="D1313" t="s">
        <v>2792</v>
      </c>
      <c r="E1313" t="s">
        <v>5537</v>
      </c>
      <c r="F1313" t="s">
        <v>1284</v>
      </c>
    </row>
    <row r="1314" spans="1:6" x14ac:dyDescent="0.3">
      <c r="A1314" s="58" t="s">
        <v>1285</v>
      </c>
      <c r="B1314" t="s">
        <v>5388</v>
      </c>
      <c r="C1314" t="s">
        <v>4959</v>
      </c>
      <c r="D1314" t="s">
        <v>3538</v>
      </c>
      <c r="E1314" t="s">
        <v>5538</v>
      </c>
      <c r="F1314" t="s">
        <v>1285</v>
      </c>
    </row>
    <row r="1315" spans="1:6" x14ac:dyDescent="0.3">
      <c r="A1315" s="58" t="s">
        <v>1286</v>
      </c>
      <c r="B1315" t="s">
        <v>5388</v>
      </c>
      <c r="C1315" t="s">
        <v>4959</v>
      </c>
      <c r="D1315" t="s">
        <v>3539</v>
      </c>
      <c r="E1315" t="s">
        <v>5537</v>
      </c>
      <c r="F1315" t="s">
        <v>1286</v>
      </c>
    </row>
    <row r="1316" spans="1:6" x14ac:dyDescent="0.3">
      <c r="A1316" s="58" t="s">
        <v>1287</v>
      </c>
      <c r="B1316" t="s">
        <v>5388</v>
      </c>
      <c r="C1316" t="s">
        <v>4959</v>
      </c>
      <c r="D1316" t="s">
        <v>3540</v>
      </c>
      <c r="E1316" t="s">
        <v>5538</v>
      </c>
      <c r="F1316" t="s">
        <v>1287</v>
      </c>
    </row>
    <row r="1317" spans="1:6" x14ac:dyDescent="0.3">
      <c r="A1317" s="58" t="s">
        <v>1288</v>
      </c>
      <c r="B1317" t="s">
        <v>5388</v>
      </c>
      <c r="C1317" t="s">
        <v>4959</v>
      </c>
      <c r="D1317" t="s">
        <v>3541</v>
      </c>
      <c r="E1317" t="s">
        <v>5537</v>
      </c>
      <c r="F1317" t="s">
        <v>1288</v>
      </c>
    </row>
    <row r="1318" spans="1:6" x14ac:dyDescent="0.3">
      <c r="A1318" s="58" t="s">
        <v>1289</v>
      </c>
      <c r="B1318" t="s">
        <v>5388</v>
      </c>
      <c r="C1318" t="s">
        <v>4959</v>
      </c>
      <c r="D1318" t="s">
        <v>3542</v>
      </c>
      <c r="E1318" t="s">
        <v>5538</v>
      </c>
      <c r="F1318" t="s">
        <v>1289</v>
      </c>
    </row>
    <row r="1319" spans="1:6" x14ac:dyDescent="0.3">
      <c r="A1319" s="58" t="s">
        <v>1290</v>
      </c>
      <c r="B1319" t="s">
        <v>5388</v>
      </c>
      <c r="C1319" t="s">
        <v>4959</v>
      </c>
      <c r="D1319" t="s">
        <v>3543</v>
      </c>
      <c r="E1319" t="s">
        <v>5538</v>
      </c>
      <c r="F1319" t="s">
        <v>1290</v>
      </c>
    </row>
    <row r="1320" spans="1:6" x14ac:dyDescent="0.3">
      <c r="A1320" s="58" t="s">
        <v>1291</v>
      </c>
      <c r="B1320" t="s">
        <v>5388</v>
      </c>
      <c r="C1320" t="s">
        <v>4959</v>
      </c>
      <c r="D1320" t="s">
        <v>3544</v>
      </c>
      <c r="E1320" t="s">
        <v>5538</v>
      </c>
      <c r="F1320" t="s">
        <v>1291</v>
      </c>
    </row>
    <row r="1321" spans="1:6" x14ac:dyDescent="0.3">
      <c r="A1321" s="58" t="s">
        <v>1292</v>
      </c>
      <c r="B1321" t="s">
        <v>5388</v>
      </c>
      <c r="C1321" t="s">
        <v>4959</v>
      </c>
      <c r="D1321" t="s">
        <v>3545</v>
      </c>
      <c r="E1321" t="s">
        <v>5537</v>
      </c>
      <c r="F1321" t="s">
        <v>1292</v>
      </c>
    </row>
    <row r="1322" spans="1:6" x14ac:dyDescent="0.3">
      <c r="A1322" s="58" t="s">
        <v>1293</v>
      </c>
      <c r="B1322" t="s">
        <v>5388</v>
      </c>
      <c r="C1322" t="s">
        <v>4959</v>
      </c>
      <c r="D1322" t="s">
        <v>3546</v>
      </c>
      <c r="E1322" t="s">
        <v>5537</v>
      </c>
      <c r="F1322" t="s">
        <v>1293</v>
      </c>
    </row>
    <row r="1323" spans="1:6" x14ac:dyDescent="0.3">
      <c r="A1323" s="58" t="s">
        <v>1294</v>
      </c>
      <c r="B1323" t="s">
        <v>5388</v>
      </c>
      <c r="C1323" t="s">
        <v>4960</v>
      </c>
      <c r="D1323" t="s">
        <v>3547</v>
      </c>
      <c r="E1323" t="s">
        <v>5538</v>
      </c>
      <c r="F1323" t="s">
        <v>1294</v>
      </c>
    </row>
    <row r="1324" spans="1:6" x14ac:dyDescent="0.3">
      <c r="A1324" s="58" t="s">
        <v>1295</v>
      </c>
      <c r="B1324" t="s">
        <v>5388</v>
      </c>
      <c r="C1324" t="s">
        <v>4960</v>
      </c>
      <c r="D1324" t="s">
        <v>3548</v>
      </c>
      <c r="E1324" t="s">
        <v>5538</v>
      </c>
      <c r="F1324" t="s">
        <v>1295</v>
      </c>
    </row>
    <row r="1325" spans="1:6" x14ac:dyDescent="0.3">
      <c r="A1325" s="58" t="s">
        <v>1296</v>
      </c>
      <c r="B1325" t="s">
        <v>5388</v>
      </c>
      <c r="C1325" t="s">
        <v>4960</v>
      </c>
      <c r="D1325" t="s">
        <v>3098</v>
      </c>
      <c r="E1325" t="s">
        <v>5538</v>
      </c>
      <c r="F1325" t="s">
        <v>1296</v>
      </c>
    </row>
    <row r="1326" spans="1:6" x14ac:dyDescent="0.3">
      <c r="A1326" s="58" t="s">
        <v>1297</v>
      </c>
      <c r="B1326" t="s">
        <v>5388</v>
      </c>
      <c r="C1326" t="s">
        <v>4960</v>
      </c>
      <c r="D1326" t="s">
        <v>3549</v>
      </c>
      <c r="E1326" t="s">
        <v>5538</v>
      </c>
      <c r="F1326" t="s">
        <v>1297</v>
      </c>
    </row>
    <row r="1327" spans="1:6" x14ac:dyDescent="0.3">
      <c r="A1327" s="58" t="s">
        <v>1298</v>
      </c>
      <c r="B1327" t="s">
        <v>5388</v>
      </c>
      <c r="C1327" t="s">
        <v>4960</v>
      </c>
      <c r="D1327" t="s">
        <v>3203</v>
      </c>
      <c r="E1327" t="s">
        <v>5537</v>
      </c>
      <c r="F1327" t="s">
        <v>1298</v>
      </c>
    </row>
    <row r="1328" spans="1:6" x14ac:dyDescent="0.3">
      <c r="A1328" s="58" t="s">
        <v>1299</v>
      </c>
      <c r="B1328" t="s">
        <v>5388</v>
      </c>
      <c r="C1328" t="s">
        <v>4960</v>
      </c>
      <c r="D1328" t="s">
        <v>3550</v>
      </c>
      <c r="E1328" t="s">
        <v>5537</v>
      </c>
      <c r="F1328" t="s">
        <v>1299</v>
      </c>
    </row>
    <row r="1329" spans="1:6" x14ac:dyDescent="0.3">
      <c r="A1329" s="58" t="s">
        <v>1300</v>
      </c>
      <c r="B1329" t="s">
        <v>5388</v>
      </c>
      <c r="C1329" t="s">
        <v>4960</v>
      </c>
      <c r="D1329" t="s">
        <v>3551</v>
      </c>
      <c r="E1329" t="s">
        <v>5537</v>
      </c>
      <c r="F1329" t="s">
        <v>1300</v>
      </c>
    </row>
    <row r="1330" spans="1:6" x14ac:dyDescent="0.3">
      <c r="A1330" s="58" t="s">
        <v>1301</v>
      </c>
      <c r="B1330" t="s">
        <v>5388</v>
      </c>
      <c r="C1330" t="s">
        <v>4859</v>
      </c>
      <c r="D1330" t="s">
        <v>3552</v>
      </c>
      <c r="E1330" t="s">
        <v>5537</v>
      </c>
      <c r="F1330" t="s">
        <v>1301</v>
      </c>
    </row>
    <row r="1331" spans="1:6" x14ac:dyDescent="0.3">
      <c r="A1331" s="58" t="s">
        <v>1302</v>
      </c>
      <c r="B1331" t="s">
        <v>5388</v>
      </c>
      <c r="C1331" t="s">
        <v>4859</v>
      </c>
      <c r="D1331" t="s">
        <v>2610</v>
      </c>
      <c r="E1331" t="s">
        <v>5537</v>
      </c>
      <c r="F1331" t="s">
        <v>1302</v>
      </c>
    </row>
    <row r="1332" spans="1:6" x14ac:dyDescent="0.3">
      <c r="A1332" s="58" t="s">
        <v>1303</v>
      </c>
      <c r="B1332" t="s">
        <v>5388</v>
      </c>
      <c r="C1332" t="s">
        <v>4859</v>
      </c>
      <c r="D1332" t="s">
        <v>3553</v>
      </c>
      <c r="E1332" t="s">
        <v>5537</v>
      </c>
      <c r="F1332" t="s">
        <v>1303</v>
      </c>
    </row>
    <row r="1333" spans="1:6" x14ac:dyDescent="0.3">
      <c r="A1333" s="58" t="s">
        <v>5223</v>
      </c>
      <c r="B1333" t="s">
        <v>5388</v>
      </c>
      <c r="C1333" t="s">
        <v>4859</v>
      </c>
      <c r="D1333" t="s">
        <v>3554</v>
      </c>
      <c r="E1333" t="s">
        <v>5537</v>
      </c>
      <c r="F1333" t="s">
        <v>5223</v>
      </c>
    </row>
    <row r="1334" spans="1:6" x14ac:dyDescent="0.3">
      <c r="A1334" s="58" t="s">
        <v>1304</v>
      </c>
      <c r="B1334" t="s">
        <v>5388</v>
      </c>
      <c r="C1334" t="s">
        <v>4859</v>
      </c>
      <c r="D1334" t="s">
        <v>3555</v>
      </c>
      <c r="E1334" t="s">
        <v>5537</v>
      </c>
      <c r="F1334" t="s">
        <v>1304</v>
      </c>
    </row>
    <row r="1335" spans="1:6" x14ac:dyDescent="0.3">
      <c r="A1335" s="58" t="s">
        <v>1305</v>
      </c>
      <c r="B1335" t="s">
        <v>5388</v>
      </c>
      <c r="C1335" t="s">
        <v>4859</v>
      </c>
      <c r="D1335" t="s">
        <v>3556</v>
      </c>
      <c r="E1335" t="s">
        <v>5537</v>
      </c>
      <c r="F1335" t="s">
        <v>1305</v>
      </c>
    </row>
    <row r="1336" spans="1:6" x14ac:dyDescent="0.3">
      <c r="A1336" s="58" t="s">
        <v>1306</v>
      </c>
      <c r="B1336" t="s">
        <v>5388</v>
      </c>
      <c r="C1336" t="s">
        <v>4859</v>
      </c>
      <c r="D1336" t="s">
        <v>3557</v>
      </c>
      <c r="E1336" t="s">
        <v>5538</v>
      </c>
      <c r="F1336" t="s">
        <v>1306</v>
      </c>
    </row>
    <row r="1337" spans="1:6" x14ac:dyDescent="0.3">
      <c r="A1337" s="58" t="s">
        <v>1307</v>
      </c>
      <c r="B1337" t="s">
        <v>5388</v>
      </c>
      <c r="C1337" t="s">
        <v>4859</v>
      </c>
      <c r="D1337" t="s">
        <v>3558</v>
      </c>
      <c r="E1337" t="s">
        <v>5538</v>
      </c>
      <c r="F1337" t="s">
        <v>1307</v>
      </c>
    </row>
    <row r="1338" spans="1:6" x14ac:dyDescent="0.3">
      <c r="A1338" s="58" t="s">
        <v>1308</v>
      </c>
      <c r="B1338" t="s">
        <v>5388</v>
      </c>
      <c r="C1338" t="s">
        <v>4859</v>
      </c>
      <c r="D1338" t="s">
        <v>3559</v>
      </c>
      <c r="E1338" t="s">
        <v>5537</v>
      </c>
      <c r="F1338" t="s">
        <v>1308</v>
      </c>
    </row>
    <row r="1339" spans="1:6" x14ac:dyDescent="0.3">
      <c r="A1339" s="58" t="s">
        <v>1309</v>
      </c>
      <c r="B1339" t="s">
        <v>5388</v>
      </c>
      <c r="C1339" t="s">
        <v>4859</v>
      </c>
      <c r="D1339" t="s">
        <v>3560</v>
      </c>
      <c r="E1339" t="s">
        <v>5538</v>
      </c>
      <c r="F1339" t="s">
        <v>1309</v>
      </c>
    </row>
    <row r="1340" spans="1:6" x14ac:dyDescent="0.3">
      <c r="A1340" s="58" t="s">
        <v>1310</v>
      </c>
      <c r="B1340" t="s">
        <v>5388</v>
      </c>
      <c r="C1340" t="s">
        <v>4859</v>
      </c>
      <c r="D1340" t="s">
        <v>3561</v>
      </c>
      <c r="E1340" t="s">
        <v>5537</v>
      </c>
      <c r="F1340" t="s">
        <v>1310</v>
      </c>
    </row>
    <row r="1341" spans="1:6" x14ac:dyDescent="0.3">
      <c r="A1341" s="58" t="s">
        <v>5446</v>
      </c>
      <c r="B1341" t="s">
        <v>5388</v>
      </c>
      <c r="C1341" t="s">
        <v>4859</v>
      </c>
      <c r="D1341" t="s">
        <v>3562</v>
      </c>
      <c r="E1341" t="s">
        <v>5538</v>
      </c>
      <c r="F1341" t="s">
        <v>5446</v>
      </c>
    </row>
    <row r="1342" spans="1:6" x14ac:dyDescent="0.3">
      <c r="A1342" s="58" t="s">
        <v>1311</v>
      </c>
      <c r="B1342" t="s">
        <v>5388</v>
      </c>
      <c r="C1342" t="s">
        <v>4859</v>
      </c>
      <c r="D1342" t="s">
        <v>3563</v>
      </c>
      <c r="E1342" t="s">
        <v>5537</v>
      </c>
      <c r="F1342" t="s">
        <v>1311</v>
      </c>
    </row>
    <row r="1343" spans="1:6" x14ac:dyDescent="0.3">
      <c r="A1343" s="58" t="s">
        <v>1312</v>
      </c>
      <c r="B1343" t="s">
        <v>5388</v>
      </c>
      <c r="C1343" t="s">
        <v>4961</v>
      </c>
      <c r="D1343" t="s">
        <v>3051</v>
      </c>
      <c r="E1343" t="s">
        <v>5538</v>
      </c>
      <c r="F1343" t="s">
        <v>1312</v>
      </c>
    </row>
    <row r="1344" spans="1:6" x14ac:dyDescent="0.3">
      <c r="A1344" s="58" t="s">
        <v>1313</v>
      </c>
      <c r="B1344" t="s">
        <v>5388</v>
      </c>
      <c r="C1344" t="s">
        <v>4961</v>
      </c>
      <c r="D1344" t="s">
        <v>3564</v>
      </c>
      <c r="E1344" t="s">
        <v>5538</v>
      </c>
      <c r="F1344" t="s">
        <v>1313</v>
      </c>
    </row>
    <row r="1345" spans="1:6" x14ac:dyDescent="0.3">
      <c r="A1345" s="58" t="s">
        <v>1314</v>
      </c>
      <c r="B1345" t="s">
        <v>5388</v>
      </c>
      <c r="C1345" t="s">
        <v>4961</v>
      </c>
      <c r="D1345" t="s">
        <v>2897</v>
      </c>
      <c r="E1345" t="s">
        <v>5537</v>
      </c>
      <c r="F1345" t="s">
        <v>1314</v>
      </c>
    </row>
    <row r="1346" spans="1:6" x14ac:dyDescent="0.3">
      <c r="A1346" s="58" t="s">
        <v>1315</v>
      </c>
      <c r="B1346" t="s">
        <v>5388</v>
      </c>
      <c r="C1346" t="s">
        <v>4961</v>
      </c>
      <c r="D1346" t="s">
        <v>3565</v>
      </c>
      <c r="E1346" t="s">
        <v>5538</v>
      </c>
      <c r="F1346" t="s">
        <v>1315</v>
      </c>
    </row>
    <row r="1347" spans="1:6" x14ac:dyDescent="0.3">
      <c r="A1347" s="58" t="s">
        <v>1316</v>
      </c>
      <c r="B1347" t="s">
        <v>5388</v>
      </c>
      <c r="C1347" t="s">
        <v>4962</v>
      </c>
      <c r="D1347" t="s">
        <v>3566</v>
      </c>
      <c r="E1347" t="s">
        <v>5537</v>
      </c>
      <c r="F1347" t="s">
        <v>1316</v>
      </c>
    </row>
    <row r="1348" spans="1:6" x14ac:dyDescent="0.3">
      <c r="A1348" s="58" t="s">
        <v>1317</v>
      </c>
      <c r="B1348" t="s">
        <v>5388</v>
      </c>
      <c r="C1348" t="s">
        <v>4962</v>
      </c>
      <c r="D1348" t="s">
        <v>3567</v>
      </c>
      <c r="E1348" t="s">
        <v>5537</v>
      </c>
      <c r="F1348" t="s">
        <v>1317</v>
      </c>
    </row>
    <row r="1349" spans="1:6" x14ac:dyDescent="0.3">
      <c r="A1349" s="58" t="s">
        <v>1318</v>
      </c>
      <c r="B1349" t="s">
        <v>5388</v>
      </c>
      <c r="C1349" t="s">
        <v>4962</v>
      </c>
      <c r="D1349" t="s">
        <v>3568</v>
      </c>
      <c r="E1349" t="s">
        <v>5538</v>
      </c>
      <c r="F1349" t="s">
        <v>1318</v>
      </c>
    </row>
    <row r="1350" spans="1:6" x14ac:dyDescent="0.3">
      <c r="A1350" s="58" t="s">
        <v>1319</v>
      </c>
      <c r="B1350" t="s">
        <v>5388</v>
      </c>
      <c r="C1350" t="s">
        <v>4962</v>
      </c>
      <c r="D1350" t="s">
        <v>3569</v>
      </c>
      <c r="E1350" t="s">
        <v>5538</v>
      </c>
      <c r="F1350" t="s">
        <v>1319</v>
      </c>
    </row>
    <row r="1351" spans="1:6" x14ac:dyDescent="0.3">
      <c r="A1351" s="58" t="s">
        <v>1320</v>
      </c>
      <c r="B1351" t="s">
        <v>5388</v>
      </c>
      <c r="C1351" t="s">
        <v>4962</v>
      </c>
      <c r="D1351" t="s">
        <v>3570</v>
      </c>
      <c r="E1351" t="s">
        <v>5538</v>
      </c>
      <c r="F1351" t="s">
        <v>1320</v>
      </c>
    </row>
    <row r="1352" spans="1:6" x14ac:dyDescent="0.3">
      <c r="A1352" s="58" t="s">
        <v>1321</v>
      </c>
      <c r="B1352" t="s">
        <v>5388</v>
      </c>
      <c r="C1352" t="s">
        <v>4962</v>
      </c>
      <c r="D1352" t="s">
        <v>3049</v>
      </c>
      <c r="E1352" t="s">
        <v>5538</v>
      </c>
      <c r="F1352" t="s">
        <v>1321</v>
      </c>
    </row>
    <row r="1353" spans="1:6" x14ac:dyDescent="0.3">
      <c r="A1353" s="58" t="s">
        <v>1322</v>
      </c>
      <c r="B1353" t="s">
        <v>5388</v>
      </c>
      <c r="C1353" t="s">
        <v>4962</v>
      </c>
      <c r="D1353" t="s">
        <v>3571</v>
      </c>
      <c r="E1353" t="s">
        <v>5538</v>
      </c>
      <c r="F1353" t="s">
        <v>1322</v>
      </c>
    </row>
    <row r="1354" spans="1:6" x14ac:dyDescent="0.3">
      <c r="A1354" s="58" t="s">
        <v>1323</v>
      </c>
      <c r="B1354" t="s">
        <v>5388</v>
      </c>
      <c r="C1354" t="s">
        <v>3572</v>
      </c>
      <c r="D1354" t="s">
        <v>3572</v>
      </c>
      <c r="E1354" t="s">
        <v>5536</v>
      </c>
      <c r="F1354" t="s">
        <v>1323</v>
      </c>
    </row>
    <row r="1355" spans="1:6" x14ac:dyDescent="0.3">
      <c r="A1355" s="58" t="s">
        <v>1324</v>
      </c>
      <c r="B1355" t="s">
        <v>5380</v>
      </c>
      <c r="C1355" t="s">
        <v>4963</v>
      </c>
      <c r="D1355" t="s">
        <v>3573</v>
      </c>
      <c r="E1355" t="s">
        <v>5537</v>
      </c>
      <c r="F1355" t="s">
        <v>1324</v>
      </c>
    </row>
    <row r="1356" spans="1:6" x14ac:dyDescent="0.3">
      <c r="A1356" s="58" t="s">
        <v>1325</v>
      </c>
      <c r="B1356" t="s">
        <v>5380</v>
      </c>
      <c r="C1356" t="s">
        <v>4963</v>
      </c>
      <c r="D1356" t="s">
        <v>3574</v>
      </c>
      <c r="E1356" t="s">
        <v>5537</v>
      </c>
      <c r="F1356" t="s">
        <v>1325</v>
      </c>
    </row>
    <row r="1357" spans="1:6" x14ac:dyDescent="0.3">
      <c r="A1357" s="58" t="s">
        <v>1326</v>
      </c>
      <c r="B1357" t="s">
        <v>5380</v>
      </c>
      <c r="C1357" t="s">
        <v>4963</v>
      </c>
      <c r="D1357" t="s">
        <v>3575</v>
      </c>
      <c r="E1357" t="s">
        <v>5538</v>
      </c>
      <c r="F1357" t="s">
        <v>1326</v>
      </c>
    </row>
    <row r="1358" spans="1:6" x14ac:dyDescent="0.3">
      <c r="A1358" s="58" t="s">
        <v>1327</v>
      </c>
      <c r="B1358" t="s">
        <v>5380</v>
      </c>
      <c r="C1358" t="s">
        <v>4964</v>
      </c>
      <c r="D1358" t="s">
        <v>3576</v>
      </c>
      <c r="E1358" t="s">
        <v>5538</v>
      </c>
      <c r="F1358" t="s">
        <v>1327</v>
      </c>
    </row>
    <row r="1359" spans="1:6" x14ac:dyDescent="0.3">
      <c r="A1359" s="58" t="s">
        <v>1328</v>
      </c>
      <c r="B1359" t="s">
        <v>5380</v>
      </c>
      <c r="C1359" t="s">
        <v>4964</v>
      </c>
      <c r="D1359" t="s">
        <v>3577</v>
      </c>
      <c r="E1359" t="s">
        <v>5537</v>
      </c>
      <c r="F1359" t="s">
        <v>1328</v>
      </c>
    </row>
    <row r="1360" spans="1:6" x14ac:dyDescent="0.3">
      <c r="A1360" s="58" t="s">
        <v>1329</v>
      </c>
      <c r="B1360" t="s">
        <v>5380</v>
      </c>
      <c r="C1360" t="s">
        <v>4964</v>
      </c>
      <c r="D1360" t="s">
        <v>3578</v>
      </c>
      <c r="E1360" t="s">
        <v>5537</v>
      </c>
      <c r="F1360" t="s">
        <v>1329</v>
      </c>
    </row>
    <row r="1361" spans="1:6" x14ac:dyDescent="0.3">
      <c r="A1361" s="58" t="s">
        <v>1330</v>
      </c>
      <c r="B1361" t="s">
        <v>5380</v>
      </c>
      <c r="C1361" t="s">
        <v>4964</v>
      </c>
      <c r="D1361" t="s">
        <v>3579</v>
      </c>
      <c r="E1361" t="s">
        <v>5537</v>
      </c>
      <c r="F1361" t="s">
        <v>1330</v>
      </c>
    </row>
    <row r="1362" spans="1:6" x14ac:dyDescent="0.3">
      <c r="A1362" s="58" t="s">
        <v>1331</v>
      </c>
      <c r="B1362" t="s">
        <v>5380</v>
      </c>
      <c r="C1362" t="s">
        <v>4964</v>
      </c>
      <c r="D1362" t="s">
        <v>3580</v>
      </c>
      <c r="E1362" t="s">
        <v>5537</v>
      </c>
      <c r="F1362" t="s">
        <v>1331</v>
      </c>
    </row>
    <row r="1363" spans="1:6" x14ac:dyDescent="0.3">
      <c r="A1363" s="58" t="s">
        <v>1332</v>
      </c>
      <c r="B1363" t="s">
        <v>5380</v>
      </c>
      <c r="C1363" t="s">
        <v>4964</v>
      </c>
      <c r="D1363" t="s">
        <v>3581</v>
      </c>
      <c r="E1363" t="s">
        <v>5537</v>
      </c>
      <c r="F1363" t="s">
        <v>1332</v>
      </c>
    </row>
    <row r="1364" spans="1:6" x14ac:dyDescent="0.3">
      <c r="A1364" s="58" t="s">
        <v>1333</v>
      </c>
      <c r="B1364" t="s">
        <v>5380</v>
      </c>
      <c r="C1364" t="s">
        <v>4965</v>
      </c>
      <c r="D1364" t="s">
        <v>4658</v>
      </c>
      <c r="E1364" t="s">
        <v>5536</v>
      </c>
      <c r="F1364" t="s">
        <v>1333</v>
      </c>
    </row>
    <row r="1365" spans="1:6" x14ac:dyDescent="0.3">
      <c r="A1365" s="58" t="s">
        <v>1334</v>
      </c>
      <c r="B1365" t="s">
        <v>5380</v>
      </c>
      <c r="C1365" t="s">
        <v>4965</v>
      </c>
      <c r="D1365" t="s">
        <v>3582</v>
      </c>
      <c r="E1365" t="s">
        <v>5538</v>
      </c>
      <c r="F1365" t="s">
        <v>1334</v>
      </c>
    </row>
    <row r="1366" spans="1:6" x14ac:dyDescent="0.3">
      <c r="A1366" s="58" t="s">
        <v>1335</v>
      </c>
      <c r="B1366" t="s">
        <v>5380</v>
      </c>
      <c r="C1366" t="s">
        <v>4965</v>
      </c>
      <c r="D1366" t="s">
        <v>3573</v>
      </c>
      <c r="E1366" t="s">
        <v>5537</v>
      </c>
      <c r="F1366" t="s">
        <v>1335</v>
      </c>
    </row>
    <row r="1367" spans="1:6" x14ac:dyDescent="0.3">
      <c r="A1367" s="58" t="s">
        <v>1336</v>
      </c>
      <c r="B1367" t="s">
        <v>5380</v>
      </c>
      <c r="C1367" t="s">
        <v>4965</v>
      </c>
      <c r="D1367" t="s">
        <v>4659</v>
      </c>
      <c r="E1367" t="s">
        <v>5537</v>
      </c>
      <c r="F1367" t="s">
        <v>1336</v>
      </c>
    </row>
    <row r="1368" spans="1:6" x14ac:dyDescent="0.3">
      <c r="A1368" s="58" t="s">
        <v>1337</v>
      </c>
      <c r="B1368" t="s">
        <v>5380</v>
      </c>
      <c r="C1368" t="s">
        <v>4965</v>
      </c>
      <c r="D1368" t="s">
        <v>3583</v>
      </c>
      <c r="E1368" t="s">
        <v>5537</v>
      </c>
      <c r="F1368" t="s">
        <v>1337</v>
      </c>
    </row>
    <row r="1369" spans="1:6" x14ac:dyDescent="0.3">
      <c r="A1369" s="58" t="s">
        <v>1338</v>
      </c>
      <c r="B1369" t="s">
        <v>5380</v>
      </c>
      <c r="C1369" t="s">
        <v>4965</v>
      </c>
      <c r="D1369" t="s">
        <v>3584</v>
      </c>
      <c r="E1369" t="s">
        <v>5538</v>
      </c>
      <c r="F1369" t="s">
        <v>1338</v>
      </c>
    </row>
    <row r="1370" spans="1:6" x14ac:dyDescent="0.3">
      <c r="A1370" s="58" t="s">
        <v>1339</v>
      </c>
      <c r="B1370" t="s">
        <v>5380</v>
      </c>
      <c r="C1370" t="s">
        <v>4965</v>
      </c>
      <c r="D1370" t="s">
        <v>3585</v>
      </c>
      <c r="E1370" t="s">
        <v>5537</v>
      </c>
      <c r="F1370" t="s">
        <v>1339</v>
      </c>
    </row>
    <row r="1371" spans="1:6" x14ac:dyDescent="0.3">
      <c r="A1371" s="58" t="s">
        <v>1340</v>
      </c>
      <c r="B1371" t="s">
        <v>5380</v>
      </c>
      <c r="C1371" t="s">
        <v>4966</v>
      </c>
      <c r="D1371" t="s">
        <v>4660</v>
      </c>
      <c r="E1371" t="s">
        <v>5536</v>
      </c>
      <c r="F1371" t="s">
        <v>1340</v>
      </c>
    </row>
    <row r="1372" spans="1:6" x14ac:dyDescent="0.3">
      <c r="A1372" s="58" t="s">
        <v>1341</v>
      </c>
      <c r="B1372" t="s">
        <v>5380</v>
      </c>
      <c r="C1372" t="s">
        <v>4966</v>
      </c>
      <c r="D1372" t="s">
        <v>4661</v>
      </c>
      <c r="E1372" t="s">
        <v>5536</v>
      </c>
      <c r="F1372" t="s">
        <v>1341</v>
      </c>
    </row>
    <row r="1373" spans="1:6" x14ac:dyDescent="0.3">
      <c r="A1373" s="58" t="s">
        <v>1342</v>
      </c>
      <c r="B1373" t="s">
        <v>5380</v>
      </c>
      <c r="C1373" t="s">
        <v>4966</v>
      </c>
      <c r="D1373" t="s">
        <v>3586</v>
      </c>
      <c r="E1373" t="s">
        <v>5537</v>
      </c>
      <c r="F1373" t="s">
        <v>1342</v>
      </c>
    </row>
    <row r="1374" spans="1:6" x14ac:dyDescent="0.3">
      <c r="A1374" s="58" t="s">
        <v>1343</v>
      </c>
      <c r="B1374" t="s">
        <v>5380</v>
      </c>
      <c r="C1374" t="s">
        <v>4966</v>
      </c>
      <c r="D1374" t="s">
        <v>4662</v>
      </c>
      <c r="E1374" t="s">
        <v>5537</v>
      </c>
      <c r="F1374" t="s">
        <v>1343</v>
      </c>
    </row>
    <row r="1375" spans="1:6" x14ac:dyDescent="0.3">
      <c r="A1375" s="58" t="s">
        <v>1344</v>
      </c>
      <c r="B1375" t="s">
        <v>5380</v>
      </c>
      <c r="C1375" t="s">
        <v>4966</v>
      </c>
      <c r="D1375" t="s">
        <v>3587</v>
      </c>
      <c r="E1375" t="s">
        <v>5537</v>
      </c>
      <c r="F1375" t="s">
        <v>1344</v>
      </c>
    </row>
    <row r="1376" spans="1:6" x14ac:dyDescent="0.3">
      <c r="A1376" s="58" t="s">
        <v>1345</v>
      </c>
      <c r="B1376" t="s">
        <v>5380</v>
      </c>
      <c r="C1376" t="s">
        <v>4966</v>
      </c>
      <c r="D1376" t="s">
        <v>3588</v>
      </c>
      <c r="E1376" t="s">
        <v>5537</v>
      </c>
      <c r="F1376" t="s">
        <v>1345</v>
      </c>
    </row>
    <row r="1377" spans="1:6" x14ac:dyDescent="0.3">
      <c r="A1377" s="58" t="s">
        <v>5168</v>
      </c>
      <c r="B1377" t="s">
        <v>5380</v>
      </c>
      <c r="C1377" t="s">
        <v>4966</v>
      </c>
      <c r="D1377" t="s">
        <v>3589</v>
      </c>
      <c r="E1377" t="s">
        <v>5538</v>
      </c>
      <c r="F1377" t="s">
        <v>5168</v>
      </c>
    </row>
    <row r="1378" spans="1:6" x14ac:dyDescent="0.3">
      <c r="A1378" s="58" t="s">
        <v>1346</v>
      </c>
      <c r="B1378" t="s">
        <v>5380</v>
      </c>
      <c r="C1378" t="s">
        <v>4966</v>
      </c>
      <c r="D1378" t="s">
        <v>4663</v>
      </c>
      <c r="E1378" t="s">
        <v>5537</v>
      </c>
      <c r="F1378" t="s">
        <v>1346</v>
      </c>
    </row>
    <row r="1379" spans="1:6" x14ac:dyDescent="0.3">
      <c r="A1379" s="58" t="s">
        <v>1347</v>
      </c>
      <c r="B1379" t="s">
        <v>5380</v>
      </c>
      <c r="C1379" t="s">
        <v>4966</v>
      </c>
      <c r="D1379" t="s">
        <v>3590</v>
      </c>
      <c r="E1379" t="s">
        <v>5537</v>
      </c>
      <c r="F1379" t="s">
        <v>1347</v>
      </c>
    </row>
    <row r="1380" spans="1:6" x14ac:dyDescent="0.3">
      <c r="A1380" s="58" t="s">
        <v>1348</v>
      </c>
      <c r="B1380" t="s">
        <v>5380</v>
      </c>
      <c r="C1380" t="s">
        <v>4966</v>
      </c>
      <c r="D1380" t="s">
        <v>3591</v>
      </c>
      <c r="E1380" t="s">
        <v>5537</v>
      </c>
      <c r="F1380" t="s">
        <v>1348</v>
      </c>
    </row>
    <row r="1381" spans="1:6" x14ac:dyDescent="0.3">
      <c r="A1381" s="58" t="s">
        <v>1349</v>
      </c>
      <c r="B1381" t="s">
        <v>5380</v>
      </c>
      <c r="C1381" t="s">
        <v>4966</v>
      </c>
      <c r="D1381" t="s">
        <v>3592</v>
      </c>
      <c r="E1381" t="s">
        <v>5537</v>
      </c>
      <c r="F1381" t="s">
        <v>1349</v>
      </c>
    </row>
    <row r="1382" spans="1:6" x14ac:dyDescent="0.3">
      <c r="A1382" s="58" t="s">
        <v>1350</v>
      </c>
      <c r="B1382" t="s">
        <v>5380</v>
      </c>
      <c r="C1382" t="s">
        <v>4967</v>
      </c>
      <c r="D1382" t="s">
        <v>4664</v>
      </c>
      <c r="E1382" t="s">
        <v>5536</v>
      </c>
      <c r="F1382" t="s">
        <v>1350</v>
      </c>
    </row>
    <row r="1383" spans="1:6" x14ac:dyDescent="0.3">
      <c r="A1383" s="58" t="s">
        <v>1351</v>
      </c>
      <c r="B1383" t="s">
        <v>5380</v>
      </c>
      <c r="C1383" t="s">
        <v>4967</v>
      </c>
      <c r="D1383" t="s">
        <v>3593</v>
      </c>
      <c r="E1383" t="s">
        <v>5537</v>
      </c>
      <c r="F1383" t="s">
        <v>1351</v>
      </c>
    </row>
    <row r="1384" spans="1:6" x14ac:dyDescent="0.3">
      <c r="A1384" s="58" t="s">
        <v>1352</v>
      </c>
      <c r="B1384" t="s">
        <v>5380</v>
      </c>
      <c r="C1384" t="s">
        <v>4967</v>
      </c>
      <c r="D1384" t="s">
        <v>3594</v>
      </c>
      <c r="E1384" t="s">
        <v>5537</v>
      </c>
      <c r="F1384" t="s">
        <v>1352</v>
      </c>
    </row>
    <row r="1385" spans="1:6" x14ac:dyDescent="0.3">
      <c r="A1385" s="58" t="s">
        <v>1353</v>
      </c>
      <c r="B1385" t="s">
        <v>5380</v>
      </c>
      <c r="C1385" t="s">
        <v>4967</v>
      </c>
      <c r="D1385" t="s">
        <v>4665</v>
      </c>
      <c r="E1385" t="s">
        <v>5537</v>
      </c>
      <c r="F1385" t="s">
        <v>1353</v>
      </c>
    </row>
    <row r="1386" spans="1:6" x14ac:dyDescent="0.3">
      <c r="A1386" s="58" t="s">
        <v>5169</v>
      </c>
      <c r="B1386" t="s">
        <v>5380</v>
      </c>
      <c r="C1386" t="s">
        <v>4967</v>
      </c>
      <c r="D1386" t="s">
        <v>3595</v>
      </c>
      <c r="E1386" t="s">
        <v>5538</v>
      </c>
      <c r="F1386" t="s">
        <v>5169</v>
      </c>
    </row>
    <row r="1387" spans="1:6" x14ac:dyDescent="0.3">
      <c r="A1387" s="58" t="s">
        <v>1354</v>
      </c>
      <c r="B1387" t="s">
        <v>5380</v>
      </c>
      <c r="C1387" t="s">
        <v>4967</v>
      </c>
      <c r="D1387" t="s">
        <v>3596</v>
      </c>
      <c r="E1387" t="s">
        <v>5537</v>
      </c>
      <c r="F1387" t="s">
        <v>1354</v>
      </c>
    </row>
    <row r="1388" spans="1:6" x14ac:dyDescent="0.3">
      <c r="A1388" s="58" t="s">
        <v>1355</v>
      </c>
      <c r="B1388" t="s">
        <v>5380</v>
      </c>
      <c r="C1388" t="s">
        <v>4967</v>
      </c>
      <c r="D1388" t="s">
        <v>3597</v>
      </c>
      <c r="E1388" t="s">
        <v>5537</v>
      </c>
      <c r="F1388" t="s">
        <v>1355</v>
      </c>
    </row>
    <row r="1389" spans="1:6" x14ac:dyDescent="0.3">
      <c r="A1389" s="58" t="s">
        <v>1356</v>
      </c>
      <c r="B1389" t="s">
        <v>5380</v>
      </c>
      <c r="C1389" t="s">
        <v>4967</v>
      </c>
      <c r="D1389" t="s">
        <v>3598</v>
      </c>
      <c r="E1389" t="s">
        <v>5537</v>
      </c>
      <c r="F1389" t="s">
        <v>1356</v>
      </c>
    </row>
    <row r="1390" spans="1:6" x14ac:dyDescent="0.3">
      <c r="A1390" s="58" t="s">
        <v>1357</v>
      </c>
      <c r="B1390" t="s">
        <v>5380</v>
      </c>
      <c r="C1390" t="s">
        <v>4967</v>
      </c>
      <c r="D1390" t="s">
        <v>3599</v>
      </c>
      <c r="E1390" t="s">
        <v>5537</v>
      </c>
      <c r="F1390" t="s">
        <v>1357</v>
      </c>
    </row>
    <row r="1391" spans="1:6" x14ac:dyDescent="0.3">
      <c r="A1391" s="58" t="s">
        <v>1358</v>
      </c>
      <c r="B1391" t="s">
        <v>5380</v>
      </c>
      <c r="C1391" t="s">
        <v>4967</v>
      </c>
      <c r="D1391" t="s">
        <v>3600</v>
      </c>
      <c r="E1391" t="s">
        <v>5537</v>
      </c>
      <c r="F1391" t="s">
        <v>1358</v>
      </c>
    </row>
    <row r="1392" spans="1:6" x14ac:dyDescent="0.3">
      <c r="A1392" s="58" t="s">
        <v>1359</v>
      </c>
      <c r="B1392" t="s">
        <v>5380</v>
      </c>
      <c r="C1392" t="s">
        <v>4968</v>
      </c>
      <c r="D1392" t="s">
        <v>3601</v>
      </c>
      <c r="E1392" t="s">
        <v>5537</v>
      </c>
      <c r="F1392" t="s">
        <v>1359</v>
      </c>
    </row>
    <row r="1393" spans="1:6" x14ac:dyDescent="0.3">
      <c r="A1393" s="58" t="s">
        <v>1360</v>
      </c>
      <c r="B1393" t="s">
        <v>5380</v>
      </c>
      <c r="C1393" t="s">
        <v>4968</v>
      </c>
      <c r="D1393" t="s">
        <v>3602</v>
      </c>
      <c r="E1393" t="s">
        <v>5538</v>
      </c>
      <c r="F1393" t="s">
        <v>1360</v>
      </c>
    </row>
    <row r="1394" spans="1:6" x14ac:dyDescent="0.3">
      <c r="A1394" s="58" t="s">
        <v>1361</v>
      </c>
      <c r="B1394" t="s">
        <v>5380</v>
      </c>
      <c r="C1394" t="s">
        <v>4968</v>
      </c>
      <c r="D1394" t="s">
        <v>3603</v>
      </c>
      <c r="E1394" t="s">
        <v>5537</v>
      </c>
      <c r="F1394" t="s">
        <v>1361</v>
      </c>
    </row>
    <row r="1395" spans="1:6" x14ac:dyDescent="0.3">
      <c r="A1395" s="58" t="s">
        <v>1362</v>
      </c>
      <c r="B1395" t="s">
        <v>5380</v>
      </c>
      <c r="C1395" t="s">
        <v>4968</v>
      </c>
      <c r="D1395" t="s">
        <v>3604</v>
      </c>
      <c r="E1395" t="s">
        <v>5537</v>
      </c>
      <c r="F1395" t="s">
        <v>1362</v>
      </c>
    </row>
    <row r="1396" spans="1:6" x14ac:dyDescent="0.3">
      <c r="A1396" s="58" t="s">
        <v>1363</v>
      </c>
      <c r="B1396" t="s">
        <v>5380</v>
      </c>
      <c r="C1396" t="s">
        <v>4968</v>
      </c>
      <c r="D1396" t="s">
        <v>3605</v>
      </c>
      <c r="E1396" t="s">
        <v>5537</v>
      </c>
      <c r="F1396" t="s">
        <v>1363</v>
      </c>
    </row>
    <row r="1397" spans="1:6" x14ac:dyDescent="0.3">
      <c r="A1397" s="58" t="s">
        <v>1364</v>
      </c>
      <c r="B1397" t="s">
        <v>5380</v>
      </c>
      <c r="C1397" t="s">
        <v>4968</v>
      </c>
      <c r="D1397" t="s">
        <v>3606</v>
      </c>
      <c r="E1397" t="s">
        <v>5537</v>
      </c>
      <c r="F1397" t="s">
        <v>1364</v>
      </c>
    </row>
    <row r="1398" spans="1:6" x14ac:dyDescent="0.3">
      <c r="A1398" s="58" t="s">
        <v>1365</v>
      </c>
      <c r="B1398" t="s">
        <v>5380</v>
      </c>
      <c r="C1398" t="s">
        <v>4868</v>
      </c>
      <c r="D1398" t="s">
        <v>3607</v>
      </c>
      <c r="E1398" t="s">
        <v>5537</v>
      </c>
      <c r="F1398" t="s">
        <v>1365</v>
      </c>
    </row>
    <row r="1399" spans="1:6" x14ac:dyDescent="0.3">
      <c r="A1399" s="58" t="s">
        <v>1366</v>
      </c>
      <c r="B1399" t="s">
        <v>5380</v>
      </c>
      <c r="C1399" t="s">
        <v>4868</v>
      </c>
      <c r="D1399" t="s">
        <v>3608</v>
      </c>
      <c r="E1399" t="s">
        <v>5538</v>
      </c>
      <c r="F1399" t="s">
        <v>1366</v>
      </c>
    </row>
    <row r="1400" spans="1:6" x14ac:dyDescent="0.3">
      <c r="A1400" s="58" t="s">
        <v>1367</v>
      </c>
      <c r="B1400" t="s">
        <v>5380</v>
      </c>
      <c r="C1400" t="s">
        <v>4868</v>
      </c>
      <c r="D1400" t="s">
        <v>3609</v>
      </c>
      <c r="E1400" t="s">
        <v>5538</v>
      </c>
      <c r="F1400" t="s">
        <v>1367</v>
      </c>
    </row>
    <row r="1401" spans="1:6" x14ac:dyDescent="0.3">
      <c r="A1401" s="58" t="s">
        <v>1368</v>
      </c>
      <c r="B1401" t="s">
        <v>5380</v>
      </c>
      <c r="C1401" t="s">
        <v>4868</v>
      </c>
      <c r="D1401" t="s">
        <v>3610</v>
      </c>
      <c r="E1401" t="s">
        <v>5538</v>
      </c>
      <c r="F1401" t="s">
        <v>1368</v>
      </c>
    </row>
    <row r="1402" spans="1:6" x14ac:dyDescent="0.3">
      <c r="A1402" s="58" t="s">
        <v>1369</v>
      </c>
      <c r="B1402" t="s">
        <v>5380</v>
      </c>
      <c r="C1402" t="s">
        <v>4868</v>
      </c>
      <c r="D1402" t="s">
        <v>3611</v>
      </c>
      <c r="E1402" t="s">
        <v>5537</v>
      </c>
      <c r="F1402" t="s">
        <v>1369</v>
      </c>
    </row>
    <row r="1403" spans="1:6" x14ac:dyDescent="0.3">
      <c r="A1403" s="58" t="s">
        <v>1370</v>
      </c>
      <c r="B1403" t="s">
        <v>5380</v>
      </c>
      <c r="C1403" t="s">
        <v>4868</v>
      </c>
      <c r="D1403" t="s">
        <v>3612</v>
      </c>
      <c r="E1403" t="s">
        <v>5537</v>
      </c>
      <c r="F1403" t="s">
        <v>1370</v>
      </c>
    </row>
    <row r="1404" spans="1:6" x14ac:dyDescent="0.3">
      <c r="A1404" s="58" t="s">
        <v>1371</v>
      </c>
      <c r="B1404" t="s">
        <v>5380</v>
      </c>
      <c r="C1404" t="s">
        <v>4868</v>
      </c>
      <c r="D1404" t="s">
        <v>3613</v>
      </c>
      <c r="E1404" t="s">
        <v>5537</v>
      </c>
      <c r="F1404" t="s">
        <v>1371</v>
      </c>
    </row>
    <row r="1405" spans="1:6" x14ac:dyDescent="0.3">
      <c r="A1405" s="58" t="s">
        <v>1372</v>
      </c>
      <c r="B1405" t="s">
        <v>5380</v>
      </c>
      <c r="C1405" t="s">
        <v>4868</v>
      </c>
      <c r="D1405" t="s">
        <v>3614</v>
      </c>
      <c r="E1405" t="s">
        <v>5538</v>
      </c>
      <c r="F1405" t="s">
        <v>1372</v>
      </c>
    </row>
    <row r="1406" spans="1:6" x14ac:dyDescent="0.3">
      <c r="A1406" s="58" t="s">
        <v>1373</v>
      </c>
      <c r="B1406" t="s">
        <v>5380</v>
      </c>
      <c r="C1406" t="s">
        <v>4868</v>
      </c>
      <c r="D1406" t="s">
        <v>3615</v>
      </c>
      <c r="E1406" t="s">
        <v>5537</v>
      </c>
      <c r="F1406" t="s">
        <v>1373</v>
      </c>
    </row>
    <row r="1407" spans="1:6" x14ac:dyDescent="0.3">
      <c r="A1407" s="58" t="s">
        <v>5171</v>
      </c>
      <c r="B1407" t="s">
        <v>5380</v>
      </c>
      <c r="C1407" t="s">
        <v>4868</v>
      </c>
      <c r="D1407" t="s">
        <v>5170</v>
      </c>
      <c r="E1407" t="s">
        <v>5537</v>
      </c>
      <c r="F1407" t="s">
        <v>5171</v>
      </c>
    </row>
    <row r="1408" spans="1:6" x14ac:dyDescent="0.3">
      <c r="A1408" s="58" t="s">
        <v>1374</v>
      </c>
      <c r="B1408" t="s">
        <v>5380</v>
      </c>
      <c r="C1408" t="s">
        <v>4969</v>
      </c>
      <c r="D1408" t="s">
        <v>4666</v>
      </c>
      <c r="E1408" t="s">
        <v>5536</v>
      </c>
      <c r="F1408" t="s">
        <v>1374</v>
      </c>
    </row>
    <row r="1409" spans="1:6" x14ac:dyDescent="0.3">
      <c r="A1409" s="58" t="s">
        <v>1375</v>
      </c>
      <c r="B1409" t="s">
        <v>5380</v>
      </c>
      <c r="C1409" t="s">
        <v>4969</v>
      </c>
      <c r="D1409" t="s">
        <v>3616</v>
      </c>
      <c r="E1409" t="s">
        <v>5537</v>
      </c>
      <c r="F1409" t="s">
        <v>1375</v>
      </c>
    </row>
    <row r="1410" spans="1:6" x14ac:dyDescent="0.3">
      <c r="A1410" s="58" t="s">
        <v>1376</v>
      </c>
      <c r="B1410" t="s">
        <v>5380</v>
      </c>
      <c r="C1410" t="s">
        <v>4969</v>
      </c>
      <c r="D1410" t="s">
        <v>3617</v>
      </c>
      <c r="E1410" t="s">
        <v>5537</v>
      </c>
      <c r="F1410" t="s">
        <v>1376</v>
      </c>
    </row>
    <row r="1411" spans="1:6" x14ac:dyDescent="0.3">
      <c r="A1411" s="58" t="s">
        <v>1377</v>
      </c>
      <c r="B1411" t="s">
        <v>5380</v>
      </c>
      <c r="C1411" t="s">
        <v>4969</v>
      </c>
      <c r="D1411" t="s">
        <v>4667</v>
      </c>
      <c r="E1411" t="s">
        <v>5537</v>
      </c>
      <c r="F1411" t="s">
        <v>1377</v>
      </c>
    </row>
    <row r="1412" spans="1:6" x14ac:dyDescent="0.3">
      <c r="A1412" s="58" t="s">
        <v>1378</v>
      </c>
      <c r="B1412" t="s">
        <v>5380</v>
      </c>
      <c r="C1412" t="s">
        <v>4969</v>
      </c>
      <c r="D1412" t="s">
        <v>3618</v>
      </c>
      <c r="E1412" t="s">
        <v>5538</v>
      </c>
      <c r="F1412" t="s">
        <v>1378</v>
      </c>
    </row>
    <row r="1413" spans="1:6" x14ac:dyDescent="0.3">
      <c r="A1413" s="58" t="s">
        <v>1379</v>
      </c>
      <c r="B1413" t="s">
        <v>5380</v>
      </c>
      <c r="C1413" t="s">
        <v>4970</v>
      </c>
      <c r="D1413" t="s">
        <v>4668</v>
      </c>
      <c r="E1413" t="s">
        <v>5536</v>
      </c>
      <c r="F1413" t="s">
        <v>1379</v>
      </c>
    </row>
    <row r="1414" spans="1:6" x14ac:dyDescent="0.3">
      <c r="A1414" s="58" t="s">
        <v>1380</v>
      </c>
      <c r="B1414" t="s">
        <v>5380</v>
      </c>
      <c r="C1414" t="s">
        <v>4970</v>
      </c>
      <c r="D1414" t="s">
        <v>3619</v>
      </c>
      <c r="E1414" t="s">
        <v>5538</v>
      </c>
      <c r="F1414" t="s">
        <v>1380</v>
      </c>
    </row>
    <row r="1415" spans="1:6" x14ac:dyDescent="0.3">
      <c r="A1415" s="58" t="s">
        <v>1381</v>
      </c>
      <c r="B1415" t="s">
        <v>5380</v>
      </c>
      <c r="C1415" t="s">
        <v>4970</v>
      </c>
      <c r="D1415" t="s">
        <v>3620</v>
      </c>
      <c r="E1415" t="s">
        <v>5537</v>
      </c>
      <c r="F1415" t="s">
        <v>1381</v>
      </c>
    </row>
    <row r="1416" spans="1:6" x14ac:dyDescent="0.3">
      <c r="A1416" s="58" t="s">
        <v>1382</v>
      </c>
      <c r="B1416" t="s">
        <v>5380</v>
      </c>
      <c r="C1416" t="s">
        <v>4970</v>
      </c>
      <c r="D1416" t="s">
        <v>4669</v>
      </c>
      <c r="E1416" t="s">
        <v>5537</v>
      </c>
      <c r="F1416" t="s">
        <v>1382</v>
      </c>
    </row>
    <row r="1417" spans="1:6" x14ac:dyDescent="0.3">
      <c r="A1417" s="58" t="s">
        <v>1383</v>
      </c>
      <c r="B1417" t="s">
        <v>5380</v>
      </c>
      <c r="C1417" t="s">
        <v>4970</v>
      </c>
      <c r="D1417" t="s">
        <v>3621</v>
      </c>
      <c r="E1417" t="s">
        <v>5538</v>
      </c>
      <c r="F1417" t="s">
        <v>1383</v>
      </c>
    </row>
    <row r="1418" spans="1:6" x14ac:dyDescent="0.3">
      <c r="A1418" s="58" t="s">
        <v>1384</v>
      </c>
      <c r="B1418" t="s">
        <v>5380</v>
      </c>
      <c r="C1418" t="s">
        <v>4970</v>
      </c>
      <c r="D1418" t="s">
        <v>3622</v>
      </c>
      <c r="E1418" t="s">
        <v>5538</v>
      </c>
      <c r="F1418" t="s">
        <v>1384</v>
      </c>
    </row>
    <row r="1419" spans="1:6" x14ac:dyDescent="0.3">
      <c r="A1419" s="58" t="s">
        <v>1385</v>
      </c>
      <c r="B1419" t="s">
        <v>5380</v>
      </c>
      <c r="C1419" t="s">
        <v>4970</v>
      </c>
      <c r="D1419" t="s">
        <v>3623</v>
      </c>
      <c r="E1419" t="s">
        <v>5537</v>
      </c>
      <c r="F1419" t="s">
        <v>1385</v>
      </c>
    </row>
    <row r="1420" spans="1:6" x14ac:dyDescent="0.3">
      <c r="A1420" s="58" t="s">
        <v>1386</v>
      </c>
      <c r="B1420" t="s">
        <v>5380</v>
      </c>
      <c r="C1420" t="s">
        <v>4970</v>
      </c>
      <c r="D1420" t="s">
        <v>3624</v>
      </c>
      <c r="E1420" t="s">
        <v>5537</v>
      </c>
      <c r="F1420" t="s">
        <v>1386</v>
      </c>
    </row>
    <row r="1421" spans="1:6" x14ac:dyDescent="0.3">
      <c r="A1421" s="58" t="s">
        <v>1387</v>
      </c>
      <c r="B1421" t="s">
        <v>5380</v>
      </c>
      <c r="C1421" t="s">
        <v>4971</v>
      </c>
      <c r="D1421" t="s">
        <v>4670</v>
      </c>
      <c r="E1421" t="s">
        <v>5536</v>
      </c>
      <c r="F1421" t="s">
        <v>1387</v>
      </c>
    </row>
    <row r="1422" spans="1:6" x14ac:dyDescent="0.3">
      <c r="A1422" s="58" t="s">
        <v>1388</v>
      </c>
      <c r="B1422" t="s">
        <v>5380</v>
      </c>
      <c r="C1422" t="s">
        <v>4971</v>
      </c>
      <c r="D1422" t="s">
        <v>3235</v>
      </c>
      <c r="E1422" t="s">
        <v>5537</v>
      </c>
      <c r="F1422" t="s">
        <v>1388</v>
      </c>
    </row>
    <row r="1423" spans="1:6" x14ac:dyDescent="0.3">
      <c r="A1423" s="58" t="s">
        <v>1389</v>
      </c>
      <c r="B1423" t="s">
        <v>5380</v>
      </c>
      <c r="C1423" t="s">
        <v>4971</v>
      </c>
      <c r="D1423" t="s">
        <v>3573</v>
      </c>
      <c r="E1423" t="s">
        <v>5537</v>
      </c>
      <c r="F1423" t="s">
        <v>1389</v>
      </c>
    </row>
    <row r="1424" spans="1:6" x14ac:dyDescent="0.3">
      <c r="A1424" s="58" t="s">
        <v>1390</v>
      </c>
      <c r="B1424" t="s">
        <v>5380</v>
      </c>
      <c r="C1424" t="s">
        <v>4971</v>
      </c>
      <c r="D1424" t="s">
        <v>4671</v>
      </c>
      <c r="E1424" t="s">
        <v>5537</v>
      </c>
      <c r="F1424" t="s">
        <v>1390</v>
      </c>
    </row>
    <row r="1425" spans="1:6" x14ac:dyDescent="0.3">
      <c r="A1425" s="58" t="s">
        <v>1391</v>
      </c>
      <c r="B1425" t="s">
        <v>5380</v>
      </c>
      <c r="C1425" t="s">
        <v>4971</v>
      </c>
      <c r="D1425" t="s">
        <v>3625</v>
      </c>
      <c r="E1425" t="s">
        <v>5537</v>
      </c>
      <c r="F1425" t="s">
        <v>1391</v>
      </c>
    </row>
    <row r="1426" spans="1:6" x14ac:dyDescent="0.3">
      <c r="A1426" s="58" t="s">
        <v>1392</v>
      </c>
      <c r="B1426" t="s">
        <v>5380</v>
      </c>
      <c r="C1426" t="s">
        <v>4971</v>
      </c>
      <c r="D1426" t="s">
        <v>3626</v>
      </c>
      <c r="E1426" t="s">
        <v>5537</v>
      </c>
      <c r="F1426" t="s">
        <v>1392</v>
      </c>
    </row>
    <row r="1427" spans="1:6" x14ac:dyDescent="0.3">
      <c r="A1427" s="58" t="s">
        <v>1393</v>
      </c>
      <c r="B1427" t="s">
        <v>5380</v>
      </c>
      <c r="C1427" t="s">
        <v>4971</v>
      </c>
      <c r="D1427" t="s">
        <v>3627</v>
      </c>
      <c r="E1427" t="s">
        <v>5537</v>
      </c>
      <c r="F1427" t="s">
        <v>1393</v>
      </c>
    </row>
    <row r="1428" spans="1:6" x14ac:dyDescent="0.3">
      <c r="A1428" s="58" t="s">
        <v>1394</v>
      </c>
      <c r="B1428" t="s">
        <v>5380</v>
      </c>
      <c r="C1428" t="s">
        <v>4972</v>
      </c>
      <c r="D1428" t="s">
        <v>4672</v>
      </c>
      <c r="E1428" t="s">
        <v>5536</v>
      </c>
      <c r="F1428" t="s">
        <v>1394</v>
      </c>
    </row>
    <row r="1429" spans="1:6" x14ac:dyDescent="0.3">
      <c r="A1429" s="58" t="s">
        <v>1395</v>
      </c>
      <c r="B1429" t="s">
        <v>5380</v>
      </c>
      <c r="C1429" t="s">
        <v>4972</v>
      </c>
      <c r="D1429" t="s">
        <v>3628</v>
      </c>
      <c r="E1429" t="s">
        <v>5537</v>
      </c>
      <c r="F1429" t="s">
        <v>1395</v>
      </c>
    </row>
    <row r="1430" spans="1:6" x14ac:dyDescent="0.3">
      <c r="A1430" s="58" t="s">
        <v>1396</v>
      </c>
      <c r="B1430" t="s">
        <v>5380</v>
      </c>
      <c r="C1430" t="s">
        <v>4972</v>
      </c>
      <c r="D1430" t="s">
        <v>3629</v>
      </c>
      <c r="E1430" t="s">
        <v>5537</v>
      </c>
      <c r="F1430" t="s">
        <v>1396</v>
      </c>
    </row>
    <row r="1431" spans="1:6" x14ac:dyDescent="0.3">
      <c r="A1431" s="58" t="s">
        <v>1397</v>
      </c>
      <c r="B1431" t="s">
        <v>5380</v>
      </c>
      <c r="C1431" t="s">
        <v>4972</v>
      </c>
      <c r="D1431" t="s">
        <v>3630</v>
      </c>
      <c r="E1431" t="s">
        <v>5537</v>
      </c>
      <c r="F1431" t="s">
        <v>1397</v>
      </c>
    </row>
    <row r="1432" spans="1:6" x14ac:dyDescent="0.3">
      <c r="A1432" s="58" t="s">
        <v>1398</v>
      </c>
      <c r="B1432" t="s">
        <v>5380</v>
      </c>
      <c r="C1432" t="s">
        <v>4972</v>
      </c>
      <c r="D1432" t="s">
        <v>4673</v>
      </c>
      <c r="E1432" t="s">
        <v>5537</v>
      </c>
      <c r="F1432" t="s">
        <v>1398</v>
      </c>
    </row>
    <row r="1433" spans="1:6" x14ac:dyDescent="0.3">
      <c r="A1433" s="58" t="s">
        <v>1399</v>
      </c>
      <c r="B1433" t="s">
        <v>5380</v>
      </c>
      <c r="C1433" t="s">
        <v>4972</v>
      </c>
      <c r="D1433" t="s">
        <v>3631</v>
      </c>
      <c r="E1433" t="s">
        <v>5537</v>
      </c>
      <c r="F1433" t="s">
        <v>1399</v>
      </c>
    </row>
    <row r="1434" spans="1:6" x14ac:dyDescent="0.3">
      <c r="A1434" s="58" t="s">
        <v>5172</v>
      </c>
      <c r="B1434" t="s">
        <v>5380</v>
      </c>
      <c r="C1434" t="s">
        <v>4972</v>
      </c>
      <c r="D1434" t="s">
        <v>3632</v>
      </c>
      <c r="E1434" t="s">
        <v>5538</v>
      </c>
      <c r="F1434" t="s">
        <v>5172</v>
      </c>
    </row>
    <row r="1435" spans="1:6" x14ac:dyDescent="0.3">
      <c r="A1435" s="58" t="s">
        <v>1400</v>
      </c>
      <c r="B1435" t="s">
        <v>5380</v>
      </c>
      <c r="C1435" t="s">
        <v>4972</v>
      </c>
      <c r="D1435" t="s">
        <v>3633</v>
      </c>
      <c r="E1435" t="s">
        <v>5538</v>
      </c>
      <c r="F1435" t="s">
        <v>1400</v>
      </c>
    </row>
    <row r="1436" spans="1:6" x14ac:dyDescent="0.3">
      <c r="A1436" s="58" t="s">
        <v>1401</v>
      </c>
      <c r="B1436" t="s">
        <v>5380</v>
      </c>
      <c r="C1436" t="s">
        <v>4972</v>
      </c>
      <c r="D1436" t="s">
        <v>3634</v>
      </c>
      <c r="E1436" t="s">
        <v>5537</v>
      </c>
      <c r="F1436" t="s">
        <v>1401</v>
      </c>
    </row>
    <row r="1437" spans="1:6" x14ac:dyDescent="0.3">
      <c r="A1437" s="58" t="s">
        <v>1402</v>
      </c>
      <c r="B1437" t="s">
        <v>5380</v>
      </c>
      <c r="C1437" t="s">
        <v>4972</v>
      </c>
      <c r="D1437" t="s">
        <v>3635</v>
      </c>
      <c r="E1437" t="s">
        <v>5537</v>
      </c>
      <c r="F1437" t="s">
        <v>1402</v>
      </c>
    </row>
    <row r="1438" spans="1:6" x14ac:dyDescent="0.3">
      <c r="A1438" s="58" t="s">
        <v>1403</v>
      </c>
      <c r="B1438" t="s">
        <v>5380</v>
      </c>
      <c r="C1438" t="s">
        <v>4973</v>
      </c>
      <c r="D1438" t="s">
        <v>3636</v>
      </c>
      <c r="E1438" t="s">
        <v>5537</v>
      </c>
      <c r="F1438" t="s">
        <v>1403</v>
      </c>
    </row>
    <row r="1439" spans="1:6" x14ac:dyDescent="0.3">
      <c r="A1439" s="58" t="s">
        <v>1404</v>
      </c>
      <c r="B1439" t="s">
        <v>5380</v>
      </c>
      <c r="C1439" t="s">
        <v>4973</v>
      </c>
      <c r="D1439" t="s">
        <v>3637</v>
      </c>
      <c r="E1439" t="s">
        <v>5537</v>
      </c>
      <c r="F1439" t="s">
        <v>1404</v>
      </c>
    </row>
    <row r="1440" spans="1:6" x14ac:dyDescent="0.3">
      <c r="A1440" s="58" t="s">
        <v>1405</v>
      </c>
      <c r="B1440" t="s">
        <v>5380</v>
      </c>
      <c r="C1440" t="s">
        <v>4973</v>
      </c>
      <c r="D1440" t="s">
        <v>3638</v>
      </c>
      <c r="E1440" t="s">
        <v>5537</v>
      </c>
      <c r="F1440" t="s">
        <v>1405</v>
      </c>
    </row>
    <row r="1441" spans="1:6" x14ac:dyDescent="0.3">
      <c r="A1441" s="58" t="s">
        <v>1406</v>
      </c>
      <c r="B1441" t="s">
        <v>5380</v>
      </c>
      <c r="C1441" t="s">
        <v>4973</v>
      </c>
      <c r="D1441" t="s">
        <v>3639</v>
      </c>
      <c r="E1441" t="s">
        <v>5537</v>
      </c>
      <c r="F1441" t="s">
        <v>1406</v>
      </c>
    </row>
    <row r="1442" spans="1:6" x14ac:dyDescent="0.3">
      <c r="A1442" s="58" t="s">
        <v>1407</v>
      </c>
      <c r="B1442" t="s">
        <v>5380</v>
      </c>
      <c r="C1442" t="s">
        <v>4973</v>
      </c>
      <c r="D1442" t="s">
        <v>3640</v>
      </c>
      <c r="E1442" t="s">
        <v>5538</v>
      </c>
      <c r="F1442" t="s">
        <v>1407</v>
      </c>
    </row>
    <row r="1443" spans="1:6" x14ac:dyDescent="0.3">
      <c r="A1443" s="58" t="s">
        <v>1408</v>
      </c>
      <c r="B1443" t="s">
        <v>5380</v>
      </c>
      <c r="C1443" t="s">
        <v>4973</v>
      </c>
      <c r="D1443" t="s">
        <v>3641</v>
      </c>
      <c r="E1443" t="s">
        <v>5538</v>
      </c>
      <c r="F1443" t="s">
        <v>1408</v>
      </c>
    </row>
    <row r="1444" spans="1:6" x14ac:dyDescent="0.3">
      <c r="A1444" s="58" t="s">
        <v>1409</v>
      </c>
      <c r="B1444" t="s">
        <v>5380</v>
      </c>
      <c r="C1444" t="s">
        <v>4973</v>
      </c>
      <c r="D1444" t="s">
        <v>3642</v>
      </c>
      <c r="E1444" t="s">
        <v>5538</v>
      </c>
      <c r="F1444" t="s">
        <v>1409</v>
      </c>
    </row>
    <row r="1445" spans="1:6" x14ac:dyDescent="0.3">
      <c r="A1445" s="58" t="s">
        <v>1410</v>
      </c>
      <c r="B1445" t="s">
        <v>5380</v>
      </c>
      <c r="C1445" t="s">
        <v>4974</v>
      </c>
      <c r="D1445" t="s">
        <v>3643</v>
      </c>
      <c r="E1445" t="s">
        <v>5538</v>
      </c>
      <c r="F1445" t="s">
        <v>5521</v>
      </c>
    </row>
    <row r="1446" spans="1:6" x14ac:dyDescent="0.3">
      <c r="A1446" s="58" t="s">
        <v>5401</v>
      </c>
      <c r="B1446" t="s">
        <v>5380</v>
      </c>
      <c r="C1446" t="s">
        <v>4974</v>
      </c>
      <c r="D1446" t="s">
        <v>3644</v>
      </c>
      <c r="E1446" t="s">
        <v>5538</v>
      </c>
      <c r="F1446" t="s">
        <v>5401</v>
      </c>
    </row>
    <row r="1447" spans="1:6" x14ac:dyDescent="0.3">
      <c r="A1447" s="58" t="s">
        <v>1411</v>
      </c>
      <c r="B1447" t="s">
        <v>5380</v>
      </c>
      <c r="C1447" t="s">
        <v>4974</v>
      </c>
      <c r="D1447" t="s">
        <v>3645</v>
      </c>
      <c r="E1447" t="s">
        <v>5537</v>
      </c>
      <c r="F1447" t="s">
        <v>1411</v>
      </c>
    </row>
    <row r="1448" spans="1:6" x14ac:dyDescent="0.3">
      <c r="A1448" s="58" t="s">
        <v>1412</v>
      </c>
      <c r="B1448" t="s">
        <v>5380</v>
      </c>
      <c r="C1448" t="s">
        <v>4974</v>
      </c>
      <c r="D1448" t="s">
        <v>3646</v>
      </c>
      <c r="E1448" t="s">
        <v>5537</v>
      </c>
      <c r="F1448" t="s">
        <v>1412</v>
      </c>
    </row>
    <row r="1449" spans="1:6" x14ac:dyDescent="0.3">
      <c r="A1449" s="58" t="s">
        <v>1413</v>
      </c>
      <c r="B1449" t="s">
        <v>5380</v>
      </c>
      <c r="C1449" t="s">
        <v>4974</v>
      </c>
      <c r="D1449" t="s">
        <v>3647</v>
      </c>
      <c r="E1449" t="s">
        <v>5537</v>
      </c>
      <c r="F1449" t="s">
        <v>1413</v>
      </c>
    </row>
    <row r="1450" spans="1:6" x14ac:dyDescent="0.3">
      <c r="A1450" s="58" t="s">
        <v>1414</v>
      </c>
      <c r="B1450" t="s">
        <v>5380</v>
      </c>
      <c r="C1450" t="s">
        <v>4974</v>
      </c>
      <c r="D1450" t="s">
        <v>3648</v>
      </c>
      <c r="E1450" t="s">
        <v>5537</v>
      </c>
      <c r="F1450" t="s">
        <v>1414</v>
      </c>
    </row>
    <row r="1451" spans="1:6" x14ac:dyDescent="0.3">
      <c r="A1451" s="58" t="s">
        <v>1415</v>
      </c>
      <c r="B1451" t="s">
        <v>5380</v>
      </c>
      <c r="C1451" t="s">
        <v>4974</v>
      </c>
      <c r="D1451" t="s">
        <v>3649</v>
      </c>
      <c r="E1451" t="s">
        <v>5537</v>
      </c>
      <c r="F1451" t="s">
        <v>1415</v>
      </c>
    </row>
    <row r="1452" spans="1:6" x14ac:dyDescent="0.3">
      <c r="A1452" s="58" t="s">
        <v>1416</v>
      </c>
      <c r="B1452" t="s">
        <v>5380</v>
      </c>
      <c r="C1452" t="s">
        <v>4974</v>
      </c>
      <c r="D1452" t="s">
        <v>3650</v>
      </c>
      <c r="E1452" t="s">
        <v>5537</v>
      </c>
      <c r="F1452" t="s">
        <v>1416</v>
      </c>
    </row>
    <row r="1453" spans="1:6" x14ac:dyDescent="0.3">
      <c r="A1453" s="58" t="s">
        <v>1417</v>
      </c>
      <c r="B1453" t="s">
        <v>5380</v>
      </c>
      <c r="C1453" t="s">
        <v>4974</v>
      </c>
      <c r="D1453" t="s">
        <v>3651</v>
      </c>
      <c r="E1453" t="s">
        <v>5537</v>
      </c>
      <c r="F1453" t="s">
        <v>1417</v>
      </c>
    </row>
    <row r="1454" spans="1:6" x14ac:dyDescent="0.3">
      <c r="A1454" s="58" t="s">
        <v>1418</v>
      </c>
      <c r="B1454" t="s">
        <v>5380</v>
      </c>
      <c r="C1454" t="s">
        <v>4974</v>
      </c>
      <c r="D1454" t="s">
        <v>3652</v>
      </c>
      <c r="E1454" t="s">
        <v>5537</v>
      </c>
      <c r="F1454" t="s">
        <v>1418</v>
      </c>
    </row>
    <row r="1455" spans="1:6" x14ac:dyDescent="0.3">
      <c r="A1455" s="58" t="s">
        <v>1419</v>
      </c>
      <c r="B1455" t="s">
        <v>5380</v>
      </c>
      <c r="C1455" t="s">
        <v>4975</v>
      </c>
      <c r="D1455" t="s">
        <v>4674</v>
      </c>
      <c r="E1455" t="s">
        <v>5536</v>
      </c>
      <c r="F1455" t="s">
        <v>1419</v>
      </c>
    </row>
    <row r="1456" spans="1:6" x14ac:dyDescent="0.3">
      <c r="A1456" s="58" t="s">
        <v>1420</v>
      </c>
      <c r="B1456" t="s">
        <v>5380</v>
      </c>
      <c r="C1456" t="s">
        <v>4975</v>
      </c>
      <c r="D1456" t="s">
        <v>3653</v>
      </c>
      <c r="E1456" t="s">
        <v>5537</v>
      </c>
      <c r="F1456" t="s">
        <v>1420</v>
      </c>
    </row>
    <row r="1457" spans="1:6" x14ac:dyDescent="0.3">
      <c r="A1457" s="58" t="s">
        <v>1421</v>
      </c>
      <c r="B1457" t="s">
        <v>5380</v>
      </c>
      <c r="C1457" t="s">
        <v>4975</v>
      </c>
      <c r="D1457" t="s">
        <v>3654</v>
      </c>
      <c r="E1457" t="s">
        <v>5537</v>
      </c>
      <c r="F1457" t="s">
        <v>1421</v>
      </c>
    </row>
    <row r="1458" spans="1:6" x14ac:dyDescent="0.3">
      <c r="A1458" s="58" t="s">
        <v>1422</v>
      </c>
      <c r="B1458" t="s">
        <v>5380</v>
      </c>
      <c r="C1458" t="s">
        <v>4975</v>
      </c>
      <c r="D1458" t="s">
        <v>3655</v>
      </c>
      <c r="E1458" t="s">
        <v>5538</v>
      </c>
      <c r="F1458" t="s">
        <v>5522</v>
      </c>
    </row>
    <row r="1459" spans="1:6" x14ac:dyDescent="0.3">
      <c r="A1459" s="58" t="s">
        <v>1423</v>
      </c>
      <c r="B1459" t="s">
        <v>5380</v>
      </c>
      <c r="C1459" t="s">
        <v>4975</v>
      </c>
      <c r="D1459" t="s">
        <v>3656</v>
      </c>
      <c r="E1459" t="s">
        <v>5538</v>
      </c>
      <c r="F1459" t="s">
        <v>1423</v>
      </c>
    </row>
    <row r="1460" spans="1:6" x14ac:dyDescent="0.3">
      <c r="A1460" s="58" t="s">
        <v>1424</v>
      </c>
      <c r="B1460" t="s">
        <v>5380</v>
      </c>
      <c r="C1460" t="s">
        <v>4975</v>
      </c>
      <c r="D1460" t="s">
        <v>4675</v>
      </c>
      <c r="E1460" t="s">
        <v>5537</v>
      </c>
      <c r="F1460" t="s">
        <v>1424</v>
      </c>
    </row>
    <row r="1461" spans="1:6" x14ac:dyDescent="0.3">
      <c r="A1461" s="58" t="s">
        <v>1425</v>
      </c>
      <c r="B1461" t="s">
        <v>5380</v>
      </c>
      <c r="C1461" t="s">
        <v>4975</v>
      </c>
      <c r="D1461" t="s">
        <v>3657</v>
      </c>
      <c r="E1461" t="s">
        <v>5538</v>
      </c>
      <c r="F1461" t="s">
        <v>1425</v>
      </c>
    </row>
    <row r="1462" spans="1:6" x14ac:dyDescent="0.3">
      <c r="A1462" s="58" t="s">
        <v>1426</v>
      </c>
      <c r="B1462" t="s">
        <v>5380</v>
      </c>
      <c r="C1462" t="s">
        <v>4975</v>
      </c>
      <c r="D1462" t="s">
        <v>3658</v>
      </c>
      <c r="E1462" t="s">
        <v>5537</v>
      </c>
      <c r="F1462" t="s">
        <v>1426</v>
      </c>
    </row>
    <row r="1463" spans="1:6" x14ac:dyDescent="0.3">
      <c r="A1463" s="58" t="s">
        <v>1427</v>
      </c>
      <c r="B1463" t="s">
        <v>5380</v>
      </c>
      <c r="C1463" t="s">
        <v>4975</v>
      </c>
      <c r="D1463" t="s">
        <v>3659</v>
      </c>
      <c r="E1463" t="s">
        <v>5537</v>
      </c>
      <c r="F1463" t="s">
        <v>1427</v>
      </c>
    </row>
    <row r="1464" spans="1:6" x14ac:dyDescent="0.3">
      <c r="A1464" s="58" t="s">
        <v>1428</v>
      </c>
      <c r="B1464" t="s">
        <v>5380</v>
      </c>
      <c r="C1464" t="s">
        <v>4976</v>
      </c>
      <c r="D1464" t="s">
        <v>3660</v>
      </c>
      <c r="E1464" t="s">
        <v>5537</v>
      </c>
      <c r="F1464" t="s">
        <v>1428</v>
      </c>
    </row>
    <row r="1465" spans="1:6" x14ac:dyDescent="0.3">
      <c r="A1465" s="58" t="s">
        <v>1429</v>
      </c>
      <c r="B1465" t="s">
        <v>5380</v>
      </c>
      <c r="C1465" t="s">
        <v>4976</v>
      </c>
      <c r="D1465" t="s">
        <v>3661</v>
      </c>
      <c r="E1465" t="s">
        <v>5537</v>
      </c>
      <c r="F1465" t="s">
        <v>1429</v>
      </c>
    </row>
    <row r="1466" spans="1:6" x14ac:dyDescent="0.3">
      <c r="A1466" s="58" t="s">
        <v>1430</v>
      </c>
      <c r="B1466" t="s">
        <v>5380</v>
      </c>
      <c r="C1466" t="s">
        <v>4976</v>
      </c>
      <c r="D1466" t="s">
        <v>3662</v>
      </c>
      <c r="E1466" t="s">
        <v>5538</v>
      </c>
      <c r="F1466" t="s">
        <v>1430</v>
      </c>
    </row>
    <row r="1467" spans="1:6" x14ac:dyDescent="0.3">
      <c r="A1467" s="58" t="s">
        <v>1431</v>
      </c>
      <c r="B1467" t="s">
        <v>5380</v>
      </c>
      <c r="C1467" t="s">
        <v>4976</v>
      </c>
      <c r="D1467" t="s">
        <v>3663</v>
      </c>
      <c r="E1467" t="s">
        <v>5538</v>
      </c>
      <c r="F1467" t="s">
        <v>1431</v>
      </c>
    </row>
    <row r="1468" spans="1:6" x14ac:dyDescent="0.3">
      <c r="A1468" s="58" t="s">
        <v>1432</v>
      </c>
      <c r="B1468" t="s">
        <v>5380</v>
      </c>
      <c r="C1468" t="s">
        <v>4976</v>
      </c>
      <c r="D1468" t="s">
        <v>3664</v>
      </c>
      <c r="E1468" t="s">
        <v>5537</v>
      </c>
      <c r="F1468" t="s">
        <v>1432</v>
      </c>
    </row>
    <row r="1469" spans="1:6" x14ac:dyDescent="0.3">
      <c r="A1469" s="58" t="s">
        <v>1433</v>
      </c>
      <c r="B1469" t="s">
        <v>5380</v>
      </c>
      <c r="C1469" t="s">
        <v>4977</v>
      </c>
      <c r="D1469" t="s">
        <v>4676</v>
      </c>
      <c r="E1469" t="s">
        <v>5536</v>
      </c>
      <c r="F1469" t="s">
        <v>1433</v>
      </c>
    </row>
    <row r="1470" spans="1:6" x14ac:dyDescent="0.3">
      <c r="A1470" s="58" t="s">
        <v>1434</v>
      </c>
      <c r="B1470" t="s">
        <v>5380</v>
      </c>
      <c r="C1470" t="s">
        <v>4977</v>
      </c>
      <c r="D1470" t="s">
        <v>3665</v>
      </c>
      <c r="E1470" t="s">
        <v>5538</v>
      </c>
      <c r="F1470" t="s">
        <v>1434</v>
      </c>
    </row>
    <row r="1471" spans="1:6" x14ac:dyDescent="0.3">
      <c r="A1471" s="58" t="s">
        <v>1435</v>
      </c>
      <c r="B1471" t="s">
        <v>5380</v>
      </c>
      <c r="C1471" t="s">
        <v>4977</v>
      </c>
      <c r="D1471" t="s">
        <v>3666</v>
      </c>
      <c r="E1471" t="s">
        <v>5538</v>
      </c>
      <c r="F1471" t="s">
        <v>1435</v>
      </c>
    </row>
    <row r="1472" spans="1:6" x14ac:dyDescent="0.3">
      <c r="A1472" s="58" t="s">
        <v>1436</v>
      </c>
      <c r="B1472" t="s">
        <v>5380</v>
      </c>
      <c r="C1472" t="s">
        <v>4977</v>
      </c>
      <c r="D1472" t="s">
        <v>3667</v>
      </c>
      <c r="E1472" t="s">
        <v>5537</v>
      </c>
      <c r="F1472" t="s">
        <v>1436</v>
      </c>
    </row>
    <row r="1473" spans="1:6" x14ac:dyDescent="0.3">
      <c r="A1473" s="58" t="s">
        <v>1437</v>
      </c>
      <c r="B1473" t="s">
        <v>5380</v>
      </c>
      <c r="C1473" t="s">
        <v>4977</v>
      </c>
      <c r="D1473" t="s">
        <v>4677</v>
      </c>
      <c r="E1473" t="s">
        <v>5537</v>
      </c>
      <c r="F1473" t="s">
        <v>1437</v>
      </c>
    </row>
    <row r="1474" spans="1:6" x14ac:dyDescent="0.3">
      <c r="A1474" s="58" t="s">
        <v>1438</v>
      </c>
      <c r="B1474" t="s">
        <v>5380</v>
      </c>
      <c r="C1474" t="s">
        <v>4977</v>
      </c>
      <c r="D1474" t="s">
        <v>3668</v>
      </c>
      <c r="E1474" t="s">
        <v>5538</v>
      </c>
      <c r="F1474" t="s">
        <v>1438</v>
      </c>
    </row>
    <row r="1475" spans="1:6" x14ac:dyDescent="0.3">
      <c r="A1475" s="58" t="s">
        <v>1439</v>
      </c>
      <c r="B1475" t="s">
        <v>5380</v>
      </c>
      <c r="C1475" t="s">
        <v>4977</v>
      </c>
      <c r="D1475" t="s">
        <v>3669</v>
      </c>
      <c r="E1475" t="s">
        <v>5537</v>
      </c>
      <c r="F1475" t="s">
        <v>1439</v>
      </c>
    </row>
    <row r="1476" spans="1:6" x14ac:dyDescent="0.3">
      <c r="A1476" s="58" t="s">
        <v>1440</v>
      </c>
      <c r="B1476" t="s">
        <v>5380</v>
      </c>
      <c r="C1476" t="s">
        <v>4977</v>
      </c>
      <c r="D1476" t="s">
        <v>2708</v>
      </c>
      <c r="E1476" t="s">
        <v>5537</v>
      </c>
      <c r="F1476" t="s">
        <v>1440</v>
      </c>
    </row>
    <row r="1477" spans="1:6" x14ac:dyDescent="0.3">
      <c r="A1477" s="58" t="s">
        <v>1441</v>
      </c>
      <c r="B1477" t="s">
        <v>5380</v>
      </c>
      <c r="C1477" t="s">
        <v>4977</v>
      </c>
      <c r="D1477" t="s">
        <v>3396</v>
      </c>
      <c r="E1477" t="s">
        <v>5537</v>
      </c>
      <c r="F1477" t="s">
        <v>1441</v>
      </c>
    </row>
    <row r="1478" spans="1:6" x14ac:dyDescent="0.3">
      <c r="A1478" s="58" t="s">
        <v>1442</v>
      </c>
      <c r="B1478" t="s">
        <v>5380</v>
      </c>
      <c r="C1478" t="s">
        <v>4977</v>
      </c>
      <c r="D1478" t="s">
        <v>3670</v>
      </c>
      <c r="E1478" t="s">
        <v>5537</v>
      </c>
      <c r="F1478" t="s">
        <v>1442</v>
      </c>
    </row>
    <row r="1479" spans="1:6" x14ac:dyDescent="0.3">
      <c r="A1479" s="58" t="s">
        <v>1443</v>
      </c>
      <c r="B1479" t="s">
        <v>5380</v>
      </c>
      <c r="C1479" t="s">
        <v>4977</v>
      </c>
      <c r="D1479" t="s">
        <v>3671</v>
      </c>
      <c r="E1479" t="s">
        <v>5538</v>
      </c>
      <c r="F1479" t="s">
        <v>1443</v>
      </c>
    </row>
    <row r="1480" spans="1:6" x14ac:dyDescent="0.3">
      <c r="A1480" s="58" t="s">
        <v>1444</v>
      </c>
      <c r="B1480" t="s">
        <v>5380</v>
      </c>
      <c r="C1480" t="s">
        <v>4977</v>
      </c>
      <c r="D1480" t="s">
        <v>3672</v>
      </c>
      <c r="E1480" t="s">
        <v>5537</v>
      </c>
      <c r="F1480" t="s">
        <v>1444</v>
      </c>
    </row>
    <row r="1481" spans="1:6" x14ac:dyDescent="0.3">
      <c r="A1481" s="58" t="s">
        <v>1445</v>
      </c>
      <c r="B1481" t="s">
        <v>5380</v>
      </c>
      <c r="C1481" t="s">
        <v>4977</v>
      </c>
      <c r="D1481" t="s">
        <v>3673</v>
      </c>
      <c r="E1481" t="s">
        <v>5537</v>
      </c>
      <c r="F1481" t="s">
        <v>1445</v>
      </c>
    </row>
    <row r="1482" spans="1:6" x14ac:dyDescent="0.3">
      <c r="A1482" s="58" t="s">
        <v>1446</v>
      </c>
      <c r="B1482" t="s">
        <v>5380</v>
      </c>
      <c r="C1482" t="s">
        <v>4977</v>
      </c>
      <c r="D1482" t="s">
        <v>3674</v>
      </c>
      <c r="E1482" t="s">
        <v>5538</v>
      </c>
      <c r="F1482" t="s">
        <v>1446</v>
      </c>
    </row>
    <row r="1483" spans="1:6" x14ac:dyDescent="0.3">
      <c r="A1483" s="58" t="s">
        <v>1447</v>
      </c>
      <c r="B1483" t="s">
        <v>5380</v>
      </c>
      <c r="C1483" t="s">
        <v>4978</v>
      </c>
      <c r="D1483" t="s">
        <v>4678</v>
      </c>
      <c r="E1483" t="s">
        <v>5536</v>
      </c>
      <c r="F1483" t="s">
        <v>1447</v>
      </c>
    </row>
    <row r="1484" spans="1:6" x14ac:dyDescent="0.3">
      <c r="A1484" s="58" t="s">
        <v>1448</v>
      </c>
      <c r="B1484" t="s">
        <v>5380</v>
      </c>
      <c r="C1484" t="s">
        <v>4978</v>
      </c>
      <c r="D1484" t="s">
        <v>3675</v>
      </c>
      <c r="E1484" t="s">
        <v>5537</v>
      </c>
      <c r="F1484" t="s">
        <v>1448</v>
      </c>
    </row>
    <row r="1485" spans="1:6" x14ac:dyDescent="0.3">
      <c r="A1485" s="58" t="s">
        <v>1449</v>
      </c>
      <c r="B1485" t="s">
        <v>5380</v>
      </c>
      <c r="C1485" t="s">
        <v>4978</v>
      </c>
      <c r="D1485" t="s">
        <v>3676</v>
      </c>
      <c r="E1485" t="s">
        <v>5537</v>
      </c>
      <c r="F1485" t="s">
        <v>1449</v>
      </c>
    </row>
    <row r="1486" spans="1:6" x14ac:dyDescent="0.3">
      <c r="A1486" s="58" t="s">
        <v>1450</v>
      </c>
      <c r="B1486" t="s">
        <v>5380</v>
      </c>
      <c r="C1486" t="s">
        <v>4978</v>
      </c>
      <c r="D1486" t="s">
        <v>3677</v>
      </c>
      <c r="E1486" t="s">
        <v>5537</v>
      </c>
      <c r="F1486" t="s">
        <v>1450</v>
      </c>
    </row>
    <row r="1487" spans="1:6" x14ac:dyDescent="0.3">
      <c r="A1487" s="58" t="s">
        <v>1451</v>
      </c>
      <c r="B1487" t="s">
        <v>5380</v>
      </c>
      <c r="C1487" t="s">
        <v>4978</v>
      </c>
      <c r="D1487" t="s">
        <v>4679</v>
      </c>
      <c r="E1487" t="s">
        <v>5537</v>
      </c>
      <c r="F1487" t="s">
        <v>1451</v>
      </c>
    </row>
    <row r="1488" spans="1:6" x14ac:dyDescent="0.3">
      <c r="A1488" s="58" t="s">
        <v>1452</v>
      </c>
      <c r="B1488" t="s">
        <v>5380</v>
      </c>
      <c r="C1488" t="s">
        <v>4978</v>
      </c>
      <c r="D1488" t="s">
        <v>3678</v>
      </c>
      <c r="E1488" t="s">
        <v>5537</v>
      </c>
      <c r="F1488" t="s">
        <v>1452</v>
      </c>
    </row>
    <row r="1489" spans="1:6" x14ac:dyDescent="0.3">
      <c r="A1489" s="58" t="s">
        <v>1453</v>
      </c>
      <c r="B1489" t="s">
        <v>5380</v>
      </c>
      <c r="C1489" t="s">
        <v>4978</v>
      </c>
      <c r="D1489" t="s">
        <v>3679</v>
      </c>
      <c r="E1489" t="s">
        <v>5538</v>
      </c>
      <c r="F1489" t="s">
        <v>1453</v>
      </c>
    </row>
    <row r="1490" spans="1:6" x14ac:dyDescent="0.3">
      <c r="A1490" s="58" t="s">
        <v>1454</v>
      </c>
      <c r="B1490" t="s">
        <v>5380</v>
      </c>
      <c r="C1490" t="s">
        <v>4978</v>
      </c>
      <c r="D1490" t="s">
        <v>3680</v>
      </c>
      <c r="E1490" t="s">
        <v>5537</v>
      </c>
      <c r="F1490" t="s">
        <v>1454</v>
      </c>
    </row>
    <row r="1491" spans="1:6" x14ac:dyDescent="0.3">
      <c r="A1491" s="58" t="s">
        <v>1455</v>
      </c>
      <c r="B1491" t="s">
        <v>5380</v>
      </c>
      <c r="C1491" t="s">
        <v>4979</v>
      </c>
      <c r="D1491" t="s">
        <v>3681</v>
      </c>
      <c r="E1491" t="s">
        <v>5536</v>
      </c>
      <c r="F1491" t="s">
        <v>1455</v>
      </c>
    </row>
    <row r="1492" spans="1:6" x14ac:dyDescent="0.3">
      <c r="A1492" s="58" t="s">
        <v>1456</v>
      </c>
      <c r="B1492" t="s">
        <v>5380</v>
      </c>
      <c r="C1492" t="s">
        <v>4979</v>
      </c>
      <c r="D1492" t="s">
        <v>3682</v>
      </c>
      <c r="E1492" t="s">
        <v>5537</v>
      </c>
      <c r="F1492" t="s">
        <v>1456</v>
      </c>
    </row>
    <row r="1493" spans="1:6" x14ac:dyDescent="0.3">
      <c r="A1493" s="58" t="s">
        <v>1457</v>
      </c>
      <c r="B1493" t="s">
        <v>5380</v>
      </c>
      <c r="C1493" t="s">
        <v>4979</v>
      </c>
      <c r="D1493" t="s">
        <v>3683</v>
      </c>
      <c r="E1493" t="s">
        <v>5537</v>
      </c>
      <c r="F1493" t="s">
        <v>1457</v>
      </c>
    </row>
    <row r="1494" spans="1:6" x14ac:dyDescent="0.3">
      <c r="A1494" s="58" t="s">
        <v>1458</v>
      </c>
      <c r="B1494" t="s">
        <v>5380</v>
      </c>
      <c r="C1494" t="s">
        <v>4979</v>
      </c>
      <c r="D1494" t="s">
        <v>3684</v>
      </c>
      <c r="E1494" t="s">
        <v>5537</v>
      </c>
      <c r="F1494" t="s">
        <v>1458</v>
      </c>
    </row>
    <row r="1495" spans="1:6" x14ac:dyDescent="0.3">
      <c r="A1495" s="58" t="s">
        <v>5173</v>
      </c>
      <c r="B1495" t="s">
        <v>5380</v>
      </c>
      <c r="C1495" t="s">
        <v>4979</v>
      </c>
      <c r="D1495" t="s">
        <v>3685</v>
      </c>
      <c r="E1495" t="s">
        <v>5538</v>
      </c>
      <c r="F1495" t="s">
        <v>5173</v>
      </c>
    </row>
    <row r="1496" spans="1:6" x14ac:dyDescent="0.3">
      <c r="A1496" s="58" t="s">
        <v>1459</v>
      </c>
      <c r="B1496" t="s">
        <v>5380</v>
      </c>
      <c r="C1496" t="s">
        <v>4979</v>
      </c>
      <c r="D1496" t="s">
        <v>3686</v>
      </c>
      <c r="E1496" t="s">
        <v>5537</v>
      </c>
      <c r="F1496" t="s">
        <v>1459</v>
      </c>
    </row>
    <row r="1497" spans="1:6" x14ac:dyDescent="0.3">
      <c r="A1497" s="58" t="s">
        <v>1460</v>
      </c>
      <c r="B1497" t="s">
        <v>5380</v>
      </c>
      <c r="C1497" t="s">
        <v>4980</v>
      </c>
      <c r="D1497" t="s">
        <v>3687</v>
      </c>
      <c r="E1497" t="s">
        <v>5537</v>
      </c>
      <c r="F1497" t="s">
        <v>1460</v>
      </c>
    </row>
    <row r="1498" spans="1:6" x14ac:dyDescent="0.3">
      <c r="A1498" s="58" t="s">
        <v>1461</v>
      </c>
      <c r="B1498" t="s">
        <v>5380</v>
      </c>
      <c r="C1498" t="s">
        <v>4980</v>
      </c>
      <c r="D1498" t="s">
        <v>3688</v>
      </c>
      <c r="E1498" t="s">
        <v>5537</v>
      </c>
      <c r="F1498" t="s">
        <v>1461</v>
      </c>
    </row>
    <row r="1499" spans="1:6" x14ac:dyDescent="0.3">
      <c r="A1499" s="58" t="s">
        <v>1462</v>
      </c>
      <c r="B1499" t="s">
        <v>5380</v>
      </c>
      <c r="C1499" t="s">
        <v>4980</v>
      </c>
      <c r="D1499" t="s">
        <v>3689</v>
      </c>
      <c r="E1499" t="s">
        <v>5537</v>
      </c>
      <c r="F1499" t="s">
        <v>1462</v>
      </c>
    </row>
    <row r="1500" spans="1:6" x14ac:dyDescent="0.3">
      <c r="A1500" s="58" t="s">
        <v>1463</v>
      </c>
      <c r="B1500" t="s">
        <v>5380</v>
      </c>
      <c r="C1500" t="s">
        <v>4980</v>
      </c>
      <c r="D1500" t="s">
        <v>3690</v>
      </c>
      <c r="E1500" t="s">
        <v>5538</v>
      </c>
      <c r="F1500" t="s">
        <v>1463</v>
      </c>
    </row>
    <row r="1501" spans="1:6" x14ac:dyDescent="0.3">
      <c r="A1501" s="58" t="s">
        <v>1464</v>
      </c>
      <c r="B1501" t="s">
        <v>5380</v>
      </c>
      <c r="C1501" t="s">
        <v>4980</v>
      </c>
      <c r="D1501" t="s">
        <v>3148</v>
      </c>
      <c r="E1501" t="s">
        <v>5537</v>
      </c>
      <c r="F1501" t="s">
        <v>1464</v>
      </c>
    </row>
    <row r="1502" spans="1:6" x14ac:dyDescent="0.3">
      <c r="A1502" s="58" t="s">
        <v>1465</v>
      </c>
      <c r="B1502" t="s">
        <v>5380</v>
      </c>
      <c r="C1502" t="s">
        <v>4981</v>
      </c>
      <c r="D1502" t="s">
        <v>3691</v>
      </c>
      <c r="E1502" t="s">
        <v>5538</v>
      </c>
      <c r="F1502" t="s">
        <v>1465</v>
      </c>
    </row>
    <row r="1503" spans="1:6" x14ac:dyDescent="0.3">
      <c r="A1503" s="58" t="s">
        <v>1466</v>
      </c>
      <c r="B1503" t="s">
        <v>5380</v>
      </c>
      <c r="C1503" t="s">
        <v>4981</v>
      </c>
      <c r="D1503" t="s">
        <v>3692</v>
      </c>
      <c r="E1503" t="s">
        <v>5537</v>
      </c>
      <c r="F1503" t="s">
        <v>1466</v>
      </c>
    </row>
    <row r="1504" spans="1:6" x14ac:dyDescent="0.3">
      <c r="A1504" s="58" t="s">
        <v>1467</v>
      </c>
      <c r="B1504" t="s">
        <v>5380</v>
      </c>
      <c r="C1504" t="s">
        <v>4981</v>
      </c>
      <c r="D1504" t="s">
        <v>3693</v>
      </c>
      <c r="E1504" t="s">
        <v>5537</v>
      </c>
      <c r="F1504" t="s">
        <v>1467</v>
      </c>
    </row>
    <row r="1505" spans="1:6" x14ac:dyDescent="0.3">
      <c r="A1505" s="58" t="s">
        <v>1468</v>
      </c>
      <c r="B1505" t="s">
        <v>5380</v>
      </c>
      <c r="C1505" t="s">
        <v>4981</v>
      </c>
      <c r="D1505" t="s">
        <v>3694</v>
      </c>
      <c r="E1505" t="s">
        <v>5538</v>
      </c>
      <c r="F1505" t="s">
        <v>1468</v>
      </c>
    </row>
    <row r="1506" spans="1:6" x14ac:dyDescent="0.3">
      <c r="A1506" s="58" t="s">
        <v>1469</v>
      </c>
      <c r="B1506" t="s">
        <v>5380</v>
      </c>
      <c r="C1506" t="s">
        <v>4982</v>
      </c>
      <c r="D1506" t="s">
        <v>3695</v>
      </c>
      <c r="E1506" t="s">
        <v>5537</v>
      </c>
      <c r="F1506" t="s">
        <v>1469</v>
      </c>
    </row>
    <row r="1507" spans="1:6" x14ac:dyDescent="0.3">
      <c r="A1507" s="58" t="s">
        <v>1470</v>
      </c>
      <c r="B1507" t="s">
        <v>5380</v>
      </c>
      <c r="C1507" t="s">
        <v>4982</v>
      </c>
      <c r="D1507" t="s">
        <v>3696</v>
      </c>
      <c r="E1507" t="s">
        <v>5537</v>
      </c>
      <c r="F1507" t="s">
        <v>1470</v>
      </c>
    </row>
    <row r="1508" spans="1:6" x14ac:dyDescent="0.3">
      <c r="A1508" s="58" t="s">
        <v>1471</v>
      </c>
      <c r="B1508" t="s">
        <v>5380</v>
      </c>
      <c r="C1508" t="s">
        <v>4982</v>
      </c>
      <c r="D1508" t="s">
        <v>3697</v>
      </c>
      <c r="E1508" t="s">
        <v>5538</v>
      </c>
      <c r="F1508" t="s">
        <v>1471</v>
      </c>
    </row>
    <row r="1509" spans="1:6" x14ac:dyDescent="0.3">
      <c r="A1509" s="58" t="s">
        <v>1472</v>
      </c>
      <c r="B1509" t="s">
        <v>5380</v>
      </c>
      <c r="C1509" t="s">
        <v>4982</v>
      </c>
      <c r="D1509" t="s">
        <v>3698</v>
      </c>
      <c r="E1509" t="s">
        <v>5537</v>
      </c>
      <c r="F1509" t="s">
        <v>1472</v>
      </c>
    </row>
    <row r="1510" spans="1:6" x14ac:dyDescent="0.3">
      <c r="A1510" s="58" t="s">
        <v>1473</v>
      </c>
      <c r="B1510" t="s">
        <v>5380</v>
      </c>
      <c r="C1510" t="s">
        <v>4982</v>
      </c>
      <c r="D1510" t="s">
        <v>3699</v>
      </c>
      <c r="E1510" t="s">
        <v>5537</v>
      </c>
      <c r="F1510" t="s">
        <v>1473</v>
      </c>
    </row>
    <row r="1511" spans="1:6" x14ac:dyDescent="0.3">
      <c r="A1511" s="58" t="s">
        <v>1474</v>
      </c>
      <c r="B1511" t="s">
        <v>5380</v>
      </c>
      <c r="C1511" t="s">
        <v>3700</v>
      </c>
      <c r="D1511" t="s">
        <v>3700</v>
      </c>
      <c r="E1511" t="s">
        <v>5536</v>
      </c>
      <c r="F1511" t="s">
        <v>1474</v>
      </c>
    </row>
    <row r="1512" spans="1:6" x14ac:dyDescent="0.3">
      <c r="A1512" s="58" t="s">
        <v>1475</v>
      </c>
      <c r="B1512" t="s">
        <v>5380</v>
      </c>
      <c r="C1512" t="s">
        <v>3650</v>
      </c>
      <c r="D1512" t="s">
        <v>3650</v>
      </c>
      <c r="E1512" t="s">
        <v>5536</v>
      </c>
      <c r="F1512" t="s">
        <v>1475</v>
      </c>
    </row>
    <row r="1513" spans="1:6" x14ac:dyDescent="0.3">
      <c r="A1513" s="58" t="s">
        <v>1476</v>
      </c>
      <c r="B1513" t="s">
        <v>5380</v>
      </c>
      <c r="C1513" t="s">
        <v>3701</v>
      </c>
      <c r="D1513" t="s">
        <v>3701</v>
      </c>
      <c r="E1513" t="s">
        <v>5536</v>
      </c>
      <c r="F1513" t="s">
        <v>1476</v>
      </c>
    </row>
    <row r="1514" spans="1:6" x14ac:dyDescent="0.3">
      <c r="A1514" s="58" t="s">
        <v>1477</v>
      </c>
      <c r="B1514" t="s">
        <v>5380</v>
      </c>
      <c r="C1514" t="s">
        <v>3702</v>
      </c>
      <c r="D1514" t="s">
        <v>3702</v>
      </c>
      <c r="E1514" t="s">
        <v>5536</v>
      </c>
      <c r="F1514" t="s">
        <v>1477</v>
      </c>
    </row>
    <row r="1515" spans="1:6" x14ac:dyDescent="0.3">
      <c r="A1515" s="58" t="s">
        <v>1478</v>
      </c>
      <c r="B1515" t="s">
        <v>5385</v>
      </c>
      <c r="C1515" t="s">
        <v>4983</v>
      </c>
      <c r="D1515" t="s">
        <v>4680</v>
      </c>
      <c r="E1515" t="s">
        <v>5536</v>
      </c>
      <c r="F1515" t="s">
        <v>1478</v>
      </c>
    </row>
    <row r="1516" spans="1:6" x14ac:dyDescent="0.3">
      <c r="A1516" s="58" t="s">
        <v>1479</v>
      </c>
      <c r="B1516" t="s">
        <v>5385</v>
      </c>
      <c r="C1516" t="s">
        <v>4983</v>
      </c>
      <c r="D1516" t="s">
        <v>4681</v>
      </c>
      <c r="E1516" t="s">
        <v>5537</v>
      </c>
      <c r="F1516" t="s">
        <v>1479</v>
      </c>
    </row>
    <row r="1517" spans="1:6" x14ac:dyDescent="0.3">
      <c r="A1517" s="58" t="s">
        <v>1480</v>
      </c>
      <c r="B1517" t="s">
        <v>5385</v>
      </c>
      <c r="C1517" t="s">
        <v>4983</v>
      </c>
      <c r="D1517" t="s">
        <v>3703</v>
      </c>
      <c r="E1517" t="s">
        <v>5537</v>
      </c>
      <c r="F1517" t="s">
        <v>1480</v>
      </c>
    </row>
    <row r="1518" spans="1:6" x14ac:dyDescent="0.3">
      <c r="A1518" s="58" t="s">
        <v>1481</v>
      </c>
      <c r="B1518" t="s">
        <v>5385</v>
      </c>
      <c r="C1518" t="s">
        <v>4983</v>
      </c>
      <c r="D1518" t="s">
        <v>3704</v>
      </c>
      <c r="E1518" t="s">
        <v>5538</v>
      </c>
      <c r="F1518" t="s">
        <v>1481</v>
      </c>
    </row>
    <row r="1519" spans="1:6" x14ac:dyDescent="0.3">
      <c r="A1519" s="58" t="s">
        <v>1482</v>
      </c>
      <c r="B1519" t="s">
        <v>5385</v>
      </c>
      <c r="C1519" t="s">
        <v>4983</v>
      </c>
      <c r="D1519" t="s">
        <v>3705</v>
      </c>
      <c r="E1519" t="s">
        <v>5537</v>
      </c>
      <c r="F1519" t="s">
        <v>1482</v>
      </c>
    </row>
    <row r="1520" spans="1:6" x14ac:dyDescent="0.3">
      <c r="A1520" s="58" t="s">
        <v>1483</v>
      </c>
      <c r="B1520" t="s">
        <v>5385</v>
      </c>
      <c r="C1520" t="s">
        <v>4983</v>
      </c>
      <c r="D1520" t="s">
        <v>3706</v>
      </c>
      <c r="E1520" t="s">
        <v>5537</v>
      </c>
      <c r="F1520" t="s">
        <v>1483</v>
      </c>
    </row>
    <row r="1521" spans="1:6" x14ac:dyDescent="0.3">
      <c r="A1521" s="58" t="s">
        <v>1484</v>
      </c>
      <c r="B1521" t="s">
        <v>5385</v>
      </c>
      <c r="C1521" t="s">
        <v>4983</v>
      </c>
      <c r="D1521" t="s">
        <v>3707</v>
      </c>
      <c r="E1521" t="s">
        <v>5537</v>
      </c>
      <c r="F1521" t="s">
        <v>1484</v>
      </c>
    </row>
    <row r="1522" spans="1:6" x14ac:dyDescent="0.3">
      <c r="A1522" s="58" t="s">
        <v>1485</v>
      </c>
      <c r="B1522" t="s">
        <v>5385</v>
      </c>
      <c r="C1522" t="s">
        <v>4984</v>
      </c>
      <c r="D1522" t="s">
        <v>3708</v>
      </c>
      <c r="E1522" t="s">
        <v>5538</v>
      </c>
      <c r="F1522" t="s">
        <v>1485</v>
      </c>
    </row>
    <row r="1523" spans="1:6" x14ac:dyDescent="0.3">
      <c r="A1523" s="58" t="s">
        <v>1486</v>
      </c>
      <c r="B1523" t="s">
        <v>5385</v>
      </c>
      <c r="C1523" t="s">
        <v>4984</v>
      </c>
      <c r="D1523" t="s">
        <v>3709</v>
      </c>
      <c r="E1523" t="s">
        <v>5538</v>
      </c>
      <c r="F1523" t="s">
        <v>1486</v>
      </c>
    </row>
    <row r="1524" spans="1:6" x14ac:dyDescent="0.3">
      <c r="A1524" s="58" t="s">
        <v>1487</v>
      </c>
      <c r="B1524" t="s">
        <v>5385</v>
      </c>
      <c r="C1524" t="s">
        <v>4984</v>
      </c>
      <c r="D1524" t="s">
        <v>3710</v>
      </c>
      <c r="E1524" t="s">
        <v>5537</v>
      </c>
      <c r="F1524" t="s">
        <v>1487</v>
      </c>
    </row>
    <row r="1525" spans="1:6" x14ac:dyDescent="0.3">
      <c r="A1525" s="58" t="s">
        <v>1488</v>
      </c>
      <c r="B1525" t="s">
        <v>5385</v>
      </c>
      <c r="C1525" t="s">
        <v>4984</v>
      </c>
      <c r="D1525" t="s">
        <v>3711</v>
      </c>
      <c r="E1525" t="s">
        <v>5537</v>
      </c>
      <c r="F1525" t="s">
        <v>1488</v>
      </c>
    </row>
    <row r="1526" spans="1:6" x14ac:dyDescent="0.3">
      <c r="A1526" s="58" t="s">
        <v>1489</v>
      </c>
      <c r="B1526" t="s">
        <v>5385</v>
      </c>
      <c r="C1526" t="s">
        <v>4984</v>
      </c>
      <c r="D1526" t="s">
        <v>3712</v>
      </c>
      <c r="E1526" t="s">
        <v>5537</v>
      </c>
      <c r="F1526" t="s">
        <v>1489</v>
      </c>
    </row>
    <row r="1527" spans="1:6" x14ac:dyDescent="0.3">
      <c r="A1527" s="58" t="s">
        <v>1490</v>
      </c>
      <c r="B1527" t="s">
        <v>5385</v>
      </c>
      <c r="C1527" t="s">
        <v>4984</v>
      </c>
      <c r="D1527" t="s">
        <v>3713</v>
      </c>
      <c r="E1527" t="s">
        <v>5538</v>
      </c>
      <c r="F1527" t="s">
        <v>1490</v>
      </c>
    </row>
    <row r="1528" spans="1:6" x14ac:dyDescent="0.3">
      <c r="A1528" s="58" t="s">
        <v>1491</v>
      </c>
      <c r="B1528" t="s">
        <v>5385</v>
      </c>
      <c r="C1528" t="s">
        <v>4984</v>
      </c>
      <c r="D1528" t="s">
        <v>3714</v>
      </c>
      <c r="E1528" t="s">
        <v>5538</v>
      </c>
      <c r="F1528" t="s">
        <v>1491</v>
      </c>
    </row>
    <row r="1529" spans="1:6" x14ac:dyDescent="0.3">
      <c r="A1529" s="58" t="s">
        <v>1492</v>
      </c>
      <c r="B1529" t="s">
        <v>5385</v>
      </c>
      <c r="C1529" t="s">
        <v>4984</v>
      </c>
      <c r="D1529" t="s">
        <v>2976</v>
      </c>
      <c r="E1529" t="s">
        <v>5537</v>
      </c>
      <c r="F1529" t="s">
        <v>1492</v>
      </c>
    </row>
    <row r="1530" spans="1:6" x14ac:dyDescent="0.3">
      <c r="A1530" s="58" t="s">
        <v>1493</v>
      </c>
      <c r="B1530" t="s">
        <v>5385</v>
      </c>
      <c r="C1530" t="s">
        <v>4984</v>
      </c>
      <c r="D1530" t="s">
        <v>3715</v>
      </c>
      <c r="E1530" t="s">
        <v>5538</v>
      </c>
      <c r="F1530" t="s">
        <v>1493</v>
      </c>
    </row>
    <row r="1531" spans="1:6" x14ac:dyDescent="0.3">
      <c r="A1531" s="58" t="s">
        <v>1494</v>
      </c>
      <c r="B1531" t="s">
        <v>5385</v>
      </c>
      <c r="C1531" t="s">
        <v>4984</v>
      </c>
      <c r="D1531" t="s">
        <v>3716</v>
      </c>
      <c r="E1531" t="s">
        <v>5538</v>
      </c>
      <c r="F1531" t="s">
        <v>1494</v>
      </c>
    </row>
    <row r="1532" spans="1:6" x14ac:dyDescent="0.3">
      <c r="A1532" s="58" t="s">
        <v>1495</v>
      </c>
      <c r="B1532" t="s">
        <v>5385</v>
      </c>
      <c r="C1532" t="s">
        <v>4984</v>
      </c>
      <c r="D1532" t="s">
        <v>3717</v>
      </c>
      <c r="E1532" t="s">
        <v>5537</v>
      </c>
      <c r="F1532" t="s">
        <v>1495</v>
      </c>
    </row>
    <row r="1533" spans="1:6" x14ac:dyDescent="0.3">
      <c r="A1533" s="58" t="s">
        <v>1496</v>
      </c>
      <c r="B1533" t="s">
        <v>5385</v>
      </c>
      <c r="C1533" t="s">
        <v>4984</v>
      </c>
      <c r="D1533" t="s">
        <v>3718</v>
      </c>
      <c r="E1533" t="s">
        <v>5538</v>
      </c>
      <c r="F1533" t="s">
        <v>1496</v>
      </c>
    </row>
    <row r="1534" spans="1:6" x14ac:dyDescent="0.3">
      <c r="A1534" s="58" t="s">
        <v>1497</v>
      </c>
      <c r="B1534" t="s">
        <v>5385</v>
      </c>
      <c r="C1534" t="s">
        <v>4984</v>
      </c>
      <c r="D1534" t="s">
        <v>3719</v>
      </c>
      <c r="E1534" t="s">
        <v>5538</v>
      </c>
      <c r="F1534" t="s">
        <v>1497</v>
      </c>
    </row>
    <row r="1535" spans="1:6" x14ac:dyDescent="0.3">
      <c r="A1535" s="58" t="s">
        <v>1498</v>
      </c>
      <c r="B1535" t="s">
        <v>5385</v>
      </c>
      <c r="C1535" t="s">
        <v>4984</v>
      </c>
      <c r="D1535" t="s">
        <v>3720</v>
      </c>
      <c r="E1535" t="s">
        <v>5538</v>
      </c>
      <c r="F1535" t="s">
        <v>1498</v>
      </c>
    </row>
    <row r="1536" spans="1:6" x14ac:dyDescent="0.3">
      <c r="A1536" s="58" t="s">
        <v>1499</v>
      </c>
      <c r="B1536" t="s">
        <v>5385</v>
      </c>
      <c r="C1536" t="s">
        <v>4984</v>
      </c>
      <c r="D1536" t="s">
        <v>3721</v>
      </c>
      <c r="E1536" t="s">
        <v>5537</v>
      </c>
      <c r="F1536" t="s">
        <v>1499</v>
      </c>
    </row>
    <row r="1537" spans="1:6" x14ac:dyDescent="0.3">
      <c r="B1537" t="s">
        <v>5385</v>
      </c>
      <c r="C1537" t="s">
        <v>4984</v>
      </c>
      <c r="D1537" t="s">
        <v>5543</v>
      </c>
      <c r="E1537" t="s">
        <v>5537</v>
      </c>
      <c r="F1537" t="s">
        <v>5545</v>
      </c>
    </row>
    <row r="1538" spans="1:6" x14ac:dyDescent="0.3">
      <c r="A1538" s="58" t="s">
        <v>1500</v>
      </c>
      <c r="B1538" t="s">
        <v>5385</v>
      </c>
      <c r="C1538" t="s">
        <v>4985</v>
      </c>
      <c r="D1538" t="s">
        <v>4682</v>
      </c>
      <c r="E1538" t="s">
        <v>5536</v>
      </c>
      <c r="F1538" t="s">
        <v>1500</v>
      </c>
    </row>
    <row r="1539" spans="1:6" x14ac:dyDescent="0.3">
      <c r="A1539" s="58" t="s">
        <v>1501</v>
      </c>
      <c r="B1539" t="s">
        <v>5385</v>
      </c>
      <c r="C1539" t="s">
        <v>4985</v>
      </c>
      <c r="D1539" t="s">
        <v>4683</v>
      </c>
      <c r="E1539" t="s">
        <v>5536</v>
      </c>
      <c r="F1539" t="s">
        <v>1501</v>
      </c>
    </row>
    <row r="1540" spans="1:6" x14ac:dyDescent="0.3">
      <c r="A1540" s="58" t="s">
        <v>1502</v>
      </c>
      <c r="B1540" t="s">
        <v>5385</v>
      </c>
      <c r="C1540" t="s">
        <v>4985</v>
      </c>
      <c r="D1540" t="s">
        <v>4684</v>
      </c>
      <c r="E1540" t="s">
        <v>5537</v>
      </c>
      <c r="F1540" t="s">
        <v>1502</v>
      </c>
    </row>
    <row r="1541" spans="1:6" x14ac:dyDescent="0.3">
      <c r="A1541" s="58" t="s">
        <v>1503</v>
      </c>
      <c r="B1541" t="s">
        <v>5385</v>
      </c>
      <c r="C1541" t="s">
        <v>4985</v>
      </c>
      <c r="D1541" t="s">
        <v>3722</v>
      </c>
      <c r="E1541" t="s">
        <v>5537</v>
      </c>
      <c r="F1541" t="s">
        <v>1503</v>
      </c>
    </row>
    <row r="1542" spans="1:6" x14ac:dyDescent="0.3">
      <c r="A1542" s="58" t="s">
        <v>1504</v>
      </c>
      <c r="B1542" t="s">
        <v>5385</v>
      </c>
      <c r="C1542" t="s">
        <v>4985</v>
      </c>
      <c r="D1542" t="s">
        <v>4685</v>
      </c>
      <c r="E1542" t="s">
        <v>5537</v>
      </c>
      <c r="F1542" t="s">
        <v>1504</v>
      </c>
    </row>
    <row r="1543" spans="1:6" x14ac:dyDescent="0.3">
      <c r="A1543" s="58" t="s">
        <v>1505</v>
      </c>
      <c r="B1543" t="s">
        <v>5385</v>
      </c>
      <c r="C1543" t="s">
        <v>4985</v>
      </c>
      <c r="D1543" t="s">
        <v>3723</v>
      </c>
      <c r="E1543" t="s">
        <v>5537</v>
      </c>
      <c r="F1543" t="s">
        <v>1505</v>
      </c>
    </row>
    <row r="1544" spans="1:6" x14ac:dyDescent="0.3">
      <c r="A1544" s="58" t="s">
        <v>1506</v>
      </c>
      <c r="B1544" t="s">
        <v>5385</v>
      </c>
      <c r="C1544" t="s">
        <v>4985</v>
      </c>
      <c r="D1544" t="s">
        <v>3724</v>
      </c>
      <c r="E1544" t="s">
        <v>5537</v>
      </c>
      <c r="F1544" t="s">
        <v>1506</v>
      </c>
    </row>
    <row r="1545" spans="1:6" x14ac:dyDescent="0.3">
      <c r="A1545" s="58" t="s">
        <v>1507</v>
      </c>
      <c r="B1545" t="s">
        <v>5385</v>
      </c>
      <c r="C1545" t="s">
        <v>4985</v>
      </c>
      <c r="D1545" t="s">
        <v>3725</v>
      </c>
      <c r="E1545" t="s">
        <v>5537</v>
      </c>
      <c r="F1545" t="s">
        <v>1507</v>
      </c>
    </row>
    <row r="1546" spans="1:6" x14ac:dyDescent="0.3">
      <c r="A1546" s="58" t="s">
        <v>1508</v>
      </c>
      <c r="B1546" t="s">
        <v>5385</v>
      </c>
      <c r="C1546" t="s">
        <v>4986</v>
      </c>
      <c r="D1546" t="s">
        <v>4686</v>
      </c>
      <c r="E1546" t="s">
        <v>5536</v>
      </c>
      <c r="F1546" t="s">
        <v>1508</v>
      </c>
    </row>
    <row r="1547" spans="1:6" x14ac:dyDescent="0.3">
      <c r="A1547" s="58" t="s">
        <v>1509</v>
      </c>
      <c r="B1547" t="s">
        <v>5385</v>
      </c>
      <c r="C1547" t="s">
        <v>4986</v>
      </c>
      <c r="D1547" t="s">
        <v>4687</v>
      </c>
      <c r="E1547" t="s">
        <v>5537</v>
      </c>
      <c r="F1547" t="s">
        <v>1509</v>
      </c>
    </row>
    <row r="1548" spans="1:6" x14ac:dyDescent="0.3">
      <c r="A1548" s="58" t="s">
        <v>1510</v>
      </c>
      <c r="B1548" t="s">
        <v>5385</v>
      </c>
      <c r="C1548" t="s">
        <v>4986</v>
      </c>
      <c r="D1548" t="s">
        <v>3726</v>
      </c>
      <c r="E1548" t="s">
        <v>5537</v>
      </c>
      <c r="F1548" t="s">
        <v>1510</v>
      </c>
    </row>
    <row r="1549" spans="1:6" x14ac:dyDescent="0.3">
      <c r="A1549" s="58" t="s">
        <v>1511</v>
      </c>
      <c r="B1549" t="s">
        <v>5385</v>
      </c>
      <c r="C1549" t="s">
        <v>4986</v>
      </c>
      <c r="D1549" t="s">
        <v>3727</v>
      </c>
      <c r="E1549" t="s">
        <v>5538</v>
      </c>
      <c r="F1549" t="s">
        <v>1511</v>
      </c>
    </row>
    <row r="1550" spans="1:6" x14ac:dyDescent="0.3">
      <c r="A1550" s="58" t="s">
        <v>1512</v>
      </c>
      <c r="B1550" t="s">
        <v>5385</v>
      </c>
      <c r="C1550" t="s">
        <v>4986</v>
      </c>
      <c r="D1550" t="s">
        <v>3728</v>
      </c>
      <c r="E1550" t="s">
        <v>5538</v>
      </c>
      <c r="F1550" t="s">
        <v>1512</v>
      </c>
    </row>
    <row r="1551" spans="1:6" x14ac:dyDescent="0.3">
      <c r="A1551" s="58" t="s">
        <v>1513</v>
      </c>
      <c r="B1551" t="s">
        <v>5385</v>
      </c>
      <c r="C1551" t="s">
        <v>4986</v>
      </c>
      <c r="D1551" t="s">
        <v>2429</v>
      </c>
      <c r="E1551" t="s">
        <v>5537</v>
      </c>
      <c r="F1551" t="s">
        <v>1513</v>
      </c>
    </row>
    <row r="1552" spans="1:6" x14ac:dyDescent="0.3">
      <c r="A1552" s="58" t="s">
        <v>1514</v>
      </c>
      <c r="B1552" t="s">
        <v>5385</v>
      </c>
      <c r="C1552" t="s">
        <v>4987</v>
      </c>
      <c r="D1552" t="s">
        <v>4688</v>
      </c>
      <c r="E1552" t="s">
        <v>5536</v>
      </c>
      <c r="F1552" t="s">
        <v>1514</v>
      </c>
    </row>
    <row r="1553" spans="1:6" x14ac:dyDescent="0.3">
      <c r="A1553" s="58" t="s">
        <v>1515</v>
      </c>
      <c r="B1553" t="s">
        <v>5385</v>
      </c>
      <c r="C1553" t="s">
        <v>4987</v>
      </c>
      <c r="D1553" t="s">
        <v>3729</v>
      </c>
      <c r="E1553" t="s">
        <v>5537</v>
      </c>
      <c r="F1553" t="s">
        <v>1515</v>
      </c>
    </row>
    <row r="1554" spans="1:6" x14ac:dyDescent="0.3">
      <c r="A1554" s="58" t="s">
        <v>1516</v>
      </c>
      <c r="B1554" t="s">
        <v>5385</v>
      </c>
      <c r="C1554" t="s">
        <v>4987</v>
      </c>
      <c r="D1554" t="s">
        <v>3730</v>
      </c>
      <c r="E1554" t="s">
        <v>5537</v>
      </c>
      <c r="F1554" t="s">
        <v>1516</v>
      </c>
    </row>
    <row r="1555" spans="1:6" x14ac:dyDescent="0.3">
      <c r="A1555" s="58" t="s">
        <v>1517</v>
      </c>
      <c r="B1555" t="s">
        <v>5385</v>
      </c>
      <c r="C1555" t="s">
        <v>4987</v>
      </c>
      <c r="D1555" t="s">
        <v>3731</v>
      </c>
      <c r="E1555" t="s">
        <v>5537</v>
      </c>
      <c r="F1555" t="s">
        <v>1517</v>
      </c>
    </row>
    <row r="1556" spans="1:6" x14ac:dyDescent="0.3">
      <c r="A1556" s="58" t="s">
        <v>1518</v>
      </c>
      <c r="B1556" t="s">
        <v>5385</v>
      </c>
      <c r="C1556" t="s">
        <v>4987</v>
      </c>
      <c r="D1556" t="s">
        <v>3732</v>
      </c>
      <c r="E1556" t="s">
        <v>5537</v>
      </c>
      <c r="F1556" t="s">
        <v>1518</v>
      </c>
    </row>
    <row r="1557" spans="1:6" x14ac:dyDescent="0.3">
      <c r="A1557" s="58" t="s">
        <v>1519</v>
      </c>
      <c r="B1557" t="s">
        <v>5385</v>
      </c>
      <c r="C1557" t="s">
        <v>4987</v>
      </c>
      <c r="D1557" t="s">
        <v>4689</v>
      </c>
      <c r="E1557" t="s">
        <v>5537</v>
      </c>
      <c r="F1557" t="s">
        <v>1519</v>
      </c>
    </row>
    <row r="1558" spans="1:6" x14ac:dyDescent="0.3">
      <c r="A1558" s="58" t="s">
        <v>1520</v>
      </c>
      <c r="B1558" t="s">
        <v>5385</v>
      </c>
      <c r="C1558" t="s">
        <v>4987</v>
      </c>
      <c r="D1558" t="s">
        <v>3733</v>
      </c>
      <c r="E1558" t="s">
        <v>5538</v>
      </c>
      <c r="F1558" t="s">
        <v>1520</v>
      </c>
    </row>
    <row r="1559" spans="1:6" x14ac:dyDescent="0.3">
      <c r="A1559" s="58" t="s">
        <v>1521</v>
      </c>
      <c r="B1559" t="s">
        <v>5385</v>
      </c>
      <c r="C1559" t="s">
        <v>4987</v>
      </c>
      <c r="D1559" t="s">
        <v>3734</v>
      </c>
      <c r="E1559" t="s">
        <v>5537</v>
      </c>
      <c r="F1559" t="s">
        <v>1521</v>
      </c>
    </row>
    <row r="1560" spans="1:6" x14ac:dyDescent="0.3">
      <c r="A1560" s="58" t="s">
        <v>1522</v>
      </c>
      <c r="B1560" t="s">
        <v>5385</v>
      </c>
      <c r="C1560" t="s">
        <v>4987</v>
      </c>
      <c r="D1560" t="s">
        <v>3735</v>
      </c>
      <c r="E1560" t="s">
        <v>5537</v>
      </c>
      <c r="F1560" t="s">
        <v>1522</v>
      </c>
    </row>
    <row r="1561" spans="1:6" x14ac:dyDescent="0.3">
      <c r="A1561" s="58" t="s">
        <v>1523</v>
      </c>
      <c r="B1561" t="s">
        <v>5385</v>
      </c>
      <c r="C1561" t="s">
        <v>4988</v>
      </c>
      <c r="D1561" t="s">
        <v>4690</v>
      </c>
      <c r="E1561" t="s">
        <v>5536</v>
      </c>
      <c r="F1561" t="s">
        <v>1523</v>
      </c>
    </row>
    <row r="1562" spans="1:6" x14ac:dyDescent="0.3">
      <c r="A1562" s="58" t="s">
        <v>1524</v>
      </c>
      <c r="B1562" t="s">
        <v>5385</v>
      </c>
      <c r="C1562" t="s">
        <v>4988</v>
      </c>
      <c r="D1562" t="s">
        <v>3737</v>
      </c>
      <c r="E1562" t="s">
        <v>5537</v>
      </c>
      <c r="F1562" t="s">
        <v>1524</v>
      </c>
    </row>
    <row r="1563" spans="1:6" x14ac:dyDescent="0.3">
      <c r="A1563" s="58" t="s">
        <v>1525</v>
      </c>
      <c r="B1563" t="s">
        <v>5385</v>
      </c>
      <c r="C1563" t="s">
        <v>4988</v>
      </c>
      <c r="D1563" t="s">
        <v>4691</v>
      </c>
      <c r="E1563" t="s">
        <v>5537</v>
      </c>
      <c r="F1563" t="s">
        <v>1525</v>
      </c>
    </row>
    <row r="1564" spans="1:6" x14ac:dyDescent="0.3">
      <c r="A1564" s="58" t="s">
        <v>1526</v>
      </c>
      <c r="B1564" t="s">
        <v>5385</v>
      </c>
      <c r="C1564" t="s">
        <v>4988</v>
      </c>
      <c r="D1564" t="s">
        <v>3738</v>
      </c>
      <c r="E1564" t="s">
        <v>5537</v>
      </c>
      <c r="F1564" t="s">
        <v>1526</v>
      </c>
    </row>
    <row r="1565" spans="1:6" x14ac:dyDescent="0.3">
      <c r="A1565" s="58" t="s">
        <v>1527</v>
      </c>
      <c r="B1565" t="s">
        <v>5385</v>
      </c>
      <c r="C1565" t="s">
        <v>4988</v>
      </c>
      <c r="D1565" t="s">
        <v>3739</v>
      </c>
      <c r="E1565" t="s">
        <v>5538</v>
      </c>
      <c r="F1565" t="s">
        <v>1527</v>
      </c>
    </row>
    <row r="1566" spans="1:6" x14ac:dyDescent="0.3">
      <c r="A1566" s="58" t="s">
        <v>1528</v>
      </c>
      <c r="B1566" t="s">
        <v>5385</v>
      </c>
      <c r="C1566" t="s">
        <v>4988</v>
      </c>
      <c r="D1566" t="s">
        <v>3740</v>
      </c>
      <c r="E1566" t="s">
        <v>5537</v>
      </c>
      <c r="F1566" t="s">
        <v>1528</v>
      </c>
    </row>
    <row r="1567" spans="1:6" x14ac:dyDescent="0.3">
      <c r="A1567" s="58" t="s">
        <v>1529</v>
      </c>
      <c r="B1567" t="s">
        <v>5385</v>
      </c>
      <c r="C1567" t="s">
        <v>4989</v>
      </c>
      <c r="D1567" t="s">
        <v>3741</v>
      </c>
      <c r="E1567" t="s">
        <v>5538</v>
      </c>
      <c r="F1567" t="s">
        <v>1529</v>
      </c>
    </row>
    <row r="1568" spans="1:6" x14ac:dyDescent="0.3">
      <c r="A1568" s="58" t="s">
        <v>1530</v>
      </c>
      <c r="B1568" t="s">
        <v>5385</v>
      </c>
      <c r="C1568" t="s">
        <v>4989</v>
      </c>
      <c r="D1568" t="s">
        <v>3742</v>
      </c>
      <c r="E1568" t="s">
        <v>5537</v>
      </c>
      <c r="F1568" t="s">
        <v>1530</v>
      </c>
    </row>
    <row r="1569" spans="1:6" x14ac:dyDescent="0.3">
      <c r="A1569" s="58" t="s">
        <v>1531</v>
      </c>
      <c r="B1569" t="s">
        <v>5385</v>
      </c>
      <c r="C1569" t="s">
        <v>4989</v>
      </c>
      <c r="D1569" t="s">
        <v>3743</v>
      </c>
      <c r="E1569" t="s">
        <v>5537</v>
      </c>
      <c r="F1569" t="s">
        <v>1531</v>
      </c>
    </row>
    <row r="1570" spans="1:6" x14ac:dyDescent="0.3">
      <c r="A1570" s="58" t="s">
        <v>1532</v>
      </c>
      <c r="B1570" t="s">
        <v>5385</v>
      </c>
      <c r="C1570" t="s">
        <v>4989</v>
      </c>
      <c r="D1570" t="s">
        <v>3744</v>
      </c>
      <c r="E1570" t="s">
        <v>5538</v>
      </c>
      <c r="F1570" t="s">
        <v>1532</v>
      </c>
    </row>
    <row r="1571" spans="1:6" x14ac:dyDescent="0.3">
      <c r="A1571" s="58" t="s">
        <v>1533</v>
      </c>
      <c r="B1571" t="s">
        <v>5385</v>
      </c>
      <c r="C1571" t="s">
        <v>4989</v>
      </c>
      <c r="D1571" t="s">
        <v>3745</v>
      </c>
      <c r="E1571" t="s">
        <v>5537</v>
      </c>
      <c r="F1571" t="s">
        <v>1533</v>
      </c>
    </row>
    <row r="1572" spans="1:6" x14ac:dyDescent="0.3">
      <c r="A1572" s="58" t="s">
        <v>1534</v>
      </c>
      <c r="B1572" t="s">
        <v>5385</v>
      </c>
      <c r="C1572" t="s">
        <v>4989</v>
      </c>
      <c r="D1572" t="s">
        <v>3746</v>
      </c>
      <c r="E1572" t="s">
        <v>5537</v>
      </c>
      <c r="F1572" t="s">
        <v>1534</v>
      </c>
    </row>
    <row r="1573" spans="1:6" x14ac:dyDescent="0.3">
      <c r="A1573" s="58" t="s">
        <v>1535</v>
      </c>
      <c r="B1573" t="s">
        <v>5385</v>
      </c>
      <c r="C1573" t="s">
        <v>4989</v>
      </c>
      <c r="D1573" t="s">
        <v>3747</v>
      </c>
      <c r="E1573" t="s">
        <v>5537</v>
      </c>
      <c r="F1573" t="s">
        <v>1535</v>
      </c>
    </row>
    <row r="1574" spans="1:6" x14ac:dyDescent="0.3">
      <c r="A1574" s="58" t="s">
        <v>1536</v>
      </c>
      <c r="B1574" t="s">
        <v>5385</v>
      </c>
      <c r="C1574" t="s">
        <v>4989</v>
      </c>
      <c r="D1574" t="s">
        <v>3748</v>
      </c>
      <c r="E1574" t="s">
        <v>5537</v>
      </c>
      <c r="F1574" t="s">
        <v>1536</v>
      </c>
    </row>
    <row r="1575" spans="1:6" x14ac:dyDescent="0.3">
      <c r="A1575" s="58" t="s">
        <v>1537</v>
      </c>
      <c r="B1575" t="s">
        <v>5385</v>
      </c>
      <c r="C1575" t="s">
        <v>4989</v>
      </c>
      <c r="D1575" t="s">
        <v>3749</v>
      </c>
      <c r="E1575" t="s">
        <v>5537</v>
      </c>
      <c r="F1575" t="s">
        <v>1537</v>
      </c>
    </row>
    <row r="1576" spans="1:6" x14ac:dyDescent="0.3">
      <c r="A1576" s="58" t="s">
        <v>1538</v>
      </c>
      <c r="B1576" t="s">
        <v>5385</v>
      </c>
      <c r="C1576" t="s">
        <v>4990</v>
      </c>
      <c r="D1576" t="s">
        <v>3750</v>
      </c>
      <c r="E1576" t="s">
        <v>5538</v>
      </c>
      <c r="F1576" t="s">
        <v>1538</v>
      </c>
    </row>
    <row r="1577" spans="1:6" x14ac:dyDescent="0.3">
      <c r="A1577" s="58" t="s">
        <v>1539</v>
      </c>
      <c r="B1577" t="s">
        <v>5385</v>
      </c>
      <c r="C1577" t="s">
        <v>4990</v>
      </c>
      <c r="D1577" t="s">
        <v>3751</v>
      </c>
      <c r="E1577" t="s">
        <v>5537</v>
      </c>
      <c r="F1577" t="s">
        <v>1539</v>
      </c>
    </row>
    <row r="1578" spans="1:6" x14ac:dyDescent="0.3">
      <c r="A1578" s="58" t="s">
        <v>1540</v>
      </c>
      <c r="B1578" t="s">
        <v>5385</v>
      </c>
      <c r="C1578" t="s">
        <v>4990</v>
      </c>
      <c r="D1578" t="s">
        <v>3752</v>
      </c>
      <c r="E1578" t="s">
        <v>5537</v>
      </c>
      <c r="F1578" t="s">
        <v>1540</v>
      </c>
    </row>
    <row r="1579" spans="1:6" x14ac:dyDescent="0.3">
      <c r="A1579" s="58" t="s">
        <v>1541</v>
      </c>
      <c r="B1579" t="s">
        <v>5385</v>
      </c>
      <c r="C1579" t="s">
        <v>4990</v>
      </c>
      <c r="D1579" t="s">
        <v>3753</v>
      </c>
      <c r="E1579" t="s">
        <v>5538</v>
      </c>
      <c r="F1579" t="s">
        <v>1541</v>
      </c>
    </row>
    <row r="1580" spans="1:6" x14ac:dyDescent="0.3">
      <c r="A1580" s="58" t="s">
        <v>1542</v>
      </c>
      <c r="B1580" t="s">
        <v>5385</v>
      </c>
      <c r="C1580" t="s">
        <v>4990</v>
      </c>
      <c r="D1580" t="s">
        <v>3754</v>
      </c>
      <c r="E1580" t="s">
        <v>5537</v>
      </c>
      <c r="F1580" t="s">
        <v>1542</v>
      </c>
    </row>
    <row r="1581" spans="1:6" x14ac:dyDescent="0.3">
      <c r="A1581" s="58" t="s">
        <v>1543</v>
      </c>
      <c r="B1581" t="s">
        <v>5385</v>
      </c>
      <c r="C1581" t="s">
        <v>4990</v>
      </c>
      <c r="D1581" t="s">
        <v>3755</v>
      </c>
      <c r="E1581" t="s">
        <v>5538</v>
      </c>
      <c r="F1581" t="s">
        <v>1543</v>
      </c>
    </row>
    <row r="1582" spans="1:6" x14ac:dyDescent="0.3">
      <c r="A1582" s="58" t="s">
        <v>1544</v>
      </c>
      <c r="B1582" t="s">
        <v>5385</v>
      </c>
      <c r="C1582" t="s">
        <v>4990</v>
      </c>
      <c r="D1582" t="s">
        <v>3756</v>
      </c>
      <c r="E1582" t="s">
        <v>5537</v>
      </c>
      <c r="F1582" t="s">
        <v>1544</v>
      </c>
    </row>
    <row r="1583" spans="1:6" x14ac:dyDescent="0.3">
      <c r="A1583" s="58" t="s">
        <v>1545</v>
      </c>
      <c r="B1583" t="s">
        <v>5385</v>
      </c>
      <c r="C1583" t="s">
        <v>4991</v>
      </c>
      <c r="D1583" t="s">
        <v>4692</v>
      </c>
      <c r="E1583" t="s">
        <v>5536</v>
      </c>
      <c r="F1583" t="s">
        <v>1545</v>
      </c>
    </row>
    <row r="1584" spans="1:6" x14ac:dyDescent="0.3">
      <c r="A1584" s="58" t="s">
        <v>1546</v>
      </c>
      <c r="B1584" t="s">
        <v>5385</v>
      </c>
      <c r="C1584" t="s">
        <v>4991</v>
      </c>
      <c r="D1584" t="s">
        <v>3757</v>
      </c>
      <c r="E1584" t="s">
        <v>5537</v>
      </c>
      <c r="F1584" t="s">
        <v>1546</v>
      </c>
    </row>
    <row r="1585" spans="1:6" x14ac:dyDescent="0.3">
      <c r="A1585" s="58" t="s">
        <v>1547</v>
      </c>
      <c r="B1585" t="s">
        <v>5385</v>
      </c>
      <c r="C1585" t="s">
        <v>4991</v>
      </c>
      <c r="D1585" t="s">
        <v>3758</v>
      </c>
      <c r="E1585" t="s">
        <v>5537</v>
      </c>
      <c r="F1585" t="s">
        <v>1547</v>
      </c>
    </row>
    <row r="1586" spans="1:6" x14ac:dyDescent="0.3">
      <c r="A1586" s="58" t="s">
        <v>1548</v>
      </c>
      <c r="B1586" t="s">
        <v>5385</v>
      </c>
      <c r="C1586" t="s">
        <v>4991</v>
      </c>
      <c r="D1586" t="s">
        <v>3759</v>
      </c>
      <c r="E1586" t="s">
        <v>5537</v>
      </c>
      <c r="F1586" t="s">
        <v>1548</v>
      </c>
    </row>
    <row r="1587" spans="1:6" x14ac:dyDescent="0.3">
      <c r="A1587" s="58" t="s">
        <v>1549</v>
      </c>
      <c r="B1587" t="s">
        <v>5385</v>
      </c>
      <c r="C1587" t="s">
        <v>4991</v>
      </c>
      <c r="D1587" t="s">
        <v>4693</v>
      </c>
      <c r="E1587" t="s">
        <v>5537</v>
      </c>
      <c r="F1587" t="s">
        <v>1549</v>
      </c>
    </row>
    <row r="1588" spans="1:6" x14ac:dyDescent="0.3">
      <c r="A1588" s="58" t="s">
        <v>1550</v>
      </c>
      <c r="B1588" t="s">
        <v>5385</v>
      </c>
      <c r="C1588" t="s">
        <v>4992</v>
      </c>
      <c r="D1588" t="s">
        <v>4694</v>
      </c>
      <c r="E1588" t="s">
        <v>5536</v>
      </c>
      <c r="F1588" t="s">
        <v>1550</v>
      </c>
    </row>
    <row r="1589" spans="1:6" x14ac:dyDescent="0.3">
      <c r="A1589" s="58" t="s">
        <v>1551</v>
      </c>
      <c r="B1589" t="s">
        <v>5385</v>
      </c>
      <c r="C1589" t="s">
        <v>4992</v>
      </c>
      <c r="D1589" t="s">
        <v>3760</v>
      </c>
      <c r="E1589" t="s">
        <v>5538</v>
      </c>
      <c r="F1589" t="s">
        <v>1551</v>
      </c>
    </row>
    <row r="1590" spans="1:6" x14ac:dyDescent="0.3">
      <c r="A1590" s="58" t="s">
        <v>1552</v>
      </c>
      <c r="B1590" t="s">
        <v>5385</v>
      </c>
      <c r="C1590" t="s">
        <v>4992</v>
      </c>
      <c r="D1590" t="s">
        <v>3761</v>
      </c>
      <c r="E1590" t="s">
        <v>5537</v>
      </c>
      <c r="F1590" t="s">
        <v>1552</v>
      </c>
    </row>
    <row r="1591" spans="1:6" x14ac:dyDescent="0.3">
      <c r="A1591" s="58" t="s">
        <v>1553</v>
      </c>
      <c r="B1591" t="s">
        <v>5385</v>
      </c>
      <c r="C1591" t="s">
        <v>4992</v>
      </c>
      <c r="D1591" t="s">
        <v>3762</v>
      </c>
      <c r="E1591" t="s">
        <v>5537</v>
      </c>
      <c r="F1591" t="s">
        <v>1553</v>
      </c>
    </row>
    <row r="1592" spans="1:6" x14ac:dyDescent="0.3">
      <c r="A1592" s="58" t="s">
        <v>1554</v>
      </c>
      <c r="B1592" t="s">
        <v>5385</v>
      </c>
      <c r="C1592" t="s">
        <v>4992</v>
      </c>
      <c r="D1592" t="s">
        <v>3763</v>
      </c>
      <c r="E1592" t="s">
        <v>5537</v>
      </c>
      <c r="F1592" t="s">
        <v>1554</v>
      </c>
    </row>
    <row r="1593" spans="1:6" x14ac:dyDescent="0.3">
      <c r="A1593" s="58" t="s">
        <v>1555</v>
      </c>
      <c r="B1593" t="s">
        <v>5385</v>
      </c>
      <c r="C1593" t="s">
        <v>4992</v>
      </c>
      <c r="D1593" t="s">
        <v>3764</v>
      </c>
      <c r="E1593" t="s">
        <v>5537</v>
      </c>
      <c r="F1593" t="s">
        <v>1555</v>
      </c>
    </row>
    <row r="1594" spans="1:6" x14ac:dyDescent="0.3">
      <c r="A1594" s="58" t="s">
        <v>1556</v>
      </c>
      <c r="B1594" t="s">
        <v>5385</v>
      </c>
      <c r="C1594" t="s">
        <v>4992</v>
      </c>
      <c r="D1594" t="s">
        <v>3765</v>
      </c>
      <c r="E1594" t="s">
        <v>5537</v>
      </c>
      <c r="F1594" t="s">
        <v>1556</v>
      </c>
    </row>
    <row r="1595" spans="1:6" x14ac:dyDescent="0.3">
      <c r="A1595" s="58" t="s">
        <v>1557</v>
      </c>
      <c r="B1595" t="s">
        <v>5385</v>
      </c>
      <c r="C1595" t="s">
        <v>4992</v>
      </c>
      <c r="D1595" t="s">
        <v>3766</v>
      </c>
      <c r="E1595" t="s">
        <v>5537</v>
      </c>
      <c r="F1595" t="s">
        <v>1557</v>
      </c>
    </row>
    <row r="1596" spans="1:6" x14ac:dyDescent="0.3">
      <c r="A1596" s="58" t="s">
        <v>1558</v>
      </c>
      <c r="B1596" t="s">
        <v>5385</v>
      </c>
      <c r="C1596" t="s">
        <v>4992</v>
      </c>
      <c r="D1596" t="s">
        <v>4695</v>
      </c>
      <c r="E1596" t="s">
        <v>5537</v>
      </c>
      <c r="F1596" t="s">
        <v>1558</v>
      </c>
    </row>
    <row r="1597" spans="1:6" x14ac:dyDescent="0.3">
      <c r="A1597" s="58" t="s">
        <v>1559</v>
      </c>
      <c r="B1597" t="s">
        <v>5385</v>
      </c>
      <c r="C1597" t="s">
        <v>4993</v>
      </c>
      <c r="D1597" t="s">
        <v>3767</v>
      </c>
      <c r="E1597" t="s">
        <v>5538</v>
      </c>
      <c r="F1597" t="s">
        <v>1559</v>
      </c>
    </row>
    <row r="1598" spans="1:6" x14ac:dyDescent="0.3">
      <c r="A1598" s="58" t="s">
        <v>1560</v>
      </c>
      <c r="B1598" t="s">
        <v>5385</v>
      </c>
      <c r="C1598" t="s">
        <v>4993</v>
      </c>
      <c r="D1598" t="s">
        <v>3768</v>
      </c>
      <c r="E1598" t="s">
        <v>5537</v>
      </c>
      <c r="F1598" t="s">
        <v>1560</v>
      </c>
    </row>
    <row r="1599" spans="1:6" x14ac:dyDescent="0.3">
      <c r="A1599" s="58" t="s">
        <v>1561</v>
      </c>
      <c r="B1599" t="s">
        <v>5385</v>
      </c>
      <c r="C1599" t="s">
        <v>4993</v>
      </c>
      <c r="D1599" t="s">
        <v>3769</v>
      </c>
      <c r="E1599" t="s">
        <v>5537</v>
      </c>
      <c r="F1599" t="s">
        <v>1561</v>
      </c>
    </row>
    <row r="1600" spans="1:6" x14ac:dyDescent="0.3">
      <c r="A1600" s="58" t="s">
        <v>1562</v>
      </c>
      <c r="B1600" t="s">
        <v>5385</v>
      </c>
      <c r="C1600" t="s">
        <v>4993</v>
      </c>
      <c r="D1600" t="s">
        <v>3770</v>
      </c>
      <c r="E1600" t="s">
        <v>5538</v>
      </c>
      <c r="F1600" t="s">
        <v>1562</v>
      </c>
    </row>
    <row r="1601" spans="1:6" x14ac:dyDescent="0.3">
      <c r="A1601" s="58" t="s">
        <v>1563</v>
      </c>
      <c r="B1601" t="s">
        <v>5385</v>
      </c>
      <c r="C1601" t="s">
        <v>4993</v>
      </c>
      <c r="D1601" t="s">
        <v>3771</v>
      </c>
      <c r="E1601" t="s">
        <v>5537</v>
      </c>
      <c r="F1601" t="s">
        <v>1563</v>
      </c>
    </row>
    <row r="1602" spans="1:6" x14ac:dyDescent="0.3">
      <c r="A1602" s="58" t="s">
        <v>1564</v>
      </c>
      <c r="B1602" t="s">
        <v>5385</v>
      </c>
      <c r="C1602" t="s">
        <v>4993</v>
      </c>
      <c r="D1602" t="s">
        <v>3772</v>
      </c>
      <c r="E1602" t="s">
        <v>5537</v>
      </c>
      <c r="F1602" t="s">
        <v>1564</v>
      </c>
    </row>
    <row r="1603" spans="1:6" x14ac:dyDescent="0.3">
      <c r="A1603" s="58" t="s">
        <v>1565</v>
      </c>
      <c r="B1603" t="s">
        <v>5385</v>
      </c>
      <c r="C1603" t="s">
        <v>4993</v>
      </c>
      <c r="D1603" t="s">
        <v>3773</v>
      </c>
      <c r="E1603" t="s">
        <v>5537</v>
      </c>
      <c r="F1603" t="s">
        <v>1565</v>
      </c>
    </row>
    <row r="1604" spans="1:6" x14ac:dyDescent="0.3">
      <c r="A1604" s="58" t="s">
        <v>1566</v>
      </c>
      <c r="B1604" t="s">
        <v>5385</v>
      </c>
      <c r="C1604" t="s">
        <v>4993</v>
      </c>
      <c r="D1604" t="s">
        <v>3774</v>
      </c>
      <c r="E1604" t="s">
        <v>5538</v>
      </c>
      <c r="F1604" t="s">
        <v>1566</v>
      </c>
    </row>
    <row r="1605" spans="1:6" x14ac:dyDescent="0.3">
      <c r="A1605" s="58" t="s">
        <v>1567</v>
      </c>
      <c r="B1605" t="s">
        <v>5385</v>
      </c>
      <c r="C1605" t="s">
        <v>4993</v>
      </c>
      <c r="D1605" t="s">
        <v>3775</v>
      </c>
      <c r="E1605" t="s">
        <v>5538</v>
      </c>
      <c r="F1605" t="s">
        <v>1567</v>
      </c>
    </row>
    <row r="1606" spans="1:6" x14ac:dyDescent="0.3">
      <c r="A1606" s="58" t="s">
        <v>1568</v>
      </c>
      <c r="B1606" t="s">
        <v>5385</v>
      </c>
      <c r="C1606" t="s">
        <v>4993</v>
      </c>
      <c r="D1606" t="s">
        <v>3776</v>
      </c>
      <c r="E1606" t="s">
        <v>5537</v>
      </c>
      <c r="F1606" t="s">
        <v>1568</v>
      </c>
    </row>
    <row r="1607" spans="1:6" x14ac:dyDescent="0.3">
      <c r="A1607" s="58" t="s">
        <v>1569</v>
      </c>
      <c r="B1607" t="s">
        <v>5385</v>
      </c>
      <c r="C1607" t="s">
        <v>4994</v>
      </c>
      <c r="D1607" t="s">
        <v>3777</v>
      </c>
      <c r="E1607" t="s">
        <v>5537</v>
      </c>
      <c r="F1607" t="s">
        <v>1569</v>
      </c>
    </row>
    <row r="1608" spans="1:6" x14ac:dyDescent="0.3">
      <c r="A1608" s="58" t="s">
        <v>1570</v>
      </c>
      <c r="B1608" t="s">
        <v>5385</v>
      </c>
      <c r="C1608" t="s">
        <v>4994</v>
      </c>
      <c r="D1608" t="s">
        <v>3778</v>
      </c>
      <c r="E1608" t="s">
        <v>5537</v>
      </c>
      <c r="F1608" t="s">
        <v>1570</v>
      </c>
    </row>
    <row r="1609" spans="1:6" x14ac:dyDescent="0.3">
      <c r="A1609" s="58" t="s">
        <v>1571</v>
      </c>
      <c r="B1609" t="s">
        <v>5385</v>
      </c>
      <c r="C1609" t="s">
        <v>4994</v>
      </c>
      <c r="D1609" t="s">
        <v>3779</v>
      </c>
      <c r="E1609" t="s">
        <v>5537</v>
      </c>
      <c r="F1609" t="s">
        <v>1571</v>
      </c>
    </row>
    <row r="1610" spans="1:6" x14ac:dyDescent="0.3">
      <c r="A1610" s="58" t="s">
        <v>1572</v>
      </c>
      <c r="B1610" t="s">
        <v>5385</v>
      </c>
      <c r="C1610" t="s">
        <v>4994</v>
      </c>
      <c r="D1610" t="s">
        <v>3780</v>
      </c>
      <c r="E1610" t="s">
        <v>5537</v>
      </c>
      <c r="F1610" t="s">
        <v>1572</v>
      </c>
    </row>
    <row r="1611" spans="1:6" x14ac:dyDescent="0.3">
      <c r="A1611" s="58" t="s">
        <v>1573</v>
      </c>
      <c r="B1611" t="s">
        <v>5385</v>
      </c>
      <c r="C1611" t="s">
        <v>4994</v>
      </c>
      <c r="D1611" t="s">
        <v>3781</v>
      </c>
      <c r="E1611" t="s">
        <v>5537</v>
      </c>
      <c r="F1611" t="s">
        <v>1573</v>
      </c>
    </row>
    <row r="1612" spans="1:6" x14ac:dyDescent="0.3">
      <c r="A1612" s="58" t="s">
        <v>1574</v>
      </c>
      <c r="B1612" t="s">
        <v>5385</v>
      </c>
      <c r="C1612" t="s">
        <v>4994</v>
      </c>
      <c r="D1612" t="s">
        <v>3782</v>
      </c>
      <c r="E1612" t="s">
        <v>5537</v>
      </c>
      <c r="F1612" t="s">
        <v>1574</v>
      </c>
    </row>
    <row r="1613" spans="1:6" x14ac:dyDescent="0.3">
      <c r="A1613" s="58" t="s">
        <v>1575</v>
      </c>
      <c r="B1613" t="s">
        <v>5385</v>
      </c>
      <c r="C1613" t="s">
        <v>4994</v>
      </c>
      <c r="D1613" t="s">
        <v>3783</v>
      </c>
      <c r="E1613" t="s">
        <v>5537</v>
      </c>
      <c r="F1613" t="s">
        <v>1575</v>
      </c>
    </row>
    <row r="1614" spans="1:6" x14ac:dyDescent="0.3">
      <c r="A1614" s="58" t="s">
        <v>1576</v>
      </c>
      <c r="B1614" t="s">
        <v>5385</v>
      </c>
      <c r="C1614" t="s">
        <v>4994</v>
      </c>
      <c r="D1614" t="s">
        <v>3784</v>
      </c>
      <c r="E1614" t="s">
        <v>5537</v>
      </c>
      <c r="F1614" t="s">
        <v>1576</v>
      </c>
    </row>
    <row r="1615" spans="1:6" x14ac:dyDescent="0.3">
      <c r="A1615" s="58" t="s">
        <v>1577</v>
      </c>
      <c r="B1615" t="s">
        <v>5385</v>
      </c>
      <c r="C1615" t="s">
        <v>4994</v>
      </c>
      <c r="D1615" t="s">
        <v>3785</v>
      </c>
      <c r="E1615" t="s">
        <v>5537</v>
      </c>
      <c r="F1615" t="s">
        <v>1577</v>
      </c>
    </row>
    <row r="1616" spans="1:6" x14ac:dyDescent="0.3">
      <c r="A1616" s="58" t="s">
        <v>1578</v>
      </c>
      <c r="B1616" t="s">
        <v>5385</v>
      </c>
      <c r="C1616" t="s">
        <v>4995</v>
      </c>
      <c r="D1616" t="s">
        <v>4696</v>
      </c>
      <c r="E1616" t="s">
        <v>5536</v>
      </c>
      <c r="F1616" t="s">
        <v>1578</v>
      </c>
    </row>
    <row r="1617" spans="1:6" x14ac:dyDescent="0.3">
      <c r="A1617" s="58" t="s">
        <v>1579</v>
      </c>
      <c r="B1617" t="s">
        <v>5385</v>
      </c>
      <c r="C1617" t="s">
        <v>4995</v>
      </c>
      <c r="D1617" t="s">
        <v>3786</v>
      </c>
      <c r="E1617" t="s">
        <v>5538</v>
      </c>
      <c r="F1617" t="s">
        <v>1579</v>
      </c>
    </row>
    <row r="1618" spans="1:6" x14ac:dyDescent="0.3">
      <c r="A1618" s="58" t="s">
        <v>5174</v>
      </c>
      <c r="B1618" t="s">
        <v>5385</v>
      </c>
      <c r="C1618" t="s">
        <v>4995</v>
      </c>
      <c r="D1618" t="s">
        <v>5175</v>
      </c>
      <c r="E1618" t="s">
        <v>5538</v>
      </c>
      <c r="F1618" t="s">
        <v>5174</v>
      </c>
    </row>
    <row r="1619" spans="1:6" x14ac:dyDescent="0.3">
      <c r="A1619" s="58" t="s">
        <v>1580</v>
      </c>
      <c r="B1619" t="s">
        <v>5385</v>
      </c>
      <c r="C1619" t="s">
        <v>4995</v>
      </c>
      <c r="D1619" t="s">
        <v>3787</v>
      </c>
      <c r="E1619" t="s">
        <v>5537</v>
      </c>
      <c r="F1619" t="s">
        <v>1580</v>
      </c>
    </row>
    <row r="1620" spans="1:6" x14ac:dyDescent="0.3">
      <c r="A1620" s="58" t="s">
        <v>1581</v>
      </c>
      <c r="B1620" t="s">
        <v>5385</v>
      </c>
      <c r="C1620" t="s">
        <v>4995</v>
      </c>
      <c r="D1620" t="s">
        <v>3788</v>
      </c>
      <c r="E1620" t="s">
        <v>5537</v>
      </c>
      <c r="F1620" t="s">
        <v>1581</v>
      </c>
    </row>
    <row r="1621" spans="1:6" x14ac:dyDescent="0.3">
      <c r="A1621" s="58" t="s">
        <v>1582</v>
      </c>
      <c r="B1621" t="s">
        <v>5385</v>
      </c>
      <c r="C1621" t="s">
        <v>4995</v>
      </c>
      <c r="D1621" t="s">
        <v>3789</v>
      </c>
      <c r="E1621" t="s">
        <v>5537</v>
      </c>
      <c r="F1621" t="s">
        <v>1582</v>
      </c>
    </row>
    <row r="1622" spans="1:6" x14ac:dyDescent="0.3">
      <c r="A1622" s="58" t="s">
        <v>1583</v>
      </c>
      <c r="B1622" t="s">
        <v>5385</v>
      </c>
      <c r="C1622" t="s">
        <v>4995</v>
      </c>
      <c r="D1622" t="s">
        <v>3790</v>
      </c>
      <c r="E1622" t="s">
        <v>5537</v>
      </c>
      <c r="F1622" t="s">
        <v>1583</v>
      </c>
    </row>
    <row r="1623" spans="1:6" x14ac:dyDescent="0.3">
      <c r="A1623" s="58" t="s">
        <v>1584</v>
      </c>
      <c r="B1623" t="s">
        <v>5385</v>
      </c>
      <c r="C1623" t="s">
        <v>4995</v>
      </c>
      <c r="D1623" t="s">
        <v>3791</v>
      </c>
      <c r="E1623" t="s">
        <v>5537</v>
      </c>
      <c r="F1623" t="s">
        <v>1584</v>
      </c>
    </row>
    <row r="1624" spans="1:6" x14ac:dyDescent="0.3">
      <c r="A1624" s="58" t="s">
        <v>5176</v>
      </c>
      <c r="B1624" t="s">
        <v>5385</v>
      </c>
      <c r="C1624" t="s">
        <v>4995</v>
      </c>
      <c r="D1624" t="s">
        <v>3792</v>
      </c>
      <c r="E1624" t="s">
        <v>5538</v>
      </c>
      <c r="F1624" t="s">
        <v>5176</v>
      </c>
    </row>
    <row r="1625" spans="1:6" x14ac:dyDescent="0.3">
      <c r="A1625" s="58" t="s">
        <v>1585</v>
      </c>
      <c r="B1625" t="s">
        <v>5385</v>
      </c>
      <c r="C1625" t="s">
        <v>4995</v>
      </c>
      <c r="D1625" t="s">
        <v>4697</v>
      </c>
      <c r="E1625" t="s">
        <v>5537</v>
      </c>
      <c r="F1625" t="s">
        <v>1585</v>
      </c>
    </row>
    <row r="1626" spans="1:6" x14ac:dyDescent="0.3">
      <c r="A1626" s="58" t="s">
        <v>1586</v>
      </c>
      <c r="B1626" t="s">
        <v>5385</v>
      </c>
      <c r="C1626" t="s">
        <v>4996</v>
      </c>
      <c r="D1626" t="s">
        <v>4698</v>
      </c>
      <c r="E1626" t="s">
        <v>5536</v>
      </c>
      <c r="F1626" t="s">
        <v>1586</v>
      </c>
    </row>
    <row r="1627" spans="1:6" x14ac:dyDescent="0.3">
      <c r="A1627" s="58" t="s">
        <v>1587</v>
      </c>
      <c r="B1627" t="s">
        <v>5385</v>
      </c>
      <c r="C1627" t="s">
        <v>4996</v>
      </c>
      <c r="D1627" t="s">
        <v>3793</v>
      </c>
      <c r="E1627" t="s">
        <v>5537</v>
      </c>
      <c r="F1627" t="s">
        <v>1587</v>
      </c>
    </row>
    <row r="1628" spans="1:6" x14ac:dyDescent="0.3">
      <c r="A1628" s="58" t="s">
        <v>1588</v>
      </c>
      <c r="B1628" t="s">
        <v>5385</v>
      </c>
      <c r="C1628" t="s">
        <v>4996</v>
      </c>
      <c r="D1628" t="s">
        <v>3794</v>
      </c>
      <c r="E1628" t="s">
        <v>5537</v>
      </c>
      <c r="F1628" t="s">
        <v>1588</v>
      </c>
    </row>
    <row r="1629" spans="1:6" x14ac:dyDescent="0.3">
      <c r="A1629" s="58" t="s">
        <v>1589</v>
      </c>
      <c r="B1629" t="s">
        <v>5385</v>
      </c>
      <c r="C1629" t="s">
        <v>4996</v>
      </c>
      <c r="D1629" t="s">
        <v>3795</v>
      </c>
      <c r="E1629" t="s">
        <v>5537</v>
      </c>
      <c r="F1629" t="s">
        <v>1589</v>
      </c>
    </row>
    <row r="1630" spans="1:6" x14ac:dyDescent="0.3">
      <c r="A1630" s="58" t="s">
        <v>1590</v>
      </c>
      <c r="B1630" t="s">
        <v>5385</v>
      </c>
      <c r="C1630" t="s">
        <v>4996</v>
      </c>
      <c r="D1630" t="s">
        <v>4699</v>
      </c>
      <c r="E1630" t="s">
        <v>5537</v>
      </c>
      <c r="F1630" t="s">
        <v>1590</v>
      </c>
    </row>
    <row r="1631" spans="1:6" x14ac:dyDescent="0.3">
      <c r="A1631" s="58" t="s">
        <v>1591</v>
      </c>
      <c r="B1631" t="s">
        <v>5385</v>
      </c>
      <c r="C1631" t="s">
        <v>3796</v>
      </c>
      <c r="D1631" t="s">
        <v>3796</v>
      </c>
      <c r="E1631" t="s">
        <v>5536</v>
      </c>
      <c r="F1631" t="s">
        <v>1591</v>
      </c>
    </row>
    <row r="1632" spans="1:6" x14ac:dyDescent="0.3">
      <c r="A1632" s="58" t="s">
        <v>1592</v>
      </c>
      <c r="B1632" t="s">
        <v>5385</v>
      </c>
      <c r="C1632" t="s">
        <v>3742</v>
      </c>
      <c r="D1632" t="s">
        <v>3742</v>
      </c>
      <c r="E1632" t="s">
        <v>5536</v>
      </c>
      <c r="F1632" t="s">
        <v>1592</v>
      </c>
    </row>
    <row r="1633" spans="1:6" x14ac:dyDescent="0.3">
      <c r="A1633" s="58" t="s">
        <v>1593</v>
      </c>
      <c r="B1633" t="s">
        <v>5385</v>
      </c>
      <c r="C1633" t="s">
        <v>3783</v>
      </c>
      <c r="D1633" t="s">
        <v>3783</v>
      </c>
      <c r="E1633" t="s">
        <v>5536</v>
      </c>
      <c r="F1633" t="s">
        <v>1593</v>
      </c>
    </row>
    <row r="1634" spans="1:6" x14ac:dyDescent="0.3">
      <c r="A1634" s="58" t="s">
        <v>1594</v>
      </c>
      <c r="B1634" t="s">
        <v>5394</v>
      </c>
      <c r="C1634" t="s">
        <v>4997</v>
      </c>
      <c r="D1634" t="s">
        <v>3797</v>
      </c>
      <c r="E1634" t="s">
        <v>5537</v>
      </c>
      <c r="F1634" t="s">
        <v>1594</v>
      </c>
    </row>
    <row r="1635" spans="1:6" x14ac:dyDescent="0.3">
      <c r="A1635" s="58" t="s">
        <v>1595</v>
      </c>
      <c r="B1635" t="s">
        <v>5394</v>
      </c>
      <c r="C1635" t="s">
        <v>4997</v>
      </c>
      <c r="D1635" t="s">
        <v>3798</v>
      </c>
      <c r="E1635" t="s">
        <v>5538</v>
      </c>
      <c r="F1635" t="s">
        <v>1595</v>
      </c>
    </row>
    <row r="1636" spans="1:6" x14ac:dyDescent="0.3">
      <c r="A1636" s="58" t="s">
        <v>1596</v>
      </c>
      <c r="B1636" t="s">
        <v>5394</v>
      </c>
      <c r="C1636" t="s">
        <v>4997</v>
      </c>
      <c r="D1636" t="s">
        <v>3799</v>
      </c>
      <c r="E1636" t="s">
        <v>5537</v>
      </c>
      <c r="F1636" t="s">
        <v>1596</v>
      </c>
    </row>
    <row r="1637" spans="1:6" x14ac:dyDescent="0.3">
      <c r="A1637" s="58" t="s">
        <v>1597</v>
      </c>
      <c r="B1637" t="s">
        <v>5394</v>
      </c>
      <c r="C1637" t="s">
        <v>4997</v>
      </c>
      <c r="D1637" t="s">
        <v>3800</v>
      </c>
      <c r="E1637" t="s">
        <v>5537</v>
      </c>
      <c r="F1637" t="s">
        <v>1597</v>
      </c>
    </row>
    <row r="1638" spans="1:6" x14ac:dyDescent="0.3">
      <c r="A1638" s="58" t="s">
        <v>1598</v>
      </c>
      <c r="B1638" t="s">
        <v>5394</v>
      </c>
      <c r="C1638" t="s">
        <v>4997</v>
      </c>
      <c r="D1638" t="s">
        <v>3801</v>
      </c>
      <c r="E1638" t="s">
        <v>5537</v>
      </c>
      <c r="F1638" t="s">
        <v>1598</v>
      </c>
    </row>
    <row r="1639" spans="1:6" x14ac:dyDescent="0.3">
      <c r="A1639" s="58" t="s">
        <v>1599</v>
      </c>
      <c r="B1639" t="s">
        <v>5394</v>
      </c>
      <c r="C1639" t="s">
        <v>4997</v>
      </c>
      <c r="D1639" t="s">
        <v>3802</v>
      </c>
      <c r="E1639" t="s">
        <v>5538</v>
      </c>
      <c r="F1639" t="s">
        <v>1599</v>
      </c>
    </row>
    <row r="1640" spans="1:6" x14ac:dyDescent="0.3">
      <c r="A1640" s="58" t="s">
        <v>1600</v>
      </c>
      <c r="B1640" t="s">
        <v>5394</v>
      </c>
      <c r="C1640" t="s">
        <v>4997</v>
      </c>
      <c r="D1640" t="s">
        <v>3803</v>
      </c>
      <c r="E1640" t="s">
        <v>5537</v>
      </c>
      <c r="F1640" t="s">
        <v>1600</v>
      </c>
    </row>
    <row r="1641" spans="1:6" x14ac:dyDescent="0.3">
      <c r="A1641" s="58" t="s">
        <v>1601</v>
      </c>
      <c r="B1641" t="s">
        <v>5394</v>
      </c>
      <c r="C1641" t="s">
        <v>4997</v>
      </c>
      <c r="D1641" t="s">
        <v>3804</v>
      </c>
      <c r="E1641" t="s">
        <v>5537</v>
      </c>
      <c r="F1641" t="s">
        <v>1601</v>
      </c>
    </row>
    <row r="1642" spans="1:6" x14ac:dyDescent="0.3">
      <c r="A1642" s="58" t="s">
        <v>1602</v>
      </c>
      <c r="B1642" t="s">
        <v>5394</v>
      </c>
      <c r="C1642" t="s">
        <v>4997</v>
      </c>
      <c r="D1642" t="s">
        <v>3805</v>
      </c>
      <c r="E1642" t="s">
        <v>5537</v>
      </c>
      <c r="F1642" t="s">
        <v>1602</v>
      </c>
    </row>
    <row r="1643" spans="1:6" x14ac:dyDescent="0.3">
      <c r="A1643" s="58" t="s">
        <v>1603</v>
      </c>
      <c r="B1643" t="s">
        <v>5394</v>
      </c>
      <c r="C1643" t="s">
        <v>4997</v>
      </c>
      <c r="D1643" t="s">
        <v>3806</v>
      </c>
      <c r="E1643" t="s">
        <v>5537</v>
      </c>
      <c r="F1643" t="s">
        <v>1603</v>
      </c>
    </row>
    <row r="1644" spans="1:6" x14ac:dyDescent="0.3">
      <c r="A1644" s="58" t="s">
        <v>1604</v>
      </c>
      <c r="B1644" t="s">
        <v>5394</v>
      </c>
      <c r="C1644" t="s">
        <v>4998</v>
      </c>
      <c r="D1644" t="s">
        <v>4700</v>
      </c>
      <c r="E1644" t="s">
        <v>5536</v>
      </c>
      <c r="F1644" t="s">
        <v>1604</v>
      </c>
    </row>
    <row r="1645" spans="1:6" x14ac:dyDescent="0.3">
      <c r="A1645" s="58" t="s">
        <v>1605</v>
      </c>
      <c r="B1645" t="s">
        <v>5394</v>
      </c>
      <c r="C1645" t="s">
        <v>4998</v>
      </c>
      <c r="D1645" t="s">
        <v>3807</v>
      </c>
      <c r="E1645" t="s">
        <v>5538</v>
      </c>
      <c r="F1645" t="s">
        <v>1605</v>
      </c>
    </row>
    <row r="1646" spans="1:6" x14ac:dyDescent="0.3">
      <c r="A1646" s="58" t="s">
        <v>1606</v>
      </c>
      <c r="B1646" t="s">
        <v>5394</v>
      </c>
      <c r="C1646" t="s">
        <v>4998</v>
      </c>
      <c r="D1646" t="s">
        <v>4701</v>
      </c>
      <c r="E1646" t="s">
        <v>5537</v>
      </c>
      <c r="F1646" t="s">
        <v>1606</v>
      </c>
    </row>
    <row r="1647" spans="1:6" x14ac:dyDescent="0.3">
      <c r="A1647" s="58" t="s">
        <v>1607</v>
      </c>
      <c r="B1647" t="s">
        <v>5394</v>
      </c>
      <c r="C1647" t="s">
        <v>4998</v>
      </c>
      <c r="D1647" t="s">
        <v>3808</v>
      </c>
      <c r="E1647" t="s">
        <v>5538</v>
      </c>
      <c r="F1647" t="s">
        <v>1607</v>
      </c>
    </row>
    <row r="1648" spans="1:6" x14ac:dyDescent="0.3">
      <c r="A1648" s="58" t="s">
        <v>1608</v>
      </c>
      <c r="B1648" t="s">
        <v>5394</v>
      </c>
      <c r="C1648" t="s">
        <v>4998</v>
      </c>
      <c r="D1648" t="s">
        <v>3809</v>
      </c>
      <c r="E1648" t="s">
        <v>5537</v>
      </c>
      <c r="F1648" t="s">
        <v>1608</v>
      </c>
    </row>
    <row r="1649" spans="1:6" x14ac:dyDescent="0.3">
      <c r="A1649" s="58" t="s">
        <v>1609</v>
      </c>
      <c r="B1649" t="s">
        <v>5394</v>
      </c>
      <c r="C1649" t="s">
        <v>4999</v>
      </c>
      <c r="D1649" t="s">
        <v>4702</v>
      </c>
      <c r="E1649" t="s">
        <v>5536</v>
      </c>
      <c r="F1649" t="s">
        <v>1609</v>
      </c>
    </row>
    <row r="1650" spans="1:6" x14ac:dyDescent="0.3">
      <c r="A1650" s="58" t="s">
        <v>1610</v>
      </c>
      <c r="B1650" t="s">
        <v>5394</v>
      </c>
      <c r="C1650" t="s">
        <v>4999</v>
      </c>
      <c r="D1650" t="s">
        <v>3810</v>
      </c>
      <c r="E1650" t="s">
        <v>5538</v>
      </c>
      <c r="F1650" t="s">
        <v>1610</v>
      </c>
    </row>
    <row r="1651" spans="1:6" x14ac:dyDescent="0.3">
      <c r="A1651" s="58" t="s">
        <v>1611</v>
      </c>
      <c r="B1651" t="s">
        <v>5394</v>
      </c>
      <c r="C1651" t="s">
        <v>4999</v>
      </c>
      <c r="D1651" t="s">
        <v>4703</v>
      </c>
      <c r="E1651" t="s">
        <v>5537</v>
      </c>
      <c r="F1651" t="s">
        <v>1611</v>
      </c>
    </row>
    <row r="1652" spans="1:6" x14ac:dyDescent="0.3">
      <c r="A1652" s="58" t="s">
        <v>1612</v>
      </c>
      <c r="B1652" t="s">
        <v>5394</v>
      </c>
      <c r="C1652" t="s">
        <v>4999</v>
      </c>
      <c r="D1652" t="s">
        <v>3811</v>
      </c>
      <c r="E1652" t="s">
        <v>5538</v>
      </c>
      <c r="F1652" t="s">
        <v>1612</v>
      </c>
    </row>
    <row r="1653" spans="1:6" x14ac:dyDescent="0.3">
      <c r="A1653" s="58" t="s">
        <v>1613</v>
      </c>
      <c r="B1653" t="s">
        <v>5394</v>
      </c>
      <c r="C1653" t="s">
        <v>4999</v>
      </c>
      <c r="D1653" t="s">
        <v>3812</v>
      </c>
      <c r="E1653" t="s">
        <v>5537</v>
      </c>
      <c r="F1653" t="s">
        <v>1613</v>
      </c>
    </row>
    <row r="1654" spans="1:6" x14ac:dyDescent="0.3">
      <c r="A1654" s="58" t="s">
        <v>1614</v>
      </c>
      <c r="B1654" t="s">
        <v>5394</v>
      </c>
      <c r="C1654" t="s">
        <v>4999</v>
      </c>
      <c r="D1654" t="s">
        <v>3813</v>
      </c>
      <c r="E1654" t="s">
        <v>5537</v>
      </c>
      <c r="F1654" t="s">
        <v>1614</v>
      </c>
    </row>
    <row r="1655" spans="1:6" x14ac:dyDescent="0.3">
      <c r="A1655" s="58" t="s">
        <v>1615</v>
      </c>
      <c r="B1655" t="s">
        <v>5394</v>
      </c>
      <c r="C1655" t="s">
        <v>4999</v>
      </c>
      <c r="D1655" t="s">
        <v>3814</v>
      </c>
      <c r="E1655" t="s">
        <v>5537</v>
      </c>
      <c r="F1655" t="s">
        <v>1615</v>
      </c>
    </row>
    <row r="1656" spans="1:6" x14ac:dyDescent="0.3">
      <c r="A1656" s="58" t="s">
        <v>1616</v>
      </c>
      <c r="B1656" t="s">
        <v>5394</v>
      </c>
      <c r="C1656" t="s">
        <v>5000</v>
      </c>
      <c r="D1656" t="s">
        <v>4704</v>
      </c>
      <c r="E1656" t="s">
        <v>5536</v>
      </c>
      <c r="F1656" t="s">
        <v>1616</v>
      </c>
    </row>
    <row r="1657" spans="1:6" x14ac:dyDescent="0.3">
      <c r="A1657" s="58" t="s">
        <v>1617</v>
      </c>
      <c r="B1657" t="s">
        <v>5394</v>
      </c>
      <c r="C1657" t="s">
        <v>5000</v>
      </c>
      <c r="D1657" t="s">
        <v>3815</v>
      </c>
      <c r="E1657" t="s">
        <v>5537</v>
      </c>
      <c r="F1657" t="s">
        <v>1617</v>
      </c>
    </row>
    <row r="1658" spans="1:6" x14ac:dyDescent="0.3">
      <c r="A1658" s="58" t="s">
        <v>1618</v>
      </c>
      <c r="B1658" t="s">
        <v>5394</v>
      </c>
      <c r="C1658" t="s">
        <v>5000</v>
      </c>
      <c r="D1658" t="s">
        <v>3816</v>
      </c>
      <c r="E1658" t="s">
        <v>5537</v>
      </c>
      <c r="F1658" t="s">
        <v>1618</v>
      </c>
    </row>
    <row r="1659" spans="1:6" x14ac:dyDescent="0.3">
      <c r="A1659" s="58" t="s">
        <v>1619</v>
      </c>
      <c r="B1659" t="s">
        <v>5394</v>
      </c>
      <c r="C1659" t="s">
        <v>5000</v>
      </c>
      <c r="D1659" t="s">
        <v>4705</v>
      </c>
      <c r="E1659" t="s">
        <v>5537</v>
      </c>
      <c r="F1659" t="s">
        <v>1619</v>
      </c>
    </row>
    <row r="1660" spans="1:6" x14ac:dyDescent="0.3">
      <c r="A1660" s="58" t="s">
        <v>1620</v>
      </c>
      <c r="B1660" t="s">
        <v>5394</v>
      </c>
      <c r="C1660" t="s">
        <v>5000</v>
      </c>
      <c r="D1660" t="s">
        <v>3817</v>
      </c>
      <c r="E1660" t="s">
        <v>5537</v>
      </c>
      <c r="F1660" t="s">
        <v>1620</v>
      </c>
    </row>
    <row r="1661" spans="1:6" x14ac:dyDescent="0.3">
      <c r="A1661" s="58" t="s">
        <v>1621</v>
      </c>
      <c r="B1661" t="s">
        <v>5394</v>
      </c>
      <c r="C1661" t="s">
        <v>5000</v>
      </c>
      <c r="D1661" t="s">
        <v>3818</v>
      </c>
      <c r="E1661" t="s">
        <v>5537</v>
      </c>
      <c r="F1661" t="s">
        <v>1621</v>
      </c>
    </row>
    <row r="1662" spans="1:6" x14ac:dyDescent="0.3">
      <c r="A1662" s="58" t="s">
        <v>1622</v>
      </c>
      <c r="B1662" t="s">
        <v>5394</v>
      </c>
      <c r="C1662" t="s">
        <v>5000</v>
      </c>
      <c r="D1662" t="s">
        <v>3819</v>
      </c>
      <c r="E1662" t="s">
        <v>5537</v>
      </c>
      <c r="F1662" t="s">
        <v>1622</v>
      </c>
    </row>
    <row r="1663" spans="1:6" x14ac:dyDescent="0.3">
      <c r="A1663" s="58" t="s">
        <v>1623</v>
      </c>
      <c r="B1663" t="s">
        <v>5394</v>
      </c>
      <c r="C1663" t="s">
        <v>5000</v>
      </c>
      <c r="D1663" t="s">
        <v>3820</v>
      </c>
      <c r="E1663" t="s">
        <v>5537</v>
      </c>
      <c r="F1663" t="s">
        <v>1623</v>
      </c>
    </row>
    <row r="1664" spans="1:6" x14ac:dyDescent="0.3">
      <c r="A1664" s="58" t="s">
        <v>1624</v>
      </c>
      <c r="B1664" t="s">
        <v>5394</v>
      </c>
      <c r="C1664" t="s">
        <v>5001</v>
      </c>
      <c r="D1664" t="s">
        <v>3821</v>
      </c>
      <c r="E1664" t="s">
        <v>5537</v>
      </c>
      <c r="F1664" t="s">
        <v>1624</v>
      </c>
    </row>
    <row r="1665" spans="1:6" x14ac:dyDescent="0.3">
      <c r="A1665" s="58" t="s">
        <v>1625</v>
      </c>
      <c r="B1665" t="s">
        <v>5394</v>
      </c>
      <c r="C1665" t="s">
        <v>5001</v>
      </c>
      <c r="D1665" t="s">
        <v>3822</v>
      </c>
      <c r="E1665" t="s">
        <v>5538</v>
      </c>
      <c r="F1665" t="s">
        <v>1625</v>
      </c>
    </row>
    <row r="1666" spans="1:6" x14ac:dyDescent="0.3">
      <c r="A1666" s="58" t="s">
        <v>1626</v>
      </c>
      <c r="B1666" t="s">
        <v>5394</v>
      </c>
      <c r="C1666" t="s">
        <v>5001</v>
      </c>
      <c r="D1666" t="s">
        <v>3823</v>
      </c>
      <c r="E1666" t="s">
        <v>5537</v>
      </c>
      <c r="F1666" t="s">
        <v>1626</v>
      </c>
    </row>
    <row r="1667" spans="1:6" x14ac:dyDescent="0.3">
      <c r="A1667" s="58" t="s">
        <v>1627</v>
      </c>
      <c r="B1667" t="s">
        <v>5394</v>
      </c>
      <c r="C1667" t="s">
        <v>5001</v>
      </c>
      <c r="D1667" t="s">
        <v>3824</v>
      </c>
      <c r="E1667" t="s">
        <v>5537</v>
      </c>
      <c r="F1667" t="s">
        <v>1627</v>
      </c>
    </row>
    <row r="1668" spans="1:6" x14ac:dyDescent="0.3">
      <c r="A1668" s="58" t="s">
        <v>1628</v>
      </c>
      <c r="B1668" t="s">
        <v>5394</v>
      </c>
      <c r="C1668" t="s">
        <v>5001</v>
      </c>
      <c r="D1668" t="s">
        <v>3825</v>
      </c>
      <c r="E1668" t="s">
        <v>5537</v>
      </c>
      <c r="F1668" t="s">
        <v>1628</v>
      </c>
    </row>
    <row r="1669" spans="1:6" x14ac:dyDescent="0.3">
      <c r="A1669" s="58" t="s">
        <v>1629</v>
      </c>
      <c r="B1669" t="s">
        <v>5394</v>
      </c>
      <c r="C1669" t="s">
        <v>5001</v>
      </c>
      <c r="D1669" t="s">
        <v>2819</v>
      </c>
      <c r="E1669" t="s">
        <v>5537</v>
      </c>
      <c r="F1669" t="s">
        <v>1629</v>
      </c>
    </row>
    <row r="1670" spans="1:6" x14ac:dyDescent="0.3">
      <c r="A1670" s="58" t="s">
        <v>1630</v>
      </c>
      <c r="B1670" t="s">
        <v>5394</v>
      </c>
      <c r="C1670" t="s">
        <v>5001</v>
      </c>
      <c r="D1670" t="s">
        <v>3826</v>
      </c>
      <c r="E1670" t="s">
        <v>5537</v>
      </c>
      <c r="F1670" t="s">
        <v>1630</v>
      </c>
    </row>
    <row r="1671" spans="1:6" x14ac:dyDescent="0.3">
      <c r="A1671" s="58" t="s">
        <v>1631</v>
      </c>
      <c r="B1671" t="s">
        <v>5394</v>
      </c>
      <c r="C1671" t="s">
        <v>5001</v>
      </c>
      <c r="D1671" t="s">
        <v>3827</v>
      </c>
      <c r="E1671" t="s">
        <v>5538</v>
      </c>
      <c r="F1671" t="s">
        <v>1631</v>
      </c>
    </row>
    <row r="1672" spans="1:6" x14ac:dyDescent="0.3">
      <c r="A1672" s="58" t="s">
        <v>1632</v>
      </c>
      <c r="B1672" t="s">
        <v>5394</v>
      </c>
      <c r="C1672" t="s">
        <v>5002</v>
      </c>
      <c r="D1672" t="s">
        <v>4706</v>
      </c>
      <c r="E1672" t="s">
        <v>5536</v>
      </c>
      <c r="F1672" t="s">
        <v>1632</v>
      </c>
    </row>
    <row r="1673" spans="1:6" x14ac:dyDescent="0.3">
      <c r="A1673" s="58" t="s">
        <v>1633</v>
      </c>
      <c r="B1673" t="s">
        <v>5394</v>
      </c>
      <c r="C1673" t="s">
        <v>5002</v>
      </c>
      <c r="D1673" t="s">
        <v>3828</v>
      </c>
      <c r="E1673" t="s">
        <v>5537</v>
      </c>
      <c r="F1673" t="s">
        <v>1633</v>
      </c>
    </row>
    <row r="1674" spans="1:6" x14ac:dyDescent="0.3">
      <c r="A1674" s="58" t="s">
        <v>1634</v>
      </c>
      <c r="B1674" t="s">
        <v>5394</v>
      </c>
      <c r="C1674" t="s">
        <v>5002</v>
      </c>
      <c r="D1674" t="s">
        <v>3829</v>
      </c>
      <c r="E1674" t="s">
        <v>5537</v>
      </c>
      <c r="F1674" t="s">
        <v>1634</v>
      </c>
    </row>
    <row r="1675" spans="1:6" x14ac:dyDescent="0.3">
      <c r="A1675" s="58" t="s">
        <v>1635</v>
      </c>
      <c r="B1675" t="s">
        <v>5394</v>
      </c>
      <c r="C1675" t="s">
        <v>5002</v>
      </c>
      <c r="D1675" t="s">
        <v>4707</v>
      </c>
      <c r="E1675" t="s">
        <v>5537</v>
      </c>
      <c r="F1675" t="s">
        <v>1635</v>
      </c>
    </row>
    <row r="1676" spans="1:6" x14ac:dyDescent="0.3">
      <c r="A1676" s="58" t="s">
        <v>1636</v>
      </c>
      <c r="B1676" t="s">
        <v>5394</v>
      </c>
      <c r="C1676" t="s">
        <v>5002</v>
      </c>
      <c r="D1676" t="s">
        <v>3830</v>
      </c>
      <c r="E1676" t="s">
        <v>5537</v>
      </c>
      <c r="F1676" t="s">
        <v>1636</v>
      </c>
    </row>
    <row r="1677" spans="1:6" x14ac:dyDescent="0.3">
      <c r="A1677" s="58" t="s">
        <v>1637</v>
      </c>
      <c r="B1677" t="s">
        <v>5394</v>
      </c>
      <c r="C1677" t="s">
        <v>5002</v>
      </c>
      <c r="D1677" t="s">
        <v>3831</v>
      </c>
      <c r="E1677" t="s">
        <v>5537</v>
      </c>
      <c r="F1677" t="s">
        <v>1637</v>
      </c>
    </row>
    <row r="1678" spans="1:6" x14ac:dyDescent="0.3">
      <c r="A1678" s="58" t="s">
        <v>1638</v>
      </c>
      <c r="B1678" t="s">
        <v>5394</v>
      </c>
      <c r="C1678" t="s">
        <v>5002</v>
      </c>
      <c r="D1678" t="s">
        <v>3832</v>
      </c>
      <c r="E1678" t="s">
        <v>5537</v>
      </c>
      <c r="F1678" t="s">
        <v>1638</v>
      </c>
    </row>
    <row r="1679" spans="1:6" x14ac:dyDescent="0.3">
      <c r="A1679" s="58" t="s">
        <v>1639</v>
      </c>
      <c r="B1679" t="s">
        <v>5394</v>
      </c>
      <c r="C1679" t="s">
        <v>5002</v>
      </c>
      <c r="D1679" t="s">
        <v>3833</v>
      </c>
      <c r="E1679" t="s">
        <v>5537</v>
      </c>
      <c r="F1679" t="s">
        <v>1639</v>
      </c>
    </row>
    <row r="1680" spans="1:6" x14ac:dyDescent="0.3">
      <c r="A1680" s="58" t="s">
        <v>1640</v>
      </c>
      <c r="B1680" t="s">
        <v>5394</v>
      </c>
      <c r="C1680" t="s">
        <v>5003</v>
      </c>
      <c r="D1680" t="s">
        <v>4708</v>
      </c>
      <c r="E1680" t="s">
        <v>5536</v>
      </c>
      <c r="F1680" t="s">
        <v>1640</v>
      </c>
    </row>
    <row r="1681" spans="1:6" x14ac:dyDescent="0.3">
      <c r="A1681" s="58" t="s">
        <v>1641</v>
      </c>
      <c r="B1681" t="s">
        <v>5394</v>
      </c>
      <c r="C1681" t="s">
        <v>5003</v>
      </c>
      <c r="D1681" t="s">
        <v>3834</v>
      </c>
      <c r="E1681" t="s">
        <v>5537</v>
      </c>
      <c r="F1681" t="s">
        <v>1641</v>
      </c>
    </row>
    <row r="1682" spans="1:6" x14ac:dyDescent="0.3">
      <c r="A1682" s="58" t="s">
        <v>1642</v>
      </c>
      <c r="B1682" t="s">
        <v>5394</v>
      </c>
      <c r="C1682" t="s">
        <v>5003</v>
      </c>
      <c r="D1682" t="s">
        <v>4709</v>
      </c>
      <c r="E1682" t="s">
        <v>5537</v>
      </c>
      <c r="F1682" t="s">
        <v>1642</v>
      </c>
    </row>
    <row r="1683" spans="1:6" x14ac:dyDescent="0.3">
      <c r="A1683" s="58" t="s">
        <v>1643</v>
      </c>
      <c r="B1683" t="s">
        <v>5394</v>
      </c>
      <c r="C1683" t="s">
        <v>5003</v>
      </c>
      <c r="D1683" t="s">
        <v>3835</v>
      </c>
      <c r="E1683" t="s">
        <v>5538</v>
      </c>
      <c r="F1683" t="s">
        <v>1643</v>
      </c>
    </row>
    <row r="1684" spans="1:6" x14ac:dyDescent="0.3">
      <c r="A1684" s="58" t="s">
        <v>1644</v>
      </c>
      <c r="B1684" t="s">
        <v>5394</v>
      </c>
      <c r="C1684" t="s">
        <v>5003</v>
      </c>
      <c r="D1684" t="s">
        <v>3836</v>
      </c>
      <c r="E1684" t="s">
        <v>5537</v>
      </c>
      <c r="F1684" t="s">
        <v>1644</v>
      </c>
    </row>
    <row r="1685" spans="1:6" x14ac:dyDescent="0.3">
      <c r="A1685" s="58" t="s">
        <v>1645</v>
      </c>
      <c r="B1685" t="s">
        <v>5394</v>
      </c>
      <c r="C1685" t="s">
        <v>5003</v>
      </c>
      <c r="D1685" t="s">
        <v>3837</v>
      </c>
      <c r="E1685" t="s">
        <v>5537</v>
      </c>
      <c r="F1685" t="s">
        <v>1645</v>
      </c>
    </row>
    <row r="1686" spans="1:6" x14ac:dyDescent="0.3">
      <c r="A1686" s="58" t="s">
        <v>1646</v>
      </c>
      <c r="B1686" t="s">
        <v>5394</v>
      </c>
      <c r="C1686" t="s">
        <v>5004</v>
      </c>
      <c r="D1686" t="s">
        <v>3838</v>
      </c>
      <c r="E1686" t="s">
        <v>5536</v>
      </c>
      <c r="F1686" t="s">
        <v>1646</v>
      </c>
    </row>
    <row r="1687" spans="1:6" x14ac:dyDescent="0.3">
      <c r="A1687" s="58" t="s">
        <v>1647</v>
      </c>
      <c r="B1687" t="s">
        <v>5394</v>
      </c>
      <c r="C1687" t="s">
        <v>5004</v>
      </c>
      <c r="D1687" t="s">
        <v>3839</v>
      </c>
      <c r="E1687" t="s">
        <v>5536</v>
      </c>
      <c r="F1687" t="s">
        <v>1647</v>
      </c>
    </row>
    <row r="1688" spans="1:6" x14ac:dyDescent="0.3">
      <c r="A1688" s="58" t="s">
        <v>1648</v>
      </c>
      <c r="B1688" t="s">
        <v>5394</v>
      </c>
      <c r="C1688" t="s">
        <v>5004</v>
      </c>
      <c r="D1688" t="s">
        <v>3840</v>
      </c>
      <c r="E1688" t="s">
        <v>5537</v>
      </c>
      <c r="F1688" t="s">
        <v>1648</v>
      </c>
    </row>
    <row r="1689" spans="1:6" x14ac:dyDescent="0.3">
      <c r="A1689" s="58" t="s">
        <v>1649</v>
      </c>
      <c r="B1689" t="s">
        <v>5394</v>
      </c>
      <c r="C1689" t="s">
        <v>5004</v>
      </c>
      <c r="D1689" t="s">
        <v>3841</v>
      </c>
      <c r="E1689" t="s">
        <v>5537</v>
      </c>
      <c r="F1689" t="s">
        <v>1649</v>
      </c>
    </row>
    <row r="1690" spans="1:6" x14ac:dyDescent="0.3">
      <c r="A1690" s="58" t="s">
        <v>1650</v>
      </c>
      <c r="B1690" t="s">
        <v>5394</v>
      </c>
      <c r="C1690" t="s">
        <v>5004</v>
      </c>
      <c r="D1690" t="s">
        <v>3842</v>
      </c>
      <c r="E1690" t="s">
        <v>5537</v>
      </c>
      <c r="F1690" t="s">
        <v>1650</v>
      </c>
    </row>
    <row r="1691" spans="1:6" x14ac:dyDescent="0.3">
      <c r="A1691" s="58" t="s">
        <v>1651</v>
      </c>
      <c r="B1691" t="s">
        <v>5394</v>
      </c>
      <c r="C1691" t="s">
        <v>5005</v>
      </c>
      <c r="D1691" t="s">
        <v>4710</v>
      </c>
      <c r="E1691" t="s">
        <v>5536</v>
      </c>
      <c r="F1691" t="s">
        <v>1651</v>
      </c>
    </row>
    <row r="1692" spans="1:6" x14ac:dyDescent="0.3">
      <c r="A1692" s="58" t="s">
        <v>1652</v>
      </c>
      <c r="B1692" t="s">
        <v>5394</v>
      </c>
      <c r="C1692" t="s">
        <v>5005</v>
      </c>
      <c r="D1692" t="s">
        <v>3843</v>
      </c>
      <c r="E1692" t="s">
        <v>5537</v>
      </c>
      <c r="F1692" t="s">
        <v>1652</v>
      </c>
    </row>
    <row r="1693" spans="1:6" x14ac:dyDescent="0.3">
      <c r="A1693" s="58" t="s">
        <v>1653</v>
      </c>
      <c r="B1693" t="s">
        <v>5394</v>
      </c>
      <c r="C1693" t="s">
        <v>5005</v>
      </c>
      <c r="D1693" t="s">
        <v>4711</v>
      </c>
      <c r="E1693" t="s">
        <v>5537</v>
      </c>
      <c r="F1693" t="s">
        <v>1653</v>
      </c>
    </row>
    <row r="1694" spans="1:6" x14ac:dyDescent="0.3">
      <c r="A1694" s="58" t="s">
        <v>1654</v>
      </c>
      <c r="B1694" t="s">
        <v>5394</v>
      </c>
      <c r="C1694" t="s">
        <v>5005</v>
      </c>
      <c r="D1694" t="s">
        <v>3844</v>
      </c>
      <c r="E1694" t="s">
        <v>5537</v>
      </c>
      <c r="F1694" t="s">
        <v>1654</v>
      </c>
    </row>
    <row r="1695" spans="1:6" x14ac:dyDescent="0.3">
      <c r="A1695" s="58" t="s">
        <v>1655</v>
      </c>
      <c r="B1695" t="s">
        <v>5394</v>
      </c>
      <c r="C1695" t="s">
        <v>5005</v>
      </c>
      <c r="D1695" t="s">
        <v>3845</v>
      </c>
      <c r="E1695" t="s">
        <v>5538</v>
      </c>
      <c r="F1695" t="s">
        <v>1655</v>
      </c>
    </row>
    <row r="1696" spans="1:6" x14ac:dyDescent="0.3">
      <c r="A1696" s="58" t="s">
        <v>1656</v>
      </c>
      <c r="B1696" t="s">
        <v>5394</v>
      </c>
      <c r="C1696" t="s">
        <v>5005</v>
      </c>
      <c r="D1696" t="s">
        <v>3846</v>
      </c>
      <c r="E1696" t="s">
        <v>5537</v>
      </c>
      <c r="F1696" t="s">
        <v>1656</v>
      </c>
    </row>
    <row r="1697" spans="1:6" x14ac:dyDescent="0.3">
      <c r="A1697" s="58" t="s">
        <v>1657</v>
      </c>
      <c r="B1697" t="s">
        <v>5394</v>
      </c>
      <c r="C1697" t="s">
        <v>4931</v>
      </c>
      <c r="D1697" t="s">
        <v>3847</v>
      </c>
      <c r="E1697" t="s">
        <v>5536</v>
      </c>
      <c r="F1697" t="s">
        <v>1657</v>
      </c>
    </row>
    <row r="1698" spans="1:6" x14ac:dyDescent="0.3">
      <c r="A1698" s="58" t="s">
        <v>1658</v>
      </c>
      <c r="B1698" t="s">
        <v>5394</v>
      </c>
      <c r="C1698" t="s">
        <v>4931</v>
      </c>
      <c r="D1698" t="s">
        <v>3848</v>
      </c>
      <c r="E1698" t="s">
        <v>5538</v>
      </c>
      <c r="F1698" t="s">
        <v>1658</v>
      </c>
    </row>
    <row r="1699" spans="1:6" x14ac:dyDescent="0.3">
      <c r="A1699" s="58" t="s">
        <v>1659</v>
      </c>
      <c r="B1699" t="s">
        <v>5394</v>
      </c>
      <c r="C1699" t="s">
        <v>4931</v>
      </c>
      <c r="D1699" t="s">
        <v>3849</v>
      </c>
      <c r="E1699" t="s">
        <v>5537</v>
      </c>
      <c r="F1699" t="s">
        <v>1659</v>
      </c>
    </row>
    <row r="1700" spans="1:6" x14ac:dyDescent="0.3">
      <c r="A1700" s="58" t="s">
        <v>1660</v>
      </c>
      <c r="B1700" t="s">
        <v>5394</v>
      </c>
      <c r="C1700" t="s">
        <v>4931</v>
      </c>
      <c r="D1700" t="s">
        <v>3850</v>
      </c>
      <c r="E1700" t="s">
        <v>5537</v>
      </c>
      <c r="F1700" t="s">
        <v>1660</v>
      </c>
    </row>
    <row r="1701" spans="1:6" x14ac:dyDescent="0.3">
      <c r="A1701" s="58" t="s">
        <v>1661</v>
      </c>
      <c r="B1701" t="s">
        <v>5394</v>
      </c>
      <c r="C1701" t="s">
        <v>4931</v>
      </c>
      <c r="D1701" t="s">
        <v>3851</v>
      </c>
      <c r="E1701" t="s">
        <v>5537</v>
      </c>
      <c r="F1701" t="s">
        <v>1661</v>
      </c>
    </row>
    <row r="1702" spans="1:6" x14ac:dyDescent="0.3">
      <c r="A1702" s="58" t="s">
        <v>1662</v>
      </c>
      <c r="B1702" t="s">
        <v>5394</v>
      </c>
      <c r="C1702" t="s">
        <v>5006</v>
      </c>
      <c r="D1702" t="s">
        <v>3852</v>
      </c>
      <c r="E1702" t="s">
        <v>5536</v>
      </c>
      <c r="F1702" t="s">
        <v>1662</v>
      </c>
    </row>
    <row r="1703" spans="1:6" x14ac:dyDescent="0.3">
      <c r="A1703" s="58" t="s">
        <v>5405</v>
      </c>
      <c r="B1703" t="s">
        <v>5394</v>
      </c>
      <c r="C1703" t="s">
        <v>5006</v>
      </c>
      <c r="D1703" t="s">
        <v>3853</v>
      </c>
      <c r="E1703" t="s">
        <v>5538</v>
      </c>
      <c r="F1703" t="s">
        <v>5405</v>
      </c>
    </row>
    <row r="1704" spans="1:6" x14ac:dyDescent="0.3">
      <c r="A1704" s="58" t="s">
        <v>1663</v>
      </c>
      <c r="B1704" t="s">
        <v>5394</v>
      </c>
      <c r="C1704" t="s">
        <v>5006</v>
      </c>
      <c r="D1704" t="s">
        <v>4712</v>
      </c>
      <c r="E1704" t="s">
        <v>5536</v>
      </c>
      <c r="F1704" t="s">
        <v>1663</v>
      </c>
    </row>
    <row r="1705" spans="1:6" x14ac:dyDescent="0.3">
      <c r="A1705" s="58" t="s">
        <v>5452</v>
      </c>
      <c r="B1705" t="s">
        <v>5394</v>
      </c>
      <c r="C1705" t="s">
        <v>5006</v>
      </c>
      <c r="D1705" t="s">
        <v>3854</v>
      </c>
      <c r="E1705" t="s">
        <v>5538</v>
      </c>
      <c r="F1705" t="s">
        <v>5452</v>
      </c>
    </row>
    <row r="1706" spans="1:6" x14ac:dyDescent="0.3">
      <c r="A1706" s="58" t="s">
        <v>1664</v>
      </c>
      <c r="B1706" t="s">
        <v>5394</v>
      </c>
      <c r="C1706" t="s">
        <v>5006</v>
      </c>
      <c r="D1706" t="s">
        <v>3855</v>
      </c>
      <c r="E1706" t="s">
        <v>5537</v>
      </c>
      <c r="F1706" t="s">
        <v>1664</v>
      </c>
    </row>
    <row r="1707" spans="1:6" x14ac:dyDescent="0.3">
      <c r="A1707" s="58" t="s">
        <v>1665</v>
      </c>
      <c r="B1707" t="s">
        <v>5394</v>
      </c>
      <c r="C1707" t="s">
        <v>5006</v>
      </c>
      <c r="D1707" t="s">
        <v>3856</v>
      </c>
      <c r="E1707" t="s">
        <v>5537</v>
      </c>
      <c r="F1707" t="s">
        <v>1665</v>
      </c>
    </row>
    <row r="1708" spans="1:6" x14ac:dyDescent="0.3">
      <c r="A1708" s="58" t="s">
        <v>1666</v>
      </c>
      <c r="B1708" t="s">
        <v>5394</v>
      </c>
      <c r="C1708" t="s">
        <v>5006</v>
      </c>
      <c r="D1708" t="s">
        <v>4713</v>
      </c>
      <c r="E1708" t="s">
        <v>5537</v>
      </c>
      <c r="F1708" t="s">
        <v>1666</v>
      </c>
    </row>
    <row r="1709" spans="1:6" x14ac:dyDescent="0.3">
      <c r="A1709" s="58" t="s">
        <v>1667</v>
      </c>
      <c r="B1709" t="s">
        <v>5394</v>
      </c>
      <c r="C1709" t="s">
        <v>5007</v>
      </c>
      <c r="D1709" t="s">
        <v>4714</v>
      </c>
      <c r="E1709" t="s">
        <v>5536</v>
      </c>
      <c r="F1709" t="s">
        <v>1667</v>
      </c>
    </row>
    <row r="1710" spans="1:6" x14ac:dyDescent="0.3">
      <c r="A1710" s="58" t="s">
        <v>1668</v>
      </c>
      <c r="B1710" t="s">
        <v>5394</v>
      </c>
      <c r="C1710" t="s">
        <v>5007</v>
      </c>
      <c r="D1710" t="s">
        <v>3857</v>
      </c>
      <c r="E1710" t="s">
        <v>5537</v>
      </c>
      <c r="F1710" t="s">
        <v>1668</v>
      </c>
    </row>
    <row r="1711" spans="1:6" x14ac:dyDescent="0.3">
      <c r="A1711" s="58" t="s">
        <v>1669</v>
      </c>
      <c r="B1711" t="s">
        <v>5394</v>
      </c>
      <c r="C1711" t="s">
        <v>5007</v>
      </c>
      <c r="D1711" t="s">
        <v>3858</v>
      </c>
      <c r="E1711" t="s">
        <v>5537</v>
      </c>
      <c r="F1711" t="s">
        <v>1669</v>
      </c>
    </row>
    <row r="1712" spans="1:6" x14ac:dyDescent="0.3">
      <c r="A1712" s="58" t="s">
        <v>1670</v>
      </c>
      <c r="B1712" t="s">
        <v>5394</v>
      </c>
      <c r="C1712" t="s">
        <v>5007</v>
      </c>
      <c r="D1712" t="s">
        <v>3859</v>
      </c>
      <c r="E1712" t="s">
        <v>5537</v>
      </c>
      <c r="F1712" t="s">
        <v>1670</v>
      </c>
    </row>
    <row r="1713" spans="1:6" x14ac:dyDescent="0.3">
      <c r="A1713" s="58" t="s">
        <v>1671</v>
      </c>
      <c r="B1713" t="s">
        <v>5394</v>
      </c>
      <c r="C1713" t="s">
        <v>5007</v>
      </c>
      <c r="D1713" t="s">
        <v>3860</v>
      </c>
      <c r="E1713" t="s">
        <v>5538</v>
      </c>
      <c r="F1713" t="s">
        <v>1671</v>
      </c>
    </row>
    <row r="1714" spans="1:6" x14ac:dyDescent="0.3">
      <c r="A1714" s="58" t="s">
        <v>1672</v>
      </c>
      <c r="B1714" t="s">
        <v>5394</v>
      </c>
      <c r="C1714" t="s">
        <v>5007</v>
      </c>
      <c r="D1714" t="s">
        <v>3861</v>
      </c>
      <c r="E1714" t="s">
        <v>5538</v>
      </c>
      <c r="F1714" t="s">
        <v>5523</v>
      </c>
    </row>
    <row r="1715" spans="1:6" x14ac:dyDescent="0.3">
      <c r="A1715" s="58" t="s">
        <v>1673</v>
      </c>
      <c r="B1715" t="s">
        <v>5394</v>
      </c>
      <c r="C1715" t="s">
        <v>5007</v>
      </c>
      <c r="D1715" t="s">
        <v>3862</v>
      </c>
      <c r="E1715" t="s">
        <v>5537</v>
      </c>
      <c r="F1715" t="s">
        <v>1673</v>
      </c>
    </row>
    <row r="1716" spans="1:6" x14ac:dyDescent="0.3">
      <c r="A1716" s="58" t="s">
        <v>1674</v>
      </c>
      <c r="B1716" t="s">
        <v>5394</v>
      </c>
      <c r="C1716" t="s">
        <v>5007</v>
      </c>
      <c r="D1716" t="s">
        <v>5540</v>
      </c>
      <c r="E1716" t="s">
        <v>5537</v>
      </c>
      <c r="F1716" t="s">
        <v>1674</v>
      </c>
    </row>
    <row r="1717" spans="1:6" x14ac:dyDescent="0.3">
      <c r="A1717" s="58" t="s">
        <v>1675</v>
      </c>
      <c r="B1717" t="s">
        <v>5394</v>
      </c>
      <c r="C1717" t="s">
        <v>5007</v>
      </c>
      <c r="D1717" t="s">
        <v>3864</v>
      </c>
      <c r="E1717" t="s">
        <v>5537</v>
      </c>
      <c r="F1717" t="s">
        <v>1675</v>
      </c>
    </row>
    <row r="1718" spans="1:6" x14ac:dyDescent="0.3">
      <c r="A1718" s="58" t="s">
        <v>1676</v>
      </c>
      <c r="B1718" t="s">
        <v>5394</v>
      </c>
      <c r="C1718" t="s">
        <v>5007</v>
      </c>
      <c r="D1718" t="s">
        <v>4715</v>
      </c>
      <c r="E1718" t="s">
        <v>5537</v>
      </c>
      <c r="F1718" t="s">
        <v>1676</v>
      </c>
    </row>
    <row r="1719" spans="1:6" x14ac:dyDescent="0.3">
      <c r="A1719" s="58" t="s">
        <v>5177</v>
      </c>
      <c r="B1719" t="s">
        <v>5394</v>
      </c>
      <c r="C1719" t="s">
        <v>5008</v>
      </c>
      <c r="D1719" t="s">
        <v>3865</v>
      </c>
      <c r="E1719" t="s">
        <v>5538</v>
      </c>
      <c r="F1719" t="s">
        <v>5177</v>
      </c>
    </row>
    <row r="1720" spans="1:6" x14ac:dyDescent="0.3">
      <c r="A1720" s="58" t="s">
        <v>1677</v>
      </c>
      <c r="B1720" t="s">
        <v>5394</v>
      </c>
      <c r="C1720" t="s">
        <v>5008</v>
      </c>
      <c r="D1720" t="s">
        <v>4716</v>
      </c>
      <c r="E1720" t="s">
        <v>5536</v>
      </c>
      <c r="F1720" t="s">
        <v>1677</v>
      </c>
    </row>
    <row r="1721" spans="1:6" x14ac:dyDescent="0.3">
      <c r="A1721" s="58" t="s">
        <v>1678</v>
      </c>
      <c r="B1721" t="s">
        <v>5394</v>
      </c>
      <c r="C1721" t="s">
        <v>5008</v>
      </c>
      <c r="D1721" t="s">
        <v>4717</v>
      </c>
      <c r="E1721" t="s">
        <v>5536</v>
      </c>
      <c r="F1721" t="s">
        <v>1678</v>
      </c>
    </row>
    <row r="1722" spans="1:6" x14ac:dyDescent="0.3">
      <c r="A1722" s="58" t="s">
        <v>1679</v>
      </c>
      <c r="B1722" t="s">
        <v>5394</v>
      </c>
      <c r="C1722" t="s">
        <v>5008</v>
      </c>
      <c r="D1722" t="s">
        <v>3866</v>
      </c>
      <c r="E1722" t="s">
        <v>5537</v>
      </c>
      <c r="F1722" t="s">
        <v>1679</v>
      </c>
    </row>
    <row r="1723" spans="1:6" x14ac:dyDescent="0.3">
      <c r="A1723" s="58" t="s">
        <v>1680</v>
      </c>
      <c r="B1723" t="s">
        <v>5394</v>
      </c>
      <c r="C1723" t="s">
        <v>5008</v>
      </c>
      <c r="D1723" t="s">
        <v>3867</v>
      </c>
      <c r="E1723" t="s">
        <v>5537</v>
      </c>
      <c r="F1723" t="s">
        <v>1680</v>
      </c>
    </row>
    <row r="1724" spans="1:6" x14ac:dyDescent="0.3">
      <c r="A1724" s="58" t="s">
        <v>1681</v>
      </c>
      <c r="B1724" t="s">
        <v>5394</v>
      </c>
      <c r="C1724" t="s">
        <v>5008</v>
      </c>
      <c r="D1724" t="s">
        <v>3868</v>
      </c>
      <c r="E1724" t="s">
        <v>5537</v>
      </c>
      <c r="F1724" t="s">
        <v>1681</v>
      </c>
    </row>
    <row r="1725" spans="1:6" x14ac:dyDescent="0.3">
      <c r="A1725" s="58" t="s">
        <v>1682</v>
      </c>
      <c r="B1725" t="s">
        <v>5394</v>
      </c>
      <c r="C1725" t="s">
        <v>5008</v>
      </c>
      <c r="D1725" t="s">
        <v>3869</v>
      </c>
      <c r="E1725" t="s">
        <v>5537</v>
      </c>
      <c r="F1725" t="s">
        <v>1682</v>
      </c>
    </row>
    <row r="1726" spans="1:6" x14ac:dyDescent="0.3">
      <c r="A1726" s="58" t="s">
        <v>1683</v>
      </c>
      <c r="B1726" t="s">
        <v>5394</v>
      </c>
      <c r="C1726" t="s">
        <v>5008</v>
      </c>
      <c r="D1726" t="s">
        <v>2569</v>
      </c>
      <c r="E1726" t="s">
        <v>5537</v>
      </c>
      <c r="F1726" t="s">
        <v>1683</v>
      </c>
    </row>
    <row r="1727" spans="1:6" x14ac:dyDescent="0.3">
      <c r="A1727" s="58" t="s">
        <v>1684</v>
      </c>
      <c r="B1727" t="s">
        <v>5394</v>
      </c>
      <c r="C1727" t="s">
        <v>5008</v>
      </c>
      <c r="D1727" t="s">
        <v>3870</v>
      </c>
      <c r="E1727" t="s">
        <v>5538</v>
      </c>
      <c r="F1727" t="s">
        <v>1684</v>
      </c>
    </row>
    <row r="1728" spans="1:6" x14ac:dyDescent="0.3">
      <c r="A1728" s="58" t="s">
        <v>1685</v>
      </c>
      <c r="B1728" t="s">
        <v>5394</v>
      </c>
      <c r="C1728" t="s">
        <v>5008</v>
      </c>
      <c r="D1728" t="s">
        <v>4718</v>
      </c>
      <c r="E1728" t="s">
        <v>5537</v>
      </c>
      <c r="F1728" t="s">
        <v>1685</v>
      </c>
    </row>
    <row r="1729" spans="1:6" x14ac:dyDescent="0.3">
      <c r="A1729" s="58" t="s">
        <v>1686</v>
      </c>
      <c r="B1729" t="s">
        <v>5394</v>
      </c>
      <c r="C1729" t="s">
        <v>5008</v>
      </c>
      <c r="D1729" t="s">
        <v>3871</v>
      </c>
      <c r="E1729" t="s">
        <v>5537</v>
      </c>
      <c r="F1729" t="s">
        <v>1686</v>
      </c>
    </row>
    <row r="1730" spans="1:6" x14ac:dyDescent="0.3">
      <c r="A1730" s="58" t="s">
        <v>1687</v>
      </c>
      <c r="B1730" t="s">
        <v>5394</v>
      </c>
      <c r="C1730" t="s">
        <v>5008</v>
      </c>
      <c r="D1730" t="s">
        <v>4719</v>
      </c>
      <c r="E1730" t="s">
        <v>5537</v>
      </c>
      <c r="F1730" t="s">
        <v>1687</v>
      </c>
    </row>
    <row r="1731" spans="1:6" x14ac:dyDescent="0.3">
      <c r="A1731" s="58" t="s">
        <v>1688</v>
      </c>
      <c r="B1731" t="s">
        <v>5394</v>
      </c>
      <c r="C1731" t="s">
        <v>5008</v>
      </c>
      <c r="D1731" t="s">
        <v>3872</v>
      </c>
      <c r="E1731" t="s">
        <v>5537</v>
      </c>
      <c r="F1731" t="s">
        <v>1688</v>
      </c>
    </row>
    <row r="1732" spans="1:6" x14ac:dyDescent="0.3">
      <c r="A1732" s="58" t="s">
        <v>1689</v>
      </c>
      <c r="B1732" t="s">
        <v>5394</v>
      </c>
      <c r="C1732" t="s">
        <v>5009</v>
      </c>
      <c r="D1732" t="s">
        <v>4720</v>
      </c>
      <c r="E1732" t="s">
        <v>5536</v>
      </c>
      <c r="F1732" t="s">
        <v>1689</v>
      </c>
    </row>
    <row r="1733" spans="1:6" x14ac:dyDescent="0.3">
      <c r="A1733" s="58" t="s">
        <v>1690</v>
      </c>
      <c r="B1733" t="s">
        <v>5394</v>
      </c>
      <c r="C1733" t="s">
        <v>5009</v>
      </c>
      <c r="D1733" t="s">
        <v>3873</v>
      </c>
      <c r="E1733" t="s">
        <v>5538</v>
      </c>
      <c r="F1733" t="s">
        <v>1690</v>
      </c>
    </row>
    <row r="1734" spans="1:6" x14ac:dyDescent="0.3">
      <c r="A1734" s="58" t="s">
        <v>1691</v>
      </c>
      <c r="B1734" t="s">
        <v>5394</v>
      </c>
      <c r="C1734" t="s">
        <v>5009</v>
      </c>
      <c r="D1734" t="s">
        <v>3874</v>
      </c>
      <c r="E1734" t="s">
        <v>5537</v>
      </c>
      <c r="F1734" t="s">
        <v>1691</v>
      </c>
    </row>
    <row r="1735" spans="1:6" x14ac:dyDescent="0.3">
      <c r="A1735" s="58" t="s">
        <v>1692</v>
      </c>
      <c r="B1735" t="s">
        <v>5394</v>
      </c>
      <c r="C1735" t="s">
        <v>5009</v>
      </c>
      <c r="D1735" t="s">
        <v>3875</v>
      </c>
      <c r="E1735" t="s">
        <v>5538</v>
      </c>
      <c r="F1735" t="s">
        <v>1692</v>
      </c>
    </row>
    <row r="1736" spans="1:6" x14ac:dyDescent="0.3">
      <c r="A1736" s="58" t="s">
        <v>1693</v>
      </c>
      <c r="B1736" t="s">
        <v>5394</v>
      </c>
      <c r="C1736" t="s">
        <v>5009</v>
      </c>
      <c r="D1736" t="s">
        <v>3876</v>
      </c>
      <c r="E1736" t="s">
        <v>5537</v>
      </c>
      <c r="F1736" t="s">
        <v>1693</v>
      </c>
    </row>
    <row r="1737" spans="1:6" x14ac:dyDescent="0.3">
      <c r="A1737" s="58" t="s">
        <v>1694</v>
      </c>
      <c r="B1737" t="s">
        <v>5394</v>
      </c>
      <c r="C1737" t="s">
        <v>5009</v>
      </c>
      <c r="D1737" t="s">
        <v>4721</v>
      </c>
      <c r="E1737" t="s">
        <v>5537</v>
      </c>
      <c r="F1737" t="s">
        <v>1694</v>
      </c>
    </row>
    <row r="1738" spans="1:6" x14ac:dyDescent="0.3">
      <c r="A1738" s="58" t="s">
        <v>1695</v>
      </c>
      <c r="B1738" t="s">
        <v>5394</v>
      </c>
      <c r="C1738" t="s">
        <v>5010</v>
      </c>
      <c r="D1738" t="s">
        <v>3877</v>
      </c>
      <c r="E1738" t="s">
        <v>5536</v>
      </c>
      <c r="F1738" t="s">
        <v>1695</v>
      </c>
    </row>
    <row r="1739" spans="1:6" x14ac:dyDescent="0.3">
      <c r="A1739" s="58" t="s">
        <v>1696</v>
      </c>
      <c r="B1739" t="s">
        <v>5394</v>
      </c>
      <c r="C1739" t="s">
        <v>5010</v>
      </c>
      <c r="D1739" t="s">
        <v>3878</v>
      </c>
      <c r="E1739" t="s">
        <v>5536</v>
      </c>
      <c r="F1739" t="s">
        <v>1696</v>
      </c>
    </row>
    <row r="1740" spans="1:6" x14ac:dyDescent="0.3">
      <c r="A1740" s="58" t="s">
        <v>1697</v>
      </c>
      <c r="B1740" t="s">
        <v>5394</v>
      </c>
      <c r="C1740" t="s">
        <v>5010</v>
      </c>
      <c r="D1740" t="s">
        <v>4722</v>
      </c>
      <c r="E1740" t="s">
        <v>5536</v>
      </c>
      <c r="F1740" t="s">
        <v>1697</v>
      </c>
    </row>
    <row r="1741" spans="1:6" x14ac:dyDescent="0.3">
      <c r="A1741" s="58" t="s">
        <v>1698</v>
      </c>
      <c r="B1741" t="s">
        <v>5394</v>
      </c>
      <c r="C1741" t="s">
        <v>5010</v>
      </c>
      <c r="D1741" t="s">
        <v>3879</v>
      </c>
      <c r="E1741" t="s">
        <v>5537</v>
      </c>
      <c r="F1741" t="s">
        <v>1698</v>
      </c>
    </row>
    <row r="1742" spans="1:6" x14ac:dyDescent="0.3">
      <c r="A1742" s="58" t="s">
        <v>1699</v>
      </c>
      <c r="B1742" t="s">
        <v>5394</v>
      </c>
      <c r="C1742" t="s">
        <v>5010</v>
      </c>
      <c r="D1742" t="s">
        <v>3880</v>
      </c>
      <c r="E1742" t="s">
        <v>5537</v>
      </c>
      <c r="F1742" t="s">
        <v>1699</v>
      </c>
    </row>
    <row r="1743" spans="1:6" x14ac:dyDescent="0.3">
      <c r="A1743" s="58" t="s">
        <v>1700</v>
      </c>
      <c r="B1743" t="s">
        <v>5394</v>
      </c>
      <c r="C1743" t="s">
        <v>5010</v>
      </c>
      <c r="D1743" t="s">
        <v>3881</v>
      </c>
      <c r="E1743" t="s">
        <v>5537</v>
      </c>
      <c r="F1743" t="s">
        <v>1700</v>
      </c>
    </row>
    <row r="1744" spans="1:6" x14ac:dyDescent="0.3">
      <c r="A1744" s="58" t="s">
        <v>1701</v>
      </c>
      <c r="B1744" t="s">
        <v>5394</v>
      </c>
      <c r="C1744" t="s">
        <v>5010</v>
      </c>
      <c r="D1744" t="s">
        <v>3882</v>
      </c>
      <c r="E1744" t="s">
        <v>5537</v>
      </c>
      <c r="F1744" t="s">
        <v>1701</v>
      </c>
    </row>
    <row r="1745" spans="1:6" x14ac:dyDescent="0.3">
      <c r="A1745" s="58" t="s">
        <v>1702</v>
      </c>
      <c r="B1745" t="s">
        <v>5394</v>
      </c>
      <c r="C1745" t="s">
        <v>5010</v>
      </c>
      <c r="D1745" t="s">
        <v>3883</v>
      </c>
      <c r="E1745" t="s">
        <v>5537</v>
      </c>
      <c r="F1745" t="s">
        <v>1702</v>
      </c>
    </row>
    <row r="1746" spans="1:6" x14ac:dyDescent="0.3">
      <c r="A1746" s="58" t="s">
        <v>1703</v>
      </c>
      <c r="B1746" t="s">
        <v>5394</v>
      </c>
      <c r="C1746" t="s">
        <v>5010</v>
      </c>
      <c r="D1746" t="s">
        <v>3884</v>
      </c>
      <c r="E1746" t="s">
        <v>5537</v>
      </c>
      <c r="F1746" t="s">
        <v>1703</v>
      </c>
    </row>
    <row r="1747" spans="1:6" x14ac:dyDescent="0.3">
      <c r="A1747" s="58" t="s">
        <v>1704</v>
      </c>
      <c r="B1747" t="s">
        <v>5394</v>
      </c>
      <c r="C1747" t="s">
        <v>5010</v>
      </c>
      <c r="D1747" t="s">
        <v>4723</v>
      </c>
      <c r="E1747" t="s">
        <v>5537</v>
      </c>
      <c r="F1747" t="s">
        <v>1704</v>
      </c>
    </row>
    <row r="1748" spans="1:6" x14ac:dyDescent="0.3">
      <c r="A1748" s="58" t="s">
        <v>1705</v>
      </c>
      <c r="B1748" t="s">
        <v>5394</v>
      </c>
      <c r="C1748" t="s">
        <v>5011</v>
      </c>
      <c r="D1748" t="s">
        <v>3885</v>
      </c>
      <c r="E1748" t="s">
        <v>5538</v>
      </c>
      <c r="F1748" t="s">
        <v>1705</v>
      </c>
    </row>
    <row r="1749" spans="1:6" x14ac:dyDescent="0.3">
      <c r="A1749" s="58" t="s">
        <v>1706</v>
      </c>
      <c r="B1749" t="s">
        <v>5394</v>
      </c>
      <c r="C1749" t="s">
        <v>5011</v>
      </c>
      <c r="D1749" t="s">
        <v>3886</v>
      </c>
      <c r="E1749" t="s">
        <v>5537</v>
      </c>
      <c r="F1749" t="s">
        <v>1706</v>
      </c>
    </row>
    <row r="1750" spans="1:6" x14ac:dyDescent="0.3">
      <c r="A1750" s="58" t="s">
        <v>1707</v>
      </c>
      <c r="B1750" t="s">
        <v>5394</v>
      </c>
      <c r="C1750" t="s">
        <v>5011</v>
      </c>
      <c r="D1750" t="s">
        <v>3887</v>
      </c>
      <c r="E1750" t="s">
        <v>5537</v>
      </c>
      <c r="F1750" t="s">
        <v>1707</v>
      </c>
    </row>
    <row r="1751" spans="1:6" x14ac:dyDescent="0.3">
      <c r="A1751" s="58" t="s">
        <v>1708</v>
      </c>
      <c r="B1751" t="s">
        <v>5394</v>
      </c>
      <c r="C1751" t="s">
        <v>5011</v>
      </c>
      <c r="D1751" t="s">
        <v>3888</v>
      </c>
      <c r="E1751" t="s">
        <v>5537</v>
      </c>
      <c r="F1751" t="s">
        <v>1708</v>
      </c>
    </row>
    <row r="1752" spans="1:6" x14ac:dyDescent="0.3">
      <c r="A1752" s="58" t="s">
        <v>1709</v>
      </c>
      <c r="B1752" t="s">
        <v>5394</v>
      </c>
      <c r="C1752" t="s">
        <v>5011</v>
      </c>
      <c r="D1752" t="s">
        <v>3889</v>
      </c>
      <c r="E1752" t="s">
        <v>5538</v>
      </c>
      <c r="F1752" t="s">
        <v>1709</v>
      </c>
    </row>
    <row r="1753" spans="1:6" x14ac:dyDescent="0.3">
      <c r="A1753" s="58" t="s">
        <v>1710</v>
      </c>
      <c r="B1753" t="s">
        <v>5394</v>
      </c>
      <c r="C1753" t="s">
        <v>3890</v>
      </c>
      <c r="D1753" t="s">
        <v>3890</v>
      </c>
      <c r="E1753" t="s">
        <v>5536</v>
      </c>
      <c r="F1753" t="s">
        <v>1710</v>
      </c>
    </row>
    <row r="1754" spans="1:6" x14ac:dyDescent="0.3">
      <c r="A1754" s="58" t="s">
        <v>1711</v>
      </c>
      <c r="B1754" t="s">
        <v>5394</v>
      </c>
      <c r="C1754" t="s">
        <v>3891</v>
      </c>
      <c r="D1754" t="s">
        <v>3891</v>
      </c>
      <c r="E1754" t="s">
        <v>5536</v>
      </c>
      <c r="F1754" t="s">
        <v>1711</v>
      </c>
    </row>
    <row r="1755" spans="1:6" x14ac:dyDescent="0.3">
      <c r="A1755" s="58" t="s">
        <v>1712</v>
      </c>
      <c r="B1755" t="s">
        <v>5394</v>
      </c>
      <c r="C1755" t="s">
        <v>3863</v>
      </c>
      <c r="D1755" t="s">
        <v>3863</v>
      </c>
      <c r="E1755" t="s">
        <v>5536</v>
      </c>
      <c r="F1755" t="s">
        <v>1712</v>
      </c>
    </row>
    <row r="1756" spans="1:6" x14ac:dyDescent="0.3">
      <c r="A1756" s="58" t="s">
        <v>1713</v>
      </c>
      <c r="B1756" t="s">
        <v>5394</v>
      </c>
      <c r="C1756" t="s">
        <v>3892</v>
      </c>
      <c r="D1756" t="s">
        <v>3892</v>
      </c>
      <c r="E1756" t="s">
        <v>5536</v>
      </c>
      <c r="F1756" t="s">
        <v>1713</v>
      </c>
    </row>
    <row r="1757" spans="1:6" x14ac:dyDescent="0.3">
      <c r="A1757" s="58" t="s">
        <v>1714</v>
      </c>
      <c r="B1757" t="s">
        <v>5393</v>
      </c>
      <c r="C1757" t="s">
        <v>5012</v>
      </c>
      <c r="D1757" t="s">
        <v>3893</v>
      </c>
      <c r="E1757" t="s">
        <v>5536</v>
      </c>
      <c r="F1757" t="s">
        <v>1714</v>
      </c>
    </row>
    <row r="1758" spans="1:6" x14ac:dyDescent="0.3">
      <c r="A1758" s="58" t="s">
        <v>1715</v>
      </c>
      <c r="B1758" t="s">
        <v>5393</v>
      </c>
      <c r="C1758" t="s">
        <v>5012</v>
      </c>
      <c r="D1758" t="s">
        <v>3894</v>
      </c>
      <c r="E1758" t="s">
        <v>5536</v>
      </c>
      <c r="F1758" t="s">
        <v>1715</v>
      </c>
    </row>
    <row r="1759" spans="1:6" x14ac:dyDescent="0.3">
      <c r="A1759" s="58" t="s">
        <v>1716</v>
      </c>
      <c r="B1759" t="s">
        <v>5393</v>
      </c>
      <c r="C1759" t="s">
        <v>5012</v>
      </c>
      <c r="D1759" t="s">
        <v>3895</v>
      </c>
      <c r="E1759" t="s">
        <v>5536</v>
      </c>
      <c r="F1759" t="s">
        <v>1716</v>
      </c>
    </row>
    <row r="1760" spans="1:6" x14ac:dyDescent="0.3">
      <c r="A1760" s="58" t="s">
        <v>1717</v>
      </c>
      <c r="B1760" t="s">
        <v>5393</v>
      </c>
      <c r="C1760" t="s">
        <v>5012</v>
      </c>
      <c r="D1760" t="s">
        <v>2603</v>
      </c>
      <c r="E1760" t="s">
        <v>5537</v>
      </c>
      <c r="F1760" t="s">
        <v>1717</v>
      </c>
    </row>
    <row r="1761" spans="1:6" x14ac:dyDescent="0.3">
      <c r="A1761" s="58" t="s">
        <v>1718</v>
      </c>
      <c r="B1761" t="s">
        <v>5393</v>
      </c>
      <c r="C1761" t="s">
        <v>5012</v>
      </c>
      <c r="D1761" t="s">
        <v>3896</v>
      </c>
      <c r="E1761" t="s">
        <v>5537</v>
      </c>
      <c r="F1761" t="s">
        <v>1718</v>
      </c>
    </row>
    <row r="1762" spans="1:6" x14ac:dyDescent="0.3">
      <c r="A1762" s="58" t="s">
        <v>1719</v>
      </c>
      <c r="B1762" t="s">
        <v>5393</v>
      </c>
      <c r="C1762" t="s">
        <v>5012</v>
      </c>
      <c r="D1762" t="s">
        <v>3897</v>
      </c>
      <c r="E1762" t="s">
        <v>5537</v>
      </c>
      <c r="F1762" t="s">
        <v>1719</v>
      </c>
    </row>
    <row r="1763" spans="1:6" x14ac:dyDescent="0.3">
      <c r="A1763" s="58" t="s">
        <v>1720</v>
      </c>
      <c r="B1763" t="s">
        <v>5393</v>
      </c>
      <c r="C1763" t="s">
        <v>5012</v>
      </c>
      <c r="D1763" t="s">
        <v>3898</v>
      </c>
      <c r="E1763" t="s">
        <v>5538</v>
      </c>
      <c r="F1763" t="s">
        <v>1720</v>
      </c>
    </row>
    <row r="1764" spans="1:6" x14ac:dyDescent="0.3">
      <c r="A1764" s="58" t="s">
        <v>1721</v>
      </c>
      <c r="B1764" t="s">
        <v>5393</v>
      </c>
      <c r="C1764" t="s">
        <v>5012</v>
      </c>
      <c r="D1764" t="s">
        <v>3899</v>
      </c>
      <c r="E1764" t="s">
        <v>5536</v>
      </c>
      <c r="F1764" t="s">
        <v>1721</v>
      </c>
    </row>
    <row r="1765" spans="1:6" x14ac:dyDescent="0.3">
      <c r="A1765" s="58" t="s">
        <v>1722</v>
      </c>
      <c r="B1765" t="s">
        <v>5393</v>
      </c>
      <c r="C1765" t="s">
        <v>4985</v>
      </c>
      <c r="D1765" t="s">
        <v>3900</v>
      </c>
      <c r="E1765" t="s">
        <v>5536</v>
      </c>
      <c r="F1765" t="s">
        <v>1722</v>
      </c>
    </row>
    <row r="1766" spans="1:6" x14ac:dyDescent="0.3">
      <c r="A1766" s="58" t="s">
        <v>1723</v>
      </c>
      <c r="B1766" t="s">
        <v>5393</v>
      </c>
      <c r="C1766" t="s">
        <v>4985</v>
      </c>
      <c r="D1766" t="s">
        <v>3901</v>
      </c>
      <c r="E1766" t="s">
        <v>5537</v>
      </c>
      <c r="F1766" t="s">
        <v>1723</v>
      </c>
    </row>
    <row r="1767" spans="1:6" x14ac:dyDescent="0.3">
      <c r="A1767" s="58" t="s">
        <v>1724</v>
      </c>
      <c r="B1767" t="s">
        <v>5393</v>
      </c>
      <c r="C1767" t="s">
        <v>4985</v>
      </c>
      <c r="D1767" t="s">
        <v>3902</v>
      </c>
      <c r="E1767" t="s">
        <v>5537</v>
      </c>
      <c r="F1767" t="s">
        <v>1724</v>
      </c>
    </row>
    <row r="1768" spans="1:6" x14ac:dyDescent="0.3">
      <c r="A1768" s="58" t="s">
        <v>1725</v>
      </c>
      <c r="B1768" t="s">
        <v>5393</v>
      </c>
      <c r="C1768" t="s">
        <v>4985</v>
      </c>
      <c r="D1768" t="s">
        <v>3903</v>
      </c>
      <c r="E1768" t="s">
        <v>5538</v>
      </c>
      <c r="F1768" t="s">
        <v>1725</v>
      </c>
    </row>
    <row r="1769" spans="1:6" x14ac:dyDescent="0.3">
      <c r="A1769" s="58" t="s">
        <v>1726</v>
      </c>
      <c r="B1769" t="s">
        <v>5393</v>
      </c>
      <c r="C1769" t="s">
        <v>4985</v>
      </c>
      <c r="D1769" t="s">
        <v>3904</v>
      </c>
      <c r="E1769" t="s">
        <v>5537</v>
      </c>
      <c r="F1769" t="s">
        <v>1726</v>
      </c>
    </row>
    <row r="1770" spans="1:6" x14ac:dyDescent="0.3">
      <c r="A1770" s="58" t="s">
        <v>1727</v>
      </c>
      <c r="B1770" t="s">
        <v>5393</v>
      </c>
      <c r="C1770" t="s">
        <v>4985</v>
      </c>
      <c r="D1770" t="s">
        <v>3905</v>
      </c>
      <c r="E1770" t="s">
        <v>5537</v>
      </c>
      <c r="F1770" t="s">
        <v>1727</v>
      </c>
    </row>
    <row r="1771" spans="1:6" x14ac:dyDescent="0.3">
      <c r="A1771" s="58" t="s">
        <v>1728</v>
      </c>
      <c r="B1771" t="s">
        <v>5393</v>
      </c>
      <c r="C1771" t="s">
        <v>4985</v>
      </c>
      <c r="D1771" t="s">
        <v>3906</v>
      </c>
      <c r="E1771" t="s">
        <v>5537</v>
      </c>
      <c r="F1771" t="s">
        <v>1728</v>
      </c>
    </row>
    <row r="1772" spans="1:6" x14ac:dyDescent="0.3">
      <c r="A1772" s="58" t="s">
        <v>1729</v>
      </c>
      <c r="B1772" t="s">
        <v>5393</v>
      </c>
      <c r="C1772" t="s">
        <v>4985</v>
      </c>
      <c r="D1772" t="s">
        <v>3907</v>
      </c>
      <c r="E1772" t="s">
        <v>5537</v>
      </c>
      <c r="F1772" t="s">
        <v>1729</v>
      </c>
    </row>
    <row r="1773" spans="1:6" x14ac:dyDescent="0.3">
      <c r="A1773" s="58" t="s">
        <v>1730</v>
      </c>
      <c r="B1773" t="s">
        <v>5393</v>
      </c>
      <c r="C1773" t="s">
        <v>4985</v>
      </c>
      <c r="D1773" t="s">
        <v>3908</v>
      </c>
      <c r="E1773" t="s">
        <v>5538</v>
      </c>
      <c r="F1773" t="s">
        <v>1730</v>
      </c>
    </row>
    <row r="1774" spans="1:6" x14ac:dyDescent="0.3">
      <c r="A1774" s="58" t="s">
        <v>1731</v>
      </c>
      <c r="B1774" t="s">
        <v>5393</v>
      </c>
      <c r="C1774" t="s">
        <v>4985</v>
      </c>
      <c r="D1774" t="s">
        <v>3909</v>
      </c>
      <c r="E1774" t="s">
        <v>5537</v>
      </c>
      <c r="F1774" t="s">
        <v>1731</v>
      </c>
    </row>
    <row r="1775" spans="1:6" x14ac:dyDescent="0.3">
      <c r="A1775" s="58" t="s">
        <v>1732</v>
      </c>
      <c r="B1775" t="s">
        <v>5393</v>
      </c>
      <c r="C1775" t="s">
        <v>5013</v>
      </c>
      <c r="D1775" t="s">
        <v>3910</v>
      </c>
      <c r="E1775" t="s">
        <v>5536</v>
      </c>
      <c r="F1775" t="s">
        <v>1732</v>
      </c>
    </row>
    <row r="1776" spans="1:6" x14ac:dyDescent="0.3">
      <c r="A1776" s="58" t="s">
        <v>1733</v>
      </c>
      <c r="B1776" t="s">
        <v>5393</v>
      </c>
      <c r="C1776" t="s">
        <v>5013</v>
      </c>
      <c r="D1776" t="s">
        <v>3911</v>
      </c>
      <c r="E1776" t="s">
        <v>5536</v>
      </c>
      <c r="F1776" t="s">
        <v>1733</v>
      </c>
    </row>
    <row r="1777" spans="1:6" x14ac:dyDescent="0.3">
      <c r="A1777" s="58" t="s">
        <v>1734</v>
      </c>
      <c r="B1777" t="s">
        <v>5393</v>
      </c>
      <c r="C1777" t="s">
        <v>5013</v>
      </c>
      <c r="D1777" t="s">
        <v>3912</v>
      </c>
      <c r="E1777" t="s">
        <v>5536</v>
      </c>
      <c r="F1777" t="s">
        <v>1734</v>
      </c>
    </row>
    <row r="1778" spans="1:6" x14ac:dyDescent="0.3">
      <c r="A1778" s="58" t="s">
        <v>1735</v>
      </c>
      <c r="B1778" t="s">
        <v>5393</v>
      </c>
      <c r="C1778" t="s">
        <v>5013</v>
      </c>
      <c r="D1778" t="s">
        <v>3913</v>
      </c>
      <c r="E1778" t="s">
        <v>5537</v>
      </c>
      <c r="F1778" t="s">
        <v>1735</v>
      </c>
    </row>
    <row r="1779" spans="1:6" x14ac:dyDescent="0.3">
      <c r="A1779" s="58" t="s">
        <v>1736</v>
      </c>
      <c r="B1779" t="s">
        <v>5393</v>
      </c>
      <c r="C1779" t="s">
        <v>5013</v>
      </c>
      <c r="D1779" t="s">
        <v>3914</v>
      </c>
      <c r="E1779" t="s">
        <v>5537</v>
      </c>
      <c r="F1779" t="s">
        <v>1736</v>
      </c>
    </row>
    <row r="1780" spans="1:6" x14ac:dyDescent="0.3">
      <c r="A1780" s="58" t="s">
        <v>1737</v>
      </c>
      <c r="B1780" t="s">
        <v>5393</v>
      </c>
      <c r="C1780" t="s">
        <v>5013</v>
      </c>
      <c r="D1780" t="s">
        <v>3594</v>
      </c>
      <c r="E1780" t="s">
        <v>5537</v>
      </c>
      <c r="F1780" t="s">
        <v>1737</v>
      </c>
    </row>
    <row r="1781" spans="1:6" x14ac:dyDescent="0.3">
      <c r="A1781" s="58" t="s">
        <v>1738</v>
      </c>
      <c r="B1781" t="s">
        <v>5393</v>
      </c>
      <c r="C1781" t="s">
        <v>5013</v>
      </c>
      <c r="D1781" t="s">
        <v>3915</v>
      </c>
      <c r="E1781" t="s">
        <v>5537</v>
      </c>
      <c r="F1781" t="s">
        <v>1738</v>
      </c>
    </row>
    <row r="1782" spans="1:6" x14ac:dyDescent="0.3">
      <c r="A1782" s="58" t="s">
        <v>1739</v>
      </c>
      <c r="B1782" t="s">
        <v>5393</v>
      </c>
      <c r="C1782" t="s">
        <v>5013</v>
      </c>
      <c r="D1782" t="s">
        <v>3916</v>
      </c>
      <c r="E1782" t="s">
        <v>5537</v>
      </c>
      <c r="F1782" t="s">
        <v>1739</v>
      </c>
    </row>
    <row r="1783" spans="1:6" x14ac:dyDescent="0.3">
      <c r="A1783" s="58" t="s">
        <v>1740</v>
      </c>
      <c r="B1783" t="s">
        <v>5393</v>
      </c>
      <c r="C1783" t="s">
        <v>5013</v>
      </c>
      <c r="D1783" t="s">
        <v>3917</v>
      </c>
      <c r="E1783" t="s">
        <v>5537</v>
      </c>
      <c r="F1783" t="s">
        <v>1740</v>
      </c>
    </row>
    <row r="1784" spans="1:6" x14ac:dyDescent="0.3">
      <c r="A1784" s="58" t="s">
        <v>1741</v>
      </c>
      <c r="B1784" t="s">
        <v>5393</v>
      </c>
      <c r="C1784" t="s">
        <v>5013</v>
      </c>
      <c r="D1784" t="s">
        <v>3918</v>
      </c>
      <c r="E1784" t="s">
        <v>5538</v>
      </c>
      <c r="F1784" t="s">
        <v>1741</v>
      </c>
    </row>
    <row r="1785" spans="1:6" x14ac:dyDescent="0.3">
      <c r="A1785" s="58" t="s">
        <v>1742</v>
      </c>
      <c r="B1785" t="s">
        <v>5393</v>
      </c>
      <c r="C1785" t="s">
        <v>5013</v>
      </c>
      <c r="D1785" t="s">
        <v>3919</v>
      </c>
      <c r="E1785" t="s">
        <v>5538</v>
      </c>
      <c r="F1785" t="s">
        <v>1742</v>
      </c>
    </row>
    <row r="1786" spans="1:6" x14ac:dyDescent="0.3">
      <c r="A1786" s="58" t="s">
        <v>1743</v>
      </c>
      <c r="B1786" t="s">
        <v>5393</v>
      </c>
      <c r="C1786" t="s">
        <v>5013</v>
      </c>
      <c r="D1786" t="s">
        <v>3920</v>
      </c>
      <c r="E1786" t="s">
        <v>5537</v>
      </c>
      <c r="F1786" t="s">
        <v>1743</v>
      </c>
    </row>
    <row r="1787" spans="1:6" x14ac:dyDescent="0.3">
      <c r="A1787" s="58" t="s">
        <v>1744</v>
      </c>
      <c r="B1787" t="s">
        <v>5393</v>
      </c>
      <c r="C1787" t="s">
        <v>5014</v>
      </c>
      <c r="D1787" t="s">
        <v>3921</v>
      </c>
      <c r="E1787" t="s">
        <v>5538</v>
      </c>
      <c r="F1787" t="s">
        <v>1744</v>
      </c>
    </row>
    <row r="1788" spans="1:6" x14ac:dyDescent="0.3">
      <c r="A1788" s="58" t="s">
        <v>1745</v>
      </c>
      <c r="B1788" t="s">
        <v>5393</v>
      </c>
      <c r="C1788" t="s">
        <v>5014</v>
      </c>
      <c r="D1788" t="s">
        <v>3922</v>
      </c>
      <c r="E1788" t="s">
        <v>5537</v>
      </c>
      <c r="F1788" t="s">
        <v>1745</v>
      </c>
    </row>
    <row r="1789" spans="1:6" x14ac:dyDescent="0.3">
      <c r="A1789" s="58" t="s">
        <v>1746</v>
      </c>
      <c r="B1789" t="s">
        <v>5393</v>
      </c>
      <c r="C1789" t="s">
        <v>5014</v>
      </c>
      <c r="D1789" t="s">
        <v>3768</v>
      </c>
      <c r="E1789" t="s">
        <v>5538</v>
      </c>
      <c r="F1789" s="181" t="s">
        <v>5610</v>
      </c>
    </row>
    <row r="1790" spans="1:6" x14ac:dyDescent="0.3">
      <c r="A1790" s="58" t="s">
        <v>1747</v>
      </c>
      <c r="B1790" t="s">
        <v>5393</v>
      </c>
      <c r="C1790" t="s">
        <v>5014</v>
      </c>
      <c r="D1790" t="s">
        <v>3923</v>
      </c>
      <c r="E1790" t="s">
        <v>5537</v>
      </c>
      <c r="F1790" t="s">
        <v>1747</v>
      </c>
    </row>
    <row r="1791" spans="1:6" x14ac:dyDescent="0.3">
      <c r="A1791" s="58" t="s">
        <v>1748</v>
      </c>
      <c r="B1791" t="s">
        <v>5393</v>
      </c>
      <c r="C1791" t="s">
        <v>5014</v>
      </c>
      <c r="D1791" t="s">
        <v>3924</v>
      </c>
      <c r="E1791" t="s">
        <v>5537</v>
      </c>
      <c r="F1791" t="s">
        <v>1748</v>
      </c>
    </row>
    <row r="1792" spans="1:6" x14ac:dyDescent="0.3">
      <c r="A1792" s="58" t="s">
        <v>1749</v>
      </c>
      <c r="B1792" t="s">
        <v>5393</v>
      </c>
      <c r="C1792" t="s">
        <v>5014</v>
      </c>
      <c r="D1792" t="s">
        <v>3925</v>
      </c>
      <c r="E1792" t="s">
        <v>5538</v>
      </c>
      <c r="F1792" t="s">
        <v>1749</v>
      </c>
    </row>
    <row r="1793" spans="1:6" x14ac:dyDescent="0.3">
      <c r="A1793" s="58" t="s">
        <v>1750</v>
      </c>
      <c r="B1793" t="s">
        <v>5393</v>
      </c>
      <c r="C1793" t="s">
        <v>5014</v>
      </c>
      <c r="D1793" t="s">
        <v>3926</v>
      </c>
      <c r="E1793" t="s">
        <v>5537</v>
      </c>
      <c r="F1793" t="s">
        <v>1750</v>
      </c>
    </row>
    <row r="1794" spans="1:6" x14ac:dyDescent="0.3">
      <c r="A1794" s="58" t="s">
        <v>1751</v>
      </c>
      <c r="B1794" t="s">
        <v>5393</v>
      </c>
      <c r="C1794" t="s">
        <v>5014</v>
      </c>
      <c r="D1794" t="s">
        <v>3927</v>
      </c>
      <c r="E1794" t="s">
        <v>5537</v>
      </c>
      <c r="F1794" t="s">
        <v>1751</v>
      </c>
    </row>
    <row r="1795" spans="1:6" x14ac:dyDescent="0.3">
      <c r="A1795" s="58" t="s">
        <v>1752</v>
      </c>
      <c r="B1795" t="s">
        <v>5393</v>
      </c>
      <c r="C1795" t="s">
        <v>5014</v>
      </c>
      <c r="D1795" t="s">
        <v>3928</v>
      </c>
      <c r="E1795" t="s">
        <v>5537</v>
      </c>
      <c r="F1795" t="s">
        <v>1752</v>
      </c>
    </row>
    <row r="1796" spans="1:6" x14ac:dyDescent="0.3">
      <c r="A1796" s="58" t="s">
        <v>1753</v>
      </c>
      <c r="B1796" t="s">
        <v>5393</v>
      </c>
      <c r="C1796" t="s">
        <v>5014</v>
      </c>
      <c r="D1796" t="s">
        <v>3929</v>
      </c>
      <c r="E1796" t="s">
        <v>5537</v>
      </c>
      <c r="F1796" t="s">
        <v>1753</v>
      </c>
    </row>
    <row r="1797" spans="1:6" x14ac:dyDescent="0.3">
      <c r="A1797" s="58" t="s">
        <v>1754</v>
      </c>
      <c r="B1797" t="s">
        <v>5393</v>
      </c>
      <c r="C1797" t="s">
        <v>5014</v>
      </c>
      <c r="D1797" t="s">
        <v>3930</v>
      </c>
      <c r="E1797" t="s">
        <v>5537</v>
      </c>
      <c r="F1797" t="s">
        <v>1754</v>
      </c>
    </row>
    <row r="1798" spans="1:6" x14ac:dyDescent="0.3">
      <c r="A1798" s="58" t="s">
        <v>1755</v>
      </c>
      <c r="B1798" t="s">
        <v>5393</v>
      </c>
      <c r="C1798" t="s">
        <v>5014</v>
      </c>
      <c r="D1798" t="s">
        <v>3931</v>
      </c>
      <c r="E1798" t="s">
        <v>5538</v>
      </c>
      <c r="F1798" t="s">
        <v>5473</v>
      </c>
    </row>
    <row r="1799" spans="1:6" x14ac:dyDescent="0.3">
      <c r="A1799" s="58" t="s">
        <v>1756</v>
      </c>
      <c r="B1799" t="s">
        <v>5393</v>
      </c>
      <c r="C1799" t="s">
        <v>5014</v>
      </c>
      <c r="D1799" t="s">
        <v>3932</v>
      </c>
      <c r="E1799" t="s">
        <v>5537</v>
      </c>
      <c r="F1799" t="s">
        <v>1756</v>
      </c>
    </row>
    <row r="1800" spans="1:6" x14ac:dyDescent="0.3">
      <c r="A1800" s="58" t="s">
        <v>1757</v>
      </c>
      <c r="B1800" t="s">
        <v>5393</v>
      </c>
      <c r="C1800" t="s">
        <v>5014</v>
      </c>
      <c r="D1800" t="s">
        <v>3933</v>
      </c>
      <c r="E1800" t="s">
        <v>5538</v>
      </c>
      <c r="F1800" t="s">
        <v>5524</v>
      </c>
    </row>
    <row r="1801" spans="1:6" x14ac:dyDescent="0.3">
      <c r="A1801" s="58" t="s">
        <v>1758</v>
      </c>
      <c r="B1801" t="s">
        <v>5393</v>
      </c>
      <c r="C1801" t="s">
        <v>5014</v>
      </c>
      <c r="D1801" t="s">
        <v>3934</v>
      </c>
      <c r="E1801" t="s">
        <v>5537</v>
      </c>
      <c r="F1801" t="s">
        <v>1758</v>
      </c>
    </row>
    <row r="1802" spans="1:6" x14ac:dyDescent="0.3">
      <c r="A1802" s="58" t="s">
        <v>1759</v>
      </c>
      <c r="B1802" t="s">
        <v>5393</v>
      </c>
      <c r="C1802" t="s">
        <v>5014</v>
      </c>
      <c r="D1802" t="s">
        <v>3935</v>
      </c>
      <c r="E1802" t="s">
        <v>5537</v>
      </c>
      <c r="F1802" t="s">
        <v>1759</v>
      </c>
    </row>
    <row r="1803" spans="1:6" x14ac:dyDescent="0.3">
      <c r="A1803" s="58" t="s">
        <v>1760</v>
      </c>
      <c r="B1803" t="s">
        <v>5393</v>
      </c>
      <c r="C1803" t="s">
        <v>5015</v>
      </c>
      <c r="D1803" t="s">
        <v>3936</v>
      </c>
      <c r="E1803" t="s">
        <v>5536</v>
      </c>
      <c r="F1803" t="s">
        <v>1760</v>
      </c>
    </row>
    <row r="1804" spans="1:6" x14ac:dyDescent="0.3">
      <c r="A1804" s="58" t="s">
        <v>1761</v>
      </c>
      <c r="B1804" t="s">
        <v>5393</v>
      </c>
      <c r="C1804" t="s">
        <v>5015</v>
      </c>
      <c r="D1804" t="s">
        <v>3937</v>
      </c>
      <c r="E1804" t="s">
        <v>5536</v>
      </c>
      <c r="F1804" t="s">
        <v>1761</v>
      </c>
    </row>
    <row r="1805" spans="1:6" x14ac:dyDescent="0.3">
      <c r="A1805" s="58" t="s">
        <v>1762</v>
      </c>
      <c r="B1805" t="s">
        <v>5393</v>
      </c>
      <c r="C1805" t="s">
        <v>5015</v>
      </c>
      <c r="D1805" t="s">
        <v>3938</v>
      </c>
      <c r="E1805" t="s">
        <v>5537</v>
      </c>
      <c r="F1805" t="s">
        <v>1762</v>
      </c>
    </row>
    <row r="1806" spans="1:6" x14ac:dyDescent="0.3">
      <c r="A1806" s="58" t="s">
        <v>1763</v>
      </c>
      <c r="B1806" t="s">
        <v>5393</v>
      </c>
      <c r="C1806" t="s">
        <v>5015</v>
      </c>
      <c r="D1806" t="s">
        <v>3939</v>
      </c>
      <c r="E1806" t="s">
        <v>5537</v>
      </c>
      <c r="F1806" t="s">
        <v>1763</v>
      </c>
    </row>
    <row r="1807" spans="1:6" x14ac:dyDescent="0.3">
      <c r="A1807" s="58" t="s">
        <v>1764</v>
      </c>
      <c r="B1807" t="s">
        <v>5393</v>
      </c>
      <c r="C1807" t="s">
        <v>5015</v>
      </c>
      <c r="D1807" t="s">
        <v>3940</v>
      </c>
      <c r="E1807" t="s">
        <v>5537</v>
      </c>
      <c r="F1807" t="s">
        <v>1764</v>
      </c>
    </row>
    <row r="1808" spans="1:6" x14ac:dyDescent="0.3">
      <c r="A1808" s="58" t="s">
        <v>1765</v>
      </c>
      <c r="B1808" t="s">
        <v>5393</v>
      </c>
      <c r="C1808" t="s">
        <v>5015</v>
      </c>
      <c r="D1808" t="s">
        <v>3941</v>
      </c>
      <c r="E1808" t="s">
        <v>5538</v>
      </c>
      <c r="F1808" t="s">
        <v>1765</v>
      </c>
    </row>
    <row r="1809" spans="1:6" x14ac:dyDescent="0.3">
      <c r="A1809" s="58" t="s">
        <v>1766</v>
      </c>
      <c r="B1809" t="s">
        <v>5393</v>
      </c>
      <c r="C1809" t="s">
        <v>5015</v>
      </c>
      <c r="D1809" t="s">
        <v>3942</v>
      </c>
      <c r="E1809" t="s">
        <v>5538</v>
      </c>
      <c r="F1809" t="s">
        <v>1766</v>
      </c>
    </row>
    <row r="1810" spans="1:6" x14ac:dyDescent="0.3">
      <c r="A1810" s="58" t="s">
        <v>1767</v>
      </c>
      <c r="B1810" t="s">
        <v>5393</v>
      </c>
      <c r="C1810" t="s">
        <v>5015</v>
      </c>
      <c r="D1810" t="s">
        <v>3943</v>
      </c>
      <c r="E1810" t="s">
        <v>5537</v>
      </c>
      <c r="F1810" t="s">
        <v>1767</v>
      </c>
    </row>
    <row r="1811" spans="1:6" x14ac:dyDescent="0.3">
      <c r="A1811" s="58" t="s">
        <v>1768</v>
      </c>
      <c r="B1811" t="s">
        <v>5393</v>
      </c>
      <c r="C1811" t="s">
        <v>5016</v>
      </c>
      <c r="D1811" t="s">
        <v>3944</v>
      </c>
      <c r="E1811" t="s">
        <v>5538</v>
      </c>
      <c r="F1811" t="s">
        <v>1768</v>
      </c>
    </row>
    <row r="1812" spans="1:6" x14ac:dyDescent="0.3">
      <c r="A1812" s="58" t="s">
        <v>1769</v>
      </c>
      <c r="B1812" t="s">
        <v>5393</v>
      </c>
      <c r="C1812" t="s">
        <v>5016</v>
      </c>
      <c r="D1812" t="s">
        <v>3945</v>
      </c>
      <c r="E1812" t="s">
        <v>5538</v>
      </c>
      <c r="F1812" t="s">
        <v>1769</v>
      </c>
    </row>
    <row r="1813" spans="1:6" x14ac:dyDescent="0.3">
      <c r="A1813" s="58" t="s">
        <v>1770</v>
      </c>
      <c r="B1813" t="s">
        <v>5393</v>
      </c>
      <c r="C1813" t="s">
        <v>5016</v>
      </c>
      <c r="D1813" t="s">
        <v>3946</v>
      </c>
      <c r="E1813" t="s">
        <v>5537</v>
      </c>
      <c r="F1813" t="s">
        <v>1770</v>
      </c>
    </row>
    <row r="1814" spans="1:6" x14ac:dyDescent="0.3">
      <c r="A1814" s="58" t="s">
        <v>1771</v>
      </c>
      <c r="B1814" t="s">
        <v>5393</v>
      </c>
      <c r="C1814" t="s">
        <v>5016</v>
      </c>
      <c r="D1814" t="s">
        <v>3947</v>
      </c>
      <c r="E1814" t="s">
        <v>5537</v>
      </c>
      <c r="F1814" t="s">
        <v>1771</v>
      </c>
    </row>
    <row r="1815" spans="1:6" x14ac:dyDescent="0.3">
      <c r="A1815" s="58" t="s">
        <v>1772</v>
      </c>
      <c r="B1815" t="s">
        <v>5393</v>
      </c>
      <c r="C1815" t="s">
        <v>5016</v>
      </c>
      <c r="D1815" t="s">
        <v>3948</v>
      </c>
      <c r="E1815" t="s">
        <v>5537</v>
      </c>
      <c r="F1815" t="s">
        <v>1772</v>
      </c>
    </row>
    <row r="1816" spans="1:6" x14ac:dyDescent="0.3">
      <c r="A1816" s="58" t="s">
        <v>1773</v>
      </c>
      <c r="B1816" t="s">
        <v>5393</v>
      </c>
      <c r="C1816" t="s">
        <v>5016</v>
      </c>
      <c r="D1816" t="s">
        <v>3949</v>
      </c>
      <c r="E1816" t="s">
        <v>5537</v>
      </c>
      <c r="F1816" t="s">
        <v>1773</v>
      </c>
    </row>
    <row r="1817" spans="1:6" x14ac:dyDescent="0.3">
      <c r="A1817" s="58" t="s">
        <v>1774</v>
      </c>
      <c r="B1817" t="s">
        <v>5393</v>
      </c>
      <c r="C1817" t="s">
        <v>5016</v>
      </c>
      <c r="D1817" t="s">
        <v>3950</v>
      </c>
      <c r="E1817" t="s">
        <v>5537</v>
      </c>
      <c r="F1817" t="s">
        <v>1774</v>
      </c>
    </row>
    <row r="1818" spans="1:6" x14ac:dyDescent="0.3">
      <c r="A1818" s="58" t="s">
        <v>1775</v>
      </c>
      <c r="B1818" t="s">
        <v>5393</v>
      </c>
      <c r="C1818" t="s">
        <v>5016</v>
      </c>
      <c r="D1818" t="s">
        <v>3951</v>
      </c>
      <c r="E1818" t="s">
        <v>5537</v>
      </c>
      <c r="F1818" t="s">
        <v>1775</v>
      </c>
    </row>
    <row r="1819" spans="1:6" x14ac:dyDescent="0.3">
      <c r="A1819" s="58" t="s">
        <v>1776</v>
      </c>
      <c r="B1819" t="s">
        <v>5393</v>
      </c>
      <c r="C1819" t="s">
        <v>5016</v>
      </c>
      <c r="D1819" t="s">
        <v>3952</v>
      </c>
      <c r="E1819" t="s">
        <v>5537</v>
      </c>
      <c r="F1819" t="s">
        <v>1776</v>
      </c>
    </row>
    <row r="1820" spans="1:6" x14ac:dyDescent="0.3">
      <c r="A1820" s="58" t="s">
        <v>1777</v>
      </c>
      <c r="B1820" t="s">
        <v>5393</v>
      </c>
      <c r="C1820" t="s">
        <v>5017</v>
      </c>
      <c r="D1820" t="s">
        <v>3953</v>
      </c>
      <c r="E1820" t="s">
        <v>5536</v>
      </c>
      <c r="F1820" t="s">
        <v>1777</v>
      </c>
    </row>
    <row r="1821" spans="1:6" x14ac:dyDescent="0.3">
      <c r="A1821" s="58" t="s">
        <v>1778</v>
      </c>
      <c r="B1821" t="s">
        <v>5393</v>
      </c>
      <c r="C1821" t="s">
        <v>5017</v>
      </c>
      <c r="D1821" t="s">
        <v>3954</v>
      </c>
      <c r="E1821" t="s">
        <v>5537</v>
      </c>
      <c r="F1821" t="s">
        <v>1778</v>
      </c>
    </row>
    <row r="1822" spans="1:6" x14ac:dyDescent="0.3">
      <c r="A1822" s="58" t="s">
        <v>1779</v>
      </c>
      <c r="B1822" t="s">
        <v>5393</v>
      </c>
      <c r="C1822" t="s">
        <v>5017</v>
      </c>
      <c r="D1822" t="s">
        <v>3955</v>
      </c>
      <c r="E1822" t="s">
        <v>5537</v>
      </c>
      <c r="F1822" t="s">
        <v>1779</v>
      </c>
    </row>
    <row r="1823" spans="1:6" x14ac:dyDescent="0.3">
      <c r="A1823" s="58" t="s">
        <v>1780</v>
      </c>
      <c r="B1823" t="s">
        <v>5393</v>
      </c>
      <c r="C1823" t="s">
        <v>5017</v>
      </c>
      <c r="D1823" t="s">
        <v>3956</v>
      </c>
      <c r="E1823" t="s">
        <v>5537</v>
      </c>
      <c r="F1823" t="s">
        <v>1780</v>
      </c>
    </row>
    <row r="1824" spans="1:6" x14ac:dyDescent="0.3">
      <c r="A1824" s="58" t="s">
        <v>1781</v>
      </c>
      <c r="B1824" t="s">
        <v>5393</v>
      </c>
      <c r="C1824" t="s">
        <v>5017</v>
      </c>
      <c r="D1824" t="s">
        <v>3957</v>
      </c>
      <c r="E1824" t="s">
        <v>5537</v>
      </c>
      <c r="F1824" t="s">
        <v>1781</v>
      </c>
    </row>
    <row r="1825" spans="1:6" x14ac:dyDescent="0.3">
      <c r="A1825" s="58" t="s">
        <v>1782</v>
      </c>
      <c r="B1825" t="s">
        <v>5393</v>
      </c>
      <c r="C1825" t="s">
        <v>5017</v>
      </c>
      <c r="D1825" t="s">
        <v>3958</v>
      </c>
      <c r="E1825" t="s">
        <v>5537</v>
      </c>
      <c r="F1825" t="s">
        <v>1782</v>
      </c>
    </row>
    <row r="1826" spans="1:6" x14ac:dyDescent="0.3">
      <c r="A1826" s="58" t="s">
        <v>1783</v>
      </c>
      <c r="B1826" t="s">
        <v>5393</v>
      </c>
      <c r="C1826" t="s">
        <v>5017</v>
      </c>
      <c r="D1826" t="s">
        <v>3959</v>
      </c>
      <c r="E1826" t="s">
        <v>5537</v>
      </c>
      <c r="F1826" t="s">
        <v>1783</v>
      </c>
    </row>
    <row r="1827" spans="1:6" x14ac:dyDescent="0.3">
      <c r="A1827" s="58" t="s">
        <v>1784</v>
      </c>
      <c r="B1827" t="s">
        <v>5393</v>
      </c>
      <c r="C1827" t="s">
        <v>5017</v>
      </c>
      <c r="D1827" t="s">
        <v>3960</v>
      </c>
      <c r="E1827" t="s">
        <v>5538</v>
      </c>
      <c r="F1827" t="s">
        <v>1784</v>
      </c>
    </row>
    <row r="1828" spans="1:6" x14ac:dyDescent="0.3">
      <c r="A1828" s="58" t="s">
        <v>1785</v>
      </c>
      <c r="B1828" t="s">
        <v>5393</v>
      </c>
      <c r="C1828" t="s">
        <v>5018</v>
      </c>
      <c r="D1828" t="s">
        <v>3961</v>
      </c>
      <c r="E1828" t="s">
        <v>5536</v>
      </c>
      <c r="F1828" t="s">
        <v>1785</v>
      </c>
    </row>
    <row r="1829" spans="1:6" x14ac:dyDescent="0.3">
      <c r="A1829" s="58" t="s">
        <v>1786</v>
      </c>
      <c r="B1829" t="s">
        <v>5393</v>
      </c>
      <c r="C1829" t="s">
        <v>5018</v>
      </c>
      <c r="D1829" t="s">
        <v>3962</v>
      </c>
      <c r="E1829" t="s">
        <v>5536</v>
      </c>
      <c r="F1829" t="s">
        <v>1786</v>
      </c>
    </row>
    <row r="1830" spans="1:6" x14ac:dyDescent="0.3">
      <c r="A1830" s="58" t="s">
        <v>1787</v>
      </c>
      <c r="B1830" t="s">
        <v>5393</v>
      </c>
      <c r="C1830" t="s">
        <v>5018</v>
      </c>
      <c r="D1830" t="s">
        <v>3963</v>
      </c>
      <c r="E1830" t="s">
        <v>5536</v>
      </c>
      <c r="F1830" t="s">
        <v>1787</v>
      </c>
    </row>
    <row r="1831" spans="1:6" x14ac:dyDescent="0.3">
      <c r="A1831" s="58" t="s">
        <v>1788</v>
      </c>
      <c r="B1831" t="s">
        <v>5393</v>
      </c>
      <c r="C1831" t="s">
        <v>5018</v>
      </c>
      <c r="D1831" t="s">
        <v>3964</v>
      </c>
      <c r="E1831" t="s">
        <v>5537</v>
      </c>
      <c r="F1831" t="s">
        <v>1788</v>
      </c>
    </row>
    <row r="1832" spans="1:6" x14ac:dyDescent="0.3">
      <c r="A1832" s="58" t="s">
        <v>1789</v>
      </c>
      <c r="B1832" t="s">
        <v>5393</v>
      </c>
      <c r="C1832" t="s">
        <v>5018</v>
      </c>
      <c r="D1832" t="s">
        <v>3965</v>
      </c>
      <c r="E1832" t="s">
        <v>5537</v>
      </c>
      <c r="F1832" t="s">
        <v>1789</v>
      </c>
    </row>
    <row r="1833" spans="1:6" x14ac:dyDescent="0.3">
      <c r="A1833" s="58" t="s">
        <v>1790</v>
      </c>
      <c r="B1833" t="s">
        <v>5393</v>
      </c>
      <c r="C1833" t="s">
        <v>5019</v>
      </c>
      <c r="D1833" t="s">
        <v>3966</v>
      </c>
      <c r="E1833" t="s">
        <v>5536</v>
      </c>
      <c r="F1833" t="s">
        <v>1790</v>
      </c>
    </row>
    <row r="1834" spans="1:6" x14ac:dyDescent="0.3">
      <c r="A1834" s="58" t="s">
        <v>1791</v>
      </c>
      <c r="B1834" t="s">
        <v>5393</v>
      </c>
      <c r="C1834" t="s">
        <v>5019</v>
      </c>
      <c r="D1834" t="s">
        <v>3967</v>
      </c>
      <c r="E1834" t="s">
        <v>5538</v>
      </c>
      <c r="F1834" t="s">
        <v>1791</v>
      </c>
    </row>
    <row r="1835" spans="1:6" x14ac:dyDescent="0.3">
      <c r="A1835" s="58" t="s">
        <v>1792</v>
      </c>
      <c r="B1835" t="s">
        <v>5393</v>
      </c>
      <c r="C1835" t="s">
        <v>5019</v>
      </c>
      <c r="D1835" t="s">
        <v>3968</v>
      </c>
      <c r="E1835" t="s">
        <v>5537</v>
      </c>
      <c r="F1835" t="s">
        <v>1792</v>
      </c>
    </row>
    <row r="1836" spans="1:6" x14ac:dyDescent="0.3">
      <c r="A1836" s="58" t="s">
        <v>1793</v>
      </c>
      <c r="B1836" t="s">
        <v>5393</v>
      </c>
      <c r="C1836" t="s">
        <v>5019</v>
      </c>
      <c r="D1836" t="s">
        <v>3969</v>
      </c>
      <c r="E1836" t="s">
        <v>5537</v>
      </c>
      <c r="F1836" t="s">
        <v>1793</v>
      </c>
    </row>
    <row r="1837" spans="1:6" x14ac:dyDescent="0.3">
      <c r="A1837" s="58" t="s">
        <v>1794</v>
      </c>
      <c r="B1837" t="s">
        <v>5393</v>
      </c>
      <c r="C1837" t="s">
        <v>5019</v>
      </c>
      <c r="D1837" t="s">
        <v>3970</v>
      </c>
      <c r="E1837" t="s">
        <v>5538</v>
      </c>
      <c r="F1837" t="s">
        <v>1794</v>
      </c>
    </row>
    <row r="1838" spans="1:6" x14ac:dyDescent="0.3">
      <c r="A1838" s="58" t="s">
        <v>1795</v>
      </c>
      <c r="B1838" t="s">
        <v>5393</v>
      </c>
      <c r="C1838" t="s">
        <v>5020</v>
      </c>
      <c r="D1838" t="s">
        <v>3971</v>
      </c>
      <c r="E1838" t="s">
        <v>5537</v>
      </c>
      <c r="F1838" t="s">
        <v>1795</v>
      </c>
    </row>
    <row r="1839" spans="1:6" x14ac:dyDescent="0.3">
      <c r="A1839" s="58" t="s">
        <v>1796</v>
      </c>
      <c r="B1839" t="s">
        <v>5393</v>
      </c>
      <c r="C1839" t="s">
        <v>5020</v>
      </c>
      <c r="D1839" t="s">
        <v>3972</v>
      </c>
      <c r="E1839" t="s">
        <v>5537</v>
      </c>
      <c r="F1839" t="s">
        <v>1796</v>
      </c>
    </row>
    <row r="1840" spans="1:6" x14ac:dyDescent="0.3">
      <c r="A1840" s="58" t="s">
        <v>1797</v>
      </c>
      <c r="B1840" t="s">
        <v>5393</v>
      </c>
      <c r="C1840" t="s">
        <v>5020</v>
      </c>
      <c r="D1840" t="s">
        <v>3973</v>
      </c>
      <c r="E1840" t="s">
        <v>5537</v>
      </c>
      <c r="F1840" t="s">
        <v>1797</v>
      </c>
    </row>
    <row r="1841" spans="1:6" x14ac:dyDescent="0.3">
      <c r="A1841" s="58" t="s">
        <v>1798</v>
      </c>
      <c r="B1841" t="s">
        <v>5393</v>
      </c>
      <c r="C1841" t="s">
        <v>5020</v>
      </c>
      <c r="D1841" t="s">
        <v>3974</v>
      </c>
      <c r="E1841" t="s">
        <v>5537</v>
      </c>
      <c r="F1841" t="s">
        <v>1798</v>
      </c>
    </row>
    <row r="1842" spans="1:6" x14ac:dyDescent="0.3">
      <c r="A1842" s="58" t="s">
        <v>1799</v>
      </c>
      <c r="B1842" t="s">
        <v>5393</v>
      </c>
      <c r="C1842" t="s">
        <v>5020</v>
      </c>
      <c r="D1842" t="s">
        <v>3975</v>
      </c>
      <c r="E1842" t="s">
        <v>5538</v>
      </c>
      <c r="F1842" t="s">
        <v>1799</v>
      </c>
    </row>
    <row r="1843" spans="1:6" x14ac:dyDescent="0.3">
      <c r="A1843" s="58" t="s">
        <v>1800</v>
      </c>
      <c r="B1843" t="s">
        <v>5393</v>
      </c>
      <c r="C1843" t="s">
        <v>5020</v>
      </c>
      <c r="D1843" t="s">
        <v>3976</v>
      </c>
      <c r="E1843" t="s">
        <v>5537</v>
      </c>
      <c r="F1843" t="s">
        <v>1800</v>
      </c>
    </row>
    <row r="1844" spans="1:6" x14ac:dyDescent="0.3">
      <c r="A1844" s="58" t="s">
        <v>1801</v>
      </c>
      <c r="B1844" t="s">
        <v>5393</v>
      </c>
      <c r="C1844" t="s">
        <v>5021</v>
      </c>
      <c r="D1844" t="s">
        <v>3977</v>
      </c>
      <c r="E1844" t="s">
        <v>5536</v>
      </c>
      <c r="F1844" t="s">
        <v>1801</v>
      </c>
    </row>
    <row r="1845" spans="1:6" x14ac:dyDescent="0.3">
      <c r="A1845" s="58" t="s">
        <v>1802</v>
      </c>
      <c r="B1845" t="s">
        <v>5393</v>
      </c>
      <c r="C1845" t="s">
        <v>5021</v>
      </c>
      <c r="D1845" t="s">
        <v>3978</v>
      </c>
      <c r="E1845" t="s">
        <v>5537</v>
      </c>
      <c r="F1845" t="s">
        <v>1802</v>
      </c>
    </row>
    <row r="1846" spans="1:6" x14ac:dyDescent="0.3">
      <c r="A1846" s="58" t="s">
        <v>1803</v>
      </c>
      <c r="B1846" t="s">
        <v>5393</v>
      </c>
      <c r="C1846" t="s">
        <v>5021</v>
      </c>
      <c r="D1846" t="s">
        <v>3979</v>
      </c>
      <c r="E1846" t="s">
        <v>5538</v>
      </c>
      <c r="F1846" t="s">
        <v>1803</v>
      </c>
    </row>
    <row r="1847" spans="1:6" x14ac:dyDescent="0.3">
      <c r="A1847" s="58" t="s">
        <v>1804</v>
      </c>
      <c r="B1847" t="s">
        <v>5393</v>
      </c>
      <c r="C1847" t="s">
        <v>5021</v>
      </c>
      <c r="D1847" t="s">
        <v>3980</v>
      </c>
      <c r="E1847" t="s">
        <v>5537</v>
      </c>
      <c r="F1847" t="s">
        <v>1804</v>
      </c>
    </row>
    <row r="1848" spans="1:6" x14ac:dyDescent="0.3">
      <c r="A1848" s="58" t="s">
        <v>1805</v>
      </c>
      <c r="B1848" t="s">
        <v>5393</v>
      </c>
      <c r="C1848" t="s">
        <v>5021</v>
      </c>
      <c r="D1848" t="s">
        <v>3981</v>
      </c>
      <c r="E1848" t="s">
        <v>5538</v>
      </c>
      <c r="F1848" t="s">
        <v>1805</v>
      </c>
    </row>
    <row r="1849" spans="1:6" x14ac:dyDescent="0.3">
      <c r="A1849" s="58" t="s">
        <v>1806</v>
      </c>
      <c r="B1849" t="s">
        <v>5393</v>
      </c>
      <c r="C1849" t="s">
        <v>5021</v>
      </c>
      <c r="D1849" t="s">
        <v>3982</v>
      </c>
      <c r="E1849" t="s">
        <v>5537</v>
      </c>
      <c r="F1849" t="s">
        <v>1806</v>
      </c>
    </row>
    <row r="1850" spans="1:6" x14ac:dyDescent="0.3">
      <c r="A1850" s="58" t="s">
        <v>1807</v>
      </c>
      <c r="B1850" t="s">
        <v>5393</v>
      </c>
      <c r="C1850" t="s">
        <v>5021</v>
      </c>
      <c r="D1850" t="s">
        <v>3983</v>
      </c>
      <c r="E1850" t="s">
        <v>5537</v>
      </c>
      <c r="F1850" t="s">
        <v>1807</v>
      </c>
    </row>
    <row r="1851" spans="1:6" x14ac:dyDescent="0.3">
      <c r="A1851" s="58" t="s">
        <v>1808</v>
      </c>
      <c r="B1851" t="s">
        <v>5393</v>
      </c>
      <c r="C1851" t="s">
        <v>5021</v>
      </c>
      <c r="D1851" t="s">
        <v>2735</v>
      </c>
      <c r="E1851" t="s">
        <v>5537</v>
      </c>
      <c r="F1851" t="s">
        <v>1808</v>
      </c>
    </row>
    <row r="1852" spans="1:6" x14ac:dyDescent="0.3">
      <c r="A1852" s="58" t="s">
        <v>1809</v>
      </c>
      <c r="B1852" t="s">
        <v>5393</v>
      </c>
      <c r="C1852" t="s">
        <v>5022</v>
      </c>
      <c r="D1852" t="s">
        <v>3984</v>
      </c>
      <c r="E1852" t="s">
        <v>5538</v>
      </c>
      <c r="F1852" t="s">
        <v>1809</v>
      </c>
    </row>
    <row r="1853" spans="1:6" x14ac:dyDescent="0.3">
      <c r="A1853" s="58" t="s">
        <v>1810</v>
      </c>
      <c r="B1853" t="s">
        <v>5393</v>
      </c>
      <c r="C1853" t="s">
        <v>5022</v>
      </c>
      <c r="D1853" t="s">
        <v>3985</v>
      </c>
      <c r="E1853" t="s">
        <v>5537</v>
      </c>
      <c r="F1853" t="s">
        <v>1810</v>
      </c>
    </row>
    <row r="1854" spans="1:6" x14ac:dyDescent="0.3">
      <c r="A1854" s="58" t="s">
        <v>1811</v>
      </c>
      <c r="B1854" t="s">
        <v>5393</v>
      </c>
      <c r="C1854" t="s">
        <v>5022</v>
      </c>
      <c r="D1854" t="s">
        <v>3986</v>
      </c>
      <c r="E1854" t="s">
        <v>5537</v>
      </c>
      <c r="F1854" t="s">
        <v>1811</v>
      </c>
    </row>
    <row r="1855" spans="1:6" x14ac:dyDescent="0.3">
      <c r="A1855" s="58" t="s">
        <v>1812</v>
      </c>
      <c r="B1855" t="s">
        <v>5393</v>
      </c>
      <c r="C1855" t="s">
        <v>5022</v>
      </c>
      <c r="D1855" t="s">
        <v>3987</v>
      </c>
      <c r="E1855" t="s">
        <v>5537</v>
      </c>
      <c r="F1855" t="s">
        <v>1812</v>
      </c>
    </row>
    <row r="1856" spans="1:6" x14ac:dyDescent="0.3">
      <c r="A1856" s="58" t="s">
        <v>1813</v>
      </c>
      <c r="B1856" t="s">
        <v>5393</v>
      </c>
      <c r="C1856" t="s">
        <v>5022</v>
      </c>
      <c r="D1856" t="s">
        <v>3988</v>
      </c>
      <c r="E1856" t="s">
        <v>5537</v>
      </c>
      <c r="F1856" t="s">
        <v>1813</v>
      </c>
    </row>
    <row r="1857" spans="1:6" x14ac:dyDescent="0.3">
      <c r="A1857" s="58" t="s">
        <v>1814</v>
      </c>
      <c r="B1857" t="s">
        <v>5393</v>
      </c>
      <c r="C1857" t="s">
        <v>5023</v>
      </c>
      <c r="D1857" t="s">
        <v>3989</v>
      </c>
      <c r="E1857" t="s">
        <v>5536</v>
      </c>
      <c r="F1857" t="s">
        <v>1814</v>
      </c>
    </row>
    <row r="1858" spans="1:6" x14ac:dyDescent="0.3">
      <c r="A1858" s="58" t="s">
        <v>1815</v>
      </c>
      <c r="B1858" t="s">
        <v>5393</v>
      </c>
      <c r="C1858" t="s">
        <v>5023</v>
      </c>
      <c r="D1858" t="s">
        <v>3990</v>
      </c>
      <c r="E1858" t="s">
        <v>5536</v>
      </c>
      <c r="F1858" t="s">
        <v>1815</v>
      </c>
    </row>
    <row r="1859" spans="1:6" x14ac:dyDescent="0.3">
      <c r="A1859" s="58" t="s">
        <v>1816</v>
      </c>
      <c r="B1859" t="s">
        <v>5393</v>
      </c>
      <c r="C1859" t="s">
        <v>5023</v>
      </c>
      <c r="D1859" t="s">
        <v>3991</v>
      </c>
      <c r="E1859" t="s">
        <v>5536</v>
      </c>
      <c r="F1859" t="s">
        <v>1816</v>
      </c>
    </row>
    <row r="1860" spans="1:6" x14ac:dyDescent="0.3">
      <c r="A1860" s="58" t="s">
        <v>1817</v>
      </c>
      <c r="B1860" t="s">
        <v>5393</v>
      </c>
      <c r="C1860" t="s">
        <v>5023</v>
      </c>
      <c r="D1860" t="s">
        <v>3992</v>
      </c>
      <c r="E1860" t="s">
        <v>5536</v>
      </c>
      <c r="F1860" t="s">
        <v>1817</v>
      </c>
    </row>
    <row r="1861" spans="1:6" x14ac:dyDescent="0.3">
      <c r="A1861" s="58" t="s">
        <v>1818</v>
      </c>
      <c r="B1861" t="s">
        <v>5393</v>
      </c>
      <c r="C1861" t="s">
        <v>5023</v>
      </c>
      <c r="D1861" t="s">
        <v>3993</v>
      </c>
      <c r="E1861" t="s">
        <v>5537</v>
      </c>
      <c r="F1861" t="s">
        <v>1818</v>
      </c>
    </row>
    <row r="1862" spans="1:6" x14ac:dyDescent="0.3">
      <c r="A1862" s="58" t="s">
        <v>1819</v>
      </c>
      <c r="B1862" t="s">
        <v>5393</v>
      </c>
      <c r="C1862" t="s">
        <v>5023</v>
      </c>
      <c r="D1862" t="s">
        <v>3994</v>
      </c>
      <c r="E1862" t="s">
        <v>5537</v>
      </c>
      <c r="F1862" t="s">
        <v>1819</v>
      </c>
    </row>
    <row r="1863" spans="1:6" x14ac:dyDescent="0.3">
      <c r="A1863" s="58" t="s">
        <v>1820</v>
      </c>
      <c r="B1863" t="s">
        <v>5393</v>
      </c>
      <c r="C1863" t="s">
        <v>5023</v>
      </c>
      <c r="D1863" t="s">
        <v>3995</v>
      </c>
      <c r="E1863" t="s">
        <v>5537</v>
      </c>
      <c r="F1863" t="s">
        <v>1820</v>
      </c>
    </row>
    <row r="1864" spans="1:6" x14ac:dyDescent="0.3">
      <c r="A1864" s="58" t="s">
        <v>1821</v>
      </c>
      <c r="B1864" t="s">
        <v>5393</v>
      </c>
      <c r="C1864" t="s">
        <v>5023</v>
      </c>
      <c r="D1864" t="s">
        <v>3996</v>
      </c>
      <c r="E1864" t="s">
        <v>5537</v>
      </c>
      <c r="F1864" t="s">
        <v>1821</v>
      </c>
    </row>
    <row r="1865" spans="1:6" x14ac:dyDescent="0.3">
      <c r="A1865" s="58" t="s">
        <v>1822</v>
      </c>
      <c r="B1865" t="s">
        <v>5393</v>
      </c>
      <c r="C1865" t="s">
        <v>5023</v>
      </c>
      <c r="D1865" t="s">
        <v>3997</v>
      </c>
      <c r="E1865" t="s">
        <v>5537</v>
      </c>
      <c r="F1865" t="s">
        <v>1822</v>
      </c>
    </row>
    <row r="1866" spans="1:6" x14ac:dyDescent="0.3">
      <c r="A1866" s="58" t="s">
        <v>1823</v>
      </c>
      <c r="B1866" t="s">
        <v>5393</v>
      </c>
      <c r="C1866" t="s">
        <v>5024</v>
      </c>
      <c r="D1866" t="s">
        <v>3998</v>
      </c>
      <c r="E1866" t="s">
        <v>5536</v>
      </c>
      <c r="F1866" t="s">
        <v>1823</v>
      </c>
    </row>
    <row r="1867" spans="1:6" x14ac:dyDescent="0.3">
      <c r="A1867" s="58" t="s">
        <v>1824</v>
      </c>
      <c r="B1867" t="s">
        <v>5393</v>
      </c>
      <c r="C1867" t="s">
        <v>5024</v>
      </c>
      <c r="D1867" t="s">
        <v>3999</v>
      </c>
      <c r="E1867" t="s">
        <v>5536</v>
      </c>
      <c r="F1867" t="s">
        <v>1824</v>
      </c>
    </row>
    <row r="1868" spans="1:6" x14ac:dyDescent="0.3">
      <c r="A1868" s="58" t="s">
        <v>1825</v>
      </c>
      <c r="B1868" t="s">
        <v>5393</v>
      </c>
      <c r="C1868" t="s">
        <v>5024</v>
      </c>
      <c r="D1868" t="s">
        <v>4000</v>
      </c>
      <c r="E1868" t="s">
        <v>5536</v>
      </c>
      <c r="F1868" t="s">
        <v>1825</v>
      </c>
    </row>
    <row r="1869" spans="1:6" x14ac:dyDescent="0.3">
      <c r="A1869" s="58" t="s">
        <v>1826</v>
      </c>
      <c r="B1869" t="s">
        <v>5393</v>
      </c>
      <c r="C1869" t="s">
        <v>5024</v>
      </c>
      <c r="D1869" t="s">
        <v>4001</v>
      </c>
      <c r="E1869" t="s">
        <v>5537</v>
      </c>
      <c r="F1869" t="s">
        <v>1826</v>
      </c>
    </row>
    <row r="1870" spans="1:6" x14ac:dyDescent="0.3">
      <c r="A1870" s="58" t="s">
        <v>1827</v>
      </c>
      <c r="B1870" t="s">
        <v>5393</v>
      </c>
      <c r="C1870" t="s">
        <v>5024</v>
      </c>
      <c r="D1870" t="s">
        <v>4002</v>
      </c>
      <c r="E1870" t="s">
        <v>5537</v>
      </c>
      <c r="F1870" t="s">
        <v>1827</v>
      </c>
    </row>
    <row r="1871" spans="1:6" x14ac:dyDescent="0.3">
      <c r="A1871" s="58" t="s">
        <v>1828</v>
      </c>
      <c r="B1871" t="s">
        <v>5393</v>
      </c>
      <c r="C1871" t="s">
        <v>5025</v>
      </c>
      <c r="D1871" t="s">
        <v>4003</v>
      </c>
      <c r="E1871" t="s">
        <v>5536</v>
      </c>
      <c r="F1871" t="s">
        <v>1828</v>
      </c>
    </row>
    <row r="1872" spans="1:6" x14ac:dyDescent="0.3">
      <c r="A1872" s="58" t="s">
        <v>1829</v>
      </c>
      <c r="B1872" t="s">
        <v>5393</v>
      </c>
      <c r="C1872" t="s">
        <v>5025</v>
      </c>
      <c r="D1872" t="s">
        <v>4004</v>
      </c>
      <c r="E1872" t="s">
        <v>5536</v>
      </c>
      <c r="F1872" t="s">
        <v>1829</v>
      </c>
    </row>
    <row r="1873" spans="1:6" x14ac:dyDescent="0.3">
      <c r="A1873" s="58" t="s">
        <v>1830</v>
      </c>
      <c r="B1873" t="s">
        <v>5393</v>
      </c>
      <c r="C1873" t="s">
        <v>5025</v>
      </c>
      <c r="D1873" t="s">
        <v>4005</v>
      </c>
      <c r="E1873" t="s">
        <v>5536</v>
      </c>
      <c r="F1873" t="s">
        <v>1830</v>
      </c>
    </row>
    <row r="1874" spans="1:6" x14ac:dyDescent="0.3">
      <c r="A1874" s="58" t="s">
        <v>1831</v>
      </c>
      <c r="B1874" t="s">
        <v>5393</v>
      </c>
      <c r="C1874" t="s">
        <v>5025</v>
      </c>
      <c r="D1874" t="s">
        <v>4006</v>
      </c>
      <c r="E1874" t="s">
        <v>5536</v>
      </c>
      <c r="F1874" t="s">
        <v>1831</v>
      </c>
    </row>
    <row r="1875" spans="1:6" x14ac:dyDescent="0.3">
      <c r="A1875" s="58" t="s">
        <v>1832</v>
      </c>
      <c r="B1875" t="s">
        <v>5393</v>
      </c>
      <c r="C1875" t="s">
        <v>5025</v>
      </c>
      <c r="D1875" t="s">
        <v>4007</v>
      </c>
      <c r="E1875" t="s">
        <v>5537</v>
      </c>
      <c r="F1875" t="s">
        <v>1832</v>
      </c>
    </row>
    <row r="1876" spans="1:6" x14ac:dyDescent="0.3">
      <c r="A1876" s="58" t="s">
        <v>1833</v>
      </c>
      <c r="B1876" t="s">
        <v>5393</v>
      </c>
      <c r="C1876" t="s">
        <v>5025</v>
      </c>
      <c r="D1876" t="s">
        <v>3692</v>
      </c>
      <c r="E1876" t="s">
        <v>5537</v>
      </c>
      <c r="F1876" t="s">
        <v>1833</v>
      </c>
    </row>
    <row r="1877" spans="1:6" x14ac:dyDescent="0.3">
      <c r="A1877" s="58" t="s">
        <v>1834</v>
      </c>
      <c r="B1877" t="s">
        <v>5393</v>
      </c>
      <c r="C1877" t="s">
        <v>5025</v>
      </c>
      <c r="D1877" t="s">
        <v>4008</v>
      </c>
      <c r="E1877" t="s">
        <v>5537</v>
      </c>
      <c r="F1877" t="s">
        <v>1834</v>
      </c>
    </row>
    <row r="1878" spans="1:6" x14ac:dyDescent="0.3">
      <c r="A1878" s="58" t="s">
        <v>1835</v>
      </c>
      <c r="B1878" t="s">
        <v>5393</v>
      </c>
      <c r="C1878" t="s">
        <v>5025</v>
      </c>
      <c r="D1878" t="s">
        <v>4009</v>
      </c>
      <c r="E1878" t="s">
        <v>5537</v>
      </c>
      <c r="F1878" t="s">
        <v>1835</v>
      </c>
    </row>
    <row r="1879" spans="1:6" x14ac:dyDescent="0.3">
      <c r="A1879" s="58" t="s">
        <v>1836</v>
      </c>
      <c r="B1879" t="s">
        <v>5393</v>
      </c>
      <c r="C1879" t="s">
        <v>5025</v>
      </c>
      <c r="D1879" t="s">
        <v>4010</v>
      </c>
      <c r="E1879" t="s">
        <v>5537</v>
      </c>
      <c r="F1879" t="s">
        <v>1836</v>
      </c>
    </row>
    <row r="1880" spans="1:6" x14ac:dyDescent="0.3">
      <c r="A1880" s="58" t="s">
        <v>1837</v>
      </c>
      <c r="B1880" t="s">
        <v>5393</v>
      </c>
      <c r="C1880" t="s">
        <v>5026</v>
      </c>
      <c r="D1880" t="s">
        <v>4011</v>
      </c>
      <c r="E1880" t="s">
        <v>5536</v>
      </c>
      <c r="F1880" t="s">
        <v>1837</v>
      </c>
    </row>
    <row r="1881" spans="1:6" x14ac:dyDescent="0.3">
      <c r="A1881" s="58" t="s">
        <v>1838</v>
      </c>
      <c r="B1881" t="s">
        <v>5393</v>
      </c>
      <c r="C1881" t="s">
        <v>5026</v>
      </c>
      <c r="D1881" t="s">
        <v>4012</v>
      </c>
      <c r="E1881" t="s">
        <v>5536</v>
      </c>
      <c r="F1881" t="s">
        <v>1838</v>
      </c>
    </row>
    <row r="1882" spans="1:6" x14ac:dyDescent="0.3">
      <c r="A1882" s="58" t="s">
        <v>1839</v>
      </c>
      <c r="B1882" t="s">
        <v>5393</v>
      </c>
      <c r="C1882" t="s">
        <v>5026</v>
      </c>
      <c r="D1882" t="s">
        <v>4013</v>
      </c>
      <c r="E1882" t="s">
        <v>5537</v>
      </c>
      <c r="F1882" t="s">
        <v>1839</v>
      </c>
    </row>
    <row r="1883" spans="1:6" x14ac:dyDescent="0.3">
      <c r="A1883" s="58" t="s">
        <v>1840</v>
      </c>
      <c r="B1883" t="s">
        <v>5393</v>
      </c>
      <c r="C1883" t="s">
        <v>5026</v>
      </c>
      <c r="D1883" t="s">
        <v>4014</v>
      </c>
      <c r="E1883" t="s">
        <v>5537</v>
      </c>
      <c r="F1883" t="s">
        <v>1840</v>
      </c>
    </row>
    <row r="1884" spans="1:6" x14ac:dyDescent="0.3">
      <c r="A1884" s="58" t="s">
        <v>1841</v>
      </c>
      <c r="B1884" t="s">
        <v>5393</v>
      </c>
      <c r="C1884" t="s">
        <v>5026</v>
      </c>
      <c r="D1884" t="s">
        <v>4015</v>
      </c>
      <c r="E1884" t="s">
        <v>5538</v>
      </c>
      <c r="F1884" t="s">
        <v>1841</v>
      </c>
    </row>
    <row r="1885" spans="1:6" x14ac:dyDescent="0.3">
      <c r="A1885" s="58" t="s">
        <v>1842</v>
      </c>
      <c r="B1885" t="s">
        <v>5393</v>
      </c>
      <c r="C1885" t="s">
        <v>5026</v>
      </c>
      <c r="D1885" t="s">
        <v>4016</v>
      </c>
      <c r="E1885" t="s">
        <v>5538</v>
      </c>
      <c r="F1885" t="s">
        <v>1842</v>
      </c>
    </row>
    <row r="1886" spans="1:6" x14ac:dyDescent="0.3">
      <c r="A1886" s="58" t="s">
        <v>1843</v>
      </c>
      <c r="B1886" t="s">
        <v>5393</v>
      </c>
      <c r="C1886" t="s">
        <v>5026</v>
      </c>
      <c r="D1886" t="s">
        <v>4017</v>
      </c>
      <c r="E1886" t="s">
        <v>5538</v>
      </c>
      <c r="F1886" t="s">
        <v>1843</v>
      </c>
    </row>
    <row r="1887" spans="1:6" x14ac:dyDescent="0.3">
      <c r="A1887" s="58" t="s">
        <v>1844</v>
      </c>
      <c r="B1887" t="s">
        <v>5393</v>
      </c>
      <c r="C1887" t="s">
        <v>5026</v>
      </c>
      <c r="D1887" t="s">
        <v>4018</v>
      </c>
      <c r="E1887" t="s">
        <v>5538</v>
      </c>
      <c r="F1887" t="s">
        <v>1844</v>
      </c>
    </row>
    <row r="1888" spans="1:6" x14ac:dyDescent="0.3">
      <c r="A1888" s="58" t="s">
        <v>1845</v>
      </c>
      <c r="B1888" t="s">
        <v>5393</v>
      </c>
      <c r="C1888" t="s">
        <v>5026</v>
      </c>
      <c r="D1888" t="s">
        <v>4019</v>
      </c>
      <c r="E1888" t="s">
        <v>5538</v>
      </c>
      <c r="F1888" t="s">
        <v>5525</v>
      </c>
    </row>
    <row r="1889" spans="1:6" x14ac:dyDescent="0.3">
      <c r="A1889" s="58" t="s">
        <v>1846</v>
      </c>
      <c r="B1889" t="s">
        <v>5393</v>
      </c>
      <c r="C1889" t="s">
        <v>5026</v>
      </c>
      <c r="D1889" t="s">
        <v>4020</v>
      </c>
      <c r="E1889" t="s">
        <v>5537</v>
      </c>
      <c r="F1889" t="s">
        <v>1846</v>
      </c>
    </row>
    <row r="1890" spans="1:6" x14ac:dyDescent="0.3">
      <c r="A1890" s="58" t="s">
        <v>1847</v>
      </c>
      <c r="B1890" t="s">
        <v>5393</v>
      </c>
      <c r="C1890" t="s">
        <v>5027</v>
      </c>
      <c r="D1890" t="s">
        <v>4021</v>
      </c>
      <c r="E1890" t="s">
        <v>5536</v>
      </c>
      <c r="F1890" t="s">
        <v>1847</v>
      </c>
    </row>
    <row r="1891" spans="1:6" x14ac:dyDescent="0.3">
      <c r="A1891" s="58" t="s">
        <v>1848</v>
      </c>
      <c r="B1891" t="s">
        <v>5393</v>
      </c>
      <c r="C1891" t="s">
        <v>5027</v>
      </c>
      <c r="D1891" t="s">
        <v>3108</v>
      </c>
      <c r="E1891" t="s">
        <v>5537</v>
      </c>
      <c r="F1891" t="s">
        <v>1848</v>
      </c>
    </row>
    <row r="1892" spans="1:6" x14ac:dyDescent="0.3">
      <c r="A1892" s="58" t="s">
        <v>1849</v>
      </c>
      <c r="B1892" t="s">
        <v>5393</v>
      </c>
      <c r="C1892" t="s">
        <v>5027</v>
      </c>
      <c r="D1892" t="s">
        <v>4022</v>
      </c>
      <c r="E1892" t="s">
        <v>5537</v>
      </c>
      <c r="F1892" t="s">
        <v>1849</v>
      </c>
    </row>
    <row r="1893" spans="1:6" x14ac:dyDescent="0.3">
      <c r="A1893" s="58" t="s">
        <v>1850</v>
      </c>
      <c r="B1893" t="s">
        <v>5393</v>
      </c>
      <c r="C1893" t="s">
        <v>5027</v>
      </c>
      <c r="D1893" t="s">
        <v>4023</v>
      </c>
      <c r="E1893" t="s">
        <v>5537</v>
      </c>
      <c r="F1893" t="s">
        <v>1850</v>
      </c>
    </row>
    <row r="1894" spans="1:6" x14ac:dyDescent="0.3">
      <c r="A1894" s="58" t="s">
        <v>1851</v>
      </c>
      <c r="B1894" t="s">
        <v>5393</v>
      </c>
      <c r="C1894" t="s">
        <v>5027</v>
      </c>
      <c r="D1894" t="s">
        <v>4024</v>
      </c>
      <c r="E1894" t="s">
        <v>5537</v>
      </c>
      <c r="F1894" t="s">
        <v>1851</v>
      </c>
    </row>
    <row r="1895" spans="1:6" x14ac:dyDescent="0.3">
      <c r="A1895" s="58" t="s">
        <v>1852</v>
      </c>
      <c r="B1895" t="s">
        <v>5393</v>
      </c>
      <c r="C1895" t="s">
        <v>5027</v>
      </c>
      <c r="D1895" t="s">
        <v>4025</v>
      </c>
      <c r="E1895" t="s">
        <v>5537</v>
      </c>
      <c r="F1895" t="s">
        <v>1852</v>
      </c>
    </row>
    <row r="1896" spans="1:6" x14ac:dyDescent="0.3">
      <c r="A1896" s="58" t="s">
        <v>1853</v>
      </c>
      <c r="B1896" t="s">
        <v>5393</v>
      </c>
      <c r="C1896" t="s">
        <v>5027</v>
      </c>
      <c r="D1896" t="s">
        <v>4026</v>
      </c>
      <c r="E1896" t="s">
        <v>5537</v>
      </c>
      <c r="F1896" t="s">
        <v>1853</v>
      </c>
    </row>
    <row r="1897" spans="1:6" x14ac:dyDescent="0.3">
      <c r="A1897" s="58" t="s">
        <v>1854</v>
      </c>
      <c r="B1897" t="s">
        <v>5393</v>
      </c>
      <c r="C1897" t="s">
        <v>5027</v>
      </c>
      <c r="D1897" t="s">
        <v>4027</v>
      </c>
      <c r="E1897" t="s">
        <v>5537</v>
      </c>
      <c r="F1897" t="s">
        <v>1854</v>
      </c>
    </row>
    <row r="1898" spans="1:6" x14ac:dyDescent="0.3">
      <c r="A1898" s="58" t="s">
        <v>1855</v>
      </c>
      <c r="B1898" t="s">
        <v>5393</v>
      </c>
      <c r="C1898" t="s">
        <v>5027</v>
      </c>
      <c r="D1898" t="s">
        <v>4028</v>
      </c>
      <c r="E1898" t="s">
        <v>5537</v>
      </c>
      <c r="F1898" t="s">
        <v>1855</v>
      </c>
    </row>
    <row r="1899" spans="1:6" x14ac:dyDescent="0.3">
      <c r="A1899" s="58" t="s">
        <v>1856</v>
      </c>
      <c r="B1899" t="s">
        <v>5393</v>
      </c>
      <c r="C1899" t="s">
        <v>5027</v>
      </c>
      <c r="D1899" t="s">
        <v>4029</v>
      </c>
      <c r="E1899" t="s">
        <v>5537</v>
      </c>
      <c r="F1899" t="s">
        <v>1856</v>
      </c>
    </row>
    <row r="1900" spans="1:6" x14ac:dyDescent="0.3">
      <c r="A1900" s="58" t="s">
        <v>1857</v>
      </c>
      <c r="B1900" t="s">
        <v>5393</v>
      </c>
      <c r="C1900" t="s">
        <v>5027</v>
      </c>
      <c r="D1900" t="s">
        <v>4030</v>
      </c>
      <c r="E1900" t="s">
        <v>5537</v>
      </c>
      <c r="F1900" t="s">
        <v>1857</v>
      </c>
    </row>
    <row r="1901" spans="1:6" x14ac:dyDescent="0.3">
      <c r="A1901" s="58" t="s">
        <v>1858</v>
      </c>
      <c r="B1901" t="s">
        <v>5393</v>
      </c>
      <c r="C1901" t="s">
        <v>5027</v>
      </c>
      <c r="D1901" t="s">
        <v>4031</v>
      </c>
      <c r="E1901" t="s">
        <v>5537</v>
      </c>
      <c r="F1901" t="s">
        <v>1858</v>
      </c>
    </row>
    <row r="1902" spans="1:6" x14ac:dyDescent="0.3">
      <c r="A1902" s="58" t="s">
        <v>1859</v>
      </c>
      <c r="B1902" t="s">
        <v>5393</v>
      </c>
      <c r="C1902" t="s">
        <v>5027</v>
      </c>
      <c r="D1902" t="s">
        <v>4032</v>
      </c>
      <c r="E1902" t="s">
        <v>5537</v>
      </c>
      <c r="F1902" t="s">
        <v>1859</v>
      </c>
    </row>
    <row r="1903" spans="1:6" x14ac:dyDescent="0.3">
      <c r="A1903" s="58" t="s">
        <v>1860</v>
      </c>
      <c r="B1903" t="s">
        <v>5393</v>
      </c>
      <c r="C1903" t="s">
        <v>5027</v>
      </c>
      <c r="D1903" t="s">
        <v>4033</v>
      </c>
      <c r="E1903" t="s">
        <v>5537</v>
      </c>
      <c r="F1903" t="s">
        <v>1860</v>
      </c>
    </row>
    <row r="1904" spans="1:6" x14ac:dyDescent="0.3">
      <c r="A1904" s="58" t="s">
        <v>1861</v>
      </c>
      <c r="B1904" t="s">
        <v>5393</v>
      </c>
      <c r="C1904" t="s">
        <v>5027</v>
      </c>
      <c r="D1904" t="s">
        <v>4034</v>
      </c>
      <c r="E1904" t="s">
        <v>5537</v>
      </c>
      <c r="F1904" t="s">
        <v>1861</v>
      </c>
    </row>
    <row r="1905" spans="1:6" x14ac:dyDescent="0.3">
      <c r="A1905" s="58" t="s">
        <v>1862</v>
      </c>
      <c r="B1905" t="s">
        <v>5393</v>
      </c>
      <c r="C1905" t="s">
        <v>4035</v>
      </c>
      <c r="D1905" t="s">
        <v>4035</v>
      </c>
      <c r="E1905" t="s">
        <v>5536</v>
      </c>
      <c r="F1905" t="s">
        <v>1862</v>
      </c>
    </row>
    <row r="1906" spans="1:6" x14ac:dyDescent="0.3">
      <c r="A1906" s="58" t="s">
        <v>1863</v>
      </c>
      <c r="B1906" t="s">
        <v>5393</v>
      </c>
      <c r="C1906" t="s">
        <v>4036</v>
      </c>
      <c r="D1906" t="s">
        <v>4036</v>
      </c>
      <c r="E1906" t="s">
        <v>5536</v>
      </c>
      <c r="F1906" t="s">
        <v>1863</v>
      </c>
    </row>
    <row r="1907" spans="1:6" x14ac:dyDescent="0.3">
      <c r="A1907" s="58" t="s">
        <v>1864</v>
      </c>
      <c r="B1907" t="s">
        <v>5393</v>
      </c>
      <c r="C1907" t="s">
        <v>4037</v>
      </c>
      <c r="D1907" t="s">
        <v>4037</v>
      </c>
      <c r="E1907" t="s">
        <v>5536</v>
      </c>
      <c r="F1907" t="s">
        <v>1864</v>
      </c>
    </row>
    <row r="1908" spans="1:6" x14ac:dyDescent="0.3">
      <c r="A1908" s="58" t="s">
        <v>1865</v>
      </c>
      <c r="B1908" t="s">
        <v>5393</v>
      </c>
      <c r="C1908" t="s">
        <v>4038</v>
      </c>
      <c r="D1908" t="s">
        <v>4038</v>
      </c>
      <c r="E1908" t="s">
        <v>5536</v>
      </c>
      <c r="F1908" t="s">
        <v>1865</v>
      </c>
    </row>
    <row r="1909" spans="1:6" x14ac:dyDescent="0.3">
      <c r="A1909" s="58" t="s">
        <v>1866</v>
      </c>
      <c r="B1909" t="s">
        <v>5393</v>
      </c>
      <c r="C1909" t="s">
        <v>4039</v>
      </c>
      <c r="D1909" t="s">
        <v>4039</v>
      </c>
      <c r="E1909" t="s">
        <v>5536</v>
      </c>
      <c r="F1909" t="s">
        <v>1866</v>
      </c>
    </row>
    <row r="1910" spans="1:6" x14ac:dyDescent="0.3">
      <c r="A1910" s="58" t="s">
        <v>1867</v>
      </c>
      <c r="B1910" t="s">
        <v>5393</v>
      </c>
      <c r="C1910" t="s">
        <v>4040</v>
      </c>
      <c r="D1910" t="s">
        <v>4040</v>
      </c>
      <c r="E1910" t="s">
        <v>5536</v>
      </c>
      <c r="F1910" t="s">
        <v>1867</v>
      </c>
    </row>
    <row r="1911" spans="1:6" x14ac:dyDescent="0.3">
      <c r="A1911" s="58" t="s">
        <v>1868</v>
      </c>
      <c r="B1911" t="s">
        <v>5393</v>
      </c>
      <c r="C1911" t="s">
        <v>4041</v>
      </c>
      <c r="D1911" t="s">
        <v>4041</v>
      </c>
      <c r="E1911" t="s">
        <v>5536</v>
      </c>
      <c r="F1911" t="s">
        <v>1868</v>
      </c>
    </row>
    <row r="1912" spans="1:6" x14ac:dyDescent="0.3">
      <c r="A1912" s="58" t="s">
        <v>1869</v>
      </c>
      <c r="B1912" t="s">
        <v>5393</v>
      </c>
      <c r="C1912" t="s">
        <v>4042</v>
      </c>
      <c r="D1912" t="s">
        <v>4042</v>
      </c>
      <c r="E1912" t="s">
        <v>5536</v>
      </c>
      <c r="F1912" t="s">
        <v>1869</v>
      </c>
    </row>
    <row r="1913" spans="1:6" x14ac:dyDescent="0.3">
      <c r="A1913" s="58" t="s">
        <v>1870</v>
      </c>
      <c r="B1913" t="s">
        <v>5393</v>
      </c>
      <c r="C1913" t="s">
        <v>4043</v>
      </c>
      <c r="D1913" t="s">
        <v>4043</v>
      </c>
      <c r="E1913" t="s">
        <v>5536</v>
      </c>
      <c r="F1913" t="s">
        <v>1870</v>
      </c>
    </row>
    <row r="1914" spans="1:6" x14ac:dyDescent="0.3">
      <c r="A1914" s="58" t="s">
        <v>1871</v>
      </c>
      <c r="B1914" t="s">
        <v>5393</v>
      </c>
      <c r="C1914" t="s">
        <v>4044</v>
      </c>
      <c r="D1914" t="s">
        <v>4044</v>
      </c>
      <c r="E1914" t="s">
        <v>5536</v>
      </c>
      <c r="F1914" t="s">
        <v>1871</v>
      </c>
    </row>
    <row r="1915" spans="1:6" x14ac:dyDescent="0.3">
      <c r="A1915" s="58" t="s">
        <v>1872</v>
      </c>
      <c r="B1915" t="s">
        <v>5393</v>
      </c>
      <c r="C1915" t="s">
        <v>4045</v>
      </c>
      <c r="D1915" t="s">
        <v>4045</v>
      </c>
      <c r="E1915" t="s">
        <v>5536</v>
      </c>
      <c r="F1915" t="s">
        <v>1872</v>
      </c>
    </row>
    <row r="1916" spans="1:6" x14ac:dyDescent="0.3">
      <c r="A1916" s="58" t="s">
        <v>1873</v>
      </c>
      <c r="B1916" t="s">
        <v>5393</v>
      </c>
      <c r="C1916" t="s">
        <v>4046</v>
      </c>
      <c r="D1916" t="s">
        <v>4046</v>
      </c>
      <c r="E1916" t="s">
        <v>5536</v>
      </c>
      <c r="F1916" t="s">
        <v>1873</v>
      </c>
    </row>
    <row r="1917" spans="1:6" x14ac:dyDescent="0.3">
      <c r="A1917" s="58" t="s">
        <v>1874</v>
      </c>
      <c r="B1917" t="s">
        <v>5393</v>
      </c>
      <c r="C1917" t="s">
        <v>4047</v>
      </c>
      <c r="D1917" t="s">
        <v>4047</v>
      </c>
      <c r="E1917" t="s">
        <v>5536</v>
      </c>
      <c r="F1917" t="s">
        <v>1874</v>
      </c>
    </row>
    <row r="1918" spans="1:6" x14ac:dyDescent="0.3">
      <c r="A1918" s="58" t="s">
        <v>1875</v>
      </c>
      <c r="B1918" t="s">
        <v>5393</v>
      </c>
      <c r="C1918" t="s">
        <v>4048</v>
      </c>
      <c r="D1918" t="s">
        <v>4048</v>
      </c>
      <c r="E1918" t="s">
        <v>5536</v>
      </c>
      <c r="F1918" t="s">
        <v>1875</v>
      </c>
    </row>
    <row r="1919" spans="1:6" x14ac:dyDescent="0.3">
      <c r="A1919" s="58" t="s">
        <v>1876</v>
      </c>
      <c r="B1919" t="s">
        <v>5393</v>
      </c>
      <c r="C1919" t="s">
        <v>4049</v>
      </c>
      <c r="D1919" t="s">
        <v>4049</v>
      </c>
      <c r="E1919" t="s">
        <v>5536</v>
      </c>
      <c r="F1919" t="s">
        <v>1876</v>
      </c>
    </row>
    <row r="1920" spans="1:6" x14ac:dyDescent="0.3">
      <c r="A1920" s="58" t="s">
        <v>1877</v>
      </c>
      <c r="B1920" t="s">
        <v>5393</v>
      </c>
      <c r="C1920" t="s">
        <v>4050</v>
      </c>
      <c r="D1920" t="s">
        <v>4050</v>
      </c>
      <c r="E1920" t="s">
        <v>5536</v>
      </c>
      <c r="F1920" t="s">
        <v>1877</v>
      </c>
    </row>
    <row r="1921" spans="1:6" x14ac:dyDescent="0.3">
      <c r="A1921" s="58" t="s">
        <v>1878</v>
      </c>
      <c r="B1921" t="s">
        <v>5393</v>
      </c>
      <c r="C1921" t="s">
        <v>4051</v>
      </c>
      <c r="D1921" t="s">
        <v>4051</v>
      </c>
      <c r="E1921" t="s">
        <v>5536</v>
      </c>
      <c r="F1921" t="s">
        <v>1878</v>
      </c>
    </row>
    <row r="1922" spans="1:6" x14ac:dyDescent="0.3">
      <c r="A1922" s="58" t="s">
        <v>1879</v>
      </c>
      <c r="B1922" t="s">
        <v>5393</v>
      </c>
      <c r="C1922" t="s">
        <v>4052</v>
      </c>
      <c r="D1922" t="s">
        <v>4052</v>
      </c>
      <c r="E1922" t="s">
        <v>5536</v>
      </c>
      <c r="F1922" t="s">
        <v>1879</v>
      </c>
    </row>
    <row r="1923" spans="1:6" x14ac:dyDescent="0.3">
      <c r="A1923" s="58" t="s">
        <v>1880</v>
      </c>
      <c r="B1923" t="s">
        <v>5393</v>
      </c>
      <c r="C1923" t="s">
        <v>4053</v>
      </c>
      <c r="D1923" t="s">
        <v>4053</v>
      </c>
      <c r="E1923" t="s">
        <v>5536</v>
      </c>
      <c r="F1923" t="s">
        <v>1880</v>
      </c>
    </row>
    <row r="1924" spans="1:6" x14ac:dyDescent="0.3">
      <c r="A1924" s="58" t="s">
        <v>1881</v>
      </c>
      <c r="B1924" t="s">
        <v>5389</v>
      </c>
      <c r="C1924" t="s">
        <v>5028</v>
      </c>
      <c r="D1924" t="s">
        <v>4054</v>
      </c>
      <c r="E1924" t="s">
        <v>5538</v>
      </c>
      <c r="F1924" t="s">
        <v>1881</v>
      </c>
    </row>
    <row r="1925" spans="1:6" x14ac:dyDescent="0.3">
      <c r="A1925" s="58" t="s">
        <v>1882</v>
      </c>
      <c r="B1925" t="s">
        <v>5389</v>
      </c>
      <c r="C1925" t="s">
        <v>5028</v>
      </c>
      <c r="D1925" t="s">
        <v>4055</v>
      </c>
      <c r="E1925" t="s">
        <v>5537</v>
      </c>
      <c r="F1925" t="s">
        <v>1882</v>
      </c>
    </row>
    <row r="1926" spans="1:6" x14ac:dyDescent="0.3">
      <c r="A1926" s="58" t="s">
        <v>5421</v>
      </c>
      <c r="B1926" t="s">
        <v>5389</v>
      </c>
      <c r="C1926" t="s">
        <v>5028</v>
      </c>
      <c r="D1926" t="s">
        <v>4056</v>
      </c>
      <c r="E1926" t="s">
        <v>5538</v>
      </c>
      <c r="F1926" t="s">
        <v>5421</v>
      </c>
    </row>
    <row r="1927" spans="1:6" x14ac:dyDescent="0.3">
      <c r="A1927" s="58" t="s">
        <v>5426</v>
      </c>
      <c r="B1927" t="s">
        <v>5389</v>
      </c>
      <c r="C1927" t="s">
        <v>5028</v>
      </c>
      <c r="D1927" t="s">
        <v>4057</v>
      </c>
      <c r="E1927" t="s">
        <v>5538</v>
      </c>
      <c r="F1927" t="s">
        <v>5426</v>
      </c>
    </row>
    <row r="1928" spans="1:6" x14ac:dyDescent="0.3">
      <c r="A1928" s="58" t="s">
        <v>1883</v>
      </c>
      <c r="B1928" t="s">
        <v>5389</v>
      </c>
      <c r="C1928" t="s">
        <v>5028</v>
      </c>
      <c r="D1928" t="s">
        <v>4058</v>
      </c>
      <c r="E1928" t="s">
        <v>5537</v>
      </c>
      <c r="F1928" t="s">
        <v>1883</v>
      </c>
    </row>
    <row r="1929" spans="1:6" x14ac:dyDescent="0.3">
      <c r="A1929" s="58" t="s">
        <v>5443</v>
      </c>
      <c r="B1929" t="s">
        <v>5389</v>
      </c>
      <c r="C1929" t="s">
        <v>5028</v>
      </c>
      <c r="D1929" t="s">
        <v>4059</v>
      </c>
      <c r="E1929" t="s">
        <v>5538</v>
      </c>
      <c r="F1929" t="s">
        <v>5443</v>
      </c>
    </row>
    <row r="1930" spans="1:6" x14ac:dyDescent="0.3">
      <c r="A1930" s="58" t="s">
        <v>1884</v>
      </c>
      <c r="B1930" t="s">
        <v>5389</v>
      </c>
      <c r="C1930" t="s">
        <v>5028</v>
      </c>
      <c r="D1930" t="s">
        <v>4060</v>
      </c>
      <c r="E1930" t="s">
        <v>5537</v>
      </c>
      <c r="F1930" t="s">
        <v>1884</v>
      </c>
    </row>
    <row r="1931" spans="1:6" x14ac:dyDescent="0.3">
      <c r="A1931" s="58" t="s">
        <v>5451</v>
      </c>
      <c r="B1931" t="s">
        <v>5389</v>
      </c>
      <c r="C1931" t="s">
        <v>5028</v>
      </c>
      <c r="D1931" t="s">
        <v>4061</v>
      </c>
      <c r="E1931" t="s">
        <v>5538</v>
      </c>
      <c r="F1931" t="s">
        <v>5451</v>
      </c>
    </row>
    <row r="1932" spans="1:6" x14ac:dyDescent="0.3">
      <c r="A1932" s="58" t="s">
        <v>1885</v>
      </c>
      <c r="B1932" t="s">
        <v>5389</v>
      </c>
      <c r="C1932" t="s">
        <v>5029</v>
      </c>
      <c r="D1932" t="s">
        <v>4062</v>
      </c>
      <c r="E1932" t="s">
        <v>5537</v>
      </c>
      <c r="F1932" t="s">
        <v>1885</v>
      </c>
    </row>
    <row r="1933" spans="1:6" x14ac:dyDescent="0.3">
      <c r="A1933" s="58" t="s">
        <v>1886</v>
      </c>
      <c r="B1933" t="s">
        <v>5389</v>
      </c>
      <c r="C1933" t="s">
        <v>5029</v>
      </c>
      <c r="D1933" t="s">
        <v>4063</v>
      </c>
      <c r="E1933" t="s">
        <v>5538</v>
      </c>
      <c r="F1933" t="s">
        <v>1886</v>
      </c>
    </row>
    <row r="1934" spans="1:6" x14ac:dyDescent="0.3">
      <c r="A1934" s="58" t="s">
        <v>1887</v>
      </c>
      <c r="B1934" t="s">
        <v>5389</v>
      </c>
      <c r="C1934" t="s">
        <v>5029</v>
      </c>
      <c r="D1934" t="s">
        <v>4064</v>
      </c>
      <c r="E1934" t="s">
        <v>5538</v>
      </c>
      <c r="F1934" t="s">
        <v>1887</v>
      </c>
    </row>
    <row r="1935" spans="1:6" x14ac:dyDescent="0.3">
      <c r="A1935" s="58" t="s">
        <v>1888</v>
      </c>
      <c r="B1935" t="s">
        <v>5389</v>
      </c>
      <c r="C1935" t="s">
        <v>5029</v>
      </c>
      <c r="D1935" t="s">
        <v>4065</v>
      </c>
      <c r="E1935" t="s">
        <v>5537</v>
      </c>
      <c r="F1935" t="s">
        <v>1888</v>
      </c>
    </row>
    <row r="1936" spans="1:6" x14ac:dyDescent="0.3">
      <c r="A1936" s="58" t="s">
        <v>1889</v>
      </c>
      <c r="B1936" t="s">
        <v>5389</v>
      </c>
      <c r="C1936" t="s">
        <v>5029</v>
      </c>
      <c r="D1936" t="s">
        <v>4066</v>
      </c>
      <c r="E1936" t="s">
        <v>5537</v>
      </c>
      <c r="F1936" t="s">
        <v>1889</v>
      </c>
    </row>
    <row r="1937" spans="1:6" x14ac:dyDescent="0.3">
      <c r="A1937" s="58" t="s">
        <v>1890</v>
      </c>
      <c r="B1937" t="s">
        <v>5389</v>
      </c>
      <c r="C1937" t="s">
        <v>5029</v>
      </c>
      <c r="D1937" t="s">
        <v>4067</v>
      </c>
      <c r="E1937" t="s">
        <v>5538</v>
      </c>
      <c r="F1937" t="s">
        <v>1890</v>
      </c>
    </row>
    <row r="1938" spans="1:6" x14ac:dyDescent="0.3">
      <c r="A1938" s="58" t="s">
        <v>1891</v>
      </c>
      <c r="B1938" t="s">
        <v>5389</v>
      </c>
      <c r="C1938" t="s">
        <v>5029</v>
      </c>
      <c r="D1938" t="s">
        <v>3041</v>
      </c>
      <c r="E1938" t="s">
        <v>5537</v>
      </c>
      <c r="F1938" t="s">
        <v>1891</v>
      </c>
    </row>
    <row r="1939" spans="1:6" x14ac:dyDescent="0.3">
      <c r="A1939" s="58" t="s">
        <v>1892</v>
      </c>
      <c r="B1939" t="s">
        <v>5389</v>
      </c>
      <c r="C1939" t="s">
        <v>5029</v>
      </c>
      <c r="D1939" t="s">
        <v>4068</v>
      </c>
      <c r="E1939" t="s">
        <v>5538</v>
      </c>
      <c r="F1939" t="s">
        <v>5526</v>
      </c>
    </row>
    <row r="1940" spans="1:6" x14ac:dyDescent="0.3">
      <c r="A1940" s="58" t="s">
        <v>5453</v>
      </c>
      <c r="B1940" t="s">
        <v>5389</v>
      </c>
      <c r="C1940" t="s">
        <v>5029</v>
      </c>
      <c r="D1940" t="s">
        <v>4069</v>
      </c>
      <c r="E1940" t="s">
        <v>5538</v>
      </c>
      <c r="F1940" t="s">
        <v>5453</v>
      </c>
    </row>
    <row r="1941" spans="1:6" x14ac:dyDescent="0.3">
      <c r="A1941" s="58" t="s">
        <v>1893</v>
      </c>
      <c r="B1941" t="s">
        <v>5389</v>
      </c>
      <c r="C1941" t="s">
        <v>5030</v>
      </c>
      <c r="D1941" t="s">
        <v>4070</v>
      </c>
      <c r="E1941" t="s">
        <v>5537</v>
      </c>
      <c r="F1941" t="s">
        <v>1893</v>
      </c>
    </row>
    <row r="1942" spans="1:6" x14ac:dyDescent="0.3">
      <c r="A1942" s="58" t="s">
        <v>1894</v>
      </c>
      <c r="B1942" t="s">
        <v>5389</v>
      </c>
      <c r="C1942" t="s">
        <v>5030</v>
      </c>
      <c r="D1942" t="s">
        <v>2992</v>
      </c>
      <c r="E1942" t="s">
        <v>5537</v>
      </c>
      <c r="F1942" t="s">
        <v>1894</v>
      </c>
    </row>
    <row r="1943" spans="1:6" x14ac:dyDescent="0.3">
      <c r="A1943" s="58" t="s">
        <v>1895</v>
      </c>
      <c r="B1943" t="s">
        <v>5389</v>
      </c>
      <c r="C1943" t="s">
        <v>5030</v>
      </c>
      <c r="D1943" t="s">
        <v>4071</v>
      </c>
      <c r="E1943" t="s">
        <v>5538</v>
      </c>
      <c r="F1943" t="s">
        <v>1895</v>
      </c>
    </row>
    <row r="1944" spans="1:6" x14ac:dyDescent="0.3">
      <c r="A1944" s="58" t="s">
        <v>5423</v>
      </c>
      <c r="B1944" t="s">
        <v>5389</v>
      </c>
      <c r="C1944" t="s">
        <v>5030</v>
      </c>
      <c r="D1944" t="s">
        <v>4072</v>
      </c>
      <c r="E1944" t="s">
        <v>5538</v>
      </c>
      <c r="F1944" t="s">
        <v>5423</v>
      </c>
    </row>
    <row r="1945" spans="1:6" x14ac:dyDescent="0.3">
      <c r="A1945" s="58" t="s">
        <v>1896</v>
      </c>
      <c r="B1945" t="s">
        <v>5389</v>
      </c>
      <c r="C1945" t="s">
        <v>5030</v>
      </c>
      <c r="D1945" t="s">
        <v>4073</v>
      </c>
      <c r="E1945" t="s">
        <v>5538</v>
      </c>
      <c r="F1945" t="s">
        <v>1896</v>
      </c>
    </row>
    <row r="1946" spans="1:6" x14ac:dyDescent="0.3">
      <c r="A1946" s="58" t="s">
        <v>1897</v>
      </c>
      <c r="B1946" t="s">
        <v>5389</v>
      </c>
      <c r="C1946" t="s">
        <v>5031</v>
      </c>
      <c r="D1946" t="s">
        <v>4074</v>
      </c>
      <c r="E1946" t="s">
        <v>5537</v>
      </c>
      <c r="F1946" t="s">
        <v>1897</v>
      </c>
    </row>
    <row r="1947" spans="1:6" x14ac:dyDescent="0.3">
      <c r="A1947" s="58" t="s">
        <v>1898</v>
      </c>
      <c r="B1947" t="s">
        <v>5389</v>
      </c>
      <c r="C1947" t="s">
        <v>5031</v>
      </c>
      <c r="D1947" t="s">
        <v>4075</v>
      </c>
      <c r="E1947" t="s">
        <v>5538</v>
      </c>
      <c r="F1947" t="s">
        <v>1898</v>
      </c>
    </row>
    <row r="1948" spans="1:6" x14ac:dyDescent="0.3">
      <c r="A1948" s="58" t="s">
        <v>1899</v>
      </c>
      <c r="B1948" t="s">
        <v>5389</v>
      </c>
      <c r="C1948" t="s">
        <v>5031</v>
      </c>
      <c r="D1948" t="s">
        <v>4076</v>
      </c>
      <c r="E1948" t="s">
        <v>5538</v>
      </c>
      <c r="F1948" t="s">
        <v>1899</v>
      </c>
    </row>
    <row r="1949" spans="1:6" x14ac:dyDescent="0.3">
      <c r="A1949" s="58" t="s">
        <v>1900</v>
      </c>
      <c r="B1949" t="s">
        <v>5389</v>
      </c>
      <c r="C1949" t="s">
        <v>5031</v>
      </c>
      <c r="D1949" t="s">
        <v>3667</v>
      </c>
      <c r="E1949" t="s">
        <v>5538</v>
      </c>
      <c r="F1949" t="s">
        <v>1900</v>
      </c>
    </row>
    <row r="1950" spans="1:6" x14ac:dyDescent="0.3">
      <c r="A1950" s="58" t="s">
        <v>1901</v>
      </c>
      <c r="B1950" t="s">
        <v>5389</v>
      </c>
      <c r="C1950" t="s">
        <v>5031</v>
      </c>
      <c r="D1950" t="s">
        <v>4077</v>
      </c>
      <c r="E1950" t="s">
        <v>5538</v>
      </c>
      <c r="F1950" t="s">
        <v>1901</v>
      </c>
    </row>
    <row r="1951" spans="1:6" x14ac:dyDescent="0.3">
      <c r="A1951" s="58" t="s">
        <v>1902</v>
      </c>
      <c r="B1951" t="s">
        <v>5389</v>
      </c>
      <c r="C1951" t="s">
        <v>5031</v>
      </c>
      <c r="D1951" t="s">
        <v>4078</v>
      </c>
      <c r="E1951" t="s">
        <v>5537</v>
      </c>
      <c r="F1951" t="s">
        <v>1902</v>
      </c>
    </row>
    <row r="1952" spans="1:6" x14ac:dyDescent="0.3">
      <c r="A1952" s="58" t="s">
        <v>5415</v>
      </c>
      <c r="B1952" t="s">
        <v>5389</v>
      </c>
      <c r="C1952" t="s">
        <v>5031</v>
      </c>
      <c r="D1952" t="s">
        <v>2898</v>
      </c>
      <c r="E1952" t="s">
        <v>5538</v>
      </c>
      <c r="F1952" t="s">
        <v>5415</v>
      </c>
    </row>
    <row r="1953" spans="1:6" x14ac:dyDescent="0.3">
      <c r="A1953" s="58" t="s">
        <v>1903</v>
      </c>
      <c r="B1953" t="s">
        <v>5389</v>
      </c>
      <c r="C1953" t="s">
        <v>5031</v>
      </c>
      <c r="D1953" t="s">
        <v>4079</v>
      </c>
      <c r="E1953" t="s">
        <v>5538</v>
      </c>
      <c r="F1953" t="s">
        <v>5527</v>
      </c>
    </row>
    <row r="1954" spans="1:6" x14ac:dyDescent="0.3">
      <c r="A1954" s="58" t="s">
        <v>1904</v>
      </c>
      <c r="B1954" t="s">
        <v>5389</v>
      </c>
      <c r="C1954" t="s">
        <v>5031</v>
      </c>
      <c r="D1954" t="s">
        <v>4080</v>
      </c>
      <c r="E1954" t="s">
        <v>5537</v>
      </c>
      <c r="F1954" t="s">
        <v>1904</v>
      </c>
    </row>
    <row r="1955" spans="1:6" x14ac:dyDescent="0.3">
      <c r="A1955" s="58" t="s">
        <v>1905</v>
      </c>
      <c r="B1955" t="s">
        <v>5389</v>
      </c>
      <c r="C1955" t="s">
        <v>5031</v>
      </c>
      <c r="D1955" t="s">
        <v>4081</v>
      </c>
      <c r="E1955" t="s">
        <v>5537</v>
      </c>
      <c r="F1955" t="s">
        <v>1905</v>
      </c>
    </row>
    <row r="1956" spans="1:6" x14ac:dyDescent="0.3">
      <c r="A1956" s="58" t="s">
        <v>1906</v>
      </c>
      <c r="B1956" t="s">
        <v>5389</v>
      </c>
      <c r="C1956" t="s">
        <v>5031</v>
      </c>
      <c r="D1956" t="s">
        <v>4082</v>
      </c>
      <c r="E1956" t="s">
        <v>5537</v>
      </c>
      <c r="F1956" t="s">
        <v>1906</v>
      </c>
    </row>
    <row r="1957" spans="1:6" x14ac:dyDescent="0.3">
      <c r="A1957" s="58" t="s">
        <v>5418</v>
      </c>
      <c r="B1957" t="s">
        <v>5389</v>
      </c>
      <c r="C1957" t="s">
        <v>5031</v>
      </c>
      <c r="D1957" t="s">
        <v>4083</v>
      </c>
      <c r="E1957" t="s">
        <v>5538</v>
      </c>
      <c r="F1957" t="s">
        <v>5418</v>
      </c>
    </row>
    <row r="1958" spans="1:6" x14ac:dyDescent="0.3">
      <c r="A1958" s="58" t="s">
        <v>5419</v>
      </c>
      <c r="B1958" t="s">
        <v>5389</v>
      </c>
      <c r="C1958" t="s">
        <v>5031</v>
      </c>
      <c r="D1958" t="s">
        <v>4084</v>
      </c>
      <c r="E1958" t="s">
        <v>5538</v>
      </c>
      <c r="F1958" t="s">
        <v>5419</v>
      </c>
    </row>
    <row r="1959" spans="1:6" x14ac:dyDescent="0.3">
      <c r="A1959" s="58" t="s">
        <v>1907</v>
      </c>
      <c r="B1959" t="s">
        <v>5389</v>
      </c>
      <c r="C1959" t="s">
        <v>5031</v>
      </c>
      <c r="D1959" t="s">
        <v>4085</v>
      </c>
      <c r="E1959" t="s">
        <v>5538</v>
      </c>
      <c r="F1959" t="s">
        <v>5528</v>
      </c>
    </row>
    <row r="1960" spans="1:6" x14ac:dyDescent="0.3">
      <c r="A1960" s="58" t="s">
        <v>5428</v>
      </c>
      <c r="B1960" t="s">
        <v>5389</v>
      </c>
      <c r="C1960" t="s">
        <v>5031</v>
      </c>
      <c r="D1960" t="s">
        <v>4086</v>
      </c>
      <c r="E1960" t="s">
        <v>5538</v>
      </c>
      <c r="F1960" t="s">
        <v>5428</v>
      </c>
    </row>
    <row r="1961" spans="1:6" x14ac:dyDescent="0.3">
      <c r="A1961" s="58" t="s">
        <v>1908</v>
      </c>
      <c r="B1961" t="s">
        <v>5389</v>
      </c>
      <c r="C1961" t="s">
        <v>5031</v>
      </c>
      <c r="D1961" t="s">
        <v>4087</v>
      </c>
      <c r="E1961" t="s">
        <v>5537</v>
      </c>
      <c r="F1961" t="s">
        <v>1908</v>
      </c>
    </row>
    <row r="1962" spans="1:6" x14ac:dyDescent="0.3">
      <c r="A1962" s="58" t="s">
        <v>1909</v>
      </c>
      <c r="B1962" t="s">
        <v>5389</v>
      </c>
      <c r="C1962" t="s">
        <v>5031</v>
      </c>
      <c r="D1962" t="s">
        <v>5420</v>
      </c>
      <c r="E1962" t="s">
        <v>5537</v>
      </c>
      <c r="F1962" t="s">
        <v>1909</v>
      </c>
    </row>
    <row r="1963" spans="1:6" x14ac:dyDescent="0.3">
      <c r="A1963" s="58" t="s">
        <v>1910</v>
      </c>
      <c r="B1963" t="s">
        <v>5389</v>
      </c>
      <c r="C1963" t="s">
        <v>5031</v>
      </c>
      <c r="D1963" t="s">
        <v>4088</v>
      </c>
      <c r="E1963" t="s">
        <v>5537</v>
      </c>
      <c r="F1963" t="s">
        <v>1910</v>
      </c>
    </row>
    <row r="1964" spans="1:6" x14ac:dyDescent="0.3">
      <c r="A1964" s="58" t="s">
        <v>1911</v>
      </c>
      <c r="B1964" t="s">
        <v>5389</v>
      </c>
      <c r="C1964" t="s">
        <v>5031</v>
      </c>
      <c r="D1964" t="s">
        <v>4089</v>
      </c>
      <c r="E1964" t="s">
        <v>5537</v>
      </c>
      <c r="F1964" t="s">
        <v>1911</v>
      </c>
    </row>
    <row r="1965" spans="1:6" x14ac:dyDescent="0.3">
      <c r="A1965" s="58" t="s">
        <v>1912</v>
      </c>
      <c r="B1965" t="s">
        <v>5389</v>
      </c>
      <c r="C1965" t="s">
        <v>5032</v>
      </c>
      <c r="D1965" t="s">
        <v>4090</v>
      </c>
      <c r="E1965" t="s">
        <v>5537</v>
      </c>
      <c r="F1965" t="s">
        <v>1912</v>
      </c>
    </row>
    <row r="1966" spans="1:6" x14ac:dyDescent="0.3">
      <c r="A1966" s="58" t="s">
        <v>1913</v>
      </c>
      <c r="B1966" t="s">
        <v>5389</v>
      </c>
      <c r="C1966" t="s">
        <v>5032</v>
      </c>
      <c r="D1966" t="s">
        <v>4091</v>
      </c>
      <c r="E1966" t="s">
        <v>5538</v>
      </c>
      <c r="F1966" t="s">
        <v>5529</v>
      </c>
    </row>
    <row r="1967" spans="1:6" x14ac:dyDescent="0.3">
      <c r="A1967" s="58" t="s">
        <v>1914</v>
      </c>
      <c r="B1967" t="s">
        <v>5389</v>
      </c>
      <c r="C1967" t="s">
        <v>5032</v>
      </c>
      <c r="D1967" t="s">
        <v>4092</v>
      </c>
      <c r="E1967" t="s">
        <v>5538</v>
      </c>
      <c r="F1967" t="s">
        <v>1914</v>
      </c>
    </row>
    <row r="1968" spans="1:6" x14ac:dyDescent="0.3">
      <c r="A1968" s="58" t="s">
        <v>5430</v>
      </c>
      <c r="B1968" t="s">
        <v>5389</v>
      </c>
      <c r="C1968" t="s">
        <v>5032</v>
      </c>
      <c r="D1968" t="s">
        <v>4093</v>
      </c>
      <c r="E1968" t="s">
        <v>5538</v>
      </c>
      <c r="F1968" t="s">
        <v>5430</v>
      </c>
    </row>
    <row r="1969" spans="1:6" x14ac:dyDescent="0.3">
      <c r="A1969" s="58" t="s">
        <v>1915</v>
      </c>
      <c r="B1969" t="s">
        <v>5389</v>
      </c>
      <c r="C1969" t="s">
        <v>5032</v>
      </c>
      <c r="D1969" t="s">
        <v>4094</v>
      </c>
      <c r="E1969" t="s">
        <v>5537</v>
      </c>
      <c r="F1969" t="s">
        <v>1915</v>
      </c>
    </row>
    <row r="1970" spans="1:6" x14ac:dyDescent="0.3">
      <c r="A1970" s="58" t="s">
        <v>1916</v>
      </c>
      <c r="B1970" t="s">
        <v>5389</v>
      </c>
      <c r="C1970" t="s">
        <v>5032</v>
      </c>
      <c r="D1970" t="s">
        <v>5436</v>
      </c>
      <c r="E1970" t="s">
        <v>5537</v>
      </c>
      <c r="F1970" t="s">
        <v>1916</v>
      </c>
    </row>
    <row r="1971" spans="1:6" x14ac:dyDescent="0.3">
      <c r="A1971" s="58" t="s">
        <v>1917</v>
      </c>
      <c r="B1971" t="s">
        <v>5389</v>
      </c>
      <c r="C1971" t="s">
        <v>5032</v>
      </c>
      <c r="D1971" t="s">
        <v>4095</v>
      </c>
      <c r="E1971" t="s">
        <v>5537</v>
      </c>
      <c r="F1971" t="s">
        <v>1917</v>
      </c>
    </row>
    <row r="1972" spans="1:6" x14ac:dyDescent="0.3">
      <c r="A1972" s="58" t="s">
        <v>1918</v>
      </c>
      <c r="B1972" t="s">
        <v>5389</v>
      </c>
      <c r="C1972" t="s">
        <v>5032</v>
      </c>
      <c r="D1972" t="s">
        <v>4096</v>
      </c>
      <c r="E1972" t="s">
        <v>5538</v>
      </c>
      <c r="F1972" t="s">
        <v>1918</v>
      </c>
    </row>
    <row r="1973" spans="1:6" x14ac:dyDescent="0.3">
      <c r="A1973" s="58" t="s">
        <v>1919</v>
      </c>
      <c r="B1973" t="s">
        <v>5389</v>
      </c>
      <c r="C1973" t="s">
        <v>5033</v>
      </c>
      <c r="D1973" t="s">
        <v>4097</v>
      </c>
      <c r="E1973" t="s">
        <v>5537</v>
      </c>
      <c r="F1973" t="s">
        <v>1919</v>
      </c>
    </row>
    <row r="1974" spans="1:6" x14ac:dyDescent="0.3">
      <c r="A1974" s="58" t="s">
        <v>1920</v>
      </c>
      <c r="B1974" t="s">
        <v>5389</v>
      </c>
      <c r="C1974" t="s">
        <v>5033</v>
      </c>
      <c r="D1974" t="s">
        <v>4098</v>
      </c>
      <c r="E1974" t="s">
        <v>5538</v>
      </c>
      <c r="F1974" t="s">
        <v>5467</v>
      </c>
    </row>
    <row r="1975" spans="1:6" x14ac:dyDescent="0.3">
      <c r="A1975" s="58" t="s">
        <v>1921</v>
      </c>
      <c r="B1975" t="s">
        <v>5389</v>
      </c>
      <c r="C1975" t="s">
        <v>5033</v>
      </c>
      <c r="D1975" t="s">
        <v>4099</v>
      </c>
      <c r="E1975" t="s">
        <v>5537</v>
      </c>
      <c r="F1975" t="s">
        <v>1921</v>
      </c>
    </row>
    <row r="1976" spans="1:6" x14ac:dyDescent="0.3">
      <c r="A1976" s="58" t="s">
        <v>1922</v>
      </c>
      <c r="B1976" t="s">
        <v>5389</v>
      </c>
      <c r="C1976" t="s">
        <v>5033</v>
      </c>
      <c r="D1976" t="s">
        <v>3948</v>
      </c>
      <c r="E1976" t="s">
        <v>5538</v>
      </c>
      <c r="F1976" t="s">
        <v>1922</v>
      </c>
    </row>
    <row r="1977" spans="1:6" x14ac:dyDescent="0.3">
      <c r="A1977" s="58" t="s">
        <v>1923</v>
      </c>
      <c r="B1977" t="s">
        <v>5389</v>
      </c>
      <c r="C1977" t="s">
        <v>5033</v>
      </c>
      <c r="D1977" t="s">
        <v>4100</v>
      </c>
      <c r="E1977" t="s">
        <v>5538</v>
      </c>
      <c r="F1977" t="s">
        <v>1923</v>
      </c>
    </row>
    <row r="1978" spans="1:6" x14ac:dyDescent="0.3">
      <c r="A1978" s="58" t="s">
        <v>1924</v>
      </c>
      <c r="B1978" t="s">
        <v>5389</v>
      </c>
      <c r="C1978" t="s">
        <v>5033</v>
      </c>
      <c r="D1978" t="s">
        <v>4101</v>
      </c>
      <c r="E1978" t="s">
        <v>5537</v>
      </c>
      <c r="F1978" t="s">
        <v>1924</v>
      </c>
    </row>
    <row r="1979" spans="1:6" x14ac:dyDescent="0.3">
      <c r="A1979" s="58" t="s">
        <v>1925</v>
      </c>
      <c r="B1979" t="s">
        <v>5389</v>
      </c>
      <c r="C1979" t="s">
        <v>5033</v>
      </c>
      <c r="D1979" t="s">
        <v>4102</v>
      </c>
      <c r="E1979" t="s">
        <v>5537</v>
      </c>
      <c r="F1979" t="s">
        <v>1925</v>
      </c>
    </row>
    <row r="1980" spans="1:6" x14ac:dyDescent="0.3">
      <c r="A1980" s="58" t="s">
        <v>1926</v>
      </c>
      <c r="B1980" t="s">
        <v>5389</v>
      </c>
      <c r="C1980" t="s">
        <v>5033</v>
      </c>
      <c r="D1980" t="s">
        <v>4103</v>
      </c>
      <c r="E1980" t="s">
        <v>5537</v>
      </c>
      <c r="F1980" t="s">
        <v>1926</v>
      </c>
    </row>
    <row r="1981" spans="1:6" x14ac:dyDescent="0.3">
      <c r="A1981" s="58" t="s">
        <v>1927</v>
      </c>
      <c r="B1981" t="s">
        <v>5389</v>
      </c>
      <c r="C1981" t="s">
        <v>5034</v>
      </c>
      <c r="D1981" t="s">
        <v>4104</v>
      </c>
      <c r="E1981" t="s">
        <v>5536</v>
      </c>
      <c r="F1981" t="s">
        <v>1927</v>
      </c>
    </row>
    <row r="1982" spans="1:6" x14ac:dyDescent="0.3">
      <c r="A1982" s="58" t="s">
        <v>1928</v>
      </c>
      <c r="B1982" t="s">
        <v>5389</v>
      </c>
      <c r="C1982" t="s">
        <v>5034</v>
      </c>
      <c r="D1982" t="s">
        <v>4105</v>
      </c>
      <c r="E1982" t="s">
        <v>5537</v>
      </c>
      <c r="F1982" t="s">
        <v>1928</v>
      </c>
    </row>
    <row r="1983" spans="1:6" x14ac:dyDescent="0.3">
      <c r="A1983" s="58" t="s">
        <v>1929</v>
      </c>
      <c r="B1983" t="s">
        <v>5389</v>
      </c>
      <c r="C1983" t="s">
        <v>5034</v>
      </c>
      <c r="D1983" t="s">
        <v>4106</v>
      </c>
      <c r="E1983" t="s">
        <v>5537</v>
      </c>
      <c r="F1983" t="s">
        <v>1929</v>
      </c>
    </row>
    <row r="1984" spans="1:6" x14ac:dyDescent="0.3">
      <c r="A1984" s="58" t="s">
        <v>1930</v>
      </c>
      <c r="B1984" t="s">
        <v>5389</v>
      </c>
      <c r="C1984" t="s">
        <v>5034</v>
      </c>
      <c r="D1984" t="s">
        <v>4107</v>
      </c>
      <c r="E1984" t="s">
        <v>5538</v>
      </c>
      <c r="F1984" t="s">
        <v>1930</v>
      </c>
    </row>
    <row r="1985" spans="1:6" x14ac:dyDescent="0.3">
      <c r="A1985" s="58" t="s">
        <v>1931</v>
      </c>
      <c r="B1985" t="s">
        <v>5389</v>
      </c>
      <c r="C1985" t="s">
        <v>5034</v>
      </c>
      <c r="D1985" t="s">
        <v>4108</v>
      </c>
      <c r="E1985" t="s">
        <v>5538</v>
      </c>
      <c r="F1985" t="s">
        <v>1931</v>
      </c>
    </row>
    <row r="1986" spans="1:6" x14ac:dyDescent="0.3">
      <c r="A1986" s="58" t="s">
        <v>1932</v>
      </c>
      <c r="B1986" t="s">
        <v>5389</v>
      </c>
      <c r="C1986" t="s">
        <v>5034</v>
      </c>
      <c r="D1986" t="s">
        <v>4109</v>
      </c>
      <c r="E1986" t="s">
        <v>5537</v>
      </c>
      <c r="F1986" t="s">
        <v>1932</v>
      </c>
    </row>
    <row r="1987" spans="1:6" x14ac:dyDescent="0.3">
      <c r="A1987" s="58" t="s">
        <v>1933</v>
      </c>
      <c r="B1987" t="s">
        <v>5389</v>
      </c>
      <c r="C1987" t="s">
        <v>5035</v>
      </c>
      <c r="D1987" t="s">
        <v>4110</v>
      </c>
      <c r="E1987" t="s">
        <v>5538</v>
      </c>
      <c r="F1987" t="s">
        <v>1933</v>
      </c>
    </row>
    <row r="1988" spans="1:6" x14ac:dyDescent="0.3">
      <c r="A1988" s="58" t="s">
        <v>1934</v>
      </c>
      <c r="B1988" t="s">
        <v>5389</v>
      </c>
      <c r="C1988" t="s">
        <v>5035</v>
      </c>
      <c r="D1988" t="s">
        <v>4111</v>
      </c>
      <c r="E1988" t="s">
        <v>5537</v>
      </c>
      <c r="F1988" t="s">
        <v>1934</v>
      </c>
    </row>
    <row r="1989" spans="1:6" x14ac:dyDescent="0.3">
      <c r="A1989" s="58" t="s">
        <v>1935</v>
      </c>
      <c r="B1989" t="s">
        <v>5389</v>
      </c>
      <c r="C1989" t="s">
        <v>5035</v>
      </c>
      <c r="D1989" t="s">
        <v>4112</v>
      </c>
      <c r="E1989" t="s">
        <v>5537</v>
      </c>
      <c r="F1989" t="s">
        <v>1935</v>
      </c>
    </row>
    <row r="1990" spans="1:6" x14ac:dyDescent="0.3">
      <c r="A1990" s="58" t="s">
        <v>1936</v>
      </c>
      <c r="B1990" t="s">
        <v>5389</v>
      </c>
      <c r="C1990" t="s">
        <v>5035</v>
      </c>
      <c r="D1990" t="s">
        <v>4113</v>
      </c>
      <c r="E1990" t="s">
        <v>5538</v>
      </c>
      <c r="F1990" t="s">
        <v>1936</v>
      </c>
    </row>
    <row r="1991" spans="1:6" x14ac:dyDescent="0.3">
      <c r="A1991" s="58" t="s">
        <v>1937</v>
      </c>
      <c r="B1991" t="s">
        <v>5389</v>
      </c>
      <c r="C1991" t="s">
        <v>5035</v>
      </c>
      <c r="D1991" t="s">
        <v>4114</v>
      </c>
      <c r="E1991" t="s">
        <v>5537</v>
      </c>
      <c r="F1991" t="s">
        <v>1937</v>
      </c>
    </row>
    <row r="1992" spans="1:6" x14ac:dyDescent="0.3">
      <c r="A1992" s="58" t="s">
        <v>1938</v>
      </c>
      <c r="B1992" t="s">
        <v>5389</v>
      </c>
      <c r="C1992" t="s">
        <v>5036</v>
      </c>
      <c r="D1992" t="s">
        <v>4115</v>
      </c>
      <c r="E1992" t="s">
        <v>5536</v>
      </c>
      <c r="F1992" t="s">
        <v>1938</v>
      </c>
    </row>
    <row r="1993" spans="1:6" x14ac:dyDescent="0.3">
      <c r="A1993" s="58" t="s">
        <v>1939</v>
      </c>
      <c r="B1993" t="s">
        <v>5389</v>
      </c>
      <c r="C1993" t="s">
        <v>5036</v>
      </c>
      <c r="D1993" t="s">
        <v>4116</v>
      </c>
      <c r="E1993" t="s">
        <v>5537</v>
      </c>
      <c r="F1993" t="s">
        <v>1939</v>
      </c>
    </row>
    <row r="1994" spans="1:6" x14ac:dyDescent="0.3">
      <c r="A1994" s="58" t="s">
        <v>5409</v>
      </c>
      <c r="B1994" t="s">
        <v>5389</v>
      </c>
      <c r="C1994" t="s">
        <v>5036</v>
      </c>
      <c r="D1994" t="s">
        <v>4117</v>
      </c>
      <c r="E1994" t="s">
        <v>5538</v>
      </c>
      <c r="F1994" t="s">
        <v>5409</v>
      </c>
    </row>
    <row r="1995" spans="1:6" x14ac:dyDescent="0.3">
      <c r="A1995" s="58" t="s">
        <v>1940</v>
      </c>
      <c r="B1995" t="s">
        <v>5389</v>
      </c>
      <c r="C1995" t="s">
        <v>5036</v>
      </c>
      <c r="D1995" t="s">
        <v>4118</v>
      </c>
      <c r="E1995" t="s">
        <v>5538</v>
      </c>
      <c r="F1995" t="s">
        <v>1940</v>
      </c>
    </row>
    <row r="1996" spans="1:6" x14ac:dyDescent="0.3">
      <c r="A1996" s="58" t="s">
        <v>1941</v>
      </c>
      <c r="B1996" t="s">
        <v>5389</v>
      </c>
      <c r="C1996" t="s">
        <v>5036</v>
      </c>
      <c r="D1996" t="s">
        <v>4119</v>
      </c>
      <c r="E1996" t="s">
        <v>5537</v>
      </c>
      <c r="F1996" t="s">
        <v>1941</v>
      </c>
    </row>
    <row r="1997" spans="1:6" x14ac:dyDescent="0.3">
      <c r="A1997" s="58" t="s">
        <v>1942</v>
      </c>
      <c r="B1997" t="s">
        <v>5389</v>
      </c>
      <c r="C1997" t="s">
        <v>5036</v>
      </c>
      <c r="D1997" t="s">
        <v>4120</v>
      </c>
      <c r="E1997" t="s">
        <v>5537</v>
      </c>
      <c r="F1997" t="s">
        <v>1942</v>
      </c>
    </row>
    <row r="1998" spans="1:6" x14ac:dyDescent="0.3">
      <c r="A1998" s="58" t="s">
        <v>1943</v>
      </c>
      <c r="B1998" t="s">
        <v>5389</v>
      </c>
      <c r="C1998" t="s">
        <v>5036</v>
      </c>
      <c r="D1998" t="s">
        <v>4121</v>
      </c>
      <c r="E1998" t="s">
        <v>5537</v>
      </c>
      <c r="F1998" t="s">
        <v>1943</v>
      </c>
    </row>
    <row r="1999" spans="1:6" x14ac:dyDescent="0.3">
      <c r="A1999" s="58" t="s">
        <v>1944</v>
      </c>
      <c r="B1999" t="s">
        <v>5389</v>
      </c>
      <c r="C1999" t="s">
        <v>5036</v>
      </c>
      <c r="D1999" t="s">
        <v>4122</v>
      </c>
      <c r="E1999" t="s">
        <v>5537</v>
      </c>
      <c r="F1999" t="s">
        <v>1944</v>
      </c>
    </row>
    <row r="2000" spans="1:6" x14ac:dyDescent="0.3">
      <c r="A2000" s="58" t="s">
        <v>1945</v>
      </c>
      <c r="B2000" t="s">
        <v>5389</v>
      </c>
      <c r="C2000" t="s">
        <v>5036</v>
      </c>
      <c r="D2000" t="s">
        <v>4123</v>
      </c>
      <c r="E2000" t="s">
        <v>5538</v>
      </c>
      <c r="F2000" t="s">
        <v>1945</v>
      </c>
    </row>
    <row r="2001" spans="1:6" x14ac:dyDescent="0.3">
      <c r="A2001" s="58" t="s">
        <v>1946</v>
      </c>
      <c r="B2001" t="s">
        <v>5389</v>
      </c>
      <c r="C2001" t="s">
        <v>5037</v>
      </c>
      <c r="D2001" t="s">
        <v>4124</v>
      </c>
      <c r="E2001" t="s">
        <v>5536</v>
      </c>
      <c r="F2001" t="s">
        <v>1946</v>
      </c>
    </row>
    <row r="2002" spans="1:6" x14ac:dyDescent="0.3">
      <c r="A2002" s="58" t="s">
        <v>1947</v>
      </c>
      <c r="B2002" t="s">
        <v>5389</v>
      </c>
      <c r="C2002" t="s">
        <v>5037</v>
      </c>
      <c r="D2002" t="s">
        <v>4125</v>
      </c>
      <c r="E2002" t="s">
        <v>5537</v>
      </c>
      <c r="F2002" t="s">
        <v>1947</v>
      </c>
    </row>
    <row r="2003" spans="1:6" x14ac:dyDescent="0.3">
      <c r="A2003" s="58" t="s">
        <v>1948</v>
      </c>
      <c r="B2003" t="s">
        <v>5389</v>
      </c>
      <c r="C2003" t="s">
        <v>5037</v>
      </c>
      <c r="D2003" t="s">
        <v>4126</v>
      </c>
      <c r="E2003" t="s">
        <v>5537</v>
      </c>
      <c r="F2003" t="s">
        <v>1948</v>
      </c>
    </row>
    <row r="2004" spans="1:6" x14ac:dyDescent="0.3">
      <c r="A2004" s="58" t="s">
        <v>1949</v>
      </c>
      <c r="B2004" t="s">
        <v>5389</v>
      </c>
      <c r="C2004" t="s">
        <v>5037</v>
      </c>
      <c r="D2004" t="s">
        <v>4127</v>
      </c>
      <c r="E2004" t="s">
        <v>5537</v>
      </c>
      <c r="F2004" t="s">
        <v>1949</v>
      </c>
    </row>
    <row r="2005" spans="1:6" x14ac:dyDescent="0.3">
      <c r="A2005" s="58" t="s">
        <v>1950</v>
      </c>
      <c r="B2005" t="s">
        <v>5389</v>
      </c>
      <c r="C2005" t="s">
        <v>5037</v>
      </c>
      <c r="D2005" t="s">
        <v>4128</v>
      </c>
      <c r="E2005" t="s">
        <v>5538</v>
      </c>
      <c r="F2005" t="s">
        <v>1950</v>
      </c>
    </row>
    <row r="2006" spans="1:6" x14ac:dyDescent="0.3">
      <c r="A2006" s="58" t="s">
        <v>1951</v>
      </c>
      <c r="B2006" t="s">
        <v>5389</v>
      </c>
      <c r="C2006" t="s">
        <v>5038</v>
      </c>
      <c r="D2006" t="s">
        <v>4129</v>
      </c>
      <c r="E2006" t="s">
        <v>5536</v>
      </c>
      <c r="F2006" t="s">
        <v>1951</v>
      </c>
    </row>
    <row r="2007" spans="1:6" x14ac:dyDescent="0.3">
      <c r="A2007" s="58" t="s">
        <v>1952</v>
      </c>
      <c r="B2007" t="s">
        <v>5389</v>
      </c>
      <c r="C2007" t="s">
        <v>5038</v>
      </c>
      <c r="D2007" t="s">
        <v>2920</v>
      </c>
      <c r="E2007" t="s">
        <v>5537</v>
      </c>
      <c r="F2007" t="s">
        <v>1952</v>
      </c>
    </row>
    <row r="2008" spans="1:6" x14ac:dyDescent="0.3">
      <c r="A2008" s="58" t="s">
        <v>1953</v>
      </c>
      <c r="B2008" t="s">
        <v>5389</v>
      </c>
      <c r="C2008" t="s">
        <v>5038</v>
      </c>
      <c r="D2008" t="s">
        <v>4130</v>
      </c>
      <c r="E2008" t="s">
        <v>5537</v>
      </c>
      <c r="F2008" t="s">
        <v>1953</v>
      </c>
    </row>
    <row r="2009" spans="1:6" x14ac:dyDescent="0.3">
      <c r="A2009" s="58" t="s">
        <v>1954</v>
      </c>
      <c r="B2009" t="s">
        <v>5389</v>
      </c>
      <c r="C2009" t="s">
        <v>5038</v>
      </c>
      <c r="D2009" t="s">
        <v>4131</v>
      </c>
      <c r="E2009" t="s">
        <v>5537</v>
      </c>
      <c r="F2009" t="s">
        <v>1954</v>
      </c>
    </row>
    <row r="2010" spans="1:6" x14ac:dyDescent="0.3">
      <c r="A2010" s="58" t="s">
        <v>1955</v>
      </c>
      <c r="B2010" t="s">
        <v>5389</v>
      </c>
      <c r="C2010" t="s">
        <v>5038</v>
      </c>
      <c r="D2010" t="s">
        <v>4132</v>
      </c>
      <c r="E2010" t="s">
        <v>5538</v>
      </c>
      <c r="F2010" t="s">
        <v>1955</v>
      </c>
    </row>
    <row r="2011" spans="1:6" x14ac:dyDescent="0.3">
      <c r="A2011" s="58" t="s">
        <v>1956</v>
      </c>
      <c r="B2011" t="s">
        <v>5389</v>
      </c>
      <c r="C2011" t="s">
        <v>5039</v>
      </c>
      <c r="D2011" t="s">
        <v>4133</v>
      </c>
      <c r="E2011" t="s">
        <v>5538</v>
      </c>
      <c r="F2011" t="s">
        <v>5530</v>
      </c>
    </row>
    <row r="2012" spans="1:6" x14ac:dyDescent="0.3">
      <c r="A2012" s="58" t="s">
        <v>1957</v>
      </c>
      <c r="B2012" t="s">
        <v>5389</v>
      </c>
      <c r="C2012" t="s">
        <v>5039</v>
      </c>
      <c r="D2012" t="s">
        <v>3063</v>
      </c>
      <c r="E2012" t="s">
        <v>5537</v>
      </c>
      <c r="F2012" t="s">
        <v>1957</v>
      </c>
    </row>
    <row r="2013" spans="1:6" x14ac:dyDescent="0.3">
      <c r="A2013" s="58" t="s">
        <v>5422</v>
      </c>
      <c r="B2013" t="s">
        <v>5389</v>
      </c>
      <c r="C2013" t="s">
        <v>5039</v>
      </c>
      <c r="D2013" t="s">
        <v>2478</v>
      </c>
      <c r="E2013" t="s">
        <v>5538</v>
      </c>
      <c r="F2013" t="s">
        <v>5422</v>
      </c>
    </row>
    <row r="2014" spans="1:6" x14ac:dyDescent="0.3">
      <c r="A2014" s="58" t="s">
        <v>1958</v>
      </c>
      <c r="B2014" t="s">
        <v>5389</v>
      </c>
      <c r="C2014" t="s">
        <v>5039</v>
      </c>
      <c r="D2014" t="s">
        <v>2569</v>
      </c>
      <c r="E2014" t="s">
        <v>5538</v>
      </c>
      <c r="F2014" t="s">
        <v>1958</v>
      </c>
    </row>
    <row r="2015" spans="1:6" x14ac:dyDescent="0.3">
      <c r="A2015" s="58" t="s">
        <v>1959</v>
      </c>
      <c r="B2015" t="s">
        <v>5389</v>
      </c>
      <c r="C2015" t="s">
        <v>5039</v>
      </c>
      <c r="D2015" t="s">
        <v>4134</v>
      </c>
      <c r="E2015" t="s">
        <v>5538</v>
      </c>
      <c r="F2015" t="s">
        <v>1959</v>
      </c>
    </row>
    <row r="2016" spans="1:6" x14ac:dyDescent="0.3">
      <c r="A2016" s="58" t="s">
        <v>1960</v>
      </c>
      <c r="B2016" t="s">
        <v>5389</v>
      </c>
      <c r="C2016" t="s">
        <v>5039</v>
      </c>
      <c r="D2016" t="s">
        <v>4135</v>
      </c>
      <c r="E2016" t="s">
        <v>5537</v>
      </c>
      <c r="F2016" t="s">
        <v>1960</v>
      </c>
    </row>
    <row r="2017" spans="1:6" x14ac:dyDescent="0.3">
      <c r="A2017" s="58" t="s">
        <v>1961</v>
      </c>
      <c r="B2017" t="s">
        <v>5389</v>
      </c>
      <c r="C2017" t="s">
        <v>5039</v>
      </c>
      <c r="D2017" t="s">
        <v>4136</v>
      </c>
      <c r="E2017" t="s">
        <v>5538</v>
      </c>
      <c r="F2017" t="s">
        <v>1961</v>
      </c>
    </row>
    <row r="2018" spans="1:6" x14ac:dyDescent="0.3">
      <c r="A2018" s="58" t="s">
        <v>5444</v>
      </c>
      <c r="B2018" t="s">
        <v>5389</v>
      </c>
      <c r="C2018" t="s">
        <v>5039</v>
      </c>
      <c r="D2018" t="s">
        <v>4137</v>
      </c>
      <c r="E2018" t="s">
        <v>5538</v>
      </c>
      <c r="F2018" t="s">
        <v>5444</v>
      </c>
    </row>
    <row r="2019" spans="1:6" x14ac:dyDescent="0.3">
      <c r="A2019" s="58" t="s">
        <v>1962</v>
      </c>
      <c r="B2019" t="s">
        <v>5389</v>
      </c>
      <c r="C2019" t="s">
        <v>5040</v>
      </c>
      <c r="D2019" t="s">
        <v>4138</v>
      </c>
      <c r="E2019" t="s">
        <v>5537</v>
      </c>
      <c r="F2019" t="s">
        <v>1962</v>
      </c>
    </row>
    <row r="2020" spans="1:6" x14ac:dyDescent="0.3">
      <c r="A2020" s="58" t="s">
        <v>1963</v>
      </c>
      <c r="B2020" t="s">
        <v>5389</v>
      </c>
      <c r="C2020" t="s">
        <v>5040</v>
      </c>
      <c r="D2020" t="s">
        <v>4139</v>
      </c>
      <c r="E2020" t="s">
        <v>5537</v>
      </c>
      <c r="F2020" t="s">
        <v>1963</v>
      </c>
    </row>
    <row r="2021" spans="1:6" x14ac:dyDescent="0.3">
      <c r="A2021" s="58" t="s">
        <v>1964</v>
      </c>
      <c r="B2021" t="s">
        <v>5389</v>
      </c>
      <c r="C2021" t="s">
        <v>5040</v>
      </c>
      <c r="D2021" t="s">
        <v>4140</v>
      </c>
      <c r="E2021" t="s">
        <v>5537</v>
      </c>
      <c r="F2021" t="s">
        <v>1964</v>
      </c>
    </row>
    <row r="2022" spans="1:6" x14ac:dyDescent="0.3">
      <c r="A2022" s="58" t="s">
        <v>1965</v>
      </c>
      <c r="B2022" t="s">
        <v>5389</v>
      </c>
      <c r="C2022" t="s">
        <v>5040</v>
      </c>
      <c r="D2022" t="s">
        <v>2454</v>
      </c>
      <c r="E2022" t="s">
        <v>5537</v>
      </c>
      <c r="F2022" t="s">
        <v>1965</v>
      </c>
    </row>
    <row r="2023" spans="1:6" x14ac:dyDescent="0.3">
      <c r="A2023" s="58" t="s">
        <v>1966</v>
      </c>
      <c r="B2023" t="s">
        <v>5389</v>
      </c>
      <c r="C2023" t="s">
        <v>5040</v>
      </c>
      <c r="D2023" t="s">
        <v>4141</v>
      </c>
      <c r="E2023" t="s">
        <v>5537</v>
      </c>
      <c r="F2023" t="s">
        <v>1966</v>
      </c>
    </row>
    <row r="2024" spans="1:6" x14ac:dyDescent="0.3">
      <c r="A2024" s="58" t="s">
        <v>1967</v>
      </c>
      <c r="B2024" t="s">
        <v>5389</v>
      </c>
      <c r="C2024" t="s">
        <v>5040</v>
      </c>
      <c r="D2024" t="s">
        <v>4142</v>
      </c>
      <c r="E2024" t="s">
        <v>5538</v>
      </c>
      <c r="F2024" t="s">
        <v>1967</v>
      </c>
    </row>
    <row r="2025" spans="1:6" x14ac:dyDescent="0.3">
      <c r="A2025" s="58" t="s">
        <v>1968</v>
      </c>
      <c r="B2025" t="s">
        <v>5389</v>
      </c>
      <c r="C2025" t="s">
        <v>4143</v>
      </c>
      <c r="D2025" t="s">
        <v>4143</v>
      </c>
      <c r="E2025" t="s">
        <v>5536</v>
      </c>
      <c r="F2025" t="s">
        <v>1968</v>
      </c>
    </row>
    <row r="2026" spans="1:6" x14ac:dyDescent="0.3">
      <c r="A2026" s="58" t="s">
        <v>1969</v>
      </c>
      <c r="B2026" t="s">
        <v>5391</v>
      </c>
      <c r="C2026" t="s">
        <v>5041</v>
      </c>
      <c r="D2026" t="s">
        <v>4724</v>
      </c>
      <c r="E2026" t="s">
        <v>5536</v>
      </c>
      <c r="F2026" t="s">
        <v>1969</v>
      </c>
    </row>
    <row r="2027" spans="1:6" x14ac:dyDescent="0.3">
      <c r="A2027" s="58" t="s">
        <v>1970</v>
      </c>
      <c r="B2027" t="s">
        <v>5391</v>
      </c>
      <c r="C2027" t="s">
        <v>5041</v>
      </c>
      <c r="D2027" t="s">
        <v>4725</v>
      </c>
      <c r="E2027" t="s">
        <v>5536</v>
      </c>
      <c r="F2027" t="s">
        <v>1970</v>
      </c>
    </row>
    <row r="2028" spans="1:6" x14ac:dyDescent="0.3">
      <c r="A2028" s="58" t="s">
        <v>1971</v>
      </c>
      <c r="B2028" t="s">
        <v>5391</v>
      </c>
      <c r="C2028" t="s">
        <v>5041</v>
      </c>
      <c r="D2028" t="s">
        <v>4726</v>
      </c>
      <c r="E2028" t="s">
        <v>5537</v>
      </c>
      <c r="F2028" t="s">
        <v>1971</v>
      </c>
    </row>
    <row r="2029" spans="1:6" x14ac:dyDescent="0.3">
      <c r="A2029" s="58" t="s">
        <v>1972</v>
      </c>
      <c r="B2029" t="s">
        <v>5391</v>
      </c>
      <c r="C2029" t="s">
        <v>5041</v>
      </c>
      <c r="D2029" t="s">
        <v>4144</v>
      </c>
      <c r="E2029" t="s">
        <v>5538</v>
      </c>
      <c r="F2029" t="s">
        <v>1972</v>
      </c>
    </row>
    <row r="2030" spans="1:6" x14ac:dyDescent="0.3">
      <c r="A2030" s="58" t="s">
        <v>1973</v>
      </c>
      <c r="B2030" t="s">
        <v>5391</v>
      </c>
      <c r="C2030" t="s">
        <v>5041</v>
      </c>
      <c r="D2030" t="s">
        <v>4727</v>
      </c>
      <c r="E2030" t="s">
        <v>5537</v>
      </c>
      <c r="F2030" t="s">
        <v>1973</v>
      </c>
    </row>
    <row r="2031" spans="1:6" x14ac:dyDescent="0.3">
      <c r="A2031" s="58" t="s">
        <v>1974</v>
      </c>
      <c r="B2031" t="s">
        <v>5391</v>
      </c>
      <c r="C2031" t="s">
        <v>5041</v>
      </c>
      <c r="D2031" t="s">
        <v>4145</v>
      </c>
      <c r="E2031" t="s">
        <v>5538</v>
      </c>
      <c r="F2031" t="s">
        <v>1974</v>
      </c>
    </row>
    <row r="2032" spans="1:6" x14ac:dyDescent="0.3">
      <c r="A2032" s="58" t="s">
        <v>1975</v>
      </c>
      <c r="B2032" t="s">
        <v>5391</v>
      </c>
      <c r="C2032" t="s">
        <v>5042</v>
      </c>
      <c r="D2032" t="s">
        <v>4728</v>
      </c>
      <c r="E2032" t="s">
        <v>5536</v>
      </c>
      <c r="F2032" t="s">
        <v>1975</v>
      </c>
    </row>
    <row r="2033" spans="1:6" x14ac:dyDescent="0.3">
      <c r="A2033" s="58" t="s">
        <v>1976</v>
      </c>
      <c r="B2033" t="s">
        <v>5391</v>
      </c>
      <c r="C2033" t="s">
        <v>5042</v>
      </c>
      <c r="D2033" t="s">
        <v>4729</v>
      </c>
      <c r="E2033" t="s">
        <v>5537</v>
      </c>
      <c r="F2033" t="s">
        <v>1976</v>
      </c>
    </row>
    <row r="2034" spans="1:6" x14ac:dyDescent="0.3">
      <c r="A2034" s="58" t="s">
        <v>1977</v>
      </c>
      <c r="B2034" t="s">
        <v>5391</v>
      </c>
      <c r="C2034" t="s">
        <v>5042</v>
      </c>
      <c r="D2034" t="s">
        <v>4146</v>
      </c>
      <c r="E2034" t="s">
        <v>5538</v>
      </c>
      <c r="F2034" t="s">
        <v>1977</v>
      </c>
    </row>
    <row r="2035" spans="1:6" x14ac:dyDescent="0.3">
      <c r="A2035" s="58" t="s">
        <v>1978</v>
      </c>
      <c r="B2035" t="s">
        <v>5391</v>
      </c>
      <c r="C2035" t="s">
        <v>5042</v>
      </c>
      <c r="D2035" t="s">
        <v>4147</v>
      </c>
      <c r="E2035" t="s">
        <v>5537</v>
      </c>
      <c r="F2035" t="s">
        <v>1978</v>
      </c>
    </row>
    <row r="2036" spans="1:6" x14ac:dyDescent="0.3">
      <c r="A2036" s="58" t="s">
        <v>1979</v>
      </c>
      <c r="B2036" t="s">
        <v>5391</v>
      </c>
      <c r="C2036" t="s">
        <v>5042</v>
      </c>
      <c r="D2036" t="s">
        <v>4148</v>
      </c>
      <c r="E2036" t="s">
        <v>5538</v>
      </c>
      <c r="F2036" t="s">
        <v>1979</v>
      </c>
    </row>
    <row r="2037" spans="1:6" x14ac:dyDescent="0.3">
      <c r="A2037" s="58" t="s">
        <v>1980</v>
      </c>
      <c r="B2037" t="s">
        <v>5391</v>
      </c>
      <c r="C2037" t="s">
        <v>5042</v>
      </c>
      <c r="D2037" t="s">
        <v>4149</v>
      </c>
      <c r="E2037" t="s">
        <v>5537</v>
      </c>
      <c r="F2037" t="s">
        <v>1980</v>
      </c>
    </row>
    <row r="2038" spans="1:6" x14ac:dyDescent="0.3">
      <c r="A2038" s="58" t="s">
        <v>1981</v>
      </c>
      <c r="B2038" t="s">
        <v>5391</v>
      </c>
      <c r="C2038" t="s">
        <v>5042</v>
      </c>
      <c r="D2038" t="s">
        <v>4150</v>
      </c>
      <c r="E2038" t="s">
        <v>5537</v>
      </c>
      <c r="F2038" t="s">
        <v>1981</v>
      </c>
    </row>
    <row r="2039" spans="1:6" x14ac:dyDescent="0.3">
      <c r="A2039" s="58" t="s">
        <v>1982</v>
      </c>
      <c r="B2039" t="s">
        <v>5391</v>
      </c>
      <c r="C2039" t="s">
        <v>5043</v>
      </c>
      <c r="D2039" t="s">
        <v>4730</v>
      </c>
      <c r="E2039" t="s">
        <v>5536</v>
      </c>
      <c r="F2039" t="s">
        <v>1982</v>
      </c>
    </row>
    <row r="2040" spans="1:6" x14ac:dyDescent="0.3">
      <c r="A2040" s="58" t="s">
        <v>1983</v>
      </c>
      <c r="B2040" t="s">
        <v>5391</v>
      </c>
      <c r="C2040" t="s">
        <v>5043</v>
      </c>
      <c r="D2040" t="s">
        <v>4731</v>
      </c>
      <c r="E2040" t="s">
        <v>5537</v>
      </c>
      <c r="F2040" t="s">
        <v>1983</v>
      </c>
    </row>
    <row r="2041" spans="1:6" x14ac:dyDescent="0.3">
      <c r="A2041" s="58" t="s">
        <v>1984</v>
      </c>
      <c r="B2041" t="s">
        <v>5391</v>
      </c>
      <c r="C2041" t="s">
        <v>5043</v>
      </c>
      <c r="D2041" t="s">
        <v>4151</v>
      </c>
      <c r="E2041" t="s">
        <v>5537</v>
      </c>
      <c r="F2041" t="s">
        <v>1984</v>
      </c>
    </row>
    <row r="2042" spans="1:6" x14ac:dyDescent="0.3">
      <c r="A2042" s="58" t="s">
        <v>1985</v>
      </c>
      <c r="B2042" t="s">
        <v>5391</v>
      </c>
      <c r="C2042" t="s">
        <v>5043</v>
      </c>
      <c r="D2042" t="s">
        <v>4152</v>
      </c>
      <c r="E2042" t="s">
        <v>5538</v>
      </c>
      <c r="F2042" t="s">
        <v>1985</v>
      </c>
    </row>
    <row r="2043" spans="1:6" x14ac:dyDescent="0.3">
      <c r="A2043" s="58" t="s">
        <v>1986</v>
      </c>
      <c r="B2043" t="s">
        <v>5391</v>
      </c>
      <c r="C2043" t="s">
        <v>5043</v>
      </c>
      <c r="D2043" t="s">
        <v>4153</v>
      </c>
      <c r="E2043" t="s">
        <v>5537</v>
      </c>
      <c r="F2043" t="s">
        <v>1986</v>
      </c>
    </row>
    <row r="2044" spans="1:6" x14ac:dyDescent="0.3">
      <c r="A2044" s="58" t="s">
        <v>1987</v>
      </c>
      <c r="B2044" t="s">
        <v>5391</v>
      </c>
      <c r="C2044" t="s">
        <v>5043</v>
      </c>
      <c r="D2044" t="s">
        <v>3444</v>
      </c>
      <c r="E2044" t="s">
        <v>5537</v>
      </c>
      <c r="F2044" t="s">
        <v>1987</v>
      </c>
    </row>
    <row r="2045" spans="1:6" x14ac:dyDescent="0.3">
      <c r="A2045" s="58" t="s">
        <v>1988</v>
      </c>
      <c r="B2045" t="s">
        <v>5391</v>
      </c>
      <c r="C2045" t="s">
        <v>5044</v>
      </c>
      <c r="D2045" t="s">
        <v>4154</v>
      </c>
      <c r="E2045" t="s">
        <v>5537</v>
      </c>
      <c r="F2045" t="s">
        <v>1988</v>
      </c>
    </row>
    <row r="2046" spans="1:6" x14ac:dyDescent="0.3">
      <c r="A2046" s="58" t="s">
        <v>1989</v>
      </c>
      <c r="B2046" t="s">
        <v>5391</v>
      </c>
      <c r="C2046" t="s">
        <v>5044</v>
      </c>
      <c r="D2046" t="s">
        <v>4155</v>
      </c>
      <c r="E2046" t="s">
        <v>5537</v>
      </c>
      <c r="F2046" t="s">
        <v>1989</v>
      </c>
    </row>
    <row r="2047" spans="1:6" x14ac:dyDescent="0.3">
      <c r="A2047" s="58" t="s">
        <v>1990</v>
      </c>
      <c r="B2047" t="s">
        <v>5391</v>
      </c>
      <c r="C2047" t="s">
        <v>5044</v>
      </c>
      <c r="D2047" t="s">
        <v>4156</v>
      </c>
      <c r="E2047" t="s">
        <v>5537</v>
      </c>
      <c r="F2047" t="s">
        <v>1990</v>
      </c>
    </row>
    <row r="2048" spans="1:6" x14ac:dyDescent="0.3">
      <c r="A2048" s="58" t="s">
        <v>1991</v>
      </c>
      <c r="B2048" t="s">
        <v>5391</v>
      </c>
      <c r="C2048" t="s">
        <v>5044</v>
      </c>
      <c r="D2048" t="s">
        <v>4157</v>
      </c>
      <c r="E2048" t="s">
        <v>5537</v>
      </c>
      <c r="F2048" t="s">
        <v>1991</v>
      </c>
    </row>
    <row r="2049" spans="1:6" x14ac:dyDescent="0.3">
      <c r="A2049" s="58" t="s">
        <v>1992</v>
      </c>
      <c r="B2049" t="s">
        <v>5391</v>
      </c>
      <c r="C2049" t="s">
        <v>5044</v>
      </c>
      <c r="D2049" t="s">
        <v>4158</v>
      </c>
      <c r="E2049" t="s">
        <v>5537</v>
      </c>
      <c r="F2049" t="s">
        <v>1992</v>
      </c>
    </row>
    <row r="2050" spans="1:6" x14ac:dyDescent="0.3">
      <c r="A2050" s="58" t="s">
        <v>1993</v>
      </c>
      <c r="B2050" t="s">
        <v>5391</v>
      </c>
      <c r="C2050" t="s">
        <v>5044</v>
      </c>
      <c r="D2050" t="s">
        <v>4159</v>
      </c>
      <c r="E2050" t="s">
        <v>5538</v>
      </c>
      <c r="F2050" t="s">
        <v>1993</v>
      </c>
    </row>
    <row r="2051" spans="1:6" x14ac:dyDescent="0.3">
      <c r="A2051" s="58" t="s">
        <v>1994</v>
      </c>
      <c r="B2051" t="s">
        <v>5391</v>
      </c>
      <c r="C2051" t="s">
        <v>5044</v>
      </c>
      <c r="D2051" t="s">
        <v>4160</v>
      </c>
      <c r="E2051" t="s">
        <v>5538</v>
      </c>
      <c r="F2051" t="s">
        <v>1994</v>
      </c>
    </row>
    <row r="2052" spans="1:6" x14ac:dyDescent="0.3">
      <c r="A2052" s="58" t="s">
        <v>1995</v>
      </c>
      <c r="B2052" t="s">
        <v>5391</v>
      </c>
      <c r="C2052" t="s">
        <v>5044</v>
      </c>
      <c r="D2052" t="s">
        <v>4161</v>
      </c>
      <c r="E2052" t="s">
        <v>5537</v>
      </c>
      <c r="F2052" t="s">
        <v>1995</v>
      </c>
    </row>
    <row r="2053" spans="1:6" x14ac:dyDescent="0.3">
      <c r="A2053" s="58" t="s">
        <v>1996</v>
      </c>
      <c r="B2053" t="s">
        <v>5391</v>
      </c>
      <c r="C2053" t="s">
        <v>5044</v>
      </c>
      <c r="D2053" t="s">
        <v>4162</v>
      </c>
      <c r="E2053" t="s">
        <v>5538</v>
      </c>
      <c r="F2053" t="s">
        <v>1996</v>
      </c>
    </row>
    <row r="2054" spans="1:6" x14ac:dyDescent="0.3">
      <c r="A2054" s="58" t="s">
        <v>1997</v>
      </c>
      <c r="B2054" t="s">
        <v>5391</v>
      </c>
      <c r="C2054" t="s">
        <v>5045</v>
      </c>
      <c r="D2054" t="s">
        <v>4732</v>
      </c>
      <c r="E2054" t="s">
        <v>5536</v>
      </c>
      <c r="F2054" t="s">
        <v>1997</v>
      </c>
    </row>
    <row r="2055" spans="1:6" x14ac:dyDescent="0.3">
      <c r="A2055" s="58" t="s">
        <v>1998</v>
      </c>
      <c r="B2055" t="s">
        <v>5391</v>
      </c>
      <c r="C2055" t="s">
        <v>5045</v>
      </c>
      <c r="D2055" t="s">
        <v>4733</v>
      </c>
      <c r="E2055" t="s">
        <v>5537</v>
      </c>
      <c r="F2055" t="s">
        <v>1998</v>
      </c>
    </row>
    <row r="2056" spans="1:6" x14ac:dyDescent="0.3">
      <c r="A2056" s="58" t="s">
        <v>1999</v>
      </c>
      <c r="B2056" t="s">
        <v>5391</v>
      </c>
      <c r="C2056" t="s">
        <v>5045</v>
      </c>
      <c r="D2056" t="s">
        <v>4163</v>
      </c>
      <c r="E2056" t="s">
        <v>5537</v>
      </c>
      <c r="F2056" t="s">
        <v>1999</v>
      </c>
    </row>
    <row r="2057" spans="1:6" x14ac:dyDescent="0.3">
      <c r="A2057" s="58" t="s">
        <v>2000</v>
      </c>
      <c r="B2057" t="s">
        <v>5391</v>
      </c>
      <c r="C2057" t="s">
        <v>5045</v>
      </c>
      <c r="D2057" t="s">
        <v>4164</v>
      </c>
      <c r="E2057" t="s">
        <v>5537</v>
      </c>
      <c r="F2057" t="s">
        <v>2000</v>
      </c>
    </row>
    <row r="2058" spans="1:6" x14ac:dyDescent="0.3">
      <c r="A2058" s="58" t="s">
        <v>2001</v>
      </c>
      <c r="B2058" t="s">
        <v>5391</v>
      </c>
      <c r="C2058" t="s">
        <v>5045</v>
      </c>
      <c r="D2058" t="s">
        <v>4165</v>
      </c>
      <c r="E2058" t="s">
        <v>5537</v>
      </c>
      <c r="F2058" t="s">
        <v>2001</v>
      </c>
    </row>
    <row r="2059" spans="1:6" x14ac:dyDescent="0.3">
      <c r="A2059" s="58" t="s">
        <v>2002</v>
      </c>
      <c r="B2059" t="s">
        <v>5391</v>
      </c>
      <c r="C2059" t="s">
        <v>5046</v>
      </c>
      <c r="D2059" t="s">
        <v>4734</v>
      </c>
      <c r="E2059" t="s">
        <v>5536</v>
      </c>
      <c r="F2059" t="s">
        <v>2002</v>
      </c>
    </row>
    <row r="2060" spans="1:6" x14ac:dyDescent="0.3">
      <c r="A2060" s="58" t="s">
        <v>2003</v>
      </c>
      <c r="B2060" t="s">
        <v>5391</v>
      </c>
      <c r="C2060" t="s">
        <v>5046</v>
      </c>
      <c r="D2060" t="s">
        <v>4735</v>
      </c>
      <c r="E2060" t="s">
        <v>5537</v>
      </c>
      <c r="F2060" t="s">
        <v>2003</v>
      </c>
    </row>
    <row r="2061" spans="1:6" x14ac:dyDescent="0.3">
      <c r="A2061" s="58" t="s">
        <v>2004</v>
      </c>
      <c r="B2061" t="s">
        <v>5391</v>
      </c>
      <c r="C2061" t="s">
        <v>5046</v>
      </c>
      <c r="D2061" t="s">
        <v>4166</v>
      </c>
      <c r="E2061" t="s">
        <v>5537</v>
      </c>
      <c r="F2061" t="s">
        <v>2004</v>
      </c>
    </row>
    <row r="2062" spans="1:6" x14ac:dyDescent="0.3">
      <c r="A2062" s="58" t="s">
        <v>2005</v>
      </c>
      <c r="B2062" t="s">
        <v>5391</v>
      </c>
      <c r="C2062" t="s">
        <v>5046</v>
      </c>
      <c r="D2062" t="s">
        <v>4167</v>
      </c>
      <c r="E2062" t="s">
        <v>5537</v>
      </c>
      <c r="F2062" t="s">
        <v>2005</v>
      </c>
    </row>
    <row r="2063" spans="1:6" x14ac:dyDescent="0.3">
      <c r="A2063" s="58" t="s">
        <v>2006</v>
      </c>
      <c r="B2063" t="s">
        <v>5391</v>
      </c>
      <c r="C2063" t="s">
        <v>5046</v>
      </c>
      <c r="D2063" t="s">
        <v>4168</v>
      </c>
      <c r="E2063" t="s">
        <v>5538</v>
      </c>
      <c r="F2063" t="s">
        <v>2006</v>
      </c>
    </row>
    <row r="2064" spans="1:6" x14ac:dyDescent="0.3">
      <c r="A2064" s="58" t="s">
        <v>2007</v>
      </c>
      <c r="B2064" t="s">
        <v>5391</v>
      </c>
      <c r="C2064" t="s">
        <v>5046</v>
      </c>
      <c r="D2064" t="s">
        <v>4169</v>
      </c>
      <c r="E2064" t="s">
        <v>5537</v>
      </c>
      <c r="F2064" t="s">
        <v>2007</v>
      </c>
    </row>
    <row r="2065" spans="1:6" x14ac:dyDescent="0.3">
      <c r="A2065" s="58" t="s">
        <v>2008</v>
      </c>
      <c r="B2065" t="s">
        <v>5391</v>
      </c>
      <c r="C2065" t="s">
        <v>5047</v>
      </c>
      <c r="D2065" t="s">
        <v>4736</v>
      </c>
      <c r="E2065" t="s">
        <v>5536</v>
      </c>
      <c r="F2065" t="s">
        <v>2008</v>
      </c>
    </row>
    <row r="2066" spans="1:6" x14ac:dyDescent="0.3">
      <c r="A2066" s="58" t="s">
        <v>2009</v>
      </c>
      <c r="B2066" t="s">
        <v>5391</v>
      </c>
      <c r="C2066" t="s">
        <v>5047</v>
      </c>
      <c r="D2066" t="s">
        <v>4737</v>
      </c>
      <c r="E2066" t="s">
        <v>5536</v>
      </c>
      <c r="F2066" t="s">
        <v>2009</v>
      </c>
    </row>
    <row r="2067" spans="1:6" x14ac:dyDescent="0.3">
      <c r="A2067" s="58" t="s">
        <v>2010</v>
      </c>
      <c r="B2067" t="s">
        <v>5391</v>
      </c>
      <c r="C2067" t="s">
        <v>5047</v>
      </c>
      <c r="D2067" t="s">
        <v>4738</v>
      </c>
      <c r="E2067" t="s">
        <v>5537</v>
      </c>
      <c r="F2067" t="s">
        <v>2010</v>
      </c>
    </row>
    <row r="2068" spans="1:6" x14ac:dyDescent="0.3">
      <c r="A2068" s="58" t="s">
        <v>2011</v>
      </c>
      <c r="B2068" t="s">
        <v>5391</v>
      </c>
      <c r="C2068" t="s">
        <v>5047</v>
      </c>
      <c r="D2068" t="s">
        <v>4170</v>
      </c>
      <c r="E2068" t="s">
        <v>5538</v>
      </c>
      <c r="F2068" t="s">
        <v>2011</v>
      </c>
    </row>
    <row r="2069" spans="1:6" x14ac:dyDescent="0.3">
      <c r="A2069" s="58" t="s">
        <v>2012</v>
      </c>
      <c r="B2069" t="s">
        <v>5391</v>
      </c>
      <c r="C2069" t="s">
        <v>5047</v>
      </c>
      <c r="D2069" t="s">
        <v>4739</v>
      </c>
      <c r="E2069" t="s">
        <v>5537</v>
      </c>
      <c r="F2069" t="s">
        <v>2012</v>
      </c>
    </row>
    <row r="2070" spans="1:6" x14ac:dyDescent="0.3">
      <c r="A2070" s="58" t="s">
        <v>2013</v>
      </c>
      <c r="B2070" t="s">
        <v>5391</v>
      </c>
      <c r="C2070" t="s">
        <v>5047</v>
      </c>
      <c r="D2070" t="s">
        <v>4171</v>
      </c>
      <c r="E2070" t="s">
        <v>5538</v>
      </c>
      <c r="F2070" t="s">
        <v>2013</v>
      </c>
    </row>
    <row r="2071" spans="1:6" x14ac:dyDescent="0.3">
      <c r="A2071" s="58" t="s">
        <v>2014</v>
      </c>
      <c r="B2071" t="s">
        <v>5391</v>
      </c>
      <c r="C2071" t="s">
        <v>5047</v>
      </c>
      <c r="D2071" t="s">
        <v>4172</v>
      </c>
      <c r="E2071" t="s">
        <v>5538</v>
      </c>
      <c r="F2071" t="s">
        <v>2014</v>
      </c>
    </row>
    <row r="2072" spans="1:6" x14ac:dyDescent="0.3">
      <c r="A2072" s="58" t="s">
        <v>2015</v>
      </c>
      <c r="B2072" t="s">
        <v>5391</v>
      </c>
      <c r="C2072" t="s">
        <v>5048</v>
      </c>
      <c r="D2072" t="s">
        <v>4740</v>
      </c>
      <c r="E2072" t="s">
        <v>5536</v>
      </c>
      <c r="F2072" t="s">
        <v>2015</v>
      </c>
    </row>
    <row r="2073" spans="1:6" x14ac:dyDescent="0.3">
      <c r="A2073" s="58" t="s">
        <v>2016</v>
      </c>
      <c r="B2073" t="s">
        <v>5391</v>
      </c>
      <c r="C2073" t="s">
        <v>5048</v>
      </c>
      <c r="D2073" t="s">
        <v>4173</v>
      </c>
      <c r="E2073" t="s">
        <v>5537</v>
      </c>
      <c r="F2073" t="s">
        <v>2016</v>
      </c>
    </row>
    <row r="2074" spans="1:6" x14ac:dyDescent="0.3">
      <c r="A2074" s="58" t="s">
        <v>2017</v>
      </c>
      <c r="B2074" t="s">
        <v>5391</v>
      </c>
      <c r="C2074" t="s">
        <v>5048</v>
      </c>
      <c r="D2074" t="s">
        <v>4741</v>
      </c>
      <c r="E2074" t="s">
        <v>5537</v>
      </c>
      <c r="F2074" t="s">
        <v>2017</v>
      </c>
    </row>
    <row r="2075" spans="1:6" x14ac:dyDescent="0.3">
      <c r="A2075" s="58" t="s">
        <v>2018</v>
      </c>
      <c r="B2075" t="s">
        <v>5391</v>
      </c>
      <c r="C2075" t="s">
        <v>5048</v>
      </c>
      <c r="D2075" t="s">
        <v>4174</v>
      </c>
      <c r="E2075" t="s">
        <v>5538</v>
      </c>
      <c r="F2075" t="s">
        <v>2018</v>
      </c>
    </row>
    <row r="2076" spans="1:6" x14ac:dyDescent="0.3">
      <c r="A2076" s="58" t="s">
        <v>2019</v>
      </c>
      <c r="B2076" t="s">
        <v>5391</v>
      </c>
      <c r="C2076" t="s">
        <v>5048</v>
      </c>
      <c r="D2076" t="s">
        <v>4175</v>
      </c>
      <c r="E2076" t="s">
        <v>5538</v>
      </c>
      <c r="F2076" t="s">
        <v>2019</v>
      </c>
    </row>
    <row r="2077" spans="1:6" x14ac:dyDescent="0.3">
      <c r="A2077" s="58" t="s">
        <v>2020</v>
      </c>
      <c r="B2077" t="s">
        <v>5391</v>
      </c>
      <c r="C2077" t="s">
        <v>5048</v>
      </c>
      <c r="D2077" t="s">
        <v>4176</v>
      </c>
      <c r="E2077" t="s">
        <v>5537</v>
      </c>
      <c r="F2077" t="s">
        <v>2020</v>
      </c>
    </row>
    <row r="2078" spans="1:6" x14ac:dyDescent="0.3">
      <c r="A2078" s="58" t="s">
        <v>2021</v>
      </c>
      <c r="B2078" t="s">
        <v>5391</v>
      </c>
      <c r="C2078" t="s">
        <v>5049</v>
      </c>
      <c r="D2078" t="s">
        <v>4742</v>
      </c>
      <c r="E2078" t="s">
        <v>5536</v>
      </c>
      <c r="F2078" t="s">
        <v>2021</v>
      </c>
    </row>
    <row r="2079" spans="1:6" x14ac:dyDescent="0.3">
      <c r="A2079" s="58" t="s">
        <v>2022</v>
      </c>
      <c r="B2079" t="s">
        <v>5391</v>
      </c>
      <c r="C2079" t="s">
        <v>5049</v>
      </c>
      <c r="D2079" t="s">
        <v>4177</v>
      </c>
      <c r="E2079" t="s">
        <v>5537</v>
      </c>
      <c r="F2079" t="s">
        <v>2022</v>
      </c>
    </row>
    <row r="2080" spans="1:6" x14ac:dyDescent="0.3">
      <c r="A2080" s="58" t="s">
        <v>2023</v>
      </c>
      <c r="B2080" t="s">
        <v>5391</v>
      </c>
      <c r="C2080" t="s">
        <v>5049</v>
      </c>
      <c r="D2080" t="s">
        <v>4743</v>
      </c>
      <c r="E2080" t="s">
        <v>5537</v>
      </c>
      <c r="F2080" t="s">
        <v>2023</v>
      </c>
    </row>
    <row r="2081" spans="1:6" x14ac:dyDescent="0.3">
      <c r="A2081" s="58" t="s">
        <v>2024</v>
      </c>
      <c r="B2081" t="s">
        <v>5391</v>
      </c>
      <c r="C2081" t="s">
        <v>5049</v>
      </c>
      <c r="D2081" t="s">
        <v>4178</v>
      </c>
      <c r="E2081" t="s">
        <v>5537</v>
      </c>
      <c r="F2081" t="s">
        <v>2024</v>
      </c>
    </row>
    <row r="2082" spans="1:6" x14ac:dyDescent="0.3">
      <c r="A2082" s="58" t="s">
        <v>2025</v>
      </c>
      <c r="B2082" t="s">
        <v>5391</v>
      </c>
      <c r="C2082" t="s">
        <v>5049</v>
      </c>
      <c r="D2082" t="s">
        <v>4179</v>
      </c>
      <c r="E2082" t="s">
        <v>5538</v>
      </c>
      <c r="F2082" t="s">
        <v>2025</v>
      </c>
    </row>
    <row r="2083" spans="1:6" x14ac:dyDescent="0.3">
      <c r="A2083" s="58" t="s">
        <v>2026</v>
      </c>
      <c r="B2083" t="s">
        <v>5391</v>
      </c>
      <c r="C2083" t="s">
        <v>5050</v>
      </c>
      <c r="D2083" t="s">
        <v>4744</v>
      </c>
      <c r="E2083" t="s">
        <v>5536</v>
      </c>
      <c r="F2083" t="s">
        <v>2026</v>
      </c>
    </row>
    <row r="2084" spans="1:6" x14ac:dyDescent="0.3">
      <c r="A2084" s="58" t="s">
        <v>2027</v>
      </c>
      <c r="B2084" t="s">
        <v>5391</v>
      </c>
      <c r="C2084" t="s">
        <v>5050</v>
      </c>
      <c r="D2084" t="s">
        <v>4180</v>
      </c>
      <c r="E2084" t="s">
        <v>5538</v>
      </c>
      <c r="F2084" t="s">
        <v>2027</v>
      </c>
    </row>
    <row r="2085" spans="1:6" x14ac:dyDescent="0.3">
      <c r="A2085" s="58" t="s">
        <v>2028</v>
      </c>
      <c r="B2085" t="s">
        <v>5391</v>
      </c>
      <c r="C2085" t="s">
        <v>5050</v>
      </c>
      <c r="D2085" t="s">
        <v>4745</v>
      </c>
      <c r="E2085" t="s">
        <v>5537</v>
      </c>
      <c r="F2085" t="s">
        <v>2028</v>
      </c>
    </row>
    <row r="2086" spans="1:6" x14ac:dyDescent="0.3">
      <c r="A2086" s="58" t="s">
        <v>2029</v>
      </c>
      <c r="B2086" t="s">
        <v>5391</v>
      </c>
      <c r="C2086" t="s">
        <v>5050</v>
      </c>
      <c r="D2086" t="s">
        <v>4181</v>
      </c>
      <c r="E2086" t="s">
        <v>5537</v>
      </c>
      <c r="F2086" t="s">
        <v>2029</v>
      </c>
    </row>
    <row r="2087" spans="1:6" x14ac:dyDescent="0.3">
      <c r="A2087" s="58" t="s">
        <v>2030</v>
      </c>
      <c r="B2087" t="s">
        <v>5391</v>
      </c>
      <c r="C2087" t="s">
        <v>5050</v>
      </c>
      <c r="D2087" t="s">
        <v>4182</v>
      </c>
      <c r="E2087" t="s">
        <v>5537</v>
      </c>
      <c r="F2087" t="s">
        <v>2030</v>
      </c>
    </row>
    <row r="2088" spans="1:6" x14ac:dyDescent="0.3">
      <c r="A2088" s="58" t="s">
        <v>2031</v>
      </c>
      <c r="B2088" t="s">
        <v>5391</v>
      </c>
      <c r="C2088" t="s">
        <v>5051</v>
      </c>
      <c r="D2088" t="s">
        <v>4183</v>
      </c>
      <c r="E2088" t="s">
        <v>5537</v>
      </c>
      <c r="F2088" t="s">
        <v>2031</v>
      </c>
    </row>
    <row r="2089" spans="1:6" x14ac:dyDescent="0.3">
      <c r="A2089" s="58" t="s">
        <v>2032</v>
      </c>
      <c r="B2089" t="s">
        <v>5391</v>
      </c>
      <c r="C2089" t="s">
        <v>5051</v>
      </c>
      <c r="D2089" t="s">
        <v>4184</v>
      </c>
      <c r="E2089" t="s">
        <v>5537</v>
      </c>
      <c r="F2089" t="s">
        <v>2032</v>
      </c>
    </row>
    <row r="2090" spans="1:6" x14ac:dyDescent="0.3">
      <c r="A2090" s="58" t="s">
        <v>2033</v>
      </c>
      <c r="B2090" t="s">
        <v>5391</v>
      </c>
      <c r="C2090" t="s">
        <v>5051</v>
      </c>
      <c r="D2090" t="s">
        <v>4185</v>
      </c>
      <c r="E2090" t="s">
        <v>5537</v>
      </c>
      <c r="F2090" t="s">
        <v>2033</v>
      </c>
    </row>
    <row r="2091" spans="1:6" x14ac:dyDescent="0.3">
      <c r="A2091" s="58" t="s">
        <v>2034</v>
      </c>
      <c r="B2091" t="s">
        <v>5391</v>
      </c>
      <c r="C2091" t="s">
        <v>5051</v>
      </c>
      <c r="D2091" t="s">
        <v>4186</v>
      </c>
      <c r="E2091" t="s">
        <v>5538</v>
      </c>
      <c r="F2091" t="s">
        <v>2034</v>
      </c>
    </row>
    <row r="2092" spans="1:6" x14ac:dyDescent="0.3">
      <c r="A2092" s="58" t="s">
        <v>2035</v>
      </c>
      <c r="B2092" t="s">
        <v>5391</v>
      </c>
      <c r="C2092" t="s">
        <v>5052</v>
      </c>
      <c r="D2092" t="s">
        <v>5612</v>
      </c>
      <c r="E2092" t="s">
        <v>5536</v>
      </c>
      <c r="F2092" t="s">
        <v>2035</v>
      </c>
    </row>
    <row r="2093" spans="1:6" x14ac:dyDescent="0.3">
      <c r="A2093" s="58" t="s">
        <v>2036</v>
      </c>
      <c r="B2093" t="s">
        <v>5391</v>
      </c>
      <c r="C2093" t="s">
        <v>5052</v>
      </c>
      <c r="D2093" t="s">
        <v>4187</v>
      </c>
      <c r="E2093" t="s">
        <v>5537</v>
      </c>
      <c r="F2093" t="s">
        <v>2036</v>
      </c>
    </row>
    <row r="2094" spans="1:6" x14ac:dyDescent="0.3">
      <c r="A2094" s="58" t="s">
        <v>2037</v>
      </c>
      <c r="B2094" t="s">
        <v>5391</v>
      </c>
      <c r="C2094" t="s">
        <v>5052</v>
      </c>
      <c r="D2094" t="s">
        <v>4188</v>
      </c>
      <c r="E2094" t="s">
        <v>5537</v>
      </c>
      <c r="F2094" t="s">
        <v>2037</v>
      </c>
    </row>
    <row r="2095" spans="1:6" x14ac:dyDescent="0.3">
      <c r="A2095" s="58" t="s">
        <v>2038</v>
      </c>
      <c r="B2095" t="s">
        <v>5391</v>
      </c>
      <c r="C2095" t="s">
        <v>5052</v>
      </c>
      <c r="D2095" t="s">
        <v>4189</v>
      </c>
      <c r="E2095" t="s">
        <v>5537</v>
      </c>
      <c r="F2095" t="s">
        <v>2038</v>
      </c>
    </row>
    <row r="2096" spans="1:6" x14ac:dyDescent="0.3">
      <c r="A2096" s="58" t="s">
        <v>2039</v>
      </c>
      <c r="B2096" t="s">
        <v>5391</v>
      </c>
      <c r="C2096" t="s">
        <v>5052</v>
      </c>
      <c r="D2096" t="s">
        <v>5611</v>
      </c>
      <c r="E2096" t="s">
        <v>5537</v>
      </c>
      <c r="F2096" t="s">
        <v>2039</v>
      </c>
    </row>
    <row r="2097" spans="1:6" x14ac:dyDescent="0.3">
      <c r="A2097" s="58" t="s">
        <v>2040</v>
      </c>
      <c r="B2097" t="s">
        <v>5391</v>
      </c>
      <c r="C2097" t="s">
        <v>5053</v>
      </c>
      <c r="D2097" t="s">
        <v>4190</v>
      </c>
      <c r="E2097" t="s">
        <v>5537</v>
      </c>
      <c r="F2097" t="s">
        <v>2040</v>
      </c>
    </row>
    <row r="2098" spans="1:6" x14ac:dyDescent="0.3">
      <c r="A2098" s="58" t="s">
        <v>2041</v>
      </c>
      <c r="B2098" t="s">
        <v>5391</v>
      </c>
      <c r="C2098" t="s">
        <v>5053</v>
      </c>
      <c r="D2098" t="s">
        <v>4191</v>
      </c>
      <c r="E2098" t="s">
        <v>5538</v>
      </c>
      <c r="F2098" t="s">
        <v>2041</v>
      </c>
    </row>
    <row r="2099" spans="1:6" x14ac:dyDescent="0.3">
      <c r="A2099" s="58" t="s">
        <v>2042</v>
      </c>
      <c r="B2099" t="s">
        <v>5391</v>
      </c>
      <c r="C2099" t="s">
        <v>5053</v>
      </c>
      <c r="D2099" t="s">
        <v>4192</v>
      </c>
      <c r="E2099" t="s">
        <v>5537</v>
      </c>
      <c r="F2099" t="s">
        <v>2042</v>
      </c>
    </row>
    <row r="2100" spans="1:6" x14ac:dyDescent="0.3">
      <c r="A2100" s="58" t="s">
        <v>2043</v>
      </c>
      <c r="B2100" t="s">
        <v>5391</v>
      </c>
      <c r="C2100" t="s">
        <v>5053</v>
      </c>
      <c r="D2100" t="s">
        <v>4193</v>
      </c>
      <c r="E2100" t="s">
        <v>5537</v>
      </c>
      <c r="F2100" t="s">
        <v>2043</v>
      </c>
    </row>
    <row r="2101" spans="1:6" x14ac:dyDescent="0.3">
      <c r="A2101" s="58" t="s">
        <v>2044</v>
      </c>
      <c r="B2101" t="s">
        <v>5391</v>
      </c>
      <c r="C2101" t="s">
        <v>5054</v>
      </c>
      <c r="D2101" t="s">
        <v>4194</v>
      </c>
      <c r="E2101" t="s">
        <v>5538</v>
      </c>
      <c r="F2101" t="s">
        <v>2044</v>
      </c>
    </row>
    <row r="2102" spans="1:6" x14ac:dyDescent="0.3">
      <c r="A2102" s="58" t="s">
        <v>2045</v>
      </c>
      <c r="B2102" t="s">
        <v>5391</v>
      </c>
      <c r="C2102" t="s">
        <v>5054</v>
      </c>
      <c r="D2102" t="s">
        <v>4187</v>
      </c>
      <c r="E2102" t="s">
        <v>5538</v>
      </c>
      <c r="F2102" t="s">
        <v>2045</v>
      </c>
    </row>
    <row r="2103" spans="1:6" x14ac:dyDescent="0.3">
      <c r="A2103" s="58" t="s">
        <v>2046</v>
      </c>
      <c r="B2103" t="s">
        <v>5391</v>
      </c>
      <c r="C2103" t="s">
        <v>5054</v>
      </c>
      <c r="D2103" t="s">
        <v>4195</v>
      </c>
      <c r="E2103" t="s">
        <v>5538</v>
      </c>
      <c r="F2103" t="s">
        <v>2046</v>
      </c>
    </row>
    <row r="2104" spans="1:6" x14ac:dyDescent="0.3">
      <c r="A2104" s="58" t="s">
        <v>2047</v>
      </c>
      <c r="B2104" t="s">
        <v>5391</v>
      </c>
      <c r="C2104" t="s">
        <v>5054</v>
      </c>
      <c r="D2104" t="s">
        <v>4196</v>
      </c>
      <c r="E2104" t="s">
        <v>5537</v>
      </c>
      <c r="F2104" t="s">
        <v>2047</v>
      </c>
    </row>
    <row r="2105" spans="1:6" x14ac:dyDescent="0.3">
      <c r="A2105" s="58" t="s">
        <v>2048</v>
      </c>
      <c r="B2105" t="s">
        <v>5391</v>
      </c>
      <c r="C2105" t="s">
        <v>5054</v>
      </c>
      <c r="D2105" t="s">
        <v>4197</v>
      </c>
      <c r="E2105" t="s">
        <v>5537</v>
      </c>
      <c r="F2105" t="s">
        <v>2048</v>
      </c>
    </row>
    <row r="2106" spans="1:6" x14ac:dyDescent="0.3">
      <c r="A2106" s="58" t="s">
        <v>2049</v>
      </c>
      <c r="B2106" t="s">
        <v>5391</v>
      </c>
      <c r="C2106" t="s">
        <v>5054</v>
      </c>
      <c r="D2106" t="s">
        <v>4198</v>
      </c>
      <c r="E2106" t="s">
        <v>5538</v>
      </c>
      <c r="F2106" t="s">
        <v>2049</v>
      </c>
    </row>
    <row r="2107" spans="1:6" x14ac:dyDescent="0.3">
      <c r="A2107" s="58" t="s">
        <v>2050</v>
      </c>
      <c r="B2107" t="s">
        <v>5391</v>
      </c>
      <c r="C2107" t="s">
        <v>5054</v>
      </c>
      <c r="D2107" t="s">
        <v>4199</v>
      </c>
      <c r="E2107" t="s">
        <v>5537</v>
      </c>
      <c r="F2107" t="s">
        <v>2050</v>
      </c>
    </row>
    <row r="2108" spans="1:6" x14ac:dyDescent="0.3">
      <c r="A2108" s="58" t="s">
        <v>2051</v>
      </c>
      <c r="B2108" t="s">
        <v>5391</v>
      </c>
      <c r="C2108" t="s">
        <v>5054</v>
      </c>
      <c r="D2108" t="s">
        <v>3736</v>
      </c>
      <c r="E2108" t="s">
        <v>5537</v>
      </c>
      <c r="F2108" t="s">
        <v>2051</v>
      </c>
    </row>
    <row r="2109" spans="1:6" x14ac:dyDescent="0.3">
      <c r="A2109" s="58" t="s">
        <v>2052</v>
      </c>
      <c r="B2109" t="s">
        <v>5391</v>
      </c>
      <c r="C2109" t="s">
        <v>5054</v>
      </c>
      <c r="D2109" t="s">
        <v>4200</v>
      </c>
      <c r="E2109" t="s">
        <v>5538</v>
      </c>
      <c r="F2109" t="s">
        <v>2052</v>
      </c>
    </row>
    <row r="2110" spans="1:6" x14ac:dyDescent="0.3">
      <c r="A2110" s="58" t="s">
        <v>2053</v>
      </c>
      <c r="B2110" t="s">
        <v>5391</v>
      </c>
      <c r="C2110" t="s">
        <v>5054</v>
      </c>
      <c r="D2110" t="s">
        <v>4201</v>
      </c>
      <c r="E2110" t="s">
        <v>5537</v>
      </c>
      <c r="F2110" t="s">
        <v>2053</v>
      </c>
    </row>
    <row r="2111" spans="1:6" x14ac:dyDescent="0.3">
      <c r="A2111" s="58" t="s">
        <v>2054</v>
      </c>
      <c r="B2111" t="s">
        <v>5391</v>
      </c>
      <c r="C2111" t="s">
        <v>5054</v>
      </c>
      <c r="D2111" t="s">
        <v>4202</v>
      </c>
      <c r="E2111" t="s">
        <v>5537</v>
      </c>
      <c r="F2111" t="s">
        <v>2054</v>
      </c>
    </row>
    <row r="2112" spans="1:6" x14ac:dyDescent="0.3">
      <c r="A2112" s="58" t="s">
        <v>2055</v>
      </c>
      <c r="B2112" t="s">
        <v>5391</v>
      </c>
      <c r="C2112" t="s">
        <v>5054</v>
      </c>
      <c r="D2112" t="s">
        <v>4203</v>
      </c>
      <c r="E2112" t="s">
        <v>5537</v>
      </c>
      <c r="F2112" t="s">
        <v>2055</v>
      </c>
    </row>
    <row r="2113" spans="1:6" x14ac:dyDescent="0.3">
      <c r="A2113" s="58" t="s">
        <v>2056</v>
      </c>
      <c r="B2113" t="s">
        <v>5391</v>
      </c>
      <c r="C2113" t="s">
        <v>5055</v>
      </c>
      <c r="D2113" t="s">
        <v>4748</v>
      </c>
      <c r="E2113" t="s">
        <v>5536</v>
      </c>
      <c r="F2113" t="s">
        <v>2056</v>
      </c>
    </row>
    <row r="2114" spans="1:6" x14ac:dyDescent="0.3">
      <c r="A2114" s="58" t="s">
        <v>2057</v>
      </c>
      <c r="B2114" t="s">
        <v>5391</v>
      </c>
      <c r="C2114" t="s">
        <v>5055</v>
      </c>
      <c r="D2114" t="s">
        <v>4204</v>
      </c>
      <c r="E2114" t="s">
        <v>5537</v>
      </c>
      <c r="F2114" t="s">
        <v>2057</v>
      </c>
    </row>
    <row r="2115" spans="1:6" x14ac:dyDescent="0.3">
      <c r="A2115" s="58" t="s">
        <v>2058</v>
      </c>
      <c r="B2115" t="s">
        <v>5391</v>
      </c>
      <c r="C2115" t="s">
        <v>5055</v>
      </c>
      <c r="D2115" t="s">
        <v>4205</v>
      </c>
      <c r="E2115" t="s">
        <v>5537</v>
      </c>
      <c r="F2115" t="s">
        <v>2058</v>
      </c>
    </row>
    <row r="2116" spans="1:6" x14ac:dyDescent="0.3">
      <c r="A2116" s="58" t="s">
        <v>2059</v>
      </c>
      <c r="B2116" t="s">
        <v>5391</v>
      </c>
      <c r="C2116" t="s">
        <v>5055</v>
      </c>
      <c r="D2116" t="s">
        <v>4206</v>
      </c>
      <c r="E2116" t="s">
        <v>5537</v>
      </c>
      <c r="F2116" t="s">
        <v>2059</v>
      </c>
    </row>
    <row r="2117" spans="1:6" x14ac:dyDescent="0.3">
      <c r="A2117" s="58" t="s">
        <v>2060</v>
      </c>
      <c r="B2117" t="s">
        <v>5391</v>
      </c>
      <c r="C2117" t="s">
        <v>5055</v>
      </c>
      <c r="D2117" t="s">
        <v>4207</v>
      </c>
      <c r="E2117" t="s">
        <v>5537</v>
      </c>
      <c r="F2117" t="s">
        <v>2060</v>
      </c>
    </row>
    <row r="2118" spans="1:6" x14ac:dyDescent="0.3">
      <c r="A2118" s="58" t="s">
        <v>2061</v>
      </c>
      <c r="B2118" t="s">
        <v>5391</v>
      </c>
      <c r="C2118" t="s">
        <v>5055</v>
      </c>
      <c r="D2118" t="s">
        <v>4208</v>
      </c>
      <c r="E2118" t="s">
        <v>5538</v>
      </c>
      <c r="F2118" t="s">
        <v>2061</v>
      </c>
    </row>
    <row r="2119" spans="1:6" x14ac:dyDescent="0.3">
      <c r="A2119" s="58" t="s">
        <v>2062</v>
      </c>
      <c r="B2119" t="s">
        <v>5391</v>
      </c>
      <c r="C2119" t="s">
        <v>5055</v>
      </c>
      <c r="D2119" t="s">
        <v>4209</v>
      </c>
      <c r="E2119" t="s">
        <v>5538</v>
      </c>
      <c r="F2119" t="s">
        <v>2062</v>
      </c>
    </row>
    <row r="2120" spans="1:6" x14ac:dyDescent="0.3">
      <c r="A2120" s="58" t="s">
        <v>2063</v>
      </c>
      <c r="B2120" t="s">
        <v>5391</v>
      </c>
      <c r="C2120" t="s">
        <v>5055</v>
      </c>
      <c r="D2120" t="s">
        <v>4210</v>
      </c>
      <c r="E2120" t="s">
        <v>5538</v>
      </c>
      <c r="F2120" t="s">
        <v>2063</v>
      </c>
    </row>
    <row r="2121" spans="1:6" x14ac:dyDescent="0.3">
      <c r="A2121" s="58" t="s">
        <v>2064</v>
      </c>
      <c r="B2121" t="s">
        <v>5391</v>
      </c>
      <c r="C2121" t="s">
        <v>5055</v>
      </c>
      <c r="D2121" t="s">
        <v>4749</v>
      </c>
      <c r="E2121" t="s">
        <v>5537</v>
      </c>
      <c r="F2121" t="s">
        <v>2064</v>
      </c>
    </row>
    <row r="2122" spans="1:6" x14ac:dyDescent="0.3">
      <c r="A2122" s="58" t="s">
        <v>2065</v>
      </c>
      <c r="B2122" t="s">
        <v>5391</v>
      </c>
      <c r="C2122" t="s">
        <v>5056</v>
      </c>
      <c r="D2122" t="s">
        <v>4211</v>
      </c>
      <c r="E2122" t="s">
        <v>5538</v>
      </c>
      <c r="F2122" t="s">
        <v>2065</v>
      </c>
    </row>
    <row r="2123" spans="1:6" x14ac:dyDescent="0.3">
      <c r="A2123" s="58" t="s">
        <v>2066</v>
      </c>
      <c r="B2123" t="s">
        <v>5391</v>
      </c>
      <c r="C2123" t="s">
        <v>5056</v>
      </c>
      <c r="D2123" t="s">
        <v>4212</v>
      </c>
      <c r="E2123" t="s">
        <v>5538</v>
      </c>
      <c r="F2123" t="s">
        <v>2066</v>
      </c>
    </row>
    <row r="2124" spans="1:6" x14ac:dyDescent="0.3">
      <c r="A2124" s="58" t="s">
        <v>2067</v>
      </c>
      <c r="B2124" t="s">
        <v>5391</v>
      </c>
      <c r="C2124" t="s">
        <v>5056</v>
      </c>
      <c r="D2124" t="s">
        <v>4213</v>
      </c>
      <c r="E2124" t="s">
        <v>5538</v>
      </c>
      <c r="F2124" t="s">
        <v>2067</v>
      </c>
    </row>
    <row r="2125" spans="1:6" x14ac:dyDescent="0.3">
      <c r="A2125" s="58" t="s">
        <v>2068</v>
      </c>
      <c r="B2125" t="s">
        <v>5391</v>
      </c>
      <c r="C2125" t="s">
        <v>5056</v>
      </c>
      <c r="D2125" t="s">
        <v>4214</v>
      </c>
      <c r="E2125" t="s">
        <v>5538</v>
      </c>
      <c r="F2125" t="s">
        <v>2068</v>
      </c>
    </row>
    <row r="2126" spans="1:6" x14ac:dyDescent="0.3">
      <c r="A2126" s="58" t="s">
        <v>2069</v>
      </c>
      <c r="B2126" t="s">
        <v>5391</v>
      </c>
      <c r="C2126" t="s">
        <v>5057</v>
      </c>
      <c r="D2126" t="s">
        <v>4750</v>
      </c>
      <c r="E2126" t="s">
        <v>5536</v>
      </c>
      <c r="F2126" t="s">
        <v>2069</v>
      </c>
    </row>
    <row r="2127" spans="1:6" x14ac:dyDescent="0.3">
      <c r="A2127" s="58" t="s">
        <v>2070</v>
      </c>
      <c r="B2127" t="s">
        <v>5391</v>
      </c>
      <c r="C2127" t="s">
        <v>5057</v>
      </c>
      <c r="D2127" t="s">
        <v>4215</v>
      </c>
      <c r="E2127" t="s">
        <v>5537</v>
      </c>
      <c r="F2127" t="s">
        <v>2070</v>
      </c>
    </row>
    <row r="2128" spans="1:6" x14ac:dyDescent="0.3">
      <c r="A2128" s="58" t="s">
        <v>2071</v>
      </c>
      <c r="B2128" t="s">
        <v>5391</v>
      </c>
      <c r="C2128" t="s">
        <v>5057</v>
      </c>
      <c r="D2128" t="s">
        <v>4216</v>
      </c>
      <c r="E2128" t="s">
        <v>5537</v>
      </c>
      <c r="F2128" t="s">
        <v>2071</v>
      </c>
    </row>
    <row r="2129" spans="1:6" x14ac:dyDescent="0.3">
      <c r="A2129" s="58" t="s">
        <v>2072</v>
      </c>
      <c r="B2129" t="s">
        <v>5391</v>
      </c>
      <c r="C2129" t="s">
        <v>5057</v>
      </c>
      <c r="D2129" t="s">
        <v>4217</v>
      </c>
      <c r="E2129" t="s">
        <v>5538</v>
      </c>
      <c r="F2129" t="s">
        <v>2072</v>
      </c>
    </row>
    <row r="2130" spans="1:6" x14ac:dyDescent="0.3">
      <c r="A2130" s="58" t="s">
        <v>2073</v>
      </c>
      <c r="B2130" t="s">
        <v>5391</v>
      </c>
      <c r="C2130" t="s">
        <v>5057</v>
      </c>
      <c r="D2130" t="s">
        <v>4218</v>
      </c>
      <c r="E2130" t="s">
        <v>5537</v>
      </c>
      <c r="F2130" t="s">
        <v>2073</v>
      </c>
    </row>
    <row r="2131" spans="1:6" x14ac:dyDescent="0.3">
      <c r="A2131" s="58" t="s">
        <v>2074</v>
      </c>
      <c r="B2131" t="s">
        <v>5391</v>
      </c>
      <c r="C2131" t="s">
        <v>5057</v>
      </c>
      <c r="D2131" t="s">
        <v>4751</v>
      </c>
      <c r="E2131" t="s">
        <v>5537</v>
      </c>
      <c r="F2131" t="s">
        <v>2074</v>
      </c>
    </row>
    <row r="2132" spans="1:6" x14ac:dyDescent="0.3">
      <c r="A2132" s="58" t="s">
        <v>2075</v>
      </c>
      <c r="B2132" t="s">
        <v>5391</v>
      </c>
      <c r="C2132" t="s">
        <v>5057</v>
      </c>
      <c r="D2132" t="s">
        <v>4192</v>
      </c>
      <c r="E2132" t="s">
        <v>5537</v>
      </c>
      <c r="F2132" t="s">
        <v>2075</v>
      </c>
    </row>
    <row r="2133" spans="1:6" x14ac:dyDescent="0.3">
      <c r="A2133" s="58" t="s">
        <v>5449</v>
      </c>
      <c r="B2133" t="s">
        <v>5391</v>
      </c>
      <c r="C2133" t="s">
        <v>5057</v>
      </c>
      <c r="D2133" t="s">
        <v>4219</v>
      </c>
      <c r="E2133" t="s">
        <v>5538</v>
      </c>
      <c r="F2133" t="s">
        <v>5449</v>
      </c>
    </row>
    <row r="2134" spans="1:6" x14ac:dyDescent="0.3">
      <c r="A2134" s="58" t="s">
        <v>2076</v>
      </c>
      <c r="B2134" t="s">
        <v>5391</v>
      </c>
      <c r="C2134" t="s">
        <v>5058</v>
      </c>
      <c r="D2134" t="s">
        <v>4220</v>
      </c>
      <c r="E2134" t="s">
        <v>5537</v>
      </c>
      <c r="F2134" t="s">
        <v>2076</v>
      </c>
    </row>
    <row r="2135" spans="1:6" x14ac:dyDescent="0.3">
      <c r="A2135" s="58" t="s">
        <v>2077</v>
      </c>
      <c r="B2135" t="s">
        <v>5391</v>
      </c>
      <c r="C2135" t="s">
        <v>5058</v>
      </c>
      <c r="D2135" t="s">
        <v>4221</v>
      </c>
      <c r="E2135" t="s">
        <v>5537</v>
      </c>
      <c r="F2135" t="s">
        <v>2077</v>
      </c>
    </row>
    <row r="2136" spans="1:6" x14ac:dyDescent="0.3">
      <c r="A2136" s="58" t="s">
        <v>2078</v>
      </c>
      <c r="B2136" t="s">
        <v>5391</v>
      </c>
      <c r="C2136" t="s">
        <v>5058</v>
      </c>
      <c r="D2136" t="s">
        <v>4222</v>
      </c>
      <c r="E2136" t="s">
        <v>5538</v>
      </c>
      <c r="F2136" t="s">
        <v>2078</v>
      </c>
    </row>
    <row r="2137" spans="1:6" x14ac:dyDescent="0.3">
      <c r="A2137" s="58" t="s">
        <v>2079</v>
      </c>
      <c r="B2137" t="s">
        <v>5391</v>
      </c>
      <c r="C2137" t="s">
        <v>5059</v>
      </c>
      <c r="D2137" t="s">
        <v>4223</v>
      </c>
      <c r="E2137" t="s">
        <v>5537</v>
      </c>
      <c r="F2137" t="s">
        <v>2079</v>
      </c>
    </row>
    <row r="2138" spans="1:6" x14ac:dyDescent="0.3">
      <c r="A2138" s="58" t="s">
        <v>2080</v>
      </c>
      <c r="B2138" t="s">
        <v>5391</v>
      </c>
      <c r="C2138" t="s">
        <v>5059</v>
      </c>
      <c r="D2138" t="s">
        <v>4224</v>
      </c>
      <c r="E2138" t="s">
        <v>5537</v>
      </c>
      <c r="F2138" t="s">
        <v>2080</v>
      </c>
    </row>
    <row r="2139" spans="1:6" x14ac:dyDescent="0.3">
      <c r="A2139" s="58" t="s">
        <v>2081</v>
      </c>
      <c r="B2139" t="s">
        <v>5391</v>
      </c>
      <c r="C2139" t="s">
        <v>5059</v>
      </c>
      <c r="D2139" t="s">
        <v>4225</v>
      </c>
      <c r="E2139" t="s">
        <v>5538</v>
      </c>
      <c r="F2139" t="s">
        <v>2081</v>
      </c>
    </row>
    <row r="2140" spans="1:6" x14ac:dyDescent="0.3">
      <c r="A2140" s="58" t="s">
        <v>2082</v>
      </c>
      <c r="B2140" t="s">
        <v>5391</v>
      </c>
      <c r="C2140" t="s">
        <v>4154</v>
      </c>
      <c r="D2140" t="s">
        <v>4154</v>
      </c>
      <c r="E2140" t="s">
        <v>5536</v>
      </c>
      <c r="F2140" t="s">
        <v>2082</v>
      </c>
    </row>
    <row r="2141" spans="1:6" x14ac:dyDescent="0.3">
      <c r="A2141" s="58" t="s">
        <v>2083</v>
      </c>
      <c r="B2141" t="s">
        <v>5391</v>
      </c>
      <c r="C2141" t="s">
        <v>3931</v>
      </c>
      <c r="D2141" t="s">
        <v>3931</v>
      </c>
      <c r="E2141" t="s">
        <v>5536</v>
      </c>
      <c r="F2141" t="s">
        <v>2083</v>
      </c>
    </row>
    <row r="2142" spans="1:6" x14ac:dyDescent="0.3">
      <c r="A2142" s="58" t="s">
        <v>2084</v>
      </c>
      <c r="B2142" t="s">
        <v>5386</v>
      </c>
      <c r="C2142" t="s">
        <v>5060</v>
      </c>
      <c r="D2142" t="s">
        <v>4752</v>
      </c>
      <c r="E2142" t="s">
        <v>5536</v>
      </c>
      <c r="F2142" t="s">
        <v>2084</v>
      </c>
    </row>
    <row r="2143" spans="1:6" x14ac:dyDescent="0.3">
      <c r="A2143" s="58" t="s">
        <v>5397</v>
      </c>
      <c r="B2143" t="s">
        <v>5386</v>
      </c>
      <c r="C2143" t="s">
        <v>5060</v>
      </c>
      <c r="D2143" t="s">
        <v>4226</v>
      </c>
      <c r="E2143" t="s">
        <v>5538</v>
      </c>
      <c r="F2143" t="s">
        <v>5397</v>
      </c>
    </row>
    <row r="2144" spans="1:6" x14ac:dyDescent="0.3">
      <c r="A2144" s="58" t="s">
        <v>2085</v>
      </c>
      <c r="B2144" t="s">
        <v>5386</v>
      </c>
      <c r="C2144" t="s">
        <v>5060</v>
      </c>
      <c r="D2144" t="s">
        <v>4753</v>
      </c>
      <c r="E2144" t="s">
        <v>5537</v>
      </c>
      <c r="F2144" t="s">
        <v>2085</v>
      </c>
    </row>
    <row r="2145" spans="1:6" x14ac:dyDescent="0.3">
      <c r="A2145" s="58" t="s">
        <v>2086</v>
      </c>
      <c r="B2145" t="s">
        <v>5386</v>
      </c>
      <c r="C2145" t="s">
        <v>5060</v>
      </c>
      <c r="D2145" t="s">
        <v>4227</v>
      </c>
      <c r="E2145" t="s">
        <v>5538</v>
      </c>
      <c r="F2145" t="s">
        <v>2086</v>
      </c>
    </row>
    <row r="2146" spans="1:6" x14ac:dyDescent="0.3">
      <c r="A2146" s="58" t="s">
        <v>2087</v>
      </c>
      <c r="B2146" t="s">
        <v>5386</v>
      </c>
      <c r="C2146" t="s">
        <v>5060</v>
      </c>
      <c r="D2146" t="s">
        <v>4228</v>
      </c>
      <c r="E2146" t="s">
        <v>5538</v>
      </c>
      <c r="F2146" t="s">
        <v>2087</v>
      </c>
    </row>
    <row r="2147" spans="1:6" x14ac:dyDescent="0.3">
      <c r="A2147" s="58" t="s">
        <v>2088</v>
      </c>
      <c r="B2147" t="s">
        <v>5386</v>
      </c>
      <c r="C2147" t="s">
        <v>5061</v>
      </c>
      <c r="D2147" t="s">
        <v>4754</v>
      </c>
      <c r="E2147" t="s">
        <v>5536</v>
      </c>
      <c r="F2147" t="s">
        <v>2088</v>
      </c>
    </row>
    <row r="2148" spans="1:6" x14ac:dyDescent="0.3">
      <c r="A2148" s="58" t="s">
        <v>2089</v>
      </c>
      <c r="B2148" t="s">
        <v>5386</v>
      </c>
      <c r="C2148" t="s">
        <v>5061</v>
      </c>
      <c r="D2148" t="s">
        <v>4755</v>
      </c>
      <c r="E2148" t="s">
        <v>5537</v>
      </c>
      <c r="F2148" t="s">
        <v>2089</v>
      </c>
    </row>
    <row r="2149" spans="1:6" x14ac:dyDescent="0.3">
      <c r="A2149" s="58" t="s">
        <v>2090</v>
      </c>
      <c r="B2149" t="s">
        <v>5386</v>
      </c>
      <c r="C2149" t="s">
        <v>5061</v>
      </c>
      <c r="D2149" t="s">
        <v>4229</v>
      </c>
      <c r="E2149" t="s">
        <v>5537</v>
      </c>
      <c r="F2149" t="s">
        <v>2090</v>
      </c>
    </row>
    <row r="2150" spans="1:6" x14ac:dyDescent="0.3">
      <c r="A2150" s="58" t="s">
        <v>2091</v>
      </c>
      <c r="B2150" t="s">
        <v>5386</v>
      </c>
      <c r="C2150" t="s">
        <v>5061</v>
      </c>
      <c r="D2150" t="s">
        <v>4230</v>
      </c>
      <c r="E2150" t="s">
        <v>5538</v>
      </c>
      <c r="F2150" t="s">
        <v>2091</v>
      </c>
    </row>
    <row r="2151" spans="1:6" x14ac:dyDescent="0.3">
      <c r="A2151" s="58" t="s">
        <v>2092</v>
      </c>
      <c r="B2151" t="s">
        <v>5386</v>
      </c>
      <c r="C2151" t="s">
        <v>5061</v>
      </c>
      <c r="D2151" t="s">
        <v>4231</v>
      </c>
      <c r="E2151" t="s">
        <v>5537</v>
      </c>
      <c r="F2151" t="s">
        <v>2092</v>
      </c>
    </row>
    <row r="2152" spans="1:6" x14ac:dyDescent="0.3">
      <c r="A2152" s="58" t="s">
        <v>2093</v>
      </c>
      <c r="B2152" t="s">
        <v>5386</v>
      </c>
      <c r="C2152" t="s">
        <v>5061</v>
      </c>
      <c r="D2152" t="s">
        <v>4232</v>
      </c>
      <c r="E2152" t="s">
        <v>5537</v>
      </c>
      <c r="F2152" t="s">
        <v>2093</v>
      </c>
    </row>
    <row r="2153" spans="1:6" x14ac:dyDescent="0.3">
      <c r="A2153" s="58" t="s">
        <v>2094</v>
      </c>
      <c r="B2153" t="s">
        <v>5386</v>
      </c>
      <c r="C2153" t="s">
        <v>5061</v>
      </c>
      <c r="D2153" t="s">
        <v>4233</v>
      </c>
      <c r="E2153" t="s">
        <v>5538</v>
      </c>
      <c r="F2153" t="s">
        <v>2094</v>
      </c>
    </row>
    <row r="2154" spans="1:6" x14ac:dyDescent="0.3">
      <c r="A2154" s="58" t="s">
        <v>2095</v>
      </c>
      <c r="B2154" t="s">
        <v>5386</v>
      </c>
      <c r="C2154" t="s">
        <v>5061</v>
      </c>
      <c r="D2154" t="s">
        <v>4234</v>
      </c>
      <c r="E2154" t="s">
        <v>5538</v>
      </c>
      <c r="F2154" t="s">
        <v>2095</v>
      </c>
    </row>
    <row r="2155" spans="1:6" x14ac:dyDescent="0.3">
      <c r="A2155" s="58" t="s">
        <v>2096</v>
      </c>
      <c r="B2155" t="s">
        <v>5386</v>
      </c>
      <c r="C2155" t="s">
        <v>5062</v>
      </c>
      <c r="D2155" t="s">
        <v>4756</v>
      </c>
      <c r="E2155" t="s">
        <v>5536</v>
      </c>
      <c r="F2155" t="s">
        <v>2096</v>
      </c>
    </row>
    <row r="2156" spans="1:6" x14ac:dyDescent="0.3">
      <c r="A2156" s="58" t="s">
        <v>2097</v>
      </c>
      <c r="B2156" t="s">
        <v>5386</v>
      </c>
      <c r="C2156" t="s">
        <v>5062</v>
      </c>
      <c r="D2156" t="s">
        <v>4235</v>
      </c>
      <c r="E2156" t="s">
        <v>5538</v>
      </c>
      <c r="F2156" t="s">
        <v>2097</v>
      </c>
    </row>
    <row r="2157" spans="1:6" x14ac:dyDescent="0.3">
      <c r="A2157" s="58" t="s">
        <v>2098</v>
      </c>
      <c r="B2157" t="s">
        <v>5386</v>
      </c>
      <c r="C2157" t="s">
        <v>5062</v>
      </c>
      <c r="D2157" t="s">
        <v>4757</v>
      </c>
      <c r="E2157" t="s">
        <v>5537</v>
      </c>
      <c r="F2157" t="s">
        <v>2098</v>
      </c>
    </row>
    <row r="2158" spans="1:6" x14ac:dyDescent="0.3">
      <c r="A2158" s="58" t="s">
        <v>2099</v>
      </c>
      <c r="B2158" t="s">
        <v>5386</v>
      </c>
      <c r="C2158" t="s">
        <v>5062</v>
      </c>
      <c r="D2158" t="s">
        <v>4236</v>
      </c>
      <c r="E2158" t="s">
        <v>5537</v>
      </c>
      <c r="F2158" t="s">
        <v>2099</v>
      </c>
    </row>
    <row r="2159" spans="1:6" x14ac:dyDescent="0.3">
      <c r="A2159" s="58" t="s">
        <v>2100</v>
      </c>
      <c r="B2159" t="s">
        <v>5386</v>
      </c>
      <c r="C2159" t="s">
        <v>5062</v>
      </c>
      <c r="D2159" t="s">
        <v>4237</v>
      </c>
      <c r="E2159" t="s">
        <v>5538</v>
      </c>
      <c r="F2159" t="s">
        <v>2100</v>
      </c>
    </row>
    <row r="2160" spans="1:6" x14ac:dyDescent="0.3">
      <c r="A2160" s="58" t="s">
        <v>2101</v>
      </c>
      <c r="B2160" t="s">
        <v>5386</v>
      </c>
      <c r="C2160" t="s">
        <v>5062</v>
      </c>
      <c r="D2160" t="s">
        <v>4238</v>
      </c>
      <c r="E2160" t="s">
        <v>5537</v>
      </c>
      <c r="F2160" t="s">
        <v>2101</v>
      </c>
    </row>
    <row r="2161" spans="1:6" x14ac:dyDescent="0.3">
      <c r="A2161" s="58" t="s">
        <v>2102</v>
      </c>
      <c r="B2161" t="s">
        <v>5386</v>
      </c>
      <c r="C2161" t="s">
        <v>5062</v>
      </c>
      <c r="D2161" t="s">
        <v>4239</v>
      </c>
      <c r="E2161" t="s">
        <v>5537</v>
      </c>
      <c r="F2161" t="s">
        <v>2102</v>
      </c>
    </row>
    <row r="2162" spans="1:6" x14ac:dyDescent="0.3">
      <c r="A2162" s="58" t="s">
        <v>2103</v>
      </c>
      <c r="B2162" t="s">
        <v>5386</v>
      </c>
      <c r="C2162" t="s">
        <v>5062</v>
      </c>
      <c r="D2162" t="s">
        <v>4240</v>
      </c>
      <c r="E2162" t="s">
        <v>5537</v>
      </c>
      <c r="F2162" t="s">
        <v>2103</v>
      </c>
    </row>
    <row r="2163" spans="1:6" x14ac:dyDescent="0.3">
      <c r="A2163" s="58" t="s">
        <v>2104</v>
      </c>
      <c r="B2163" t="s">
        <v>5386</v>
      </c>
      <c r="C2163" t="s">
        <v>5062</v>
      </c>
      <c r="D2163" t="s">
        <v>4241</v>
      </c>
      <c r="E2163" t="s">
        <v>5538</v>
      </c>
      <c r="F2163" t="s">
        <v>2104</v>
      </c>
    </row>
    <row r="2164" spans="1:6" x14ac:dyDescent="0.3">
      <c r="A2164" s="58" t="s">
        <v>2105</v>
      </c>
      <c r="B2164" t="s">
        <v>5386</v>
      </c>
      <c r="C2164" t="s">
        <v>5062</v>
      </c>
      <c r="D2164" t="s">
        <v>4242</v>
      </c>
      <c r="E2164" t="s">
        <v>5538</v>
      </c>
      <c r="F2164" t="s">
        <v>2105</v>
      </c>
    </row>
    <row r="2165" spans="1:6" x14ac:dyDescent="0.3">
      <c r="A2165" s="58" t="s">
        <v>2106</v>
      </c>
      <c r="B2165" t="s">
        <v>5386</v>
      </c>
      <c r="C2165" t="s">
        <v>5063</v>
      </c>
      <c r="D2165" t="s">
        <v>4243</v>
      </c>
      <c r="E2165" t="s">
        <v>5538</v>
      </c>
      <c r="F2165" t="s">
        <v>2106</v>
      </c>
    </row>
    <row r="2166" spans="1:6" x14ac:dyDescent="0.3">
      <c r="A2166" s="58" t="s">
        <v>2107</v>
      </c>
      <c r="B2166" t="s">
        <v>5386</v>
      </c>
      <c r="C2166" t="s">
        <v>5063</v>
      </c>
      <c r="D2166" t="s">
        <v>4244</v>
      </c>
      <c r="E2166" t="s">
        <v>5538</v>
      </c>
      <c r="F2166" t="s">
        <v>2107</v>
      </c>
    </row>
    <row r="2167" spans="1:6" x14ac:dyDescent="0.3">
      <c r="A2167" s="58" t="s">
        <v>2108</v>
      </c>
      <c r="B2167" t="s">
        <v>5386</v>
      </c>
      <c r="C2167" t="s">
        <v>5063</v>
      </c>
      <c r="D2167" t="s">
        <v>4245</v>
      </c>
      <c r="E2167" t="s">
        <v>5538</v>
      </c>
      <c r="F2167" t="s">
        <v>2108</v>
      </c>
    </row>
    <row r="2168" spans="1:6" x14ac:dyDescent="0.3">
      <c r="A2168" s="58" t="s">
        <v>2109</v>
      </c>
      <c r="B2168" t="s">
        <v>5386</v>
      </c>
      <c r="C2168" t="s">
        <v>5063</v>
      </c>
      <c r="D2168" t="s">
        <v>4246</v>
      </c>
      <c r="E2168" t="s">
        <v>5537</v>
      </c>
      <c r="F2168" t="s">
        <v>2109</v>
      </c>
    </row>
    <row r="2169" spans="1:6" x14ac:dyDescent="0.3">
      <c r="A2169" s="58" t="s">
        <v>2110</v>
      </c>
      <c r="B2169" t="s">
        <v>5386</v>
      </c>
      <c r="C2169" t="s">
        <v>5063</v>
      </c>
      <c r="D2169" t="s">
        <v>2823</v>
      </c>
      <c r="E2169" t="s">
        <v>5537</v>
      </c>
      <c r="F2169" t="s">
        <v>2110</v>
      </c>
    </row>
    <row r="2170" spans="1:6" x14ac:dyDescent="0.3">
      <c r="A2170" s="58" t="s">
        <v>2111</v>
      </c>
      <c r="B2170" t="s">
        <v>5386</v>
      </c>
      <c r="C2170" t="s">
        <v>5063</v>
      </c>
      <c r="D2170" t="s">
        <v>4247</v>
      </c>
      <c r="E2170" t="s">
        <v>5538</v>
      </c>
      <c r="F2170" t="s">
        <v>2111</v>
      </c>
    </row>
    <row r="2171" spans="1:6" x14ac:dyDescent="0.3">
      <c r="A2171" s="58" t="s">
        <v>2112</v>
      </c>
      <c r="B2171" t="s">
        <v>5386</v>
      </c>
      <c r="C2171" t="s">
        <v>5063</v>
      </c>
      <c r="D2171" t="s">
        <v>4248</v>
      </c>
      <c r="E2171" t="s">
        <v>5538</v>
      </c>
      <c r="F2171" t="s">
        <v>2112</v>
      </c>
    </row>
    <row r="2172" spans="1:6" x14ac:dyDescent="0.3">
      <c r="A2172" s="58" t="s">
        <v>2113</v>
      </c>
      <c r="B2172" t="s">
        <v>5386</v>
      </c>
      <c r="C2172" t="s">
        <v>4922</v>
      </c>
      <c r="D2172" t="s">
        <v>4249</v>
      </c>
      <c r="E2172" t="s">
        <v>5537</v>
      </c>
      <c r="F2172" t="s">
        <v>2113</v>
      </c>
    </row>
    <row r="2173" spans="1:6" x14ac:dyDescent="0.3">
      <c r="A2173" s="58" t="s">
        <v>2114</v>
      </c>
      <c r="B2173" t="s">
        <v>5386</v>
      </c>
      <c r="C2173" t="s">
        <v>4922</v>
      </c>
      <c r="D2173" t="s">
        <v>4250</v>
      </c>
      <c r="E2173" t="s">
        <v>5538</v>
      </c>
      <c r="F2173" t="s">
        <v>2114</v>
      </c>
    </row>
    <row r="2174" spans="1:6" x14ac:dyDescent="0.3">
      <c r="A2174" s="58" t="s">
        <v>2115</v>
      </c>
      <c r="B2174" t="s">
        <v>5386</v>
      </c>
      <c r="C2174" t="s">
        <v>4922</v>
      </c>
      <c r="D2174" t="s">
        <v>4251</v>
      </c>
      <c r="E2174" t="s">
        <v>5537</v>
      </c>
      <c r="F2174" t="s">
        <v>2115</v>
      </c>
    </row>
    <row r="2175" spans="1:6" x14ac:dyDescent="0.3">
      <c r="A2175" s="58" t="s">
        <v>2116</v>
      </c>
      <c r="B2175" t="s">
        <v>5386</v>
      </c>
      <c r="C2175" t="s">
        <v>4922</v>
      </c>
      <c r="D2175" t="s">
        <v>4252</v>
      </c>
      <c r="E2175" t="s">
        <v>5538</v>
      </c>
      <c r="F2175" t="s">
        <v>2116</v>
      </c>
    </row>
    <row r="2176" spans="1:6" x14ac:dyDescent="0.3">
      <c r="A2176" s="58" t="s">
        <v>2117</v>
      </c>
      <c r="B2176" t="s">
        <v>5386</v>
      </c>
      <c r="C2176" t="s">
        <v>4922</v>
      </c>
      <c r="D2176" t="s">
        <v>4253</v>
      </c>
      <c r="E2176" t="s">
        <v>5538</v>
      </c>
      <c r="F2176" t="s">
        <v>2117</v>
      </c>
    </row>
    <row r="2177" spans="1:6" x14ac:dyDescent="0.3">
      <c r="A2177" s="58" t="s">
        <v>5404</v>
      </c>
      <c r="B2177" t="s">
        <v>5386</v>
      </c>
      <c r="C2177" t="s">
        <v>5064</v>
      </c>
      <c r="D2177" t="s">
        <v>4254</v>
      </c>
      <c r="E2177" t="s">
        <v>5538</v>
      </c>
      <c r="F2177" t="s">
        <v>5404</v>
      </c>
    </row>
    <row r="2178" spans="1:6" x14ac:dyDescent="0.3">
      <c r="A2178" s="58" t="s">
        <v>2118</v>
      </c>
      <c r="B2178" t="s">
        <v>5386</v>
      </c>
      <c r="C2178" t="s">
        <v>5064</v>
      </c>
      <c r="D2178" t="s">
        <v>3637</v>
      </c>
      <c r="E2178" t="s">
        <v>5538</v>
      </c>
      <c r="F2178" t="s">
        <v>2118</v>
      </c>
    </row>
    <row r="2179" spans="1:6" x14ac:dyDescent="0.3">
      <c r="A2179" s="58" t="s">
        <v>2119</v>
      </c>
      <c r="B2179" t="s">
        <v>5386</v>
      </c>
      <c r="C2179" t="s">
        <v>5064</v>
      </c>
      <c r="D2179" t="s">
        <v>4255</v>
      </c>
      <c r="E2179" t="s">
        <v>5537</v>
      </c>
      <c r="F2179" t="s">
        <v>2119</v>
      </c>
    </row>
    <row r="2180" spans="1:6" x14ac:dyDescent="0.3">
      <c r="A2180" s="58" t="s">
        <v>2120</v>
      </c>
      <c r="B2180" t="s">
        <v>5386</v>
      </c>
      <c r="C2180" t="s">
        <v>5064</v>
      </c>
      <c r="D2180" t="s">
        <v>4256</v>
      </c>
      <c r="E2180" t="s">
        <v>5538</v>
      </c>
      <c r="F2180" t="s">
        <v>2120</v>
      </c>
    </row>
    <row r="2181" spans="1:6" x14ac:dyDescent="0.3">
      <c r="A2181" s="58" t="s">
        <v>2121</v>
      </c>
      <c r="B2181" t="s">
        <v>5386</v>
      </c>
      <c r="C2181" t="s">
        <v>5065</v>
      </c>
      <c r="D2181" t="s">
        <v>4257</v>
      </c>
      <c r="E2181" t="s">
        <v>5537</v>
      </c>
      <c r="F2181" t="s">
        <v>2121</v>
      </c>
    </row>
    <row r="2182" spans="1:6" x14ac:dyDescent="0.3">
      <c r="A2182" s="58" t="s">
        <v>2122</v>
      </c>
      <c r="B2182" t="s">
        <v>5386</v>
      </c>
      <c r="C2182" t="s">
        <v>5065</v>
      </c>
      <c r="D2182" t="s">
        <v>4258</v>
      </c>
      <c r="E2182" t="s">
        <v>5537</v>
      </c>
      <c r="F2182" t="s">
        <v>2122</v>
      </c>
    </row>
    <row r="2183" spans="1:6" x14ac:dyDescent="0.3">
      <c r="A2183" s="58" t="s">
        <v>2123</v>
      </c>
      <c r="B2183" t="s">
        <v>5386</v>
      </c>
      <c r="C2183" t="s">
        <v>5065</v>
      </c>
      <c r="D2183" t="s">
        <v>4259</v>
      </c>
      <c r="E2183" t="s">
        <v>5537</v>
      </c>
      <c r="F2183" t="s">
        <v>2123</v>
      </c>
    </row>
    <row r="2184" spans="1:6" x14ac:dyDescent="0.3">
      <c r="A2184" s="58" t="s">
        <v>2124</v>
      </c>
      <c r="B2184" t="s">
        <v>5386</v>
      </c>
      <c r="C2184" t="s">
        <v>5065</v>
      </c>
      <c r="D2184" t="s">
        <v>4260</v>
      </c>
      <c r="E2184" t="s">
        <v>5537</v>
      </c>
      <c r="F2184" t="s">
        <v>2124</v>
      </c>
    </row>
    <row r="2185" spans="1:6" x14ac:dyDescent="0.3">
      <c r="A2185" s="58" t="s">
        <v>5411</v>
      </c>
      <c r="B2185" t="s">
        <v>5386</v>
      </c>
      <c r="C2185" t="s">
        <v>5065</v>
      </c>
      <c r="D2185" t="s">
        <v>4261</v>
      </c>
      <c r="E2185" t="s">
        <v>5538</v>
      </c>
      <c r="F2185" t="s">
        <v>5411</v>
      </c>
    </row>
    <row r="2186" spans="1:6" x14ac:dyDescent="0.3">
      <c r="A2186" s="58" t="s">
        <v>2125</v>
      </c>
      <c r="B2186" t="s">
        <v>5386</v>
      </c>
      <c r="C2186" t="s">
        <v>5065</v>
      </c>
      <c r="D2186" t="s">
        <v>4262</v>
      </c>
      <c r="E2186" t="s">
        <v>5537</v>
      </c>
      <c r="F2186" t="s">
        <v>2125</v>
      </c>
    </row>
    <row r="2187" spans="1:6" x14ac:dyDescent="0.3">
      <c r="A2187" s="58" t="s">
        <v>2126</v>
      </c>
      <c r="B2187" t="s">
        <v>5386</v>
      </c>
      <c r="C2187" t="s">
        <v>5065</v>
      </c>
      <c r="D2187" t="s">
        <v>4263</v>
      </c>
      <c r="E2187" t="s">
        <v>5537</v>
      </c>
      <c r="F2187" t="s">
        <v>2126</v>
      </c>
    </row>
    <row r="2188" spans="1:6" x14ac:dyDescent="0.3">
      <c r="A2188" s="58" t="s">
        <v>5424</v>
      </c>
      <c r="B2188" t="s">
        <v>5386</v>
      </c>
      <c r="C2188" t="s">
        <v>5065</v>
      </c>
      <c r="D2188" t="s">
        <v>4264</v>
      </c>
      <c r="E2188" t="s">
        <v>5538</v>
      </c>
      <c r="F2188" t="s">
        <v>5424</v>
      </c>
    </row>
    <row r="2189" spans="1:6" x14ac:dyDescent="0.3">
      <c r="A2189" s="58" t="s">
        <v>2127</v>
      </c>
      <c r="B2189" t="s">
        <v>5386</v>
      </c>
      <c r="C2189" t="s">
        <v>5065</v>
      </c>
      <c r="D2189" t="s">
        <v>4265</v>
      </c>
      <c r="E2189" t="s">
        <v>5538</v>
      </c>
      <c r="F2189" t="s">
        <v>2127</v>
      </c>
    </row>
    <row r="2190" spans="1:6" x14ac:dyDescent="0.3">
      <c r="A2190" s="58" t="s">
        <v>2128</v>
      </c>
      <c r="B2190" t="s">
        <v>5386</v>
      </c>
      <c r="C2190" t="s">
        <v>5065</v>
      </c>
      <c r="D2190" t="s">
        <v>4266</v>
      </c>
      <c r="E2190" t="s">
        <v>5537</v>
      </c>
      <c r="F2190" t="s">
        <v>2128</v>
      </c>
    </row>
    <row r="2191" spans="1:6" x14ac:dyDescent="0.3">
      <c r="A2191" s="58" t="s">
        <v>2129</v>
      </c>
      <c r="B2191" t="s">
        <v>5386</v>
      </c>
      <c r="C2191" t="s">
        <v>5065</v>
      </c>
      <c r="D2191" t="s">
        <v>4267</v>
      </c>
      <c r="E2191" t="s">
        <v>5537</v>
      </c>
      <c r="F2191" t="s">
        <v>2129</v>
      </c>
    </row>
    <row r="2192" spans="1:6" x14ac:dyDescent="0.3">
      <c r="A2192" s="58" t="s">
        <v>2130</v>
      </c>
      <c r="B2192" t="s">
        <v>5386</v>
      </c>
      <c r="C2192" t="s">
        <v>5066</v>
      </c>
      <c r="D2192" t="s">
        <v>2800</v>
      </c>
      <c r="E2192" t="s">
        <v>5537</v>
      </c>
      <c r="F2192" t="s">
        <v>2130</v>
      </c>
    </row>
    <row r="2193" spans="1:6" x14ac:dyDescent="0.3">
      <c r="A2193" s="58" t="s">
        <v>2131</v>
      </c>
      <c r="B2193" t="s">
        <v>5386</v>
      </c>
      <c r="C2193" t="s">
        <v>5066</v>
      </c>
      <c r="D2193" t="s">
        <v>4268</v>
      </c>
      <c r="E2193" t="s">
        <v>5537</v>
      </c>
      <c r="F2193" t="s">
        <v>2131</v>
      </c>
    </row>
    <row r="2194" spans="1:6" x14ac:dyDescent="0.3">
      <c r="A2194" s="58" t="s">
        <v>2132</v>
      </c>
      <c r="B2194" t="s">
        <v>5386</v>
      </c>
      <c r="C2194" t="s">
        <v>5066</v>
      </c>
      <c r="D2194" t="s">
        <v>4269</v>
      </c>
      <c r="E2194" t="s">
        <v>5538</v>
      </c>
      <c r="F2194" t="s">
        <v>2132</v>
      </c>
    </row>
    <row r="2195" spans="1:6" x14ac:dyDescent="0.3">
      <c r="A2195" s="58" t="s">
        <v>2133</v>
      </c>
      <c r="B2195" t="s">
        <v>5386</v>
      </c>
      <c r="C2195" t="s">
        <v>5066</v>
      </c>
      <c r="D2195" t="s">
        <v>4270</v>
      </c>
      <c r="E2195" t="s">
        <v>5537</v>
      </c>
      <c r="F2195" t="s">
        <v>2133</v>
      </c>
    </row>
    <row r="2196" spans="1:6" x14ac:dyDescent="0.3">
      <c r="A2196" s="58" t="s">
        <v>2134</v>
      </c>
      <c r="B2196" t="s">
        <v>5386</v>
      </c>
      <c r="C2196" t="s">
        <v>5066</v>
      </c>
      <c r="D2196" t="s">
        <v>4271</v>
      </c>
      <c r="E2196" t="s">
        <v>5537</v>
      </c>
      <c r="F2196" t="s">
        <v>2134</v>
      </c>
    </row>
    <row r="2197" spans="1:6" x14ac:dyDescent="0.3">
      <c r="A2197" s="58" t="s">
        <v>2135</v>
      </c>
      <c r="B2197" t="s">
        <v>5386</v>
      </c>
      <c r="C2197" t="s">
        <v>5066</v>
      </c>
      <c r="D2197" t="s">
        <v>4272</v>
      </c>
      <c r="E2197" t="s">
        <v>5538</v>
      </c>
      <c r="F2197" t="s">
        <v>5531</v>
      </c>
    </row>
    <row r="2198" spans="1:6" x14ac:dyDescent="0.3">
      <c r="A2198" s="58" t="s">
        <v>2136</v>
      </c>
      <c r="B2198" t="s">
        <v>5386</v>
      </c>
      <c r="C2198" t="s">
        <v>5066</v>
      </c>
      <c r="D2198" t="s">
        <v>4273</v>
      </c>
      <c r="E2198" t="s">
        <v>5537</v>
      </c>
      <c r="F2198" t="s">
        <v>2136</v>
      </c>
    </row>
    <row r="2199" spans="1:6" x14ac:dyDescent="0.3">
      <c r="A2199" s="58" t="s">
        <v>2137</v>
      </c>
      <c r="B2199" t="s">
        <v>5386</v>
      </c>
      <c r="C2199" t="s">
        <v>5067</v>
      </c>
      <c r="D2199" t="s">
        <v>4758</v>
      </c>
      <c r="E2199" t="s">
        <v>5536</v>
      </c>
      <c r="F2199" t="s">
        <v>2137</v>
      </c>
    </row>
    <row r="2200" spans="1:6" x14ac:dyDescent="0.3">
      <c r="A2200" s="58" t="s">
        <v>2138</v>
      </c>
      <c r="B2200" t="s">
        <v>5386</v>
      </c>
      <c r="C2200" t="s">
        <v>5067</v>
      </c>
      <c r="D2200" t="s">
        <v>4274</v>
      </c>
      <c r="E2200" t="s">
        <v>5537</v>
      </c>
      <c r="F2200" t="s">
        <v>2138</v>
      </c>
    </row>
    <row r="2201" spans="1:6" x14ac:dyDescent="0.3">
      <c r="A2201" s="58" t="s">
        <v>2139</v>
      </c>
      <c r="B2201" t="s">
        <v>5386</v>
      </c>
      <c r="C2201" t="s">
        <v>5067</v>
      </c>
      <c r="D2201" t="s">
        <v>4275</v>
      </c>
      <c r="E2201" t="s">
        <v>5537</v>
      </c>
      <c r="F2201" t="s">
        <v>2139</v>
      </c>
    </row>
    <row r="2202" spans="1:6" x14ac:dyDescent="0.3">
      <c r="A2202" s="58" t="s">
        <v>2140</v>
      </c>
      <c r="B2202" t="s">
        <v>5386</v>
      </c>
      <c r="C2202" t="s">
        <v>5067</v>
      </c>
      <c r="D2202" t="s">
        <v>2867</v>
      </c>
      <c r="E2202" t="s">
        <v>5538</v>
      </c>
      <c r="F2202" t="s">
        <v>2140</v>
      </c>
    </row>
    <row r="2203" spans="1:6" x14ac:dyDescent="0.3">
      <c r="A2203" s="58" t="s">
        <v>2141</v>
      </c>
      <c r="B2203" t="s">
        <v>5386</v>
      </c>
      <c r="C2203" t="s">
        <v>5067</v>
      </c>
      <c r="D2203" t="s">
        <v>4276</v>
      </c>
      <c r="E2203" t="s">
        <v>5537</v>
      </c>
      <c r="F2203" t="s">
        <v>2141</v>
      </c>
    </row>
    <row r="2204" spans="1:6" x14ac:dyDescent="0.3">
      <c r="A2204" s="58" t="s">
        <v>2142</v>
      </c>
      <c r="B2204" t="s">
        <v>5386</v>
      </c>
      <c r="C2204" t="s">
        <v>5067</v>
      </c>
      <c r="D2204" t="s">
        <v>2861</v>
      </c>
      <c r="E2204" t="s">
        <v>5538</v>
      </c>
      <c r="F2204" t="s">
        <v>2142</v>
      </c>
    </row>
    <row r="2205" spans="1:6" x14ac:dyDescent="0.3">
      <c r="A2205" s="58" t="s">
        <v>2143</v>
      </c>
      <c r="B2205" t="s">
        <v>5386</v>
      </c>
      <c r="C2205" t="s">
        <v>5067</v>
      </c>
      <c r="D2205" t="s">
        <v>4759</v>
      </c>
      <c r="E2205" t="s">
        <v>5537</v>
      </c>
      <c r="F2205" t="s">
        <v>2143</v>
      </c>
    </row>
    <row r="2206" spans="1:6" x14ac:dyDescent="0.3">
      <c r="A2206" s="58" t="s">
        <v>2144</v>
      </c>
      <c r="B2206" t="s">
        <v>5386</v>
      </c>
      <c r="C2206" t="s">
        <v>5067</v>
      </c>
      <c r="D2206" t="s">
        <v>4277</v>
      </c>
      <c r="E2206" t="s">
        <v>5537</v>
      </c>
      <c r="F2206" t="s">
        <v>2144</v>
      </c>
    </row>
    <row r="2207" spans="1:6" x14ac:dyDescent="0.3">
      <c r="A2207" s="58" t="s">
        <v>2145</v>
      </c>
      <c r="B2207" t="s">
        <v>5386</v>
      </c>
      <c r="C2207" t="s">
        <v>5067</v>
      </c>
      <c r="D2207" t="s">
        <v>4278</v>
      </c>
      <c r="E2207" t="s">
        <v>5537</v>
      </c>
      <c r="F2207" t="s">
        <v>2145</v>
      </c>
    </row>
    <row r="2208" spans="1:6" x14ac:dyDescent="0.3">
      <c r="A2208" s="58" t="s">
        <v>2146</v>
      </c>
      <c r="B2208" t="s">
        <v>5386</v>
      </c>
      <c r="C2208" t="s">
        <v>5067</v>
      </c>
      <c r="D2208" t="s">
        <v>4279</v>
      </c>
      <c r="E2208" t="s">
        <v>5537</v>
      </c>
      <c r="F2208" t="s">
        <v>2146</v>
      </c>
    </row>
    <row r="2209" spans="1:6" x14ac:dyDescent="0.3">
      <c r="A2209" s="58" t="s">
        <v>2147</v>
      </c>
      <c r="B2209" t="s">
        <v>5386</v>
      </c>
      <c r="C2209" t="s">
        <v>5067</v>
      </c>
      <c r="D2209" t="s">
        <v>4280</v>
      </c>
      <c r="E2209" t="s">
        <v>5538</v>
      </c>
      <c r="F2209" t="s">
        <v>2147</v>
      </c>
    </row>
    <row r="2210" spans="1:6" x14ac:dyDescent="0.3">
      <c r="A2210" s="58" t="s">
        <v>2148</v>
      </c>
      <c r="B2210" t="s">
        <v>5386</v>
      </c>
      <c r="C2210" t="s">
        <v>5068</v>
      </c>
      <c r="D2210" t="s">
        <v>4281</v>
      </c>
      <c r="E2210" t="s">
        <v>5538</v>
      </c>
      <c r="F2210" t="s">
        <v>2148</v>
      </c>
    </row>
    <row r="2211" spans="1:6" x14ac:dyDescent="0.3">
      <c r="A2211" s="58" t="s">
        <v>2149</v>
      </c>
      <c r="B2211" t="s">
        <v>5386</v>
      </c>
      <c r="C2211" t="s">
        <v>5068</v>
      </c>
      <c r="D2211" t="s">
        <v>4282</v>
      </c>
      <c r="E2211" t="s">
        <v>5537</v>
      </c>
      <c r="F2211" t="s">
        <v>2149</v>
      </c>
    </row>
    <row r="2212" spans="1:6" x14ac:dyDescent="0.3">
      <c r="A2212" s="58" t="s">
        <v>2150</v>
      </c>
      <c r="B2212" t="s">
        <v>5386</v>
      </c>
      <c r="C2212" t="s">
        <v>5068</v>
      </c>
      <c r="D2212" t="s">
        <v>4283</v>
      </c>
      <c r="E2212" t="s">
        <v>5537</v>
      </c>
      <c r="F2212" t="s">
        <v>2150</v>
      </c>
    </row>
    <row r="2213" spans="1:6" x14ac:dyDescent="0.3">
      <c r="A2213" s="58" t="s">
        <v>2151</v>
      </c>
      <c r="B2213" t="s">
        <v>5386</v>
      </c>
      <c r="C2213" t="s">
        <v>5068</v>
      </c>
      <c r="D2213" t="s">
        <v>4284</v>
      </c>
      <c r="E2213" t="s">
        <v>5538</v>
      </c>
      <c r="F2213" t="s">
        <v>2151</v>
      </c>
    </row>
    <row r="2214" spans="1:6" x14ac:dyDescent="0.3">
      <c r="A2214" s="58" t="s">
        <v>2152</v>
      </c>
      <c r="B2214" t="s">
        <v>5386</v>
      </c>
      <c r="C2214" t="s">
        <v>5068</v>
      </c>
      <c r="D2214" t="s">
        <v>4285</v>
      </c>
      <c r="E2214" t="s">
        <v>5537</v>
      </c>
      <c r="F2214" t="s">
        <v>2152</v>
      </c>
    </row>
    <row r="2215" spans="1:6" x14ac:dyDescent="0.3">
      <c r="A2215" s="58" t="s">
        <v>2153</v>
      </c>
      <c r="B2215" t="s">
        <v>5386</v>
      </c>
      <c r="C2215" t="s">
        <v>5068</v>
      </c>
      <c r="D2215" t="s">
        <v>4286</v>
      </c>
      <c r="E2215" t="s">
        <v>5537</v>
      </c>
      <c r="F2215" t="s">
        <v>2153</v>
      </c>
    </row>
    <row r="2216" spans="1:6" x14ac:dyDescent="0.3">
      <c r="A2216" s="58" t="s">
        <v>2154</v>
      </c>
      <c r="B2216" t="s">
        <v>5386</v>
      </c>
      <c r="C2216" t="s">
        <v>5068</v>
      </c>
      <c r="D2216" t="s">
        <v>4287</v>
      </c>
      <c r="E2216" t="s">
        <v>5538</v>
      </c>
      <c r="F2216" t="s">
        <v>2154</v>
      </c>
    </row>
    <row r="2217" spans="1:6" x14ac:dyDescent="0.3">
      <c r="A2217" s="58" t="s">
        <v>2155</v>
      </c>
      <c r="B2217" t="s">
        <v>5386</v>
      </c>
      <c r="C2217" t="s">
        <v>5068</v>
      </c>
      <c r="D2217" t="s">
        <v>2969</v>
      </c>
      <c r="E2217" t="s">
        <v>5537</v>
      </c>
      <c r="F2217" t="s">
        <v>2155</v>
      </c>
    </row>
    <row r="2218" spans="1:6" x14ac:dyDescent="0.3">
      <c r="A2218" s="58" t="s">
        <v>2156</v>
      </c>
      <c r="B2218" t="s">
        <v>5386</v>
      </c>
      <c r="C2218" t="s">
        <v>5068</v>
      </c>
      <c r="D2218" t="s">
        <v>4288</v>
      </c>
      <c r="E2218" t="s">
        <v>5537</v>
      </c>
      <c r="F2218" t="s">
        <v>2156</v>
      </c>
    </row>
    <row r="2219" spans="1:6" x14ac:dyDescent="0.3">
      <c r="A2219" s="58" t="s">
        <v>2157</v>
      </c>
      <c r="B2219" t="s">
        <v>5386</v>
      </c>
      <c r="C2219" t="s">
        <v>5068</v>
      </c>
      <c r="D2219" t="s">
        <v>4289</v>
      </c>
      <c r="E2219" t="s">
        <v>5538</v>
      </c>
      <c r="F2219" t="s">
        <v>2157</v>
      </c>
    </row>
    <row r="2220" spans="1:6" x14ac:dyDescent="0.3">
      <c r="A2220" s="58" t="s">
        <v>2158</v>
      </c>
      <c r="B2220" t="s">
        <v>5386</v>
      </c>
      <c r="C2220" t="s">
        <v>5068</v>
      </c>
      <c r="D2220" t="s">
        <v>4290</v>
      </c>
      <c r="E2220" t="s">
        <v>5537</v>
      </c>
      <c r="F2220" t="s">
        <v>2158</v>
      </c>
    </row>
    <row r="2221" spans="1:6" x14ac:dyDescent="0.3">
      <c r="A2221" s="58" t="s">
        <v>2159</v>
      </c>
      <c r="B2221" t="s">
        <v>5386</v>
      </c>
      <c r="C2221" t="s">
        <v>5068</v>
      </c>
      <c r="D2221" t="s">
        <v>4291</v>
      </c>
      <c r="E2221" t="s">
        <v>5538</v>
      </c>
      <c r="F2221" t="s">
        <v>2159</v>
      </c>
    </row>
    <row r="2222" spans="1:6" x14ac:dyDescent="0.3">
      <c r="A2222" s="58" t="s">
        <v>2160</v>
      </c>
      <c r="B2222" t="s">
        <v>5386</v>
      </c>
      <c r="C2222" t="s">
        <v>5068</v>
      </c>
      <c r="D2222" t="s">
        <v>4292</v>
      </c>
      <c r="E2222" t="s">
        <v>5537</v>
      </c>
      <c r="F2222" t="s">
        <v>2160</v>
      </c>
    </row>
    <row r="2223" spans="1:6" x14ac:dyDescent="0.3">
      <c r="A2223" s="58" t="s">
        <v>2161</v>
      </c>
      <c r="B2223" t="s">
        <v>5386</v>
      </c>
      <c r="C2223" t="s">
        <v>5068</v>
      </c>
      <c r="D2223" t="s">
        <v>4293</v>
      </c>
      <c r="E2223" t="s">
        <v>5537</v>
      </c>
      <c r="F2223" t="s">
        <v>2161</v>
      </c>
    </row>
    <row r="2224" spans="1:6" x14ac:dyDescent="0.3">
      <c r="A2224" s="58" t="s">
        <v>2162</v>
      </c>
      <c r="B2224" t="s">
        <v>5386</v>
      </c>
      <c r="C2224" t="s">
        <v>5069</v>
      </c>
      <c r="D2224" t="s">
        <v>4760</v>
      </c>
      <c r="E2224" t="s">
        <v>5536</v>
      </c>
      <c r="F2224" t="s">
        <v>2162</v>
      </c>
    </row>
    <row r="2225" spans="1:6" x14ac:dyDescent="0.3">
      <c r="A2225" s="58" t="s">
        <v>2163</v>
      </c>
      <c r="B2225" t="s">
        <v>5386</v>
      </c>
      <c r="C2225" t="s">
        <v>5069</v>
      </c>
      <c r="D2225" t="s">
        <v>4294</v>
      </c>
      <c r="E2225" t="s">
        <v>5538</v>
      </c>
      <c r="F2225" t="s">
        <v>2163</v>
      </c>
    </row>
    <row r="2226" spans="1:6" x14ac:dyDescent="0.3">
      <c r="A2226" s="58" t="s">
        <v>2164</v>
      </c>
      <c r="B2226" t="s">
        <v>5386</v>
      </c>
      <c r="C2226" t="s">
        <v>5069</v>
      </c>
      <c r="D2226" t="s">
        <v>4761</v>
      </c>
      <c r="E2226" t="s">
        <v>5537</v>
      </c>
      <c r="F2226" t="s">
        <v>2164</v>
      </c>
    </row>
    <row r="2227" spans="1:6" x14ac:dyDescent="0.3">
      <c r="A2227" s="58" t="s">
        <v>2165</v>
      </c>
      <c r="B2227" t="s">
        <v>5386</v>
      </c>
      <c r="C2227" t="s">
        <v>5069</v>
      </c>
      <c r="D2227" t="s">
        <v>4295</v>
      </c>
      <c r="E2227" t="s">
        <v>5538</v>
      </c>
      <c r="F2227" t="s">
        <v>2165</v>
      </c>
    </row>
    <row r="2228" spans="1:6" x14ac:dyDescent="0.3">
      <c r="A2228" s="58" t="s">
        <v>2166</v>
      </c>
      <c r="B2228" t="s">
        <v>5386</v>
      </c>
      <c r="C2228" t="s">
        <v>5069</v>
      </c>
      <c r="D2228" t="s">
        <v>4296</v>
      </c>
      <c r="E2228" t="s">
        <v>5538</v>
      </c>
      <c r="F2228" t="s">
        <v>2166</v>
      </c>
    </row>
    <row r="2229" spans="1:6" x14ac:dyDescent="0.3">
      <c r="A2229" s="58" t="s">
        <v>2167</v>
      </c>
      <c r="B2229" t="s">
        <v>5386</v>
      </c>
      <c r="C2229" t="s">
        <v>5070</v>
      </c>
      <c r="D2229" t="s">
        <v>2991</v>
      </c>
      <c r="E2229" t="s">
        <v>5536</v>
      </c>
      <c r="F2229" t="s">
        <v>2167</v>
      </c>
    </row>
    <row r="2230" spans="1:6" x14ac:dyDescent="0.3">
      <c r="A2230" s="58" t="s">
        <v>2168</v>
      </c>
      <c r="B2230" t="s">
        <v>5386</v>
      </c>
      <c r="C2230" t="s">
        <v>5070</v>
      </c>
      <c r="D2230" t="s">
        <v>4297</v>
      </c>
      <c r="E2230" t="s">
        <v>5538</v>
      </c>
      <c r="F2230" t="s">
        <v>2168</v>
      </c>
    </row>
    <row r="2231" spans="1:6" x14ac:dyDescent="0.3">
      <c r="A2231" s="58" t="s">
        <v>2169</v>
      </c>
      <c r="B2231" t="s">
        <v>5386</v>
      </c>
      <c r="C2231" t="s">
        <v>5070</v>
      </c>
      <c r="D2231" t="s">
        <v>4298</v>
      </c>
      <c r="E2231" t="s">
        <v>5538</v>
      </c>
      <c r="F2231" t="s">
        <v>2169</v>
      </c>
    </row>
    <row r="2232" spans="1:6" x14ac:dyDescent="0.3">
      <c r="A2232" s="58" t="s">
        <v>2170</v>
      </c>
      <c r="B2232" t="s">
        <v>5386</v>
      </c>
      <c r="C2232" t="s">
        <v>5070</v>
      </c>
      <c r="D2232" t="s">
        <v>4299</v>
      </c>
      <c r="E2232" t="s">
        <v>5538</v>
      </c>
      <c r="F2232" t="s">
        <v>2170</v>
      </c>
    </row>
    <row r="2233" spans="1:6" x14ac:dyDescent="0.3">
      <c r="A2233" s="58" t="s">
        <v>2171</v>
      </c>
      <c r="B2233" t="s">
        <v>5386</v>
      </c>
      <c r="C2233" t="s">
        <v>5070</v>
      </c>
      <c r="D2233" t="s">
        <v>4300</v>
      </c>
      <c r="E2233" t="s">
        <v>5537</v>
      </c>
      <c r="F2233" t="s">
        <v>2171</v>
      </c>
    </row>
    <row r="2234" spans="1:6" x14ac:dyDescent="0.3">
      <c r="A2234" s="58" t="s">
        <v>2172</v>
      </c>
      <c r="B2234" t="s">
        <v>5386</v>
      </c>
      <c r="C2234" t="s">
        <v>5070</v>
      </c>
      <c r="D2234" t="s">
        <v>2964</v>
      </c>
      <c r="E2234" t="s">
        <v>5538</v>
      </c>
      <c r="F2234" t="s">
        <v>2172</v>
      </c>
    </row>
    <row r="2235" spans="1:6" x14ac:dyDescent="0.3">
      <c r="A2235" s="58" t="s">
        <v>2173</v>
      </c>
      <c r="B2235" t="s">
        <v>5386</v>
      </c>
      <c r="C2235" t="s">
        <v>5071</v>
      </c>
      <c r="D2235" t="s">
        <v>4301</v>
      </c>
      <c r="E2235" t="s">
        <v>5537</v>
      </c>
      <c r="F2235" t="s">
        <v>2173</v>
      </c>
    </row>
    <row r="2236" spans="1:6" x14ac:dyDescent="0.3">
      <c r="A2236" s="58" t="s">
        <v>2174</v>
      </c>
      <c r="B2236" t="s">
        <v>5386</v>
      </c>
      <c r="C2236" t="s">
        <v>5071</v>
      </c>
      <c r="D2236" t="s">
        <v>2602</v>
      </c>
      <c r="E2236" t="s">
        <v>5537</v>
      </c>
      <c r="F2236" t="s">
        <v>2174</v>
      </c>
    </row>
    <row r="2237" spans="1:6" x14ac:dyDescent="0.3">
      <c r="A2237" s="58" t="s">
        <v>2175</v>
      </c>
      <c r="B2237" t="s">
        <v>5386</v>
      </c>
      <c r="C2237" t="s">
        <v>5071</v>
      </c>
      <c r="D2237" t="s">
        <v>3869</v>
      </c>
      <c r="E2237" t="s">
        <v>5538</v>
      </c>
      <c r="F2237" t="s">
        <v>2175</v>
      </c>
    </row>
    <row r="2238" spans="1:6" x14ac:dyDescent="0.3">
      <c r="A2238" s="58" t="s">
        <v>2176</v>
      </c>
      <c r="B2238" t="s">
        <v>5386</v>
      </c>
      <c r="C2238" t="s">
        <v>5071</v>
      </c>
      <c r="D2238" t="s">
        <v>4302</v>
      </c>
      <c r="E2238" t="s">
        <v>5538</v>
      </c>
      <c r="F2238" t="s">
        <v>2176</v>
      </c>
    </row>
    <row r="2239" spans="1:6" x14ac:dyDescent="0.3">
      <c r="A2239" s="58" t="s">
        <v>2177</v>
      </c>
      <c r="B2239" t="s">
        <v>5386</v>
      </c>
      <c r="C2239" t="s">
        <v>5071</v>
      </c>
      <c r="D2239" t="s">
        <v>4303</v>
      </c>
      <c r="E2239" t="s">
        <v>5537</v>
      </c>
      <c r="F2239" t="s">
        <v>2177</v>
      </c>
    </row>
    <row r="2240" spans="1:6" x14ac:dyDescent="0.3">
      <c r="A2240" s="58" t="s">
        <v>2178</v>
      </c>
      <c r="B2240" t="s">
        <v>5386</v>
      </c>
      <c r="C2240" t="s">
        <v>5071</v>
      </c>
      <c r="D2240" t="s">
        <v>4304</v>
      </c>
      <c r="E2240" t="s">
        <v>5537</v>
      </c>
      <c r="F2240" t="s">
        <v>2178</v>
      </c>
    </row>
    <row r="2241" spans="1:6" x14ac:dyDescent="0.3">
      <c r="A2241" s="58" t="s">
        <v>2179</v>
      </c>
      <c r="B2241" t="s">
        <v>5386</v>
      </c>
      <c r="C2241" t="s">
        <v>5071</v>
      </c>
      <c r="D2241" t="s">
        <v>4305</v>
      </c>
      <c r="E2241" t="s">
        <v>5537</v>
      </c>
      <c r="F2241" t="s">
        <v>2179</v>
      </c>
    </row>
    <row r="2242" spans="1:6" x14ac:dyDescent="0.3">
      <c r="A2242" s="58" t="s">
        <v>2180</v>
      </c>
      <c r="B2242" t="s">
        <v>5386</v>
      </c>
      <c r="C2242" t="s">
        <v>5072</v>
      </c>
      <c r="D2242" t="s">
        <v>4306</v>
      </c>
      <c r="E2242" t="s">
        <v>5537</v>
      </c>
      <c r="F2242" t="s">
        <v>2180</v>
      </c>
    </row>
    <row r="2243" spans="1:6" x14ac:dyDescent="0.3">
      <c r="A2243" s="58" t="s">
        <v>2181</v>
      </c>
      <c r="B2243" t="s">
        <v>5386</v>
      </c>
      <c r="C2243" t="s">
        <v>5072</v>
      </c>
      <c r="D2243" t="s">
        <v>4307</v>
      </c>
      <c r="E2243" t="s">
        <v>5537</v>
      </c>
      <c r="F2243" t="s">
        <v>2181</v>
      </c>
    </row>
    <row r="2244" spans="1:6" x14ac:dyDescent="0.3">
      <c r="A2244" s="58" t="s">
        <v>2182</v>
      </c>
      <c r="B2244" t="s">
        <v>5386</v>
      </c>
      <c r="C2244" t="s">
        <v>5072</v>
      </c>
      <c r="D2244" t="s">
        <v>4308</v>
      </c>
      <c r="E2244" t="s">
        <v>5538</v>
      </c>
      <c r="F2244" t="s">
        <v>2182</v>
      </c>
    </row>
    <row r="2245" spans="1:6" x14ac:dyDescent="0.3">
      <c r="A2245" s="58" t="s">
        <v>2183</v>
      </c>
      <c r="B2245" t="s">
        <v>5386</v>
      </c>
      <c r="C2245" t="s">
        <v>5072</v>
      </c>
      <c r="D2245" t="s">
        <v>4309</v>
      </c>
      <c r="E2245" t="s">
        <v>5538</v>
      </c>
      <c r="F2245" t="s">
        <v>2183</v>
      </c>
    </row>
    <row r="2246" spans="1:6" x14ac:dyDescent="0.3">
      <c r="A2246" s="58" t="s">
        <v>2184</v>
      </c>
      <c r="B2246" t="s">
        <v>5386</v>
      </c>
      <c r="C2246" t="s">
        <v>5073</v>
      </c>
      <c r="D2246" t="s">
        <v>4310</v>
      </c>
      <c r="E2246" t="s">
        <v>5537</v>
      </c>
      <c r="F2246" t="s">
        <v>2184</v>
      </c>
    </row>
    <row r="2247" spans="1:6" x14ac:dyDescent="0.3">
      <c r="A2247" s="58" t="s">
        <v>2185</v>
      </c>
      <c r="B2247" t="s">
        <v>5386</v>
      </c>
      <c r="C2247" t="s">
        <v>5073</v>
      </c>
      <c r="D2247" t="s">
        <v>4311</v>
      </c>
      <c r="E2247" t="s">
        <v>5538</v>
      </c>
      <c r="F2247" t="s">
        <v>2185</v>
      </c>
    </row>
    <row r="2248" spans="1:6" x14ac:dyDescent="0.3">
      <c r="A2248" s="58" t="s">
        <v>2186</v>
      </c>
      <c r="B2248" t="s">
        <v>5386</v>
      </c>
      <c r="C2248" t="s">
        <v>5073</v>
      </c>
      <c r="D2248" t="s">
        <v>4312</v>
      </c>
      <c r="E2248" t="s">
        <v>5537</v>
      </c>
      <c r="F2248" t="s">
        <v>2186</v>
      </c>
    </row>
    <row r="2249" spans="1:6" x14ac:dyDescent="0.3">
      <c r="A2249" s="58" t="s">
        <v>2187</v>
      </c>
      <c r="B2249" t="s">
        <v>5386</v>
      </c>
      <c r="C2249" t="s">
        <v>5073</v>
      </c>
      <c r="D2249" t="s">
        <v>4313</v>
      </c>
      <c r="E2249" t="s">
        <v>5538</v>
      </c>
      <c r="F2249" t="s">
        <v>2187</v>
      </c>
    </row>
    <row r="2250" spans="1:6" x14ac:dyDescent="0.3">
      <c r="A2250" s="58" t="s">
        <v>2188</v>
      </c>
      <c r="B2250" t="s">
        <v>5386</v>
      </c>
      <c r="C2250" t="s">
        <v>5073</v>
      </c>
      <c r="D2250" t="s">
        <v>4314</v>
      </c>
      <c r="E2250" t="s">
        <v>5538</v>
      </c>
      <c r="F2250" t="s">
        <v>2188</v>
      </c>
    </row>
    <row r="2251" spans="1:6" x14ac:dyDescent="0.3">
      <c r="A2251" s="58" t="s">
        <v>2189</v>
      </c>
      <c r="B2251" t="s">
        <v>5386</v>
      </c>
      <c r="C2251" t="s">
        <v>5073</v>
      </c>
      <c r="D2251" t="s">
        <v>4315</v>
      </c>
      <c r="E2251" t="s">
        <v>5538</v>
      </c>
      <c r="F2251" t="s">
        <v>2189</v>
      </c>
    </row>
    <row r="2252" spans="1:6" x14ac:dyDescent="0.3">
      <c r="A2252" s="58" t="s">
        <v>2190</v>
      </c>
      <c r="B2252" t="s">
        <v>5386</v>
      </c>
      <c r="C2252" t="s">
        <v>5074</v>
      </c>
      <c r="D2252" t="s">
        <v>4316</v>
      </c>
      <c r="E2252" t="s">
        <v>5538</v>
      </c>
      <c r="F2252" t="s">
        <v>2190</v>
      </c>
    </row>
    <row r="2253" spans="1:6" x14ac:dyDescent="0.3">
      <c r="A2253" s="58" t="s">
        <v>2191</v>
      </c>
      <c r="B2253" t="s">
        <v>5386</v>
      </c>
      <c r="C2253" t="s">
        <v>5074</v>
      </c>
      <c r="D2253" t="s">
        <v>4317</v>
      </c>
      <c r="E2253" t="s">
        <v>5538</v>
      </c>
      <c r="F2253" t="s">
        <v>2191</v>
      </c>
    </row>
    <row r="2254" spans="1:6" x14ac:dyDescent="0.3">
      <c r="A2254" s="58" t="s">
        <v>2192</v>
      </c>
      <c r="B2254" t="s">
        <v>5386</v>
      </c>
      <c r="C2254" t="s">
        <v>5074</v>
      </c>
      <c r="D2254" t="s">
        <v>4318</v>
      </c>
      <c r="E2254" t="s">
        <v>5537</v>
      </c>
      <c r="F2254" t="s">
        <v>2192</v>
      </c>
    </row>
    <row r="2255" spans="1:6" x14ac:dyDescent="0.3">
      <c r="A2255" s="58" t="s">
        <v>2193</v>
      </c>
      <c r="B2255" t="s">
        <v>5386</v>
      </c>
      <c r="C2255" t="s">
        <v>4787</v>
      </c>
      <c r="D2255" t="s">
        <v>4762</v>
      </c>
      <c r="E2255" t="s">
        <v>5536</v>
      </c>
      <c r="F2255" t="s">
        <v>2193</v>
      </c>
    </row>
    <row r="2256" spans="1:6" x14ac:dyDescent="0.3">
      <c r="A2256" s="58" t="s">
        <v>2194</v>
      </c>
      <c r="B2256" t="s">
        <v>5386</v>
      </c>
      <c r="C2256" t="s">
        <v>4787</v>
      </c>
      <c r="D2256" t="s">
        <v>4319</v>
      </c>
      <c r="E2256" t="s">
        <v>5538</v>
      </c>
      <c r="F2256" t="s">
        <v>2194</v>
      </c>
    </row>
    <row r="2257" spans="1:6" x14ac:dyDescent="0.3">
      <c r="A2257" s="58" t="s">
        <v>2195</v>
      </c>
      <c r="B2257" t="s">
        <v>5386</v>
      </c>
      <c r="C2257" t="s">
        <v>4787</v>
      </c>
      <c r="D2257" t="s">
        <v>4320</v>
      </c>
      <c r="E2257" t="s">
        <v>5538</v>
      </c>
      <c r="F2257" t="s">
        <v>2195</v>
      </c>
    </row>
    <row r="2258" spans="1:6" x14ac:dyDescent="0.3">
      <c r="A2258" s="58" t="s">
        <v>2196</v>
      </c>
      <c r="B2258" t="s">
        <v>5386</v>
      </c>
      <c r="C2258" t="s">
        <v>4787</v>
      </c>
      <c r="D2258" t="s">
        <v>4763</v>
      </c>
      <c r="E2258" t="s">
        <v>5537</v>
      </c>
      <c r="F2258" t="s">
        <v>2196</v>
      </c>
    </row>
    <row r="2259" spans="1:6" x14ac:dyDescent="0.3">
      <c r="A2259" s="58" t="s">
        <v>2197</v>
      </c>
      <c r="B2259" t="s">
        <v>5386</v>
      </c>
      <c r="C2259" t="s">
        <v>4787</v>
      </c>
      <c r="D2259" t="s">
        <v>4321</v>
      </c>
      <c r="E2259" t="s">
        <v>5537</v>
      </c>
      <c r="F2259" t="s">
        <v>2197</v>
      </c>
    </row>
    <row r="2260" spans="1:6" x14ac:dyDescent="0.3">
      <c r="A2260" s="58" t="s">
        <v>2198</v>
      </c>
      <c r="B2260" t="s">
        <v>5386</v>
      </c>
      <c r="C2260" t="s">
        <v>4787</v>
      </c>
      <c r="D2260" t="s">
        <v>4322</v>
      </c>
      <c r="E2260" t="s">
        <v>5538</v>
      </c>
      <c r="F2260" t="s">
        <v>2198</v>
      </c>
    </row>
    <row r="2261" spans="1:6" x14ac:dyDescent="0.3">
      <c r="A2261" s="58" t="s">
        <v>2199</v>
      </c>
      <c r="B2261" t="s">
        <v>5386</v>
      </c>
      <c r="C2261" t="s">
        <v>4787</v>
      </c>
      <c r="D2261" t="s">
        <v>4323</v>
      </c>
      <c r="E2261" t="s">
        <v>5537</v>
      </c>
      <c r="F2261" t="s">
        <v>2199</v>
      </c>
    </row>
    <row r="2262" spans="1:6" x14ac:dyDescent="0.3">
      <c r="A2262" s="58" t="s">
        <v>2200</v>
      </c>
      <c r="B2262" t="s">
        <v>5386</v>
      </c>
      <c r="C2262" t="s">
        <v>4787</v>
      </c>
      <c r="D2262" t="s">
        <v>4324</v>
      </c>
      <c r="E2262" t="s">
        <v>5537</v>
      </c>
      <c r="F2262" t="s">
        <v>2200</v>
      </c>
    </row>
    <row r="2263" spans="1:6" x14ac:dyDescent="0.3">
      <c r="A2263" s="58" t="s">
        <v>2201</v>
      </c>
      <c r="B2263" t="s">
        <v>5386</v>
      </c>
      <c r="C2263" t="s">
        <v>5075</v>
      </c>
      <c r="D2263" t="s">
        <v>4325</v>
      </c>
      <c r="E2263" t="s">
        <v>5537</v>
      </c>
      <c r="F2263" t="s">
        <v>2201</v>
      </c>
    </row>
    <row r="2264" spans="1:6" x14ac:dyDescent="0.3">
      <c r="A2264" s="58" t="s">
        <v>2202</v>
      </c>
      <c r="B2264" t="s">
        <v>5386</v>
      </c>
      <c r="C2264" t="s">
        <v>5075</v>
      </c>
      <c r="D2264" t="s">
        <v>4326</v>
      </c>
      <c r="E2264" t="s">
        <v>5537</v>
      </c>
      <c r="F2264" t="s">
        <v>2202</v>
      </c>
    </row>
    <row r="2265" spans="1:6" x14ac:dyDescent="0.3">
      <c r="A2265" s="58" t="s">
        <v>2203</v>
      </c>
      <c r="B2265" t="s">
        <v>5386</v>
      </c>
      <c r="C2265" t="s">
        <v>5075</v>
      </c>
      <c r="D2265" t="s">
        <v>4327</v>
      </c>
      <c r="E2265" t="s">
        <v>5538</v>
      </c>
      <c r="F2265" t="s">
        <v>2203</v>
      </c>
    </row>
    <row r="2266" spans="1:6" x14ac:dyDescent="0.3">
      <c r="A2266" s="58" t="s">
        <v>2204</v>
      </c>
      <c r="B2266" t="s">
        <v>5386</v>
      </c>
      <c r="C2266" t="s">
        <v>5075</v>
      </c>
      <c r="D2266" t="s">
        <v>4328</v>
      </c>
      <c r="E2266" t="s">
        <v>5537</v>
      </c>
      <c r="F2266" t="s">
        <v>2204</v>
      </c>
    </row>
    <row r="2267" spans="1:6" x14ac:dyDescent="0.3">
      <c r="A2267" s="58" t="s">
        <v>2205</v>
      </c>
      <c r="B2267" t="s">
        <v>5386</v>
      </c>
      <c r="C2267" t="s">
        <v>5075</v>
      </c>
      <c r="D2267" t="s">
        <v>4329</v>
      </c>
      <c r="E2267" t="s">
        <v>5537</v>
      </c>
      <c r="F2267" t="s">
        <v>2205</v>
      </c>
    </row>
    <row r="2268" spans="1:6" x14ac:dyDescent="0.3">
      <c r="A2268" s="58" t="s">
        <v>2206</v>
      </c>
      <c r="B2268" t="s">
        <v>5386</v>
      </c>
      <c r="C2268" t="s">
        <v>5075</v>
      </c>
      <c r="D2268" t="s">
        <v>4330</v>
      </c>
      <c r="E2268" t="s">
        <v>5538</v>
      </c>
      <c r="F2268" t="s">
        <v>2206</v>
      </c>
    </row>
    <row r="2269" spans="1:6" x14ac:dyDescent="0.3">
      <c r="A2269" s="58" t="s">
        <v>2207</v>
      </c>
      <c r="B2269" t="s">
        <v>5386</v>
      </c>
      <c r="C2269" t="s">
        <v>5075</v>
      </c>
      <c r="D2269" t="s">
        <v>4331</v>
      </c>
      <c r="E2269" t="s">
        <v>5538</v>
      </c>
      <c r="F2269" t="s">
        <v>2207</v>
      </c>
    </row>
    <row r="2270" spans="1:6" x14ac:dyDescent="0.3">
      <c r="A2270" s="58" t="s">
        <v>2208</v>
      </c>
      <c r="B2270" t="s">
        <v>5386</v>
      </c>
      <c r="C2270" t="s">
        <v>5076</v>
      </c>
      <c r="D2270" t="s">
        <v>4332</v>
      </c>
      <c r="E2270" t="s">
        <v>5536</v>
      </c>
      <c r="F2270" t="s">
        <v>2208</v>
      </c>
    </row>
    <row r="2271" spans="1:6" x14ac:dyDescent="0.3">
      <c r="A2271" s="58" t="s">
        <v>2209</v>
      </c>
      <c r="B2271" t="s">
        <v>5386</v>
      </c>
      <c r="C2271" t="s">
        <v>5076</v>
      </c>
      <c r="D2271" t="s">
        <v>4333</v>
      </c>
      <c r="E2271" t="s">
        <v>5537</v>
      </c>
      <c r="F2271" t="s">
        <v>2209</v>
      </c>
    </row>
    <row r="2272" spans="1:6" x14ac:dyDescent="0.3">
      <c r="A2272" s="58" t="s">
        <v>2210</v>
      </c>
      <c r="B2272" t="s">
        <v>5386</v>
      </c>
      <c r="C2272" t="s">
        <v>5076</v>
      </c>
      <c r="D2272" t="s">
        <v>4334</v>
      </c>
      <c r="E2272" t="s">
        <v>5538</v>
      </c>
      <c r="F2272" t="s">
        <v>5470</v>
      </c>
    </row>
    <row r="2273" spans="1:6" x14ac:dyDescent="0.3">
      <c r="A2273" s="58" t="s">
        <v>2211</v>
      </c>
      <c r="B2273" t="s">
        <v>5386</v>
      </c>
      <c r="C2273" t="s">
        <v>5076</v>
      </c>
      <c r="D2273" t="s">
        <v>4335</v>
      </c>
      <c r="E2273" t="s">
        <v>5538</v>
      </c>
      <c r="F2273" t="s">
        <v>2211</v>
      </c>
    </row>
    <row r="2274" spans="1:6" x14ac:dyDescent="0.3">
      <c r="A2274" s="58" t="s">
        <v>2212</v>
      </c>
      <c r="B2274" t="s">
        <v>5386</v>
      </c>
      <c r="C2274" t="s">
        <v>5076</v>
      </c>
      <c r="D2274" t="s">
        <v>4336</v>
      </c>
      <c r="E2274" t="s">
        <v>5538</v>
      </c>
      <c r="F2274" t="s">
        <v>5532</v>
      </c>
    </row>
    <row r="2275" spans="1:6" x14ac:dyDescent="0.3">
      <c r="A2275" s="58" t="s">
        <v>2213</v>
      </c>
      <c r="B2275" t="s">
        <v>5386</v>
      </c>
      <c r="C2275" t="s">
        <v>5076</v>
      </c>
      <c r="D2275" t="s">
        <v>3324</v>
      </c>
      <c r="E2275" t="s">
        <v>5537</v>
      </c>
      <c r="F2275" t="s">
        <v>2213</v>
      </c>
    </row>
    <row r="2276" spans="1:6" x14ac:dyDescent="0.3">
      <c r="A2276" s="58" t="s">
        <v>2214</v>
      </c>
      <c r="B2276" t="s">
        <v>5386</v>
      </c>
      <c r="C2276" t="s">
        <v>5076</v>
      </c>
      <c r="D2276" t="s">
        <v>4337</v>
      </c>
      <c r="E2276" t="s">
        <v>5538</v>
      </c>
      <c r="F2276" t="s">
        <v>2214</v>
      </c>
    </row>
    <row r="2277" spans="1:6" x14ac:dyDescent="0.3">
      <c r="A2277" s="58" t="s">
        <v>2215</v>
      </c>
      <c r="B2277" t="s">
        <v>5386</v>
      </c>
      <c r="C2277" t="s">
        <v>5076</v>
      </c>
      <c r="D2277" t="s">
        <v>4338</v>
      </c>
      <c r="E2277" t="s">
        <v>5538</v>
      </c>
      <c r="F2277" t="s">
        <v>2215</v>
      </c>
    </row>
    <row r="2278" spans="1:6" x14ac:dyDescent="0.3">
      <c r="A2278" s="58" t="s">
        <v>2216</v>
      </c>
      <c r="B2278" t="s">
        <v>5386</v>
      </c>
      <c r="C2278" t="s">
        <v>5076</v>
      </c>
      <c r="D2278" t="s">
        <v>4339</v>
      </c>
      <c r="E2278" t="s">
        <v>5538</v>
      </c>
      <c r="F2278" t="s">
        <v>2216</v>
      </c>
    </row>
    <row r="2279" spans="1:6" x14ac:dyDescent="0.3">
      <c r="A2279" s="58" t="s">
        <v>5398</v>
      </c>
      <c r="B2279" t="s">
        <v>5386</v>
      </c>
      <c r="C2279" t="s">
        <v>5077</v>
      </c>
      <c r="D2279" t="s">
        <v>4340</v>
      </c>
      <c r="E2279" t="s">
        <v>5538</v>
      </c>
      <c r="F2279" t="s">
        <v>5398</v>
      </c>
    </row>
    <row r="2280" spans="1:6" x14ac:dyDescent="0.3">
      <c r="A2280" s="58" t="s">
        <v>2217</v>
      </c>
      <c r="B2280" t="s">
        <v>5386</v>
      </c>
      <c r="C2280" t="s">
        <v>5077</v>
      </c>
      <c r="D2280" t="s">
        <v>3629</v>
      </c>
      <c r="E2280" t="s">
        <v>5537</v>
      </c>
      <c r="F2280" t="s">
        <v>2217</v>
      </c>
    </row>
    <row r="2281" spans="1:6" x14ac:dyDescent="0.3">
      <c r="A2281" s="58" t="s">
        <v>5178</v>
      </c>
      <c r="B2281" t="s">
        <v>5386</v>
      </c>
      <c r="C2281" t="s">
        <v>5077</v>
      </c>
      <c r="D2281" t="s">
        <v>4341</v>
      </c>
      <c r="E2281" t="s">
        <v>5538</v>
      </c>
      <c r="F2281" t="s">
        <v>5178</v>
      </c>
    </row>
    <row r="2282" spans="1:6" x14ac:dyDescent="0.3">
      <c r="A2282" s="58" t="s">
        <v>2218</v>
      </c>
      <c r="B2282" t="s">
        <v>5386</v>
      </c>
      <c r="C2282" t="s">
        <v>5077</v>
      </c>
      <c r="D2282" t="s">
        <v>4342</v>
      </c>
      <c r="E2282" t="s">
        <v>5537</v>
      </c>
      <c r="F2282" t="s">
        <v>2218</v>
      </c>
    </row>
    <row r="2283" spans="1:6" x14ac:dyDescent="0.3">
      <c r="A2283" s="58" t="s">
        <v>2219</v>
      </c>
      <c r="B2283" t="s">
        <v>5386</v>
      </c>
      <c r="C2283" t="s">
        <v>5077</v>
      </c>
      <c r="D2283" t="s">
        <v>4343</v>
      </c>
      <c r="E2283" t="s">
        <v>5537</v>
      </c>
      <c r="F2283" t="s">
        <v>2219</v>
      </c>
    </row>
    <row r="2284" spans="1:6" x14ac:dyDescent="0.3">
      <c r="A2284" s="58" t="s">
        <v>2220</v>
      </c>
      <c r="B2284" t="s">
        <v>5386</v>
      </c>
      <c r="C2284" t="s">
        <v>5077</v>
      </c>
      <c r="D2284" t="s">
        <v>4344</v>
      </c>
      <c r="E2284" t="s">
        <v>5538</v>
      </c>
      <c r="F2284" t="s">
        <v>2220</v>
      </c>
    </row>
    <row r="2285" spans="1:6" x14ac:dyDescent="0.3">
      <c r="A2285" s="58" t="s">
        <v>2221</v>
      </c>
      <c r="B2285" t="s">
        <v>5386</v>
      </c>
      <c r="C2285" t="s">
        <v>5078</v>
      </c>
      <c r="D2285" t="s">
        <v>4345</v>
      </c>
      <c r="E2285" t="s">
        <v>5536</v>
      </c>
      <c r="F2285" t="s">
        <v>2221</v>
      </c>
    </row>
    <row r="2286" spans="1:6" x14ac:dyDescent="0.3">
      <c r="A2286" s="58" t="s">
        <v>2222</v>
      </c>
      <c r="B2286" t="s">
        <v>5386</v>
      </c>
      <c r="C2286" t="s">
        <v>5078</v>
      </c>
      <c r="D2286" t="s">
        <v>4346</v>
      </c>
      <c r="E2286" t="s">
        <v>5536</v>
      </c>
      <c r="F2286" t="s">
        <v>2222</v>
      </c>
    </row>
    <row r="2287" spans="1:6" x14ac:dyDescent="0.3">
      <c r="A2287" s="58" t="s">
        <v>2223</v>
      </c>
      <c r="B2287" t="s">
        <v>5386</v>
      </c>
      <c r="C2287" t="s">
        <v>5078</v>
      </c>
      <c r="D2287" t="s">
        <v>4347</v>
      </c>
      <c r="E2287" t="s">
        <v>5538</v>
      </c>
      <c r="F2287" t="s">
        <v>2223</v>
      </c>
    </row>
    <row r="2288" spans="1:6" x14ac:dyDescent="0.3">
      <c r="A2288" s="58" t="s">
        <v>2224</v>
      </c>
      <c r="B2288" t="s">
        <v>5386</v>
      </c>
      <c r="C2288" t="s">
        <v>5078</v>
      </c>
      <c r="D2288" t="s">
        <v>4348</v>
      </c>
      <c r="E2288" t="s">
        <v>5537</v>
      </c>
      <c r="F2288" t="s">
        <v>2224</v>
      </c>
    </row>
    <row r="2289" spans="1:6" x14ac:dyDescent="0.3">
      <c r="A2289" s="58" t="s">
        <v>2225</v>
      </c>
      <c r="B2289" t="s">
        <v>5386</v>
      </c>
      <c r="C2289" t="s">
        <v>5078</v>
      </c>
      <c r="D2289" t="s">
        <v>4349</v>
      </c>
      <c r="E2289" t="s">
        <v>5537</v>
      </c>
      <c r="F2289" t="s">
        <v>2225</v>
      </c>
    </row>
    <row r="2290" spans="1:6" x14ac:dyDescent="0.3">
      <c r="A2290" s="58" t="s">
        <v>2226</v>
      </c>
      <c r="B2290" t="s">
        <v>5386</v>
      </c>
      <c r="C2290" t="s">
        <v>5078</v>
      </c>
      <c r="D2290" t="s">
        <v>4350</v>
      </c>
      <c r="E2290" t="s">
        <v>5537</v>
      </c>
      <c r="F2290" t="s">
        <v>2226</v>
      </c>
    </row>
    <row r="2291" spans="1:6" x14ac:dyDescent="0.3">
      <c r="A2291" s="58" t="s">
        <v>2227</v>
      </c>
      <c r="B2291" t="s">
        <v>5386</v>
      </c>
      <c r="C2291" t="s">
        <v>5078</v>
      </c>
      <c r="D2291" t="s">
        <v>4351</v>
      </c>
      <c r="E2291" t="s">
        <v>5537</v>
      </c>
      <c r="F2291" t="s">
        <v>2227</v>
      </c>
    </row>
    <row r="2292" spans="1:6" x14ac:dyDescent="0.3">
      <c r="A2292" s="58" t="s">
        <v>2228</v>
      </c>
      <c r="B2292" t="s">
        <v>5386</v>
      </c>
      <c r="C2292" t="s">
        <v>5078</v>
      </c>
      <c r="D2292" t="s">
        <v>4352</v>
      </c>
      <c r="E2292" t="s">
        <v>5538</v>
      </c>
      <c r="F2292" t="s">
        <v>2228</v>
      </c>
    </row>
    <row r="2293" spans="1:6" x14ac:dyDescent="0.3">
      <c r="A2293" s="58" t="s">
        <v>2229</v>
      </c>
      <c r="B2293" t="s">
        <v>5386</v>
      </c>
      <c r="C2293" t="s">
        <v>5078</v>
      </c>
      <c r="D2293" t="s">
        <v>4353</v>
      </c>
      <c r="E2293" t="s">
        <v>5538</v>
      </c>
      <c r="F2293" t="s">
        <v>2229</v>
      </c>
    </row>
    <row r="2294" spans="1:6" x14ac:dyDescent="0.3">
      <c r="A2294" s="58" t="s">
        <v>2230</v>
      </c>
      <c r="B2294" t="s">
        <v>5386</v>
      </c>
      <c r="C2294" t="s">
        <v>5078</v>
      </c>
      <c r="D2294" t="s">
        <v>4354</v>
      </c>
      <c r="E2294" t="s">
        <v>5538</v>
      </c>
      <c r="F2294" t="s">
        <v>2230</v>
      </c>
    </row>
    <row r="2295" spans="1:6" x14ac:dyDescent="0.3">
      <c r="A2295" s="58" t="s">
        <v>2231</v>
      </c>
      <c r="B2295" t="s">
        <v>5386</v>
      </c>
      <c r="C2295" t="s">
        <v>5078</v>
      </c>
      <c r="D2295" t="s">
        <v>4355</v>
      </c>
      <c r="E2295" t="s">
        <v>5538</v>
      </c>
      <c r="F2295" t="s">
        <v>2231</v>
      </c>
    </row>
    <row r="2296" spans="1:6" x14ac:dyDescent="0.3">
      <c r="A2296" s="58" t="s">
        <v>2232</v>
      </c>
      <c r="B2296" t="s">
        <v>5386</v>
      </c>
      <c r="C2296" t="s">
        <v>5078</v>
      </c>
      <c r="D2296" t="s">
        <v>4356</v>
      </c>
      <c r="E2296" t="s">
        <v>5538</v>
      </c>
      <c r="F2296" t="s">
        <v>2232</v>
      </c>
    </row>
    <row r="2297" spans="1:6" x14ac:dyDescent="0.3">
      <c r="A2297" s="58" t="s">
        <v>2233</v>
      </c>
      <c r="B2297" t="s">
        <v>5386</v>
      </c>
      <c r="C2297" t="s">
        <v>5078</v>
      </c>
      <c r="D2297" t="s">
        <v>3590</v>
      </c>
      <c r="E2297" t="s">
        <v>5537</v>
      </c>
      <c r="F2297" t="s">
        <v>2233</v>
      </c>
    </row>
    <row r="2298" spans="1:6" x14ac:dyDescent="0.3">
      <c r="A2298" s="58" t="s">
        <v>2234</v>
      </c>
      <c r="B2298" t="s">
        <v>5386</v>
      </c>
      <c r="C2298" t="s">
        <v>5078</v>
      </c>
      <c r="D2298" t="s">
        <v>4357</v>
      </c>
      <c r="E2298" t="s">
        <v>5538</v>
      </c>
      <c r="F2298" t="s">
        <v>2234</v>
      </c>
    </row>
    <row r="2299" spans="1:6" x14ac:dyDescent="0.3">
      <c r="A2299" s="58" t="s">
        <v>2235</v>
      </c>
      <c r="B2299" t="s">
        <v>5386</v>
      </c>
      <c r="C2299" t="s">
        <v>5078</v>
      </c>
      <c r="D2299" t="s">
        <v>4358</v>
      </c>
      <c r="E2299" t="s">
        <v>5537</v>
      </c>
      <c r="F2299" t="s">
        <v>2235</v>
      </c>
    </row>
    <row r="2300" spans="1:6" x14ac:dyDescent="0.3">
      <c r="A2300" s="58" t="s">
        <v>2236</v>
      </c>
      <c r="B2300" t="s">
        <v>5386</v>
      </c>
      <c r="C2300" t="s">
        <v>5078</v>
      </c>
      <c r="D2300" t="s">
        <v>4359</v>
      </c>
      <c r="E2300" t="s">
        <v>5538</v>
      </c>
      <c r="F2300" t="s">
        <v>2236</v>
      </c>
    </row>
    <row r="2301" spans="1:6" x14ac:dyDescent="0.3">
      <c r="A2301" s="58" t="s">
        <v>2237</v>
      </c>
      <c r="B2301" t="s">
        <v>5386</v>
      </c>
      <c r="C2301" t="s">
        <v>5078</v>
      </c>
      <c r="D2301" t="s">
        <v>4360</v>
      </c>
      <c r="E2301" t="s">
        <v>5537</v>
      </c>
      <c r="F2301" t="s">
        <v>2237</v>
      </c>
    </row>
    <row r="2302" spans="1:6" x14ac:dyDescent="0.3">
      <c r="A2302" s="58" t="s">
        <v>2238</v>
      </c>
      <c r="B2302" t="s">
        <v>5386</v>
      </c>
      <c r="C2302" t="s">
        <v>5079</v>
      </c>
      <c r="D2302" t="s">
        <v>4361</v>
      </c>
      <c r="E2302" t="s">
        <v>5538</v>
      </c>
      <c r="F2302" t="s">
        <v>2238</v>
      </c>
    </row>
    <row r="2303" spans="1:6" x14ac:dyDescent="0.3">
      <c r="A2303" s="58" t="s">
        <v>2239</v>
      </c>
      <c r="B2303" t="s">
        <v>5386</v>
      </c>
      <c r="C2303" t="s">
        <v>5079</v>
      </c>
      <c r="D2303" t="s">
        <v>4362</v>
      </c>
      <c r="E2303" t="s">
        <v>5538</v>
      </c>
      <c r="F2303" t="s">
        <v>2239</v>
      </c>
    </row>
    <row r="2304" spans="1:6" x14ac:dyDescent="0.3">
      <c r="A2304" s="58" t="s">
        <v>2240</v>
      </c>
      <c r="B2304" t="s">
        <v>5386</v>
      </c>
      <c r="C2304" t="s">
        <v>5079</v>
      </c>
      <c r="D2304" t="s">
        <v>4363</v>
      </c>
      <c r="E2304" t="s">
        <v>5538</v>
      </c>
      <c r="F2304" t="s">
        <v>2240</v>
      </c>
    </row>
    <row r="2305" spans="1:6" x14ac:dyDescent="0.3">
      <c r="A2305" s="58" t="s">
        <v>2241</v>
      </c>
      <c r="B2305" t="s">
        <v>5386</v>
      </c>
      <c r="C2305" t="s">
        <v>5079</v>
      </c>
      <c r="D2305" t="s">
        <v>4364</v>
      </c>
      <c r="E2305" t="s">
        <v>5537</v>
      </c>
      <c r="F2305" t="s">
        <v>2241</v>
      </c>
    </row>
    <row r="2306" spans="1:6" x14ac:dyDescent="0.3">
      <c r="A2306" s="58" t="s">
        <v>2242</v>
      </c>
      <c r="B2306" t="s">
        <v>5386</v>
      </c>
      <c r="C2306" t="s">
        <v>5079</v>
      </c>
      <c r="D2306" t="s">
        <v>4365</v>
      </c>
      <c r="E2306" t="s">
        <v>5538</v>
      </c>
      <c r="F2306" t="s">
        <v>2242</v>
      </c>
    </row>
    <row r="2307" spans="1:6" x14ac:dyDescent="0.3">
      <c r="A2307" s="58" t="s">
        <v>2243</v>
      </c>
      <c r="B2307" t="s">
        <v>5386</v>
      </c>
      <c r="C2307" t="s">
        <v>5080</v>
      </c>
      <c r="D2307" t="s">
        <v>4764</v>
      </c>
      <c r="E2307" t="s">
        <v>5536</v>
      </c>
      <c r="F2307" t="s">
        <v>2243</v>
      </c>
    </row>
    <row r="2308" spans="1:6" x14ac:dyDescent="0.3">
      <c r="A2308" s="58" t="s">
        <v>2244</v>
      </c>
      <c r="B2308" t="s">
        <v>5386</v>
      </c>
      <c r="C2308" t="s">
        <v>5080</v>
      </c>
      <c r="D2308" t="s">
        <v>4366</v>
      </c>
      <c r="E2308" t="s">
        <v>5537</v>
      </c>
      <c r="F2308" t="s">
        <v>2244</v>
      </c>
    </row>
    <row r="2309" spans="1:6" x14ac:dyDescent="0.3">
      <c r="A2309" s="58" t="s">
        <v>2245</v>
      </c>
      <c r="B2309" t="s">
        <v>5386</v>
      </c>
      <c r="C2309" t="s">
        <v>5080</v>
      </c>
      <c r="D2309" t="s">
        <v>4367</v>
      </c>
      <c r="E2309" t="s">
        <v>5537</v>
      </c>
      <c r="F2309" t="s">
        <v>2245</v>
      </c>
    </row>
    <row r="2310" spans="1:6" x14ac:dyDescent="0.3">
      <c r="A2310" s="58" t="s">
        <v>2246</v>
      </c>
      <c r="B2310" t="s">
        <v>5386</v>
      </c>
      <c r="C2310" t="s">
        <v>5080</v>
      </c>
      <c r="D2310" t="s">
        <v>4368</v>
      </c>
      <c r="E2310" t="s">
        <v>5537</v>
      </c>
      <c r="F2310" t="s">
        <v>2246</v>
      </c>
    </row>
    <row r="2311" spans="1:6" x14ac:dyDescent="0.3">
      <c r="A2311" s="58" t="s">
        <v>2247</v>
      </c>
      <c r="B2311" t="s">
        <v>5386</v>
      </c>
      <c r="C2311" t="s">
        <v>5080</v>
      </c>
      <c r="D2311" t="s">
        <v>4369</v>
      </c>
      <c r="E2311" t="s">
        <v>5537</v>
      </c>
      <c r="F2311" t="s">
        <v>2247</v>
      </c>
    </row>
    <row r="2312" spans="1:6" x14ac:dyDescent="0.3">
      <c r="A2312" s="58" t="s">
        <v>2248</v>
      </c>
      <c r="B2312" t="s">
        <v>5386</v>
      </c>
      <c r="C2312" t="s">
        <v>5080</v>
      </c>
      <c r="D2312" t="s">
        <v>4765</v>
      </c>
      <c r="E2312" t="s">
        <v>5537</v>
      </c>
      <c r="F2312" t="s">
        <v>2248</v>
      </c>
    </row>
    <row r="2313" spans="1:6" x14ac:dyDescent="0.3">
      <c r="A2313" s="58" t="s">
        <v>2249</v>
      </c>
      <c r="B2313" t="s">
        <v>5386</v>
      </c>
      <c r="C2313" t="s">
        <v>5080</v>
      </c>
      <c r="D2313" t="s">
        <v>4370</v>
      </c>
      <c r="E2313" t="s">
        <v>5537</v>
      </c>
      <c r="F2313" t="s">
        <v>2249</v>
      </c>
    </row>
    <row r="2314" spans="1:6" x14ac:dyDescent="0.3">
      <c r="A2314" s="58" t="s">
        <v>2250</v>
      </c>
      <c r="B2314" t="s">
        <v>5386</v>
      </c>
      <c r="C2314" t="s">
        <v>5080</v>
      </c>
      <c r="D2314" t="s">
        <v>4371</v>
      </c>
      <c r="E2314" t="s">
        <v>5538</v>
      </c>
      <c r="F2314" t="s">
        <v>2250</v>
      </c>
    </row>
    <row r="2315" spans="1:6" x14ac:dyDescent="0.3">
      <c r="A2315" s="58" t="s">
        <v>2251</v>
      </c>
      <c r="B2315" t="s">
        <v>5386</v>
      </c>
      <c r="C2315" t="s">
        <v>5081</v>
      </c>
      <c r="D2315" t="s">
        <v>4766</v>
      </c>
      <c r="E2315" t="s">
        <v>5536</v>
      </c>
      <c r="F2315" t="s">
        <v>2251</v>
      </c>
    </row>
    <row r="2316" spans="1:6" x14ac:dyDescent="0.3">
      <c r="A2316" s="58" t="s">
        <v>2252</v>
      </c>
      <c r="B2316" t="s">
        <v>5386</v>
      </c>
      <c r="C2316" t="s">
        <v>5081</v>
      </c>
      <c r="D2316" t="s">
        <v>4372</v>
      </c>
      <c r="E2316" t="s">
        <v>5537</v>
      </c>
      <c r="F2316" t="s">
        <v>2252</v>
      </c>
    </row>
    <row r="2317" spans="1:6" x14ac:dyDescent="0.3">
      <c r="A2317" s="58" t="s">
        <v>2253</v>
      </c>
      <c r="B2317" t="s">
        <v>5386</v>
      </c>
      <c r="C2317" t="s">
        <v>5081</v>
      </c>
      <c r="D2317" t="s">
        <v>4373</v>
      </c>
      <c r="E2317" t="s">
        <v>5537</v>
      </c>
      <c r="F2317" t="s">
        <v>2253</v>
      </c>
    </row>
    <row r="2318" spans="1:6" x14ac:dyDescent="0.3">
      <c r="A2318" s="58" t="s">
        <v>2254</v>
      </c>
      <c r="B2318" t="s">
        <v>5386</v>
      </c>
      <c r="C2318" t="s">
        <v>5081</v>
      </c>
      <c r="D2318" t="s">
        <v>4767</v>
      </c>
      <c r="E2318" t="s">
        <v>5537</v>
      </c>
      <c r="F2318" t="s">
        <v>2254</v>
      </c>
    </row>
    <row r="2319" spans="1:6" x14ac:dyDescent="0.3">
      <c r="A2319" s="58" t="s">
        <v>2255</v>
      </c>
      <c r="B2319" t="s">
        <v>5386</v>
      </c>
      <c r="C2319" t="s">
        <v>5081</v>
      </c>
      <c r="D2319" t="s">
        <v>4374</v>
      </c>
      <c r="E2319" t="s">
        <v>5538</v>
      </c>
      <c r="F2319" t="s">
        <v>2255</v>
      </c>
    </row>
    <row r="2320" spans="1:6" x14ac:dyDescent="0.3">
      <c r="A2320" s="58" t="s">
        <v>2256</v>
      </c>
      <c r="B2320" t="s">
        <v>5386</v>
      </c>
      <c r="C2320" t="s">
        <v>5081</v>
      </c>
      <c r="D2320" t="s">
        <v>3273</v>
      </c>
      <c r="E2320" t="s">
        <v>5538</v>
      </c>
      <c r="F2320" t="s">
        <v>2256</v>
      </c>
    </row>
    <row r="2321" spans="1:6" x14ac:dyDescent="0.3">
      <c r="A2321" s="58" t="s">
        <v>2257</v>
      </c>
      <c r="B2321" t="s">
        <v>5386</v>
      </c>
      <c r="C2321" t="s">
        <v>5081</v>
      </c>
      <c r="D2321" t="s">
        <v>4375</v>
      </c>
      <c r="E2321" t="s">
        <v>5538</v>
      </c>
      <c r="F2321" t="s">
        <v>2257</v>
      </c>
    </row>
    <row r="2322" spans="1:6" x14ac:dyDescent="0.3">
      <c r="A2322" s="58" t="s">
        <v>2258</v>
      </c>
      <c r="B2322" t="s">
        <v>5386</v>
      </c>
      <c r="C2322" t="s">
        <v>5081</v>
      </c>
      <c r="D2322" t="s">
        <v>4376</v>
      </c>
      <c r="E2322" t="s">
        <v>5538</v>
      </c>
      <c r="F2322" t="s">
        <v>2258</v>
      </c>
    </row>
    <row r="2323" spans="1:6" x14ac:dyDescent="0.3">
      <c r="A2323" s="58" t="s">
        <v>2259</v>
      </c>
      <c r="B2323" t="s">
        <v>5386</v>
      </c>
      <c r="C2323" t="s">
        <v>4821</v>
      </c>
      <c r="D2323" t="s">
        <v>4377</v>
      </c>
      <c r="E2323" t="s">
        <v>5537</v>
      </c>
      <c r="F2323" t="s">
        <v>2259</v>
      </c>
    </row>
    <row r="2324" spans="1:6" x14ac:dyDescent="0.3">
      <c r="A2324" s="58" t="s">
        <v>2260</v>
      </c>
      <c r="B2324" t="s">
        <v>5386</v>
      </c>
      <c r="C2324" t="s">
        <v>4821</v>
      </c>
      <c r="D2324" t="s">
        <v>4378</v>
      </c>
      <c r="E2324" t="s">
        <v>5537</v>
      </c>
      <c r="F2324" t="s">
        <v>2260</v>
      </c>
    </row>
    <row r="2325" spans="1:6" x14ac:dyDescent="0.3">
      <c r="A2325" s="58" t="s">
        <v>2261</v>
      </c>
      <c r="B2325" t="s">
        <v>5386</v>
      </c>
      <c r="C2325" t="s">
        <v>4821</v>
      </c>
      <c r="D2325" t="s">
        <v>4379</v>
      </c>
      <c r="E2325" t="s">
        <v>5537</v>
      </c>
      <c r="F2325" t="s">
        <v>2261</v>
      </c>
    </row>
    <row r="2326" spans="1:6" x14ac:dyDescent="0.3">
      <c r="A2326" s="58" t="s">
        <v>2262</v>
      </c>
      <c r="B2326" t="s">
        <v>5386</v>
      </c>
      <c r="C2326" t="s">
        <v>4821</v>
      </c>
      <c r="D2326" t="s">
        <v>4380</v>
      </c>
      <c r="E2326" t="s">
        <v>5538</v>
      </c>
      <c r="F2326" t="s">
        <v>2262</v>
      </c>
    </row>
    <row r="2327" spans="1:6" x14ac:dyDescent="0.3">
      <c r="A2327" s="58" t="s">
        <v>2263</v>
      </c>
      <c r="B2327" t="s">
        <v>5386</v>
      </c>
      <c r="C2327" t="s">
        <v>4821</v>
      </c>
      <c r="D2327" t="s">
        <v>4381</v>
      </c>
      <c r="E2327" t="s">
        <v>5538</v>
      </c>
      <c r="F2327" t="s">
        <v>5533</v>
      </c>
    </row>
    <row r="2328" spans="1:6" x14ac:dyDescent="0.3">
      <c r="A2328" s="58" t="s">
        <v>2264</v>
      </c>
      <c r="B2328" t="s">
        <v>5386</v>
      </c>
      <c r="C2328" t="s">
        <v>5082</v>
      </c>
      <c r="D2328" t="s">
        <v>2563</v>
      </c>
      <c r="E2328" t="s">
        <v>5537</v>
      </c>
      <c r="F2328" t="s">
        <v>2264</v>
      </c>
    </row>
    <row r="2329" spans="1:6" x14ac:dyDescent="0.3">
      <c r="A2329" s="58" t="s">
        <v>2265</v>
      </c>
      <c r="B2329" t="s">
        <v>5386</v>
      </c>
      <c r="C2329" t="s">
        <v>5082</v>
      </c>
      <c r="D2329" t="s">
        <v>4382</v>
      </c>
      <c r="E2329" t="s">
        <v>5538</v>
      </c>
      <c r="F2329" t="s">
        <v>2265</v>
      </c>
    </row>
    <row r="2330" spans="1:6" x14ac:dyDescent="0.3">
      <c r="A2330" s="58" t="s">
        <v>2266</v>
      </c>
      <c r="B2330" t="s">
        <v>5386</v>
      </c>
      <c r="C2330" t="s">
        <v>5082</v>
      </c>
      <c r="D2330" t="s">
        <v>4383</v>
      </c>
      <c r="E2330" t="s">
        <v>5538</v>
      </c>
      <c r="F2330" t="s">
        <v>2266</v>
      </c>
    </row>
    <row r="2331" spans="1:6" x14ac:dyDescent="0.3">
      <c r="A2331" s="58" t="s">
        <v>2267</v>
      </c>
      <c r="B2331" t="s">
        <v>5386</v>
      </c>
      <c r="C2331" t="s">
        <v>5082</v>
      </c>
      <c r="D2331" t="s">
        <v>4384</v>
      </c>
      <c r="E2331" t="s">
        <v>5538</v>
      </c>
      <c r="F2331" t="s">
        <v>2267</v>
      </c>
    </row>
    <row r="2332" spans="1:6" x14ac:dyDescent="0.3">
      <c r="A2332" s="58" t="s">
        <v>2268</v>
      </c>
      <c r="B2332" t="s">
        <v>5386</v>
      </c>
      <c r="C2332" t="s">
        <v>5083</v>
      </c>
      <c r="D2332" t="s">
        <v>4768</v>
      </c>
      <c r="E2332" t="s">
        <v>5536</v>
      </c>
      <c r="F2332" t="s">
        <v>2268</v>
      </c>
    </row>
    <row r="2333" spans="1:6" x14ac:dyDescent="0.3">
      <c r="A2333" s="58" t="s">
        <v>2269</v>
      </c>
      <c r="B2333" t="s">
        <v>5386</v>
      </c>
      <c r="C2333" t="s">
        <v>5083</v>
      </c>
      <c r="D2333" t="s">
        <v>4385</v>
      </c>
      <c r="E2333" t="s">
        <v>5537</v>
      </c>
      <c r="F2333" t="s">
        <v>2269</v>
      </c>
    </row>
    <row r="2334" spans="1:6" x14ac:dyDescent="0.3">
      <c r="A2334" s="58" t="s">
        <v>2270</v>
      </c>
      <c r="B2334" t="s">
        <v>5386</v>
      </c>
      <c r="C2334" t="s">
        <v>5083</v>
      </c>
      <c r="D2334" t="s">
        <v>3125</v>
      </c>
      <c r="E2334" t="s">
        <v>5538</v>
      </c>
      <c r="F2334" t="s">
        <v>2270</v>
      </c>
    </row>
    <row r="2335" spans="1:6" x14ac:dyDescent="0.3">
      <c r="A2335" s="58" t="s">
        <v>2271</v>
      </c>
      <c r="B2335" t="s">
        <v>5386</v>
      </c>
      <c r="C2335" t="s">
        <v>5083</v>
      </c>
      <c r="D2335" t="s">
        <v>4386</v>
      </c>
      <c r="E2335" t="s">
        <v>5537</v>
      </c>
      <c r="F2335" t="s">
        <v>2271</v>
      </c>
    </row>
    <row r="2336" spans="1:6" x14ac:dyDescent="0.3">
      <c r="A2336" s="58" t="s">
        <v>2272</v>
      </c>
      <c r="B2336" t="s">
        <v>5386</v>
      </c>
      <c r="C2336" t="s">
        <v>5083</v>
      </c>
      <c r="D2336" t="s">
        <v>4387</v>
      </c>
      <c r="E2336" t="s">
        <v>5537</v>
      </c>
      <c r="F2336" t="s">
        <v>2272</v>
      </c>
    </row>
    <row r="2337" spans="1:6" x14ac:dyDescent="0.3">
      <c r="A2337" s="58" t="s">
        <v>2273</v>
      </c>
      <c r="B2337" t="s">
        <v>5386</v>
      </c>
      <c r="C2337" t="s">
        <v>5083</v>
      </c>
      <c r="D2337" t="s">
        <v>4388</v>
      </c>
      <c r="E2337" t="s">
        <v>5537</v>
      </c>
      <c r="F2337" t="s">
        <v>2273</v>
      </c>
    </row>
    <row r="2338" spans="1:6" x14ac:dyDescent="0.3">
      <c r="A2338" s="58" t="s">
        <v>2274</v>
      </c>
      <c r="B2338" t="s">
        <v>5386</v>
      </c>
      <c r="C2338" t="s">
        <v>5083</v>
      </c>
      <c r="D2338" t="s">
        <v>4389</v>
      </c>
      <c r="E2338" t="s">
        <v>5538</v>
      </c>
      <c r="F2338" t="s">
        <v>2274</v>
      </c>
    </row>
    <row r="2339" spans="1:6" x14ac:dyDescent="0.3">
      <c r="A2339" s="58" t="s">
        <v>2275</v>
      </c>
      <c r="B2339" t="s">
        <v>5386</v>
      </c>
      <c r="C2339" t="s">
        <v>5083</v>
      </c>
      <c r="D2339" t="s">
        <v>4769</v>
      </c>
      <c r="E2339" t="s">
        <v>5537</v>
      </c>
      <c r="F2339" t="s">
        <v>2275</v>
      </c>
    </row>
    <row r="2340" spans="1:6" x14ac:dyDescent="0.3">
      <c r="A2340" s="58" t="s">
        <v>2276</v>
      </c>
      <c r="B2340" t="s">
        <v>5386</v>
      </c>
      <c r="C2340" t="s">
        <v>5083</v>
      </c>
      <c r="D2340" t="s">
        <v>4390</v>
      </c>
      <c r="E2340" t="s">
        <v>5537</v>
      </c>
      <c r="F2340" t="s">
        <v>2276</v>
      </c>
    </row>
    <row r="2341" spans="1:6" x14ac:dyDescent="0.3">
      <c r="A2341" s="58" t="s">
        <v>2277</v>
      </c>
      <c r="B2341" t="s">
        <v>5386</v>
      </c>
      <c r="C2341" t="s">
        <v>5084</v>
      </c>
      <c r="D2341" t="s">
        <v>4770</v>
      </c>
      <c r="E2341" t="s">
        <v>5536</v>
      </c>
      <c r="F2341" t="s">
        <v>2277</v>
      </c>
    </row>
    <row r="2342" spans="1:6" x14ac:dyDescent="0.3">
      <c r="A2342" s="58" t="s">
        <v>2278</v>
      </c>
      <c r="B2342" t="s">
        <v>5386</v>
      </c>
      <c r="C2342" t="s">
        <v>5084</v>
      </c>
      <c r="D2342" t="s">
        <v>4391</v>
      </c>
      <c r="E2342" t="s">
        <v>5537</v>
      </c>
      <c r="F2342" t="s">
        <v>2278</v>
      </c>
    </row>
    <row r="2343" spans="1:6" x14ac:dyDescent="0.3">
      <c r="A2343" s="58" t="s">
        <v>2279</v>
      </c>
      <c r="B2343" t="s">
        <v>5386</v>
      </c>
      <c r="C2343" t="s">
        <v>5084</v>
      </c>
      <c r="D2343" t="s">
        <v>4392</v>
      </c>
      <c r="E2343" t="s">
        <v>5538</v>
      </c>
      <c r="F2343" t="s">
        <v>2279</v>
      </c>
    </row>
    <row r="2344" spans="1:6" x14ac:dyDescent="0.3">
      <c r="A2344" s="58" t="s">
        <v>2280</v>
      </c>
      <c r="B2344" t="s">
        <v>5386</v>
      </c>
      <c r="C2344" t="s">
        <v>5084</v>
      </c>
      <c r="D2344" t="s">
        <v>4393</v>
      </c>
      <c r="E2344" t="s">
        <v>5538</v>
      </c>
      <c r="F2344" t="s">
        <v>5534</v>
      </c>
    </row>
    <row r="2345" spans="1:6" x14ac:dyDescent="0.3">
      <c r="A2345" s="58" t="s">
        <v>2281</v>
      </c>
      <c r="B2345" t="s">
        <v>5386</v>
      </c>
      <c r="C2345" t="s">
        <v>5084</v>
      </c>
      <c r="D2345" t="s">
        <v>4394</v>
      </c>
      <c r="E2345" t="s">
        <v>5538</v>
      </c>
      <c r="F2345" t="s">
        <v>2281</v>
      </c>
    </row>
    <row r="2346" spans="1:6" x14ac:dyDescent="0.3">
      <c r="A2346" s="58" t="s">
        <v>2282</v>
      </c>
      <c r="B2346" t="s">
        <v>5386</v>
      </c>
      <c r="C2346" t="s">
        <v>5084</v>
      </c>
      <c r="D2346" t="s">
        <v>4395</v>
      </c>
      <c r="E2346" t="s">
        <v>5537</v>
      </c>
      <c r="F2346" t="s">
        <v>2282</v>
      </c>
    </row>
    <row r="2347" spans="1:6" x14ac:dyDescent="0.3">
      <c r="A2347" s="58" t="s">
        <v>2283</v>
      </c>
      <c r="B2347" t="s">
        <v>5386</v>
      </c>
      <c r="C2347" t="s">
        <v>5084</v>
      </c>
      <c r="D2347" t="s">
        <v>4771</v>
      </c>
      <c r="E2347" t="s">
        <v>5537</v>
      </c>
      <c r="F2347" t="s">
        <v>2283</v>
      </c>
    </row>
    <row r="2348" spans="1:6" x14ac:dyDescent="0.3">
      <c r="A2348" s="58" t="s">
        <v>2284</v>
      </c>
      <c r="B2348" t="s">
        <v>5386</v>
      </c>
      <c r="C2348" t="s">
        <v>5085</v>
      </c>
      <c r="D2348" t="s">
        <v>4396</v>
      </c>
      <c r="E2348" t="s">
        <v>5537</v>
      </c>
      <c r="F2348" t="s">
        <v>2284</v>
      </c>
    </row>
    <row r="2349" spans="1:6" x14ac:dyDescent="0.3">
      <c r="A2349" s="58" t="s">
        <v>2285</v>
      </c>
      <c r="B2349" t="s">
        <v>5386</v>
      </c>
      <c r="C2349" t="s">
        <v>5085</v>
      </c>
      <c r="D2349" t="s">
        <v>4397</v>
      </c>
      <c r="E2349" t="s">
        <v>5537</v>
      </c>
      <c r="F2349" t="s">
        <v>2285</v>
      </c>
    </row>
    <row r="2350" spans="1:6" x14ac:dyDescent="0.3">
      <c r="A2350" s="58" t="s">
        <v>2286</v>
      </c>
      <c r="B2350" t="s">
        <v>5386</v>
      </c>
      <c r="C2350" t="s">
        <v>5085</v>
      </c>
      <c r="D2350" t="s">
        <v>4398</v>
      </c>
      <c r="E2350" t="s">
        <v>5538</v>
      </c>
      <c r="F2350" t="s">
        <v>2286</v>
      </c>
    </row>
    <row r="2351" spans="1:6" x14ac:dyDescent="0.3">
      <c r="A2351" s="58" t="s">
        <v>2287</v>
      </c>
      <c r="B2351" t="s">
        <v>5386</v>
      </c>
      <c r="C2351" t="s">
        <v>5086</v>
      </c>
      <c r="D2351" t="s">
        <v>4399</v>
      </c>
      <c r="E2351" t="s">
        <v>5537</v>
      </c>
      <c r="F2351" t="s">
        <v>2287</v>
      </c>
    </row>
    <row r="2352" spans="1:6" x14ac:dyDescent="0.3">
      <c r="A2352" s="58" t="s">
        <v>2288</v>
      </c>
      <c r="B2352" t="s">
        <v>5386</v>
      </c>
      <c r="C2352" t="s">
        <v>5086</v>
      </c>
      <c r="D2352" t="s">
        <v>4400</v>
      </c>
      <c r="E2352" t="s">
        <v>5538</v>
      </c>
      <c r="F2352" t="s">
        <v>2288</v>
      </c>
    </row>
    <row r="2353" spans="1:6" x14ac:dyDescent="0.3">
      <c r="A2353" s="58" t="s">
        <v>2289</v>
      </c>
      <c r="B2353" t="s">
        <v>5386</v>
      </c>
      <c r="C2353" t="s">
        <v>5086</v>
      </c>
      <c r="D2353" t="s">
        <v>4401</v>
      </c>
      <c r="E2353" t="s">
        <v>5538</v>
      </c>
      <c r="F2353" t="s">
        <v>2289</v>
      </c>
    </row>
    <row r="2354" spans="1:6" x14ac:dyDescent="0.3">
      <c r="A2354" s="58" t="s">
        <v>2290</v>
      </c>
      <c r="B2354" t="s">
        <v>5386</v>
      </c>
      <c r="C2354" t="s">
        <v>5086</v>
      </c>
      <c r="D2354" t="s">
        <v>4402</v>
      </c>
      <c r="E2354" t="s">
        <v>5538</v>
      </c>
      <c r="F2354" t="s">
        <v>2290</v>
      </c>
    </row>
    <row r="2355" spans="1:6" x14ac:dyDescent="0.3">
      <c r="A2355" s="58" t="s">
        <v>2291</v>
      </c>
      <c r="B2355" t="s">
        <v>5386</v>
      </c>
      <c r="C2355" t="s">
        <v>5086</v>
      </c>
      <c r="D2355" t="s">
        <v>4403</v>
      </c>
      <c r="E2355" t="s">
        <v>5538</v>
      </c>
      <c r="F2355" t="s">
        <v>2291</v>
      </c>
    </row>
    <row r="2356" spans="1:6" x14ac:dyDescent="0.3">
      <c r="A2356" s="58" t="s">
        <v>2292</v>
      </c>
      <c r="B2356" t="s">
        <v>5386</v>
      </c>
      <c r="C2356" t="s">
        <v>5087</v>
      </c>
      <c r="D2356" t="s">
        <v>4772</v>
      </c>
      <c r="E2356" t="s">
        <v>5536</v>
      </c>
      <c r="F2356" t="s">
        <v>2292</v>
      </c>
    </row>
    <row r="2357" spans="1:6" x14ac:dyDescent="0.3">
      <c r="A2357" s="58" t="s">
        <v>2293</v>
      </c>
      <c r="B2357" t="s">
        <v>5386</v>
      </c>
      <c r="C2357" t="s">
        <v>5087</v>
      </c>
      <c r="D2357" t="s">
        <v>4404</v>
      </c>
      <c r="E2357" t="s">
        <v>5538</v>
      </c>
      <c r="F2357" t="s">
        <v>2293</v>
      </c>
    </row>
    <row r="2358" spans="1:6" x14ac:dyDescent="0.3">
      <c r="A2358" s="58" t="s">
        <v>2294</v>
      </c>
      <c r="B2358" t="s">
        <v>5386</v>
      </c>
      <c r="C2358" t="s">
        <v>5087</v>
      </c>
      <c r="D2358" t="s">
        <v>4405</v>
      </c>
      <c r="E2358" t="s">
        <v>5538</v>
      </c>
      <c r="F2358" t="s">
        <v>2294</v>
      </c>
    </row>
    <row r="2359" spans="1:6" x14ac:dyDescent="0.3">
      <c r="A2359" s="58" t="s">
        <v>2295</v>
      </c>
      <c r="B2359" t="s">
        <v>5386</v>
      </c>
      <c r="C2359" t="s">
        <v>5087</v>
      </c>
      <c r="D2359" t="s">
        <v>4406</v>
      </c>
      <c r="E2359" t="s">
        <v>5537</v>
      </c>
      <c r="F2359" t="s">
        <v>2295</v>
      </c>
    </row>
    <row r="2360" spans="1:6" x14ac:dyDescent="0.3">
      <c r="A2360" s="58" t="s">
        <v>2296</v>
      </c>
      <c r="B2360" t="s">
        <v>5386</v>
      </c>
      <c r="C2360" t="s">
        <v>5087</v>
      </c>
      <c r="D2360" t="s">
        <v>4407</v>
      </c>
      <c r="E2360" t="s">
        <v>5538</v>
      </c>
      <c r="F2360" t="s">
        <v>2296</v>
      </c>
    </row>
    <row r="2361" spans="1:6" x14ac:dyDescent="0.3">
      <c r="A2361" s="58" t="s">
        <v>2297</v>
      </c>
      <c r="B2361" t="s">
        <v>5386</v>
      </c>
      <c r="C2361" t="s">
        <v>5087</v>
      </c>
      <c r="D2361" t="s">
        <v>4408</v>
      </c>
      <c r="E2361" t="s">
        <v>5537</v>
      </c>
      <c r="F2361" t="s">
        <v>2297</v>
      </c>
    </row>
    <row r="2362" spans="1:6" x14ac:dyDescent="0.3">
      <c r="A2362" s="58" t="s">
        <v>2298</v>
      </c>
      <c r="B2362" t="s">
        <v>5386</v>
      </c>
      <c r="C2362" t="s">
        <v>5087</v>
      </c>
      <c r="D2362" t="s">
        <v>2562</v>
      </c>
      <c r="E2362" t="s">
        <v>5537</v>
      </c>
      <c r="F2362" t="s">
        <v>2298</v>
      </c>
    </row>
    <row r="2363" spans="1:6" x14ac:dyDescent="0.3">
      <c r="A2363" s="58" t="s">
        <v>2299</v>
      </c>
      <c r="B2363" t="s">
        <v>5386</v>
      </c>
      <c r="C2363" t="s">
        <v>5087</v>
      </c>
      <c r="D2363" t="s">
        <v>4773</v>
      </c>
      <c r="E2363" t="s">
        <v>5537</v>
      </c>
      <c r="F2363" t="s">
        <v>2299</v>
      </c>
    </row>
    <row r="2364" spans="1:6" x14ac:dyDescent="0.3">
      <c r="A2364" s="58" t="s">
        <v>2300</v>
      </c>
      <c r="B2364" t="s">
        <v>5386</v>
      </c>
      <c r="C2364" t="s">
        <v>4409</v>
      </c>
      <c r="D2364" t="s">
        <v>4409</v>
      </c>
      <c r="E2364" t="s">
        <v>5536</v>
      </c>
      <c r="F2364" t="s">
        <v>2300</v>
      </c>
    </row>
    <row r="2365" spans="1:6" x14ac:dyDescent="0.3">
      <c r="A2365" s="58" t="s">
        <v>2301</v>
      </c>
      <c r="B2365" t="s">
        <v>5386</v>
      </c>
      <c r="C2365" t="s">
        <v>4410</v>
      </c>
      <c r="D2365" t="s">
        <v>4410</v>
      </c>
      <c r="E2365" t="s">
        <v>5536</v>
      </c>
      <c r="F2365" t="s">
        <v>2301</v>
      </c>
    </row>
    <row r="2366" spans="1:6" x14ac:dyDescent="0.3">
      <c r="A2366" s="58" t="s">
        <v>2302</v>
      </c>
      <c r="B2366" t="s">
        <v>5386</v>
      </c>
      <c r="C2366" t="s">
        <v>3461</v>
      </c>
      <c r="D2366" t="s">
        <v>3461</v>
      </c>
      <c r="E2366" t="s">
        <v>5536</v>
      </c>
      <c r="F2366" t="s">
        <v>2302</v>
      </c>
    </row>
    <row r="2367" spans="1:6" x14ac:dyDescent="0.3">
      <c r="A2367" s="58" t="s">
        <v>2303</v>
      </c>
      <c r="B2367" t="s">
        <v>5386</v>
      </c>
      <c r="C2367" t="s">
        <v>4411</v>
      </c>
      <c r="D2367" t="s">
        <v>4411</v>
      </c>
      <c r="E2367" t="s">
        <v>5536</v>
      </c>
      <c r="F2367" t="s">
        <v>2303</v>
      </c>
    </row>
    <row r="2368" spans="1:6" x14ac:dyDescent="0.3">
      <c r="A2368" s="58" t="s">
        <v>2304</v>
      </c>
      <c r="B2368" t="s">
        <v>5390</v>
      </c>
      <c r="C2368" t="s">
        <v>5088</v>
      </c>
      <c r="D2368" t="s">
        <v>4774</v>
      </c>
      <c r="E2368" t="s">
        <v>5536</v>
      </c>
      <c r="F2368" t="s">
        <v>2304</v>
      </c>
    </row>
    <row r="2369" spans="1:6" x14ac:dyDescent="0.3">
      <c r="A2369" s="58" t="s">
        <v>2305</v>
      </c>
      <c r="B2369" t="s">
        <v>5390</v>
      </c>
      <c r="C2369" t="s">
        <v>5088</v>
      </c>
      <c r="D2369" t="s">
        <v>4775</v>
      </c>
      <c r="E2369" t="s">
        <v>5537</v>
      </c>
      <c r="F2369" t="s">
        <v>2305</v>
      </c>
    </row>
    <row r="2370" spans="1:6" x14ac:dyDescent="0.3">
      <c r="A2370" s="58" t="s">
        <v>2306</v>
      </c>
      <c r="B2370" t="s">
        <v>5390</v>
      </c>
      <c r="C2370" t="s">
        <v>5088</v>
      </c>
      <c r="D2370" t="s">
        <v>4412</v>
      </c>
      <c r="E2370" t="s">
        <v>5538</v>
      </c>
      <c r="F2370" t="s">
        <v>2306</v>
      </c>
    </row>
    <row r="2371" spans="1:6" x14ac:dyDescent="0.3">
      <c r="A2371" s="58" t="s">
        <v>5179</v>
      </c>
      <c r="B2371" t="s">
        <v>5390</v>
      </c>
      <c r="C2371" t="s">
        <v>5088</v>
      </c>
      <c r="D2371" t="s">
        <v>4413</v>
      </c>
      <c r="E2371" t="s">
        <v>5538</v>
      </c>
      <c r="F2371" t="s">
        <v>5179</v>
      </c>
    </row>
    <row r="2372" spans="1:6" x14ac:dyDescent="0.3">
      <c r="A2372" s="58" t="s">
        <v>2307</v>
      </c>
      <c r="B2372" t="s">
        <v>5390</v>
      </c>
      <c r="C2372" t="s">
        <v>5089</v>
      </c>
      <c r="D2372" t="s">
        <v>4414</v>
      </c>
      <c r="E2372" t="s">
        <v>5537</v>
      </c>
      <c r="F2372" t="s">
        <v>2307</v>
      </c>
    </row>
    <row r="2373" spans="1:6" x14ac:dyDescent="0.3">
      <c r="A2373" s="58" t="s">
        <v>2308</v>
      </c>
      <c r="B2373" t="s">
        <v>5390</v>
      </c>
      <c r="C2373" t="s">
        <v>5089</v>
      </c>
      <c r="D2373" t="s">
        <v>4415</v>
      </c>
      <c r="E2373" t="s">
        <v>5538</v>
      </c>
      <c r="F2373" t="s">
        <v>2308</v>
      </c>
    </row>
    <row r="2374" spans="1:6" x14ac:dyDescent="0.3">
      <c r="A2374" s="58" t="s">
        <v>2309</v>
      </c>
      <c r="B2374" t="s">
        <v>5390</v>
      </c>
      <c r="C2374" t="s">
        <v>5089</v>
      </c>
      <c r="D2374" t="s">
        <v>4416</v>
      </c>
      <c r="E2374" t="s">
        <v>5538</v>
      </c>
      <c r="F2374" t="s">
        <v>2309</v>
      </c>
    </row>
    <row r="2375" spans="1:6" x14ac:dyDescent="0.3">
      <c r="A2375" s="58" t="s">
        <v>2310</v>
      </c>
      <c r="B2375" t="s">
        <v>5390</v>
      </c>
      <c r="C2375" t="s">
        <v>5089</v>
      </c>
      <c r="D2375" t="s">
        <v>4417</v>
      </c>
      <c r="E2375" t="s">
        <v>5537</v>
      </c>
      <c r="F2375" t="s">
        <v>2310</v>
      </c>
    </row>
    <row r="2376" spans="1:6" x14ac:dyDescent="0.3">
      <c r="A2376" s="58" t="s">
        <v>2311</v>
      </c>
      <c r="B2376" t="s">
        <v>5390</v>
      </c>
      <c r="C2376" t="s">
        <v>5089</v>
      </c>
      <c r="D2376" t="s">
        <v>4418</v>
      </c>
      <c r="E2376" t="s">
        <v>5538</v>
      </c>
      <c r="F2376" t="s">
        <v>2311</v>
      </c>
    </row>
    <row r="2377" spans="1:6" x14ac:dyDescent="0.3">
      <c r="A2377" s="58" t="s">
        <v>2312</v>
      </c>
      <c r="B2377" t="s">
        <v>5390</v>
      </c>
      <c r="C2377" t="s">
        <v>5089</v>
      </c>
      <c r="D2377" t="s">
        <v>4419</v>
      </c>
      <c r="E2377" t="s">
        <v>5538</v>
      </c>
      <c r="F2377" t="s">
        <v>2312</v>
      </c>
    </row>
    <row r="2378" spans="1:6" x14ac:dyDescent="0.3">
      <c r="A2378" s="58" t="s">
        <v>2313</v>
      </c>
      <c r="B2378" t="s">
        <v>5390</v>
      </c>
      <c r="C2378" t="s">
        <v>5090</v>
      </c>
      <c r="D2378" t="s">
        <v>4420</v>
      </c>
      <c r="E2378" t="s">
        <v>5538</v>
      </c>
      <c r="F2378" t="s">
        <v>2313</v>
      </c>
    </row>
    <row r="2379" spans="1:6" x14ac:dyDescent="0.3">
      <c r="A2379" s="58" t="s">
        <v>2314</v>
      </c>
      <c r="B2379" t="s">
        <v>5390</v>
      </c>
      <c r="C2379" t="s">
        <v>5090</v>
      </c>
      <c r="D2379" t="s">
        <v>4421</v>
      </c>
      <c r="E2379" t="s">
        <v>5538</v>
      </c>
      <c r="F2379" t="s">
        <v>2314</v>
      </c>
    </row>
    <row r="2380" spans="1:6" x14ac:dyDescent="0.3">
      <c r="A2380" s="58" t="s">
        <v>2315</v>
      </c>
      <c r="B2380" t="s">
        <v>5390</v>
      </c>
      <c r="C2380" t="s">
        <v>5090</v>
      </c>
      <c r="D2380" t="s">
        <v>4422</v>
      </c>
      <c r="E2380" t="s">
        <v>5538</v>
      </c>
      <c r="F2380" t="s">
        <v>2315</v>
      </c>
    </row>
    <row r="2381" spans="1:6" x14ac:dyDescent="0.3">
      <c r="A2381" s="58" t="s">
        <v>2316</v>
      </c>
      <c r="B2381" t="s">
        <v>5390</v>
      </c>
      <c r="C2381" t="s">
        <v>5090</v>
      </c>
      <c r="D2381" t="s">
        <v>4423</v>
      </c>
      <c r="E2381" t="s">
        <v>5537</v>
      </c>
      <c r="F2381" t="s">
        <v>2316</v>
      </c>
    </row>
    <row r="2382" spans="1:6" x14ac:dyDescent="0.3">
      <c r="A2382" s="58" t="s">
        <v>2317</v>
      </c>
      <c r="B2382" t="s">
        <v>5390</v>
      </c>
      <c r="C2382" t="s">
        <v>5090</v>
      </c>
      <c r="D2382" t="s">
        <v>4424</v>
      </c>
      <c r="E2382" t="s">
        <v>5538</v>
      </c>
      <c r="F2382" t="s">
        <v>2317</v>
      </c>
    </row>
    <row r="2383" spans="1:6" x14ac:dyDescent="0.3">
      <c r="A2383" s="58" t="s">
        <v>2318</v>
      </c>
      <c r="B2383" t="s">
        <v>5390</v>
      </c>
      <c r="C2383" t="s">
        <v>5091</v>
      </c>
      <c r="D2383" t="s">
        <v>4425</v>
      </c>
      <c r="E2383" t="s">
        <v>5538</v>
      </c>
      <c r="F2383" t="s">
        <v>2318</v>
      </c>
    </row>
    <row r="2384" spans="1:6" x14ac:dyDescent="0.3">
      <c r="A2384" s="58" t="s">
        <v>2319</v>
      </c>
      <c r="B2384" t="s">
        <v>5390</v>
      </c>
      <c r="C2384" t="s">
        <v>5091</v>
      </c>
      <c r="D2384" t="s">
        <v>2869</v>
      </c>
      <c r="E2384" t="s">
        <v>5538</v>
      </c>
      <c r="F2384" t="s">
        <v>2319</v>
      </c>
    </row>
    <row r="2385" spans="1:6" x14ac:dyDescent="0.3">
      <c r="A2385" s="58" t="s">
        <v>2320</v>
      </c>
      <c r="B2385" t="s">
        <v>5390</v>
      </c>
      <c r="C2385" t="s">
        <v>5091</v>
      </c>
      <c r="D2385" t="s">
        <v>4426</v>
      </c>
      <c r="E2385" t="s">
        <v>5538</v>
      </c>
      <c r="F2385" t="s">
        <v>2320</v>
      </c>
    </row>
    <row r="2386" spans="1:6" x14ac:dyDescent="0.3">
      <c r="A2386" s="58" t="s">
        <v>2321</v>
      </c>
      <c r="B2386" t="s">
        <v>5390</v>
      </c>
      <c r="C2386" t="s">
        <v>5091</v>
      </c>
      <c r="D2386" t="s">
        <v>4427</v>
      </c>
      <c r="E2386" t="s">
        <v>5537</v>
      </c>
      <c r="F2386" t="s">
        <v>2321</v>
      </c>
    </row>
    <row r="2387" spans="1:6" x14ac:dyDescent="0.3">
      <c r="A2387" s="58" t="s">
        <v>2322</v>
      </c>
      <c r="B2387" t="s">
        <v>5390</v>
      </c>
      <c r="C2387" t="s">
        <v>5091</v>
      </c>
      <c r="D2387" t="s">
        <v>4428</v>
      </c>
      <c r="E2387" t="s">
        <v>5537</v>
      </c>
      <c r="F2387" t="s">
        <v>2322</v>
      </c>
    </row>
    <row r="2388" spans="1:6" x14ac:dyDescent="0.3">
      <c r="A2388" s="58" t="s">
        <v>5180</v>
      </c>
      <c r="B2388" t="s">
        <v>5390</v>
      </c>
      <c r="C2388" t="s">
        <v>5091</v>
      </c>
      <c r="D2388" t="s">
        <v>4429</v>
      </c>
      <c r="E2388" t="s">
        <v>5538</v>
      </c>
      <c r="F2388" t="s">
        <v>5180</v>
      </c>
    </row>
    <row r="2389" spans="1:6" x14ac:dyDescent="0.3">
      <c r="A2389" s="58" t="s">
        <v>2323</v>
      </c>
      <c r="B2389" t="s">
        <v>5390</v>
      </c>
      <c r="C2389" t="s">
        <v>5092</v>
      </c>
      <c r="D2389" t="s">
        <v>4430</v>
      </c>
      <c r="E2389" t="s">
        <v>5537</v>
      </c>
      <c r="F2389" t="s">
        <v>2323</v>
      </c>
    </row>
    <row r="2390" spans="1:6" x14ac:dyDescent="0.3">
      <c r="A2390" s="58" t="s">
        <v>2324</v>
      </c>
      <c r="B2390" t="s">
        <v>5390</v>
      </c>
      <c r="C2390" t="s">
        <v>5092</v>
      </c>
      <c r="D2390" t="s">
        <v>4431</v>
      </c>
      <c r="E2390" t="s">
        <v>5538</v>
      </c>
      <c r="F2390" t="s">
        <v>2324</v>
      </c>
    </row>
    <row r="2391" spans="1:6" x14ac:dyDescent="0.3">
      <c r="A2391" s="58" t="s">
        <v>2325</v>
      </c>
      <c r="B2391" t="s">
        <v>5390</v>
      </c>
      <c r="C2391" t="s">
        <v>5092</v>
      </c>
      <c r="D2391" t="s">
        <v>4432</v>
      </c>
      <c r="E2391" t="s">
        <v>5537</v>
      </c>
      <c r="F2391" t="s">
        <v>2325</v>
      </c>
    </row>
    <row r="2392" spans="1:6" x14ac:dyDescent="0.3">
      <c r="A2392" s="58" t="s">
        <v>2326</v>
      </c>
      <c r="B2392" t="s">
        <v>5390</v>
      </c>
      <c r="C2392" t="s">
        <v>5092</v>
      </c>
      <c r="D2392" t="s">
        <v>4433</v>
      </c>
      <c r="E2392" t="s">
        <v>5538</v>
      </c>
      <c r="F2392" t="s">
        <v>2326</v>
      </c>
    </row>
    <row r="2393" spans="1:6" x14ac:dyDescent="0.3">
      <c r="A2393" s="58" t="s">
        <v>2327</v>
      </c>
      <c r="B2393" t="s">
        <v>5390</v>
      </c>
      <c r="C2393" t="s">
        <v>5092</v>
      </c>
      <c r="D2393" t="s">
        <v>4434</v>
      </c>
      <c r="E2393" t="s">
        <v>5537</v>
      </c>
      <c r="F2393" t="s">
        <v>2327</v>
      </c>
    </row>
    <row r="2394" spans="1:6" x14ac:dyDescent="0.3">
      <c r="A2394" s="58" t="s">
        <v>2328</v>
      </c>
      <c r="B2394" t="s">
        <v>5390</v>
      </c>
      <c r="C2394" t="s">
        <v>5092</v>
      </c>
      <c r="D2394" t="s">
        <v>4435</v>
      </c>
      <c r="E2394" t="s">
        <v>5538</v>
      </c>
      <c r="F2394" t="s">
        <v>2328</v>
      </c>
    </row>
    <row r="2395" spans="1:6" x14ac:dyDescent="0.3">
      <c r="A2395" s="58" t="s">
        <v>2329</v>
      </c>
      <c r="B2395" t="s">
        <v>5390</v>
      </c>
      <c r="C2395" t="s">
        <v>5093</v>
      </c>
      <c r="D2395" t="s">
        <v>4436</v>
      </c>
      <c r="E2395" t="s">
        <v>5537</v>
      </c>
      <c r="F2395" t="s">
        <v>2329</v>
      </c>
    </row>
    <row r="2396" spans="1:6" x14ac:dyDescent="0.3">
      <c r="A2396" s="58" t="s">
        <v>2330</v>
      </c>
      <c r="B2396" t="s">
        <v>5390</v>
      </c>
      <c r="C2396" t="s">
        <v>5093</v>
      </c>
      <c r="D2396" t="s">
        <v>4437</v>
      </c>
      <c r="E2396" t="s">
        <v>5538</v>
      </c>
      <c r="F2396" t="s">
        <v>2330</v>
      </c>
    </row>
    <row r="2397" spans="1:6" x14ac:dyDescent="0.3">
      <c r="A2397" s="58" t="s">
        <v>2331</v>
      </c>
      <c r="B2397" t="s">
        <v>5390</v>
      </c>
      <c r="C2397" t="s">
        <v>5093</v>
      </c>
      <c r="D2397" t="s">
        <v>4438</v>
      </c>
      <c r="E2397" t="s">
        <v>5538</v>
      </c>
      <c r="F2397" t="s">
        <v>2331</v>
      </c>
    </row>
    <row r="2398" spans="1:6" x14ac:dyDescent="0.3">
      <c r="A2398" s="58" t="s">
        <v>2332</v>
      </c>
      <c r="B2398" t="s">
        <v>5390</v>
      </c>
      <c r="C2398" t="s">
        <v>5093</v>
      </c>
      <c r="D2398" t="s">
        <v>4439</v>
      </c>
      <c r="E2398" t="s">
        <v>5538</v>
      </c>
      <c r="F2398" t="s">
        <v>2332</v>
      </c>
    </row>
    <row r="2399" spans="1:6" x14ac:dyDescent="0.3">
      <c r="A2399" s="58" t="s">
        <v>2333</v>
      </c>
      <c r="B2399" t="s">
        <v>5390</v>
      </c>
      <c r="C2399" t="s">
        <v>5093</v>
      </c>
      <c r="D2399" t="s">
        <v>4440</v>
      </c>
      <c r="E2399" t="s">
        <v>5538</v>
      </c>
      <c r="F2399" t="s">
        <v>2333</v>
      </c>
    </row>
    <row r="2400" spans="1:6" x14ac:dyDescent="0.3">
      <c r="A2400" s="58" t="s">
        <v>2334</v>
      </c>
      <c r="B2400" t="s">
        <v>5390</v>
      </c>
      <c r="C2400" t="s">
        <v>5093</v>
      </c>
      <c r="D2400" t="s">
        <v>4441</v>
      </c>
      <c r="E2400" t="s">
        <v>5538</v>
      </c>
      <c r="F2400" t="s">
        <v>2334</v>
      </c>
    </row>
    <row r="2401" spans="1:6" x14ac:dyDescent="0.3">
      <c r="A2401" s="58" t="s">
        <v>2335</v>
      </c>
      <c r="B2401" t="s">
        <v>5390</v>
      </c>
      <c r="C2401" t="s">
        <v>5093</v>
      </c>
      <c r="D2401" t="s">
        <v>4442</v>
      </c>
      <c r="E2401" t="s">
        <v>5537</v>
      </c>
      <c r="F2401" t="s">
        <v>2335</v>
      </c>
    </row>
    <row r="2402" spans="1:6" x14ac:dyDescent="0.3">
      <c r="A2402" s="58" t="s">
        <v>2336</v>
      </c>
      <c r="B2402" t="s">
        <v>5390</v>
      </c>
      <c r="C2402" t="s">
        <v>5093</v>
      </c>
      <c r="D2402" t="s">
        <v>4443</v>
      </c>
      <c r="E2402" t="s">
        <v>5538</v>
      </c>
      <c r="F2402" t="s">
        <v>2336</v>
      </c>
    </row>
    <row r="2403" spans="1:6" x14ac:dyDescent="0.3">
      <c r="A2403" s="58" t="s">
        <v>2337</v>
      </c>
      <c r="B2403" t="s">
        <v>5390</v>
      </c>
      <c r="C2403" t="s">
        <v>5093</v>
      </c>
      <c r="D2403" t="s">
        <v>4444</v>
      </c>
      <c r="E2403" t="s">
        <v>5537</v>
      </c>
      <c r="F2403" t="s">
        <v>2337</v>
      </c>
    </row>
    <row r="2404" spans="1:6" x14ac:dyDescent="0.3">
      <c r="A2404" s="58" t="s">
        <v>2338</v>
      </c>
      <c r="B2404" t="s">
        <v>5390</v>
      </c>
      <c r="C2404" t="s">
        <v>5094</v>
      </c>
      <c r="D2404" t="s">
        <v>4445</v>
      </c>
      <c r="E2404" t="s">
        <v>5538</v>
      </c>
      <c r="F2404" t="s">
        <v>2338</v>
      </c>
    </row>
    <row r="2405" spans="1:6" x14ac:dyDescent="0.3">
      <c r="A2405" s="58" t="s">
        <v>2339</v>
      </c>
      <c r="B2405" t="s">
        <v>5390</v>
      </c>
      <c r="C2405" t="s">
        <v>5094</v>
      </c>
      <c r="D2405" t="s">
        <v>4446</v>
      </c>
      <c r="E2405" t="s">
        <v>5538</v>
      </c>
      <c r="F2405" t="s">
        <v>2339</v>
      </c>
    </row>
    <row r="2406" spans="1:6" x14ac:dyDescent="0.3">
      <c r="A2406" s="58" t="s">
        <v>2340</v>
      </c>
      <c r="B2406" t="s">
        <v>5390</v>
      </c>
      <c r="C2406" t="s">
        <v>5094</v>
      </c>
      <c r="D2406" t="s">
        <v>4447</v>
      </c>
      <c r="E2406" t="s">
        <v>5538</v>
      </c>
      <c r="F2406" t="s">
        <v>2340</v>
      </c>
    </row>
    <row r="2407" spans="1:6" x14ac:dyDescent="0.3">
      <c r="A2407" s="58" t="s">
        <v>2341</v>
      </c>
      <c r="B2407" t="s">
        <v>5390</v>
      </c>
      <c r="C2407" t="s">
        <v>5094</v>
      </c>
      <c r="D2407" t="s">
        <v>4448</v>
      </c>
      <c r="E2407" t="s">
        <v>5538</v>
      </c>
      <c r="F2407" t="s">
        <v>2341</v>
      </c>
    </row>
    <row r="2408" spans="1:6" x14ac:dyDescent="0.3">
      <c r="A2408" s="58" t="s">
        <v>2342</v>
      </c>
      <c r="B2408" t="s">
        <v>5390</v>
      </c>
      <c r="C2408" t="s">
        <v>5094</v>
      </c>
      <c r="D2408" t="s">
        <v>4449</v>
      </c>
      <c r="E2408" t="s">
        <v>5537</v>
      </c>
      <c r="F2408" t="s">
        <v>2342</v>
      </c>
    </row>
    <row r="2409" spans="1:6" x14ac:dyDescent="0.3">
      <c r="A2409" s="58" t="s">
        <v>2343</v>
      </c>
      <c r="B2409" t="s">
        <v>5390</v>
      </c>
      <c r="C2409" t="s">
        <v>5094</v>
      </c>
      <c r="D2409" t="s">
        <v>4450</v>
      </c>
      <c r="E2409" t="s">
        <v>5538</v>
      </c>
      <c r="F2409" t="s">
        <v>2343</v>
      </c>
    </row>
    <row r="2410" spans="1:6" x14ac:dyDescent="0.3">
      <c r="A2410" s="58" t="s">
        <v>2344</v>
      </c>
      <c r="B2410" t="s">
        <v>5390</v>
      </c>
      <c r="C2410" t="s">
        <v>5095</v>
      </c>
      <c r="D2410" t="s">
        <v>4776</v>
      </c>
      <c r="E2410" t="s">
        <v>5536</v>
      </c>
      <c r="F2410" t="s">
        <v>2344</v>
      </c>
    </row>
    <row r="2411" spans="1:6" x14ac:dyDescent="0.3">
      <c r="A2411" s="58" t="s">
        <v>2345</v>
      </c>
      <c r="B2411" t="s">
        <v>5390</v>
      </c>
      <c r="C2411" t="s">
        <v>5095</v>
      </c>
      <c r="D2411" t="s">
        <v>4451</v>
      </c>
      <c r="E2411" t="s">
        <v>5537</v>
      </c>
      <c r="F2411" t="s">
        <v>2345</v>
      </c>
    </row>
    <row r="2412" spans="1:6" x14ac:dyDescent="0.3">
      <c r="A2412" s="58" t="s">
        <v>5181</v>
      </c>
      <c r="B2412" t="s">
        <v>5390</v>
      </c>
      <c r="C2412" t="s">
        <v>5095</v>
      </c>
      <c r="D2412" t="s">
        <v>4452</v>
      </c>
      <c r="E2412" t="s">
        <v>5538</v>
      </c>
      <c r="F2412" t="s">
        <v>5181</v>
      </c>
    </row>
    <row r="2413" spans="1:6" x14ac:dyDescent="0.3">
      <c r="A2413" s="58" t="s">
        <v>2346</v>
      </c>
      <c r="B2413" t="s">
        <v>5390</v>
      </c>
      <c r="C2413" t="s">
        <v>5095</v>
      </c>
      <c r="D2413" t="s">
        <v>4777</v>
      </c>
      <c r="E2413" t="s">
        <v>5537</v>
      </c>
      <c r="F2413" t="s">
        <v>2346</v>
      </c>
    </row>
    <row r="2414" spans="1:6" x14ac:dyDescent="0.3">
      <c r="A2414" s="58" t="s">
        <v>2347</v>
      </c>
      <c r="B2414" t="s">
        <v>5390</v>
      </c>
      <c r="C2414" t="s">
        <v>5095</v>
      </c>
      <c r="D2414" t="s">
        <v>4453</v>
      </c>
      <c r="E2414" t="s">
        <v>5537</v>
      </c>
      <c r="F2414" t="s">
        <v>2347</v>
      </c>
    </row>
    <row r="2415" spans="1:6" x14ac:dyDescent="0.3">
      <c r="A2415" s="58" t="s">
        <v>2348</v>
      </c>
      <c r="B2415" t="s">
        <v>5390</v>
      </c>
      <c r="C2415" t="s">
        <v>5095</v>
      </c>
      <c r="D2415" t="s">
        <v>4454</v>
      </c>
      <c r="E2415" t="s">
        <v>5537</v>
      </c>
      <c r="F2415" t="s">
        <v>2348</v>
      </c>
    </row>
    <row r="2416" spans="1:6" x14ac:dyDescent="0.3">
      <c r="A2416" s="58" t="s">
        <v>2349</v>
      </c>
      <c r="B2416" t="s">
        <v>5390</v>
      </c>
      <c r="C2416" t="s">
        <v>5095</v>
      </c>
      <c r="D2416" t="s">
        <v>4455</v>
      </c>
      <c r="E2416" t="s">
        <v>5537</v>
      </c>
      <c r="F2416" t="s">
        <v>2349</v>
      </c>
    </row>
    <row r="2417" spans="1:6" x14ac:dyDescent="0.3">
      <c r="A2417" s="58" t="s">
        <v>2350</v>
      </c>
      <c r="B2417" t="s">
        <v>5390</v>
      </c>
      <c r="C2417" t="s">
        <v>5096</v>
      </c>
      <c r="D2417" t="s">
        <v>4456</v>
      </c>
      <c r="E2417" t="s">
        <v>5537</v>
      </c>
      <c r="F2417" t="s">
        <v>2350</v>
      </c>
    </row>
    <row r="2418" spans="1:6" x14ac:dyDescent="0.3">
      <c r="A2418" s="58" t="s">
        <v>2351</v>
      </c>
      <c r="B2418" t="s">
        <v>5390</v>
      </c>
      <c r="C2418" t="s">
        <v>5096</v>
      </c>
      <c r="D2418" t="s">
        <v>4457</v>
      </c>
      <c r="E2418" t="s">
        <v>5537</v>
      </c>
      <c r="F2418" t="s">
        <v>2351</v>
      </c>
    </row>
    <row r="2419" spans="1:6" x14ac:dyDescent="0.3">
      <c r="A2419" s="58" t="s">
        <v>2352</v>
      </c>
      <c r="B2419" t="s">
        <v>5390</v>
      </c>
      <c r="C2419" t="s">
        <v>5096</v>
      </c>
      <c r="D2419" t="s">
        <v>4458</v>
      </c>
      <c r="E2419" t="s">
        <v>5538</v>
      </c>
      <c r="F2419" t="s">
        <v>2352</v>
      </c>
    </row>
    <row r="2420" spans="1:6" x14ac:dyDescent="0.3">
      <c r="A2420" s="58" t="s">
        <v>2353</v>
      </c>
      <c r="B2420" t="s">
        <v>5390</v>
      </c>
      <c r="C2420" t="s">
        <v>5096</v>
      </c>
      <c r="D2420" t="s">
        <v>4459</v>
      </c>
      <c r="E2420" t="s">
        <v>5537</v>
      </c>
      <c r="F2420" t="s">
        <v>2353</v>
      </c>
    </row>
    <row r="2421" spans="1:6" x14ac:dyDescent="0.3">
      <c r="A2421" s="58" t="s">
        <v>5417</v>
      </c>
      <c r="B2421" t="s">
        <v>5390</v>
      </c>
      <c r="C2421" t="s">
        <v>5096</v>
      </c>
      <c r="D2421" t="s">
        <v>4460</v>
      </c>
      <c r="E2421" t="s">
        <v>5538</v>
      </c>
      <c r="F2421" t="s">
        <v>5417</v>
      </c>
    </row>
    <row r="2422" spans="1:6" x14ac:dyDescent="0.3">
      <c r="A2422" s="58" t="s">
        <v>2354</v>
      </c>
      <c r="B2422" t="s">
        <v>5390</v>
      </c>
      <c r="C2422" t="s">
        <v>5096</v>
      </c>
      <c r="D2422" t="s">
        <v>4461</v>
      </c>
      <c r="E2422" t="s">
        <v>5538</v>
      </c>
      <c r="F2422" t="s">
        <v>2354</v>
      </c>
    </row>
    <row r="2423" spans="1:6" x14ac:dyDescent="0.3">
      <c r="A2423" s="58" t="s">
        <v>2355</v>
      </c>
      <c r="B2423" t="s">
        <v>5390</v>
      </c>
      <c r="C2423" t="s">
        <v>5096</v>
      </c>
      <c r="D2423" t="s">
        <v>4462</v>
      </c>
      <c r="E2423" t="s">
        <v>5538</v>
      </c>
      <c r="F2423" t="s">
        <v>2355</v>
      </c>
    </row>
    <row r="2424" spans="1:6" x14ac:dyDescent="0.3">
      <c r="A2424" s="58" t="s">
        <v>2356</v>
      </c>
      <c r="B2424" t="s">
        <v>5390</v>
      </c>
      <c r="C2424" t="s">
        <v>5096</v>
      </c>
      <c r="D2424" t="s">
        <v>4463</v>
      </c>
      <c r="E2424" t="s">
        <v>5537</v>
      </c>
      <c r="F2424" t="s">
        <v>2356</v>
      </c>
    </row>
    <row r="2425" spans="1:6" x14ac:dyDescent="0.3">
      <c r="A2425" s="58" t="s">
        <v>2357</v>
      </c>
      <c r="B2425" t="s">
        <v>5390</v>
      </c>
      <c r="C2425" t="s">
        <v>5097</v>
      </c>
      <c r="D2425" t="s">
        <v>4464</v>
      </c>
      <c r="E2425" t="s">
        <v>5538</v>
      </c>
      <c r="F2425" t="s">
        <v>2357</v>
      </c>
    </row>
    <row r="2426" spans="1:6" x14ac:dyDescent="0.3">
      <c r="A2426" s="58" t="s">
        <v>2358</v>
      </c>
      <c r="B2426" t="s">
        <v>5390</v>
      </c>
      <c r="C2426" t="s">
        <v>5097</v>
      </c>
      <c r="D2426" t="s">
        <v>4465</v>
      </c>
      <c r="E2426" t="s">
        <v>5537</v>
      </c>
      <c r="F2426" t="s">
        <v>2358</v>
      </c>
    </row>
    <row r="2427" spans="1:6" x14ac:dyDescent="0.3">
      <c r="A2427" s="58" t="s">
        <v>2359</v>
      </c>
      <c r="B2427" t="s">
        <v>5390</v>
      </c>
      <c r="C2427" t="s">
        <v>5097</v>
      </c>
      <c r="D2427" t="s">
        <v>3086</v>
      </c>
      <c r="E2427" t="s">
        <v>5538</v>
      </c>
      <c r="F2427" t="s">
        <v>2359</v>
      </c>
    </row>
    <row r="2428" spans="1:6" x14ac:dyDescent="0.3">
      <c r="A2428" s="58" t="s">
        <v>2360</v>
      </c>
      <c r="B2428" t="s">
        <v>5390</v>
      </c>
      <c r="C2428" t="s">
        <v>5097</v>
      </c>
      <c r="D2428" t="s">
        <v>4466</v>
      </c>
      <c r="E2428" t="s">
        <v>5538</v>
      </c>
      <c r="F2428" t="s">
        <v>2360</v>
      </c>
    </row>
    <row r="2429" spans="1:6" x14ac:dyDescent="0.3">
      <c r="A2429" s="58" t="s">
        <v>2361</v>
      </c>
      <c r="B2429" t="s">
        <v>5390</v>
      </c>
      <c r="C2429" t="s">
        <v>5097</v>
      </c>
      <c r="D2429" t="s">
        <v>4467</v>
      </c>
      <c r="E2429" t="s">
        <v>5537</v>
      </c>
      <c r="F2429" t="s">
        <v>2361</v>
      </c>
    </row>
    <row r="2430" spans="1:6" x14ac:dyDescent="0.3">
      <c r="A2430" s="58" t="s">
        <v>2362</v>
      </c>
      <c r="B2430" t="s">
        <v>5390</v>
      </c>
      <c r="C2430" t="s">
        <v>5098</v>
      </c>
      <c r="D2430" t="s">
        <v>5400</v>
      </c>
      <c r="E2430" t="s">
        <v>5537</v>
      </c>
      <c r="F2430" t="s">
        <v>2362</v>
      </c>
    </row>
    <row r="2431" spans="1:6" x14ac:dyDescent="0.3">
      <c r="A2431" s="58" t="s">
        <v>2363</v>
      </c>
      <c r="B2431" t="s">
        <v>5390</v>
      </c>
      <c r="C2431" t="s">
        <v>5098</v>
      </c>
      <c r="D2431" t="s">
        <v>4468</v>
      </c>
      <c r="E2431" t="s">
        <v>5537</v>
      </c>
      <c r="F2431" t="s">
        <v>2363</v>
      </c>
    </row>
    <row r="2432" spans="1:6" x14ac:dyDescent="0.3">
      <c r="A2432" s="58" t="s">
        <v>2364</v>
      </c>
      <c r="B2432" t="s">
        <v>5390</v>
      </c>
      <c r="C2432" t="s">
        <v>5098</v>
      </c>
      <c r="D2432" t="s">
        <v>4469</v>
      </c>
      <c r="E2432" t="s">
        <v>5538</v>
      </c>
      <c r="F2432" t="s">
        <v>2364</v>
      </c>
    </row>
    <row r="2433" spans="1:6" x14ac:dyDescent="0.3">
      <c r="A2433" s="58" t="s">
        <v>2365</v>
      </c>
      <c r="B2433" t="s">
        <v>5390</v>
      </c>
      <c r="C2433" t="s">
        <v>5098</v>
      </c>
      <c r="D2433" t="s">
        <v>4470</v>
      </c>
      <c r="E2433" t="s">
        <v>5538</v>
      </c>
      <c r="F2433" t="s">
        <v>2365</v>
      </c>
    </row>
    <row r="2434" spans="1:6" x14ac:dyDescent="0.3">
      <c r="A2434" s="58" t="s">
        <v>2366</v>
      </c>
      <c r="B2434" t="s">
        <v>5390</v>
      </c>
      <c r="C2434" t="s">
        <v>5099</v>
      </c>
      <c r="D2434" t="s">
        <v>4471</v>
      </c>
      <c r="E2434" t="s">
        <v>5537</v>
      </c>
      <c r="F2434" t="s">
        <v>2366</v>
      </c>
    </row>
    <row r="2435" spans="1:6" x14ac:dyDescent="0.3">
      <c r="A2435" s="58" t="s">
        <v>2367</v>
      </c>
      <c r="B2435" t="s">
        <v>5390</v>
      </c>
      <c r="C2435" t="s">
        <v>5099</v>
      </c>
      <c r="D2435" t="s">
        <v>4472</v>
      </c>
      <c r="E2435" t="s">
        <v>5537</v>
      </c>
      <c r="F2435" t="s">
        <v>2367</v>
      </c>
    </row>
    <row r="2436" spans="1:6" x14ac:dyDescent="0.3">
      <c r="A2436" s="58" t="s">
        <v>2368</v>
      </c>
      <c r="B2436" t="s">
        <v>5390</v>
      </c>
      <c r="C2436" t="s">
        <v>5099</v>
      </c>
      <c r="D2436" t="s">
        <v>4473</v>
      </c>
      <c r="E2436" t="s">
        <v>5538</v>
      </c>
      <c r="F2436" t="s">
        <v>2368</v>
      </c>
    </row>
    <row r="2437" spans="1:6" x14ac:dyDescent="0.3">
      <c r="A2437" s="58" t="s">
        <v>2369</v>
      </c>
      <c r="B2437" t="s">
        <v>5390</v>
      </c>
      <c r="C2437" t="s">
        <v>5099</v>
      </c>
      <c r="D2437" t="s">
        <v>4474</v>
      </c>
      <c r="E2437" t="s">
        <v>5537</v>
      </c>
      <c r="F2437" t="s">
        <v>2369</v>
      </c>
    </row>
    <row r="2438" spans="1:6" x14ac:dyDescent="0.3">
      <c r="A2438" s="58" t="s">
        <v>2370</v>
      </c>
      <c r="B2438" t="s">
        <v>5390</v>
      </c>
      <c r="C2438" t="s">
        <v>5099</v>
      </c>
      <c r="D2438" t="s">
        <v>4475</v>
      </c>
      <c r="E2438" t="s">
        <v>5538</v>
      </c>
      <c r="F2438" t="s">
        <v>2370</v>
      </c>
    </row>
    <row r="2439" spans="1:6" x14ac:dyDescent="0.3">
      <c r="A2439" s="58" t="s">
        <v>2371</v>
      </c>
      <c r="B2439" t="s">
        <v>5390</v>
      </c>
      <c r="C2439" t="s">
        <v>5099</v>
      </c>
      <c r="D2439" t="s">
        <v>4476</v>
      </c>
      <c r="E2439" t="s">
        <v>5537</v>
      </c>
      <c r="F2439" t="s">
        <v>2371</v>
      </c>
    </row>
    <row r="2440" spans="1:6" x14ac:dyDescent="0.3">
      <c r="A2440" s="58" t="s">
        <v>2372</v>
      </c>
      <c r="B2440" t="s">
        <v>5390</v>
      </c>
      <c r="C2440" t="s">
        <v>5100</v>
      </c>
      <c r="D2440" t="s">
        <v>4778</v>
      </c>
      <c r="E2440" t="s">
        <v>5536</v>
      </c>
      <c r="F2440" t="s">
        <v>2372</v>
      </c>
    </row>
    <row r="2441" spans="1:6" x14ac:dyDescent="0.3">
      <c r="A2441" s="58" t="s">
        <v>2373</v>
      </c>
      <c r="B2441" t="s">
        <v>5390</v>
      </c>
      <c r="C2441" t="s">
        <v>5100</v>
      </c>
      <c r="D2441" t="s">
        <v>4779</v>
      </c>
      <c r="E2441" t="s">
        <v>5536</v>
      </c>
      <c r="F2441" t="s">
        <v>2373</v>
      </c>
    </row>
    <row r="2442" spans="1:6" x14ac:dyDescent="0.3">
      <c r="A2442" s="58" t="s">
        <v>2374</v>
      </c>
      <c r="B2442" t="s">
        <v>5390</v>
      </c>
      <c r="C2442" t="s">
        <v>5100</v>
      </c>
      <c r="D2442" t="s">
        <v>4780</v>
      </c>
      <c r="E2442" t="s">
        <v>5537</v>
      </c>
      <c r="F2442" t="s">
        <v>2374</v>
      </c>
    </row>
    <row r="2443" spans="1:6" x14ac:dyDescent="0.3">
      <c r="A2443" s="58" t="s">
        <v>2375</v>
      </c>
      <c r="B2443" t="s">
        <v>5390</v>
      </c>
      <c r="C2443" t="s">
        <v>5100</v>
      </c>
      <c r="D2443" t="s">
        <v>4477</v>
      </c>
      <c r="E2443" t="s">
        <v>5537</v>
      </c>
      <c r="F2443" t="s">
        <v>2375</v>
      </c>
    </row>
    <row r="2444" spans="1:6" x14ac:dyDescent="0.3">
      <c r="A2444" s="58" t="s">
        <v>2376</v>
      </c>
      <c r="B2444" t="s">
        <v>5390</v>
      </c>
      <c r="C2444" t="s">
        <v>5100</v>
      </c>
      <c r="D2444" t="s">
        <v>4478</v>
      </c>
      <c r="E2444" t="s">
        <v>5537</v>
      </c>
      <c r="F2444" t="s">
        <v>2376</v>
      </c>
    </row>
    <row r="2445" spans="1:6" x14ac:dyDescent="0.3">
      <c r="A2445" s="58" t="s">
        <v>2377</v>
      </c>
      <c r="B2445" t="s">
        <v>5390</v>
      </c>
      <c r="C2445" t="s">
        <v>5100</v>
      </c>
      <c r="D2445" t="s">
        <v>5435</v>
      </c>
      <c r="E2445" t="s">
        <v>5537</v>
      </c>
      <c r="F2445" t="s">
        <v>2377</v>
      </c>
    </row>
    <row r="2446" spans="1:6" x14ac:dyDescent="0.3">
      <c r="A2446" s="58" t="s">
        <v>2378</v>
      </c>
      <c r="B2446" t="s">
        <v>5390</v>
      </c>
      <c r="C2446" t="s">
        <v>5101</v>
      </c>
      <c r="D2446" t="s">
        <v>5439</v>
      </c>
      <c r="E2446" t="s">
        <v>5536</v>
      </c>
      <c r="F2446" t="s">
        <v>2378</v>
      </c>
    </row>
    <row r="2447" spans="1:6" x14ac:dyDescent="0.3">
      <c r="A2447" s="58" t="s">
        <v>2379</v>
      </c>
      <c r="B2447" t="s">
        <v>5390</v>
      </c>
      <c r="C2447" t="s">
        <v>5101</v>
      </c>
      <c r="D2447" t="s">
        <v>4479</v>
      </c>
      <c r="E2447" t="s">
        <v>5538</v>
      </c>
      <c r="F2447" t="s">
        <v>2379</v>
      </c>
    </row>
    <row r="2448" spans="1:6" x14ac:dyDescent="0.3">
      <c r="A2448" s="58" t="s">
        <v>2380</v>
      </c>
      <c r="B2448" t="s">
        <v>5390</v>
      </c>
      <c r="C2448" t="s">
        <v>5101</v>
      </c>
      <c r="D2448" t="s">
        <v>4480</v>
      </c>
      <c r="E2448" t="s">
        <v>5538</v>
      </c>
      <c r="F2448" t="s">
        <v>2380</v>
      </c>
    </row>
    <row r="2449" spans="1:6" x14ac:dyDescent="0.3">
      <c r="A2449" s="58" t="s">
        <v>2381</v>
      </c>
      <c r="B2449" t="s">
        <v>5390</v>
      </c>
      <c r="C2449" t="s">
        <v>5101</v>
      </c>
      <c r="D2449" t="s">
        <v>4481</v>
      </c>
      <c r="E2449" t="s">
        <v>5537</v>
      </c>
      <c r="F2449" t="s">
        <v>2381</v>
      </c>
    </row>
    <row r="2450" spans="1:6" x14ac:dyDescent="0.3">
      <c r="A2450" s="58" t="s">
        <v>2382</v>
      </c>
      <c r="B2450" t="s">
        <v>5390</v>
      </c>
      <c r="C2450" t="s">
        <v>5101</v>
      </c>
      <c r="D2450" t="s">
        <v>4482</v>
      </c>
      <c r="E2450" t="s">
        <v>5538</v>
      </c>
      <c r="F2450" t="s">
        <v>2382</v>
      </c>
    </row>
    <row r="2451" spans="1:6" x14ac:dyDescent="0.3">
      <c r="A2451" s="58" t="s">
        <v>2383</v>
      </c>
      <c r="B2451" t="s">
        <v>5390</v>
      </c>
      <c r="C2451" t="s">
        <v>5101</v>
      </c>
      <c r="D2451" t="s">
        <v>4483</v>
      </c>
      <c r="E2451" t="s">
        <v>5537</v>
      </c>
      <c r="F2451" t="s">
        <v>2383</v>
      </c>
    </row>
    <row r="2452" spans="1:6" x14ac:dyDescent="0.3">
      <c r="A2452" s="58" t="s">
        <v>2384</v>
      </c>
      <c r="B2452" t="s">
        <v>5390</v>
      </c>
      <c r="C2452" t="s">
        <v>5101</v>
      </c>
      <c r="D2452" t="s">
        <v>4484</v>
      </c>
      <c r="E2452" t="s">
        <v>5537</v>
      </c>
      <c r="F2452" t="s">
        <v>2384</v>
      </c>
    </row>
    <row r="2453" spans="1:6" x14ac:dyDescent="0.3">
      <c r="A2453" s="58" t="s">
        <v>2385</v>
      </c>
      <c r="B2453" t="s">
        <v>5390</v>
      </c>
      <c r="C2453" t="s">
        <v>5101</v>
      </c>
      <c r="D2453" t="s">
        <v>4485</v>
      </c>
      <c r="E2453" t="s">
        <v>5537</v>
      </c>
      <c r="F2453" t="s">
        <v>2385</v>
      </c>
    </row>
    <row r="2454" spans="1:6" x14ac:dyDescent="0.3">
      <c r="A2454" s="58" t="s">
        <v>2386</v>
      </c>
      <c r="B2454" t="s">
        <v>5390</v>
      </c>
      <c r="C2454" t="s">
        <v>5101</v>
      </c>
      <c r="D2454" t="s">
        <v>5440</v>
      </c>
      <c r="E2454" t="s">
        <v>5537</v>
      </c>
      <c r="F2454" t="s">
        <v>2386</v>
      </c>
    </row>
    <row r="2455" spans="1:6" x14ac:dyDescent="0.3">
      <c r="A2455" s="58" t="s">
        <v>2387</v>
      </c>
      <c r="B2455" t="s">
        <v>5390</v>
      </c>
      <c r="C2455" t="s">
        <v>5101</v>
      </c>
      <c r="D2455" t="s">
        <v>4486</v>
      </c>
      <c r="E2455" t="s">
        <v>5538</v>
      </c>
      <c r="F2455" t="s">
        <v>2387</v>
      </c>
    </row>
    <row r="2456" spans="1:6" x14ac:dyDescent="0.3">
      <c r="A2456" s="58" t="s">
        <v>2388</v>
      </c>
      <c r="B2456" t="s">
        <v>5390</v>
      </c>
      <c r="C2456" t="s">
        <v>5102</v>
      </c>
      <c r="D2456" t="s">
        <v>4781</v>
      </c>
      <c r="E2456" t="s">
        <v>5536</v>
      </c>
      <c r="F2456" t="s">
        <v>2388</v>
      </c>
    </row>
    <row r="2457" spans="1:6" x14ac:dyDescent="0.3">
      <c r="A2457" s="58" t="s">
        <v>2389</v>
      </c>
      <c r="B2457" t="s">
        <v>5390</v>
      </c>
      <c r="C2457" t="s">
        <v>5102</v>
      </c>
      <c r="D2457" t="s">
        <v>4487</v>
      </c>
      <c r="E2457" t="s">
        <v>5538</v>
      </c>
      <c r="F2457" t="s">
        <v>2389</v>
      </c>
    </row>
    <row r="2458" spans="1:6" x14ac:dyDescent="0.3">
      <c r="A2458" s="58" t="s">
        <v>2390</v>
      </c>
      <c r="B2458" t="s">
        <v>5390</v>
      </c>
      <c r="C2458" t="s">
        <v>5102</v>
      </c>
      <c r="D2458" t="s">
        <v>4488</v>
      </c>
      <c r="E2458" t="s">
        <v>5538</v>
      </c>
      <c r="F2458" t="s">
        <v>2390</v>
      </c>
    </row>
    <row r="2459" spans="1:6" x14ac:dyDescent="0.3">
      <c r="A2459" s="58" t="s">
        <v>2391</v>
      </c>
      <c r="B2459" t="s">
        <v>5390</v>
      </c>
      <c r="C2459" t="s">
        <v>5102</v>
      </c>
      <c r="D2459" t="s">
        <v>4489</v>
      </c>
      <c r="E2459" t="s">
        <v>5538</v>
      </c>
      <c r="F2459" t="s">
        <v>2391</v>
      </c>
    </row>
    <row r="2460" spans="1:6" x14ac:dyDescent="0.3">
      <c r="A2460" s="58" t="s">
        <v>2392</v>
      </c>
      <c r="B2460" t="s">
        <v>5390</v>
      </c>
      <c r="C2460" t="s">
        <v>5102</v>
      </c>
      <c r="D2460" t="s">
        <v>4490</v>
      </c>
      <c r="E2460" t="s">
        <v>5537</v>
      </c>
      <c r="F2460" t="s">
        <v>2392</v>
      </c>
    </row>
    <row r="2461" spans="1:6" x14ac:dyDescent="0.3">
      <c r="A2461" s="58" t="s">
        <v>2393</v>
      </c>
      <c r="B2461" t="s">
        <v>5390</v>
      </c>
      <c r="C2461" t="s">
        <v>5102</v>
      </c>
      <c r="D2461" t="s">
        <v>4782</v>
      </c>
      <c r="E2461" t="s">
        <v>5537</v>
      </c>
      <c r="F2461" t="s">
        <v>2393</v>
      </c>
    </row>
    <row r="2462" spans="1:6" x14ac:dyDescent="0.3">
      <c r="A2462" s="58" t="s">
        <v>2394</v>
      </c>
      <c r="B2462" t="s">
        <v>5390</v>
      </c>
      <c r="C2462" t="s">
        <v>5103</v>
      </c>
      <c r="D2462" t="s">
        <v>4783</v>
      </c>
      <c r="E2462" t="s">
        <v>5536</v>
      </c>
      <c r="F2462" t="s">
        <v>2394</v>
      </c>
    </row>
    <row r="2463" spans="1:6" x14ac:dyDescent="0.3">
      <c r="A2463" s="58" t="s">
        <v>2395</v>
      </c>
      <c r="B2463" t="s">
        <v>5390</v>
      </c>
      <c r="C2463" t="s">
        <v>5103</v>
      </c>
      <c r="D2463" t="s">
        <v>4491</v>
      </c>
      <c r="E2463" t="s">
        <v>5537</v>
      </c>
      <c r="F2463" t="s">
        <v>2395</v>
      </c>
    </row>
    <row r="2464" spans="1:6" x14ac:dyDescent="0.3">
      <c r="A2464" s="58" t="s">
        <v>2396</v>
      </c>
      <c r="B2464" t="s">
        <v>5390</v>
      </c>
      <c r="C2464" t="s">
        <v>5103</v>
      </c>
      <c r="D2464" t="s">
        <v>4492</v>
      </c>
      <c r="E2464" t="s">
        <v>5538</v>
      </c>
      <c r="F2464" t="s">
        <v>2396</v>
      </c>
    </row>
    <row r="2465" spans="1:6" x14ac:dyDescent="0.3">
      <c r="A2465" s="58" t="s">
        <v>2397</v>
      </c>
      <c r="B2465" t="s">
        <v>5390</v>
      </c>
      <c r="C2465" t="s">
        <v>5103</v>
      </c>
      <c r="D2465" t="s">
        <v>4493</v>
      </c>
      <c r="E2465" t="s">
        <v>5537</v>
      </c>
      <c r="F2465" t="s">
        <v>2397</v>
      </c>
    </row>
    <row r="2466" spans="1:6" x14ac:dyDescent="0.3">
      <c r="A2466" s="58" t="s">
        <v>2398</v>
      </c>
      <c r="B2466" t="s">
        <v>5390</v>
      </c>
      <c r="C2466" t="s">
        <v>5103</v>
      </c>
      <c r="D2466" t="s">
        <v>4494</v>
      </c>
      <c r="E2466" t="s">
        <v>5537</v>
      </c>
      <c r="F2466" t="s">
        <v>2398</v>
      </c>
    </row>
    <row r="2467" spans="1:6" x14ac:dyDescent="0.3">
      <c r="A2467" s="58" t="s">
        <v>2399</v>
      </c>
      <c r="B2467" t="s">
        <v>5390</v>
      </c>
      <c r="C2467" t="s">
        <v>5103</v>
      </c>
      <c r="D2467" t="s">
        <v>4784</v>
      </c>
      <c r="E2467" t="s">
        <v>5537</v>
      </c>
      <c r="F2467" t="s">
        <v>2399</v>
      </c>
    </row>
    <row r="2468" spans="1:6" x14ac:dyDescent="0.3">
      <c r="A2468" s="58" t="s">
        <v>2400</v>
      </c>
      <c r="B2468" t="s">
        <v>5390</v>
      </c>
      <c r="C2468" t="s">
        <v>5104</v>
      </c>
      <c r="D2468" t="s">
        <v>4785</v>
      </c>
      <c r="E2468" t="s">
        <v>5536</v>
      </c>
      <c r="F2468" t="s">
        <v>2400</v>
      </c>
    </row>
    <row r="2469" spans="1:6" x14ac:dyDescent="0.3">
      <c r="A2469" s="58" t="s">
        <v>2401</v>
      </c>
      <c r="B2469" t="s">
        <v>5390</v>
      </c>
      <c r="C2469" t="s">
        <v>5104</v>
      </c>
      <c r="D2469" t="s">
        <v>4495</v>
      </c>
      <c r="E2469" t="s">
        <v>5538</v>
      </c>
      <c r="F2469" t="s">
        <v>2401</v>
      </c>
    </row>
    <row r="2470" spans="1:6" x14ac:dyDescent="0.3">
      <c r="A2470" s="58" t="s">
        <v>2402</v>
      </c>
      <c r="B2470" t="s">
        <v>5390</v>
      </c>
      <c r="C2470" t="s">
        <v>5104</v>
      </c>
      <c r="D2470" t="s">
        <v>4496</v>
      </c>
      <c r="E2470" t="s">
        <v>5538</v>
      </c>
      <c r="F2470" t="s">
        <v>2402</v>
      </c>
    </row>
    <row r="2471" spans="1:6" x14ac:dyDescent="0.3">
      <c r="A2471" s="58" t="s">
        <v>2403</v>
      </c>
      <c r="B2471" t="s">
        <v>5390</v>
      </c>
      <c r="C2471" t="s">
        <v>5104</v>
      </c>
      <c r="D2471" t="s">
        <v>4497</v>
      </c>
      <c r="E2471" t="s">
        <v>5538</v>
      </c>
      <c r="F2471" t="s">
        <v>2403</v>
      </c>
    </row>
    <row r="2472" spans="1:6" x14ac:dyDescent="0.3">
      <c r="A2472" s="58" t="s">
        <v>2404</v>
      </c>
      <c r="B2472" t="s">
        <v>5390</v>
      </c>
      <c r="C2472" t="s">
        <v>5104</v>
      </c>
      <c r="D2472" t="s">
        <v>4786</v>
      </c>
      <c r="E2472" t="s">
        <v>5537</v>
      </c>
      <c r="F2472" t="s">
        <v>2404</v>
      </c>
    </row>
    <row r="2473" spans="1:6" x14ac:dyDescent="0.3">
      <c r="A2473" s="58" t="s">
        <v>2405</v>
      </c>
      <c r="B2473" t="s">
        <v>5390</v>
      </c>
      <c r="C2473" t="s">
        <v>5105</v>
      </c>
      <c r="D2473" t="s">
        <v>3125</v>
      </c>
      <c r="E2473" t="s">
        <v>5538</v>
      </c>
      <c r="F2473" t="s">
        <v>2405</v>
      </c>
    </row>
    <row r="2474" spans="1:6" x14ac:dyDescent="0.3">
      <c r="A2474" s="58" t="s">
        <v>2406</v>
      </c>
      <c r="B2474" t="s">
        <v>5390</v>
      </c>
      <c r="C2474" t="s">
        <v>5105</v>
      </c>
      <c r="D2474" t="s">
        <v>4498</v>
      </c>
      <c r="E2474" t="s">
        <v>5538</v>
      </c>
      <c r="F2474" t="s">
        <v>2406</v>
      </c>
    </row>
    <row r="2475" spans="1:6" x14ac:dyDescent="0.3">
      <c r="A2475" s="58" t="s">
        <v>2407</v>
      </c>
      <c r="B2475" t="s">
        <v>5390</v>
      </c>
      <c r="C2475" t="s">
        <v>5105</v>
      </c>
      <c r="D2475" t="s">
        <v>4499</v>
      </c>
      <c r="E2475" t="s">
        <v>5537</v>
      </c>
      <c r="F2475" t="s">
        <v>2407</v>
      </c>
    </row>
    <row r="2476" spans="1:6" x14ac:dyDescent="0.3">
      <c r="A2476" s="58" t="s">
        <v>2408</v>
      </c>
      <c r="B2476" t="s">
        <v>5390</v>
      </c>
      <c r="C2476" t="s">
        <v>5105</v>
      </c>
      <c r="D2476" t="s">
        <v>4500</v>
      </c>
      <c r="E2476" t="s">
        <v>5538</v>
      </c>
      <c r="F2476" t="s">
        <v>2408</v>
      </c>
    </row>
    <row r="2477" spans="1:6" x14ac:dyDescent="0.3">
      <c r="A2477" s="58" t="s">
        <v>2409</v>
      </c>
      <c r="B2477" t="s">
        <v>5390</v>
      </c>
      <c r="C2477" t="s">
        <v>5105</v>
      </c>
      <c r="D2477" t="s">
        <v>4501</v>
      </c>
      <c r="E2477" t="s">
        <v>5538</v>
      </c>
      <c r="F2477" t="s">
        <v>2409</v>
      </c>
    </row>
    <row r="2478" spans="1:6" x14ac:dyDescent="0.3">
      <c r="A2478" s="58" t="s">
        <v>2410</v>
      </c>
      <c r="B2478" t="s">
        <v>5390</v>
      </c>
      <c r="C2478" t="s">
        <v>4502</v>
      </c>
      <c r="D2478" t="s">
        <v>4502</v>
      </c>
      <c r="E2478" t="s">
        <v>5536</v>
      </c>
      <c r="F2478" t="s">
        <v>2410</v>
      </c>
    </row>
    <row r="2479" spans="1:6" x14ac:dyDescent="0.3">
      <c r="A2479" s="58" t="s">
        <v>2411</v>
      </c>
      <c r="B2479" t="s">
        <v>5390</v>
      </c>
      <c r="C2479" t="s">
        <v>4503</v>
      </c>
      <c r="D2479" t="s">
        <v>4503</v>
      </c>
      <c r="E2479" t="s">
        <v>5536</v>
      </c>
      <c r="F2479" t="s">
        <v>2411</v>
      </c>
    </row>
    <row r="2480" spans="1:6" x14ac:dyDescent="0.3">
      <c r="A2480" s="58" t="s">
        <v>2412</v>
      </c>
      <c r="B2480" t="s">
        <v>5390</v>
      </c>
      <c r="C2480" t="s">
        <v>5445</v>
      </c>
      <c r="D2480" t="s">
        <v>5445</v>
      </c>
      <c r="E2480" t="s">
        <v>5536</v>
      </c>
      <c r="F2480" t="s">
        <v>2412</v>
      </c>
    </row>
  </sheetData>
  <sheetProtection algorithmName="SHA-512" hashValue="afklK7ZTmE2tDKOZjkO59TpN/LNLtiKg9MUuwpi5P6w774v9/yOmCBNYA+AIYpSrLf08q5CSGDGfTv7MYripkQ==" saltValue="QP4TLLCFFtZSM6K0Sp39Fw==" spinCount="100000" sheet="1" autoFilter="0"/>
  <autoFilter ref="A1:F2480" xr:uid="{00000000-0001-0000-0600-000000000000}"/>
  <sortState xmlns:xlrd2="http://schemas.microsoft.com/office/spreadsheetml/2017/richdata2" ref="A2:C2478">
    <sortCondition ref="A2:A2478"/>
  </sortState>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
    <pageSetUpPr fitToPage="1"/>
  </sheetPr>
  <dimension ref="A3:Y53"/>
  <sheetViews>
    <sheetView showGridLines="0" view="pageBreakPreview" zoomScaleNormal="85" zoomScaleSheetLayoutView="100" workbookViewId="0"/>
  </sheetViews>
  <sheetFormatPr defaultColWidth="9.33203125" defaultRowHeight="14.4" x14ac:dyDescent="0.3"/>
  <cols>
    <col min="1" max="1" width="12.44140625" style="106" customWidth="1"/>
    <col min="2" max="2" width="5.33203125" style="106" customWidth="1"/>
    <col min="3" max="3" width="6.44140625" style="106" customWidth="1"/>
    <col min="4" max="4" width="14.44140625" style="106" customWidth="1"/>
    <col min="5" max="6" width="9.33203125" style="106"/>
    <col min="7" max="7" width="13.44140625" style="106" customWidth="1"/>
    <col min="8" max="8" width="9.33203125" style="106"/>
    <col min="9" max="9" width="23.5546875" style="106" customWidth="1"/>
    <col min="10" max="10" width="9.33203125" style="106"/>
    <col min="11" max="11" width="13.44140625" style="106" customWidth="1"/>
    <col min="12" max="12" width="9" style="106" customWidth="1"/>
    <col min="13" max="13" width="16.33203125" style="107" customWidth="1"/>
    <col min="14" max="14" width="16.33203125" style="106" customWidth="1"/>
    <col min="15" max="15" width="9.33203125" style="106"/>
    <col min="16" max="16" width="13.5546875" style="106" bestFit="1" customWidth="1"/>
    <col min="17" max="17" width="4" style="106" customWidth="1"/>
    <col min="18" max="18" width="5.6640625" style="108" customWidth="1"/>
    <col min="19" max="24" width="5.6640625" style="106" customWidth="1"/>
    <col min="25" max="25" width="11.6640625" style="106" customWidth="1"/>
    <col min="26" max="26" width="5.6640625" style="106" customWidth="1"/>
    <col min="27" max="16384" width="9.33203125" style="106"/>
  </cols>
  <sheetData>
    <row r="3" spans="1:25" ht="30.75" customHeight="1" x14ac:dyDescent="0.3">
      <c r="C3" s="724" t="str">
        <f>IF(WNIOSEK!$B$15="","",WNIOSEK!$B$15)</f>
        <v/>
      </c>
      <c r="D3" s="724"/>
      <c r="E3" s="724"/>
      <c r="F3" s="724"/>
      <c r="G3" s="724"/>
      <c r="H3" s="724"/>
      <c r="I3" s="724"/>
      <c r="J3" s="724"/>
      <c r="K3" s="724"/>
      <c r="L3" s="724"/>
      <c r="M3" s="724"/>
      <c r="N3" s="724"/>
      <c r="S3" s="739"/>
      <c r="T3" s="739"/>
      <c r="U3" s="739"/>
      <c r="V3" s="739"/>
      <c r="W3" s="739"/>
      <c r="X3" s="739"/>
      <c r="Y3" s="739"/>
    </row>
    <row r="4" spans="1:25" ht="35.700000000000003" customHeight="1" thickBot="1" x14ac:dyDescent="0.35">
      <c r="C4" s="740" t="s">
        <v>5320</v>
      </c>
      <c r="D4" s="741"/>
      <c r="E4" s="741"/>
      <c r="F4" s="741"/>
      <c r="G4" s="741"/>
      <c r="H4" s="741"/>
      <c r="I4" s="741"/>
      <c r="J4" s="741"/>
      <c r="K4" s="741"/>
      <c r="L4" s="741"/>
      <c r="M4" s="145">
        <f>IF(MONTH(WNIOSEK!$AR$249)=12,YEAR(WNIOSEK!$AR$249),"2Q"&amp;YEAR(WNIOSEK!$AR$249))</f>
        <v>2024</v>
      </c>
      <c r="N4" s="145">
        <f>IF(MONTH(WNIOSEK!$AW$249)=12,YEAR(WNIOSEK!$AW$249),"2Q"&amp;YEAR(WNIOSEK!$AW$249))</f>
        <v>2025</v>
      </c>
      <c r="R4" s="106"/>
      <c r="S4" s="739"/>
      <c r="T4" s="739"/>
      <c r="U4" s="739"/>
      <c r="V4" s="739"/>
      <c r="W4" s="739"/>
      <c r="X4" s="739"/>
      <c r="Y4" s="739"/>
    </row>
    <row r="5" spans="1:25" ht="27.6" customHeight="1" x14ac:dyDescent="0.3">
      <c r="A5" s="725" t="s">
        <v>5321</v>
      </c>
      <c r="B5" s="109"/>
      <c r="C5" s="110">
        <v>1</v>
      </c>
      <c r="D5" s="742" t="s">
        <v>5322</v>
      </c>
      <c r="E5" s="743"/>
      <c r="F5" s="743"/>
      <c r="G5" s="743"/>
      <c r="H5" s="743"/>
      <c r="I5" s="743"/>
      <c r="J5" s="743"/>
      <c r="K5" s="743"/>
      <c r="L5" s="744"/>
      <c r="M5" s="110" t="str">
        <f>IF(MONTH(WNIOSEK!$AR$249)=6,"",IF(OR(WNIOSEK!$AU$193="TAK",WNIOSEK!$AU$195="TAK",WNIOSEK!$AU$197="TAK"),"tak",IF(OR(WNIOSEK!$AU$193="",WNIOSEK!$AU$195="",WNIOSEK!$AU$197=""),"","nie")))</f>
        <v/>
      </c>
      <c r="N5" s="110" t="str">
        <f>IF(MONTH(WNIOSEK!$AW$249)=6,"",IF(OR(WNIOSEK!$AU$193="TAK",WNIOSEK!$AU$195="TAK",WNIOSEK!$AU$197="TAK"),"tak",IF(OR(WNIOSEK!$AU$193="",WNIOSEK!$AU$195="",WNIOSEK!$AU$197=""),"","nie")))</f>
        <v/>
      </c>
      <c r="O5" s="111"/>
      <c r="S5" s="745"/>
      <c r="T5" s="745"/>
      <c r="U5" s="745"/>
      <c r="V5" s="745"/>
      <c r="W5" s="745"/>
      <c r="X5" s="745"/>
      <c r="Y5" s="745"/>
    </row>
    <row r="6" spans="1:25" ht="36" customHeight="1" x14ac:dyDescent="0.3">
      <c r="A6" s="726"/>
      <c r="B6" s="112"/>
      <c r="C6" s="113">
        <v>2</v>
      </c>
      <c r="D6" s="735" t="s">
        <v>5323</v>
      </c>
      <c r="E6" s="733"/>
      <c r="F6" s="733"/>
      <c r="G6" s="733"/>
      <c r="H6" s="733"/>
      <c r="I6" s="733"/>
      <c r="J6" s="733"/>
      <c r="K6" s="733"/>
      <c r="L6" s="734"/>
      <c r="M6" s="113" t="str">
        <f>IF(MONTH(WNIOSEK!$AR$249)=6,"",IF(WNIOSEK!$AU$200="TAK","tak",IF(WNIOSEK!$AU$200="","","nie")))</f>
        <v/>
      </c>
      <c r="N6" s="113" t="str">
        <f>IF(MONTH(WNIOSEK!$AW$249)=6,"",IF(WNIOSEK!$AU$200="TAK","tak",IF(WNIOSEK!$AU$200="","","nie")))</f>
        <v/>
      </c>
      <c r="O6" s="114"/>
      <c r="S6" s="745"/>
      <c r="T6" s="745"/>
      <c r="U6" s="745"/>
      <c r="V6" s="745"/>
      <c r="W6" s="745"/>
      <c r="X6" s="745"/>
      <c r="Y6" s="745"/>
    </row>
    <row r="7" spans="1:25" ht="46.5" customHeight="1" x14ac:dyDescent="0.3">
      <c r="A7" s="726"/>
      <c r="B7" s="112"/>
      <c r="C7" s="113">
        <v>3</v>
      </c>
      <c r="D7" s="746" t="s">
        <v>5546</v>
      </c>
      <c r="E7" s="733"/>
      <c r="F7" s="733"/>
      <c r="G7" s="733"/>
      <c r="H7" s="733"/>
      <c r="I7" s="733"/>
      <c r="J7" s="733"/>
      <c r="K7" s="733"/>
      <c r="L7" s="734"/>
      <c r="M7" s="113" t="str">
        <f>IF(M19="","",IF(M19&gt;10%,"tak","nie"))</f>
        <v>nie</v>
      </c>
      <c r="N7" s="113" t="str">
        <f>IF(N19="","",IF(N19&gt;10%,"tak","nie"))</f>
        <v>nie</v>
      </c>
      <c r="O7" s="114"/>
      <c r="S7" s="745"/>
      <c r="T7" s="745"/>
      <c r="U7" s="745"/>
      <c r="V7" s="745"/>
      <c r="W7" s="745"/>
      <c r="X7" s="745"/>
      <c r="Y7" s="745"/>
    </row>
    <row r="8" spans="1:25" ht="45" customHeight="1" x14ac:dyDescent="0.3">
      <c r="A8" s="726"/>
      <c r="B8" s="112"/>
      <c r="C8" s="113">
        <v>4</v>
      </c>
      <c r="D8" s="747" t="s">
        <v>5547</v>
      </c>
      <c r="E8" s="733"/>
      <c r="F8" s="733"/>
      <c r="G8" s="733"/>
      <c r="H8" s="733"/>
      <c r="I8" s="733"/>
      <c r="J8" s="733"/>
      <c r="K8" s="733"/>
      <c r="L8" s="734"/>
      <c r="M8" s="113" t="str">
        <f>IFERROR(IF((WNIOSEK!$AR$252/WNIOSEK!$AR$253)&gt;5%,"tak","nie"),"")</f>
        <v/>
      </c>
      <c r="N8" s="113" t="str">
        <f>IFERROR(IF((WNIOSEK!$AW$252/WNIOSEK!$AW$253)&gt;5%,"tak","nie"),"")</f>
        <v/>
      </c>
      <c r="O8" s="114"/>
      <c r="S8" s="745"/>
      <c r="T8" s="745"/>
      <c r="U8" s="745"/>
      <c r="V8" s="745"/>
      <c r="W8" s="745"/>
      <c r="X8" s="745"/>
      <c r="Y8" s="745"/>
    </row>
    <row r="9" spans="1:25" ht="48.75" customHeight="1" x14ac:dyDescent="0.3">
      <c r="A9" s="726"/>
      <c r="B9" s="112"/>
      <c r="C9" s="113">
        <v>5</v>
      </c>
      <c r="D9" s="732" t="s">
        <v>5656</v>
      </c>
      <c r="E9" s="733"/>
      <c r="F9" s="733"/>
      <c r="G9" s="733"/>
      <c r="H9" s="733"/>
      <c r="I9" s="733"/>
      <c r="J9" s="733"/>
      <c r="K9" s="733"/>
      <c r="L9" s="734"/>
      <c r="M9" s="113" t="str">
        <f>IF(OR(M17="",M18=""),"",IF(OR(M17&lt;1,M18&lt;1),"tak","nie"))</f>
        <v>tak</v>
      </c>
      <c r="N9" s="113" t="str">
        <f>IF(OR(N17="",N18=""),"",IF(OR(N17&lt;1,N18&lt;1),"tak","nie"))</f>
        <v>tak</v>
      </c>
      <c r="O9" s="114"/>
    </row>
    <row r="10" spans="1:25" ht="30.6" customHeight="1" x14ac:dyDescent="0.3">
      <c r="A10" s="726"/>
      <c r="B10" s="112"/>
      <c r="C10" s="113">
        <v>6</v>
      </c>
      <c r="D10" s="732" t="s">
        <v>5657</v>
      </c>
      <c r="E10" s="733"/>
      <c r="F10" s="733"/>
      <c r="G10" s="733"/>
      <c r="H10" s="733"/>
      <c r="I10" s="733"/>
      <c r="J10" s="733"/>
      <c r="K10" s="733"/>
      <c r="L10" s="734"/>
      <c r="M10" s="113" t="str">
        <f>IF(OR(M15="",M16=""),"",IF(OR(M15&lt;10%,M16&lt;40%),"tak","nie"))</f>
        <v>tak</v>
      </c>
      <c r="N10" s="113" t="str">
        <f>IF(OR(N15="",N16=""),"",IF(OR(N15&lt;10%,N16&lt;40%),"tak","nie"))</f>
        <v>tak</v>
      </c>
      <c r="O10" s="114"/>
    </row>
    <row r="11" spans="1:25" ht="33" customHeight="1" x14ac:dyDescent="0.3">
      <c r="A11" s="726"/>
      <c r="B11" s="112"/>
      <c r="C11" s="113">
        <v>7</v>
      </c>
      <c r="D11" s="735" t="s">
        <v>5324</v>
      </c>
      <c r="E11" s="733"/>
      <c r="F11" s="733"/>
      <c r="G11" s="733"/>
      <c r="H11" s="733"/>
      <c r="I11" s="733"/>
      <c r="J11" s="733"/>
      <c r="K11" s="733"/>
      <c r="L11" s="734"/>
      <c r="M11" s="113" t="str">
        <f>IF(MONTH(WNIOSEK!$AR$249)=6,"",IF(OR(WNIOSEK!$AR$268="",WNIOSEK!$AR$269="",WNIOSEK!$AR$270=""),"",IF(OR(WNIOSEK!$AR$268&lt;0,WNIOSEK!$AR$269&lt;0,WNIOSEK!$AR$270&lt;0),"tak","nie")))</f>
        <v/>
      </c>
      <c r="N11" s="113" t="str">
        <f>IF(MONTH(WNIOSEK!$AW$249)=6,"",IF(OR(WNIOSEK!$AR$268="",WNIOSEK!$AR$269="",WNIOSEK!$AR$270=""),"",IF(OR(WNIOSEK!$AR$268&lt;0,WNIOSEK!$AR$269&lt;0,WNIOSEK!$AR$270&lt;0),"tak","nie")))</f>
        <v/>
      </c>
      <c r="O11" s="114"/>
    </row>
    <row r="12" spans="1:25" ht="39.75" customHeight="1" thickBot="1" x14ac:dyDescent="0.35">
      <c r="A12" s="727"/>
      <c r="B12" s="115"/>
      <c r="C12" s="116">
        <v>8</v>
      </c>
      <c r="D12" s="731" t="s">
        <v>5325</v>
      </c>
      <c r="E12" s="731"/>
      <c r="F12" s="731"/>
      <c r="G12" s="731"/>
      <c r="H12" s="731"/>
      <c r="I12" s="731"/>
      <c r="J12" s="731"/>
      <c r="K12" s="731"/>
      <c r="L12" s="731"/>
      <c r="M12" s="116" t="str">
        <f>IF(MONTH(WNIOSEK!$AR$249)=6,"",IF(OR(WNIOSEK!$AR$295="",WNIOSEK!$AR$297=""),"",IF(OR(WNIOSEK!$AR$295&lt;0.75%,WNIOSEK!$AR$297&lt;0.75%),"tak","nie")))</f>
        <v/>
      </c>
      <c r="N12" s="116" t="str">
        <f>IF(MONTH(WNIOSEK!$AW$249)=6,"",IF(OR(WNIOSEK!$AW$295="",WNIOSEK!$AW$297=""),"",IF(OR(WNIOSEK!$AW$295&lt;0.75%,WNIOSEK!$AW$297&lt;0.75%),"tak","nie")))</f>
        <v/>
      </c>
      <c r="O12" s="117"/>
    </row>
    <row r="13" spans="1:25" x14ac:dyDescent="0.3">
      <c r="C13" s="118"/>
      <c r="D13" s="119"/>
      <c r="E13" s="119"/>
      <c r="F13" s="119"/>
      <c r="G13" s="119"/>
      <c r="H13" s="119"/>
      <c r="I13" s="119"/>
      <c r="J13" s="119"/>
      <c r="K13" s="119"/>
      <c r="L13" s="119"/>
      <c r="M13" s="118"/>
      <c r="N13" s="118"/>
    </row>
    <row r="14" spans="1:25" ht="35.25" customHeight="1" thickBot="1" x14ac:dyDescent="0.35">
      <c r="C14" s="728" t="s">
        <v>5326</v>
      </c>
      <c r="D14" s="728"/>
      <c r="E14" s="728"/>
      <c r="F14" s="728"/>
      <c r="G14" s="728"/>
      <c r="H14" s="728"/>
      <c r="I14" s="728"/>
      <c r="J14" s="728"/>
      <c r="K14" s="728"/>
      <c r="L14" s="728"/>
      <c r="M14" s="146">
        <f>IF(MONTH(WNIOSEK!$AR$249)=12,YEAR(WNIOSEK!$AR$249),"2Q"&amp;YEAR(WNIOSEK!$AR$249))</f>
        <v>2024</v>
      </c>
      <c r="N14" s="146">
        <f>IF(MONTH(WNIOSEK!$AW$249)=12,YEAR(WNIOSEK!$AW$249),"2Q"&amp;YEAR(WNIOSEK!$AW$249))</f>
        <v>2025</v>
      </c>
    </row>
    <row r="15" spans="1:25" s="129" customFormat="1" ht="46.5" customHeight="1" x14ac:dyDescent="0.3">
      <c r="A15" s="725" t="s">
        <v>5327</v>
      </c>
      <c r="B15" s="132"/>
      <c r="C15" s="136">
        <v>1</v>
      </c>
      <c r="D15" s="729" t="s">
        <v>5328</v>
      </c>
      <c r="E15" s="729"/>
      <c r="F15" s="729"/>
      <c r="G15" s="729"/>
      <c r="H15" s="729"/>
      <c r="I15" s="729"/>
      <c r="J15" s="729"/>
      <c r="K15" s="729"/>
      <c r="L15" s="729"/>
      <c r="M15" s="189">
        <f>IFERROR(WNIOSEK!$AR$263/(WNIOSEK!$AR$265-WNIOSEK!$AR$291),0)</f>
        <v>0</v>
      </c>
      <c r="N15" s="189">
        <f>IFERROR(WNIOSEK!$AW$263/(WNIOSEK!$AW$265-WNIOSEK!$AW$291),0)</f>
        <v>0</v>
      </c>
      <c r="O15" s="133"/>
      <c r="P15" s="127"/>
      <c r="R15" s="128"/>
      <c r="T15" s="130"/>
    </row>
    <row r="16" spans="1:25" s="129" customFormat="1" ht="46.5" customHeight="1" x14ac:dyDescent="0.3">
      <c r="A16" s="726"/>
      <c r="C16" s="137">
        <v>2</v>
      </c>
      <c r="D16" s="723" t="s">
        <v>5329</v>
      </c>
      <c r="E16" s="723"/>
      <c r="F16" s="723"/>
      <c r="G16" s="723"/>
      <c r="H16" s="723"/>
      <c r="I16" s="723"/>
      <c r="J16" s="723"/>
      <c r="K16" s="723"/>
      <c r="L16" s="723"/>
      <c r="M16" s="190">
        <f>IFERROR((WNIOSEK!$AR$254+WNIOSEK!$AR$291+WNIOSEK!$AR$292+WNIOSEK!$AR$293)/WNIOSEK!$AR$260,0)</f>
        <v>0</v>
      </c>
      <c r="N16" s="190">
        <f>IFERROR((WNIOSEK!$AW$254+WNIOSEK!$AW$291+WNIOSEK!$AW$292+WNIOSEK!$AW$293)/WNIOSEK!$AW$260,0)</f>
        <v>0</v>
      </c>
      <c r="O16" s="131"/>
      <c r="P16" s="126"/>
      <c r="R16" s="128"/>
      <c r="T16" s="130"/>
    </row>
    <row r="17" spans="1:20" s="129" customFormat="1" ht="46.5" customHeight="1" x14ac:dyDescent="0.3">
      <c r="A17" s="726"/>
      <c r="C17" s="137">
        <v>3</v>
      </c>
      <c r="D17" s="723" t="s">
        <v>5330</v>
      </c>
      <c r="E17" s="723"/>
      <c r="F17" s="723"/>
      <c r="G17" s="723"/>
      <c r="H17" s="723"/>
      <c r="I17" s="723"/>
      <c r="J17" s="723"/>
      <c r="K17" s="723"/>
      <c r="L17" s="723"/>
      <c r="M17" s="191">
        <f>IFERROR(WNIOSEK!$AR$273/(WNIOSEK!$AR$276+WNIOSEK!$AR$279),0)</f>
        <v>0</v>
      </c>
      <c r="N17" s="191">
        <f>IFERROR(WNIOSEK!$AW$273/(WNIOSEK!$AW$276+WNIOSEK!$AW$279),0)</f>
        <v>0</v>
      </c>
      <c r="O17" s="131"/>
      <c r="P17" s="126"/>
      <c r="R17" s="128"/>
    </row>
    <row r="18" spans="1:20" s="129" customFormat="1" ht="46.5" customHeight="1" x14ac:dyDescent="0.3">
      <c r="A18" s="726"/>
      <c r="C18" s="137">
        <v>4</v>
      </c>
      <c r="D18" s="723" t="s">
        <v>5331</v>
      </c>
      <c r="E18" s="723"/>
      <c r="F18" s="723"/>
      <c r="G18" s="723"/>
      <c r="H18" s="723"/>
      <c r="I18" s="723"/>
      <c r="J18" s="723"/>
      <c r="K18" s="723"/>
      <c r="L18" s="723"/>
      <c r="M18" s="191">
        <f>IFERROR(IF(MONTH(WNIOSEK!$AR$249)=6,(WNIOSEK!$AR$271+WNIOSEK!$AR$278+WNIOSEK!$AR$280)/(WNIOSEK!$AR$289+WNIOSEK!$AR$280),(WNIOSEK!$AR$270+WNIOSEK!$AR$278+WNIOSEK!$AR$280)/(WNIOSEK!$AR$289+WNIOSEK!$AR$280)),0)</f>
        <v>0</v>
      </c>
      <c r="N18" s="191">
        <f>IFERROR(IF(MONTH(WNIOSEK!$AW$249)=12,(WNIOSEK!$AR$270+WNIOSEK!$AW$278+WNIOSEK!$AW$280)/(WNIOSEK!$AW$289+WNIOSEK!$AW$280),(WNIOSEK!$AR$271+WNIOSEK!$AW$278+WNIOSEK!$AW$280)/(WNIOSEK!$AW$289+WNIOSEK!$AW$280)),0)</f>
        <v>0</v>
      </c>
      <c r="O18" s="131"/>
      <c r="P18" s="127"/>
      <c r="R18" s="128"/>
    </row>
    <row r="19" spans="1:20" s="129" customFormat="1" ht="46.5" customHeight="1" thickBot="1" x14ac:dyDescent="0.35">
      <c r="A19" s="727"/>
      <c r="B19" s="134"/>
      <c r="C19" s="138">
        <v>5</v>
      </c>
      <c r="D19" s="730" t="s">
        <v>5332</v>
      </c>
      <c r="E19" s="731"/>
      <c r="F19" s="731"/>
      <c r="G19" s="731"/>
      <c r="H19" s="731"/>
      <c r="I19" s="731"/>
      <c r="J19" s="731"/>
      <c r="K19" s="731"/>
      <c r="L19" s="731"/>
      <c r="M19" s="192">
        <f>IFERROR(WNIOSEK!$AR$250/WNIOSEK!$AR$251,0)</f>
        <v>0</v>
      </c>
      <c r="N19" s="192">
        <f>IFERROR(WNIOSEK!$AW$250/WNIOSEK!$AW$251,0)</f>
        <v>0</v>
      </c>
      <c r="O19" s="135"/>
      <c r="P19" s="126"/>
      <c r="R19" s="128"/>
    </row>
    <row r="20" spans="1:20" x14ac:dyDescent="0.3">
      <c r="A20" s="123"/>
      <c r="C20" s="121"/>
      <c r="D20" s="122"/>
      <c r="E20" s="122"/>
      <c r="F20" s="122"/>
      <c r="G20" s="122"/>
      <c r="H20" s="122"/>
      <c r="I20" s="122"/>
      <c r="J20" s="122"/>
      <c r="K20" s="122"/>
      <c r="L20" s="122"/>
      <c r="M20" s="122"/>
      <c r="T20" s="120"/>
    </row>
    <row r="21" spans="1:20" s="123" customFormat="1" ht="9" customHeight="1" x14ac:dyDescent="0.3">
      <c r="A21" s="737"/>
      <c r="B21" s="737"/>
      <c r="C21" s="737"/>
      <c r="D21" s="737"/>
      <c r="E21" s="737"/>
      <c r="F21" s="737"/>
      <c r="G21" s="737"/>
      <c r="H21" s="737"/>
      <c r="I21" s="737"/>
      <c r="J21" s="737"/>
      <c r="K21" s="737"/>
      <c r="L21" s="737"/>
      <c r="M21" s="737"/>
      <c r="N21" s="737"/>
      <c r="O21" s="737"/>
      <c r="P21" s="737"/>
      <c r="Q21" s="737"/>
    </row>
    <row r="22" spans="1:20" ht="25.5" customHeight="1" x14ac:dyDescent="0.3">
      <c r="A22" s="140"/>
      <c r="B22" s="738" t="s">
        <v>5333</v>
      </c>
      <c r="C22" s="738"/>
      <c r="D22" s="738"/>
      <c r="E22" s="738"/>
      <c r="F22" s="738"/>
      <c r="G22" s="738"/>
      <c r="H22" s="738"/>
      <c r="I22" s="738"/>
      <c r="J22" s="738"/>
      <c r="K22" s="738"/>
      <c r="L22" s="738"/>
      <c r="M22" s="738"/>
      <c r="N22" s="738"/>
      <c r="O22" s="738"/>
      <c r="P22" s="738"/>
      <c r="Q22" s="738"/>
      <c r="T22" s="120"/>
    </row>
    <row r="23" spans="1:20" ht="15" thickBot="1" x14ac:dyDescent="0.35">
      <c r="C23" s="121"/>
      <c r="D23" s="122"/>
      <c r="E23" s="122"/>
      <c r="F23" s="122"/>
      <c r="G23" s="122"/>
      <c r="H23" s="122"/>
      <c r="I23" s="122"/>
      <c r="J23" s="122"/>
      <c r="K23" s="122"/>
      <c r="L23" s="122"/>
      <c r="M23" s="122"/>
    </row>
    <row r="24" spans="1:20" ht="46.5" customHeight="1" x14ac:dyDescent="0.3">
      <c r="B24" s="109"/>
      <c r="C24" s="142">
        <v>6</v>
      </c>
      <c r="D24" s="757" t="s">
        <v>5334</v>
      </c>
      <c r="E24" s="758"/>
      <c r="F24" s="758"/>
      <c r="G24" s="758"/>
      <c r="H24" s="758"/>
      <c r="I24" s="758"/>
      <c r="J24" s="758"/>
      <c r="K24" s="758"/>
      <c r="L24" s="759"/>
      <c r="M24" s="193">
        <f>IFERROR(IF(MONTH(WNIOSEK!$AR$249)=6,WNIOSEK!$AR$271,WNIOSEK!$AR$270)/WNIOSEK!$AR$272,0)</f>
        <v>0</v>
      </c>
      <c r="N24" s="193">
        <f>IFERROR(IF(MONTH(WNIOSEK!$AW$249)=6,WNIOSEK!$AR$271,WNIOSEK!$AR$270)/WNIOSEK!$AW$272,0)</f>
        <v>0</v>
      </c>
      <c r="O24" s="111"/>
      <c r="T24" s="120"/>
    </row>
    <row r="25" spans="1:20" ht="46.5" customHeight="1" x14ac:dyDescent="0.3">
      <c r="B25" s="112"/>
      <c r="C25" s="141">
        <v>7</v>
      </c>
      <c r="D25" s="751" t="s">
        <v>5336</v>
      </c>
      <c r="E25" s="752"/>
      <c r="F25" s="752"/>
      <c r="G25" s="752"/>
      <c r="H25" s="752"/>
      <c r="I25" s="752"/>
      <c r="J25" s="752"/>
      <c r="K25" s="752"/>
      <c r="L25" s="753"/>
      <c r="M25" s="194">
        <f>IFERROR((WNIOSEK!$AR$282-WNIOSEK!$AR$283-WNIOSEK!$AR$284)/WNIOSEK!$AR$288,0)</f>
        <v>0</v>
      </c>
      <c r="N25" s="194">
        <f>IFERROR((WNIOSEK!$AW$282-WNIOSEK!$AW$283-WNIOSEK!$AW$284)/WNIOSEK!$AW$288,0)</f>
        <v>0</v>
      </c>
      <c r="O25" s="143"/>
    </row>
    <row r="26" spans="1:20" ht="46.5" customHeight="1" x14ac:dyDescent="0.3">
      <c r="B26" s="112"/>
      <c r="C26" s="141" t="s">
        <v>5337</v>
      </c>
      <c r="D26" s="754" t="s">
        <v>5338</v>
      </c>
      <c r="E26" s="755"/>
      <c r="F26" s="755"/>
      <c r="G26" s="755"/>
      <c r="H26" s="755"/>
      <c r="I26" s="755"/>
      <c r="J26" s="755"/>
      <c r="K26" s="755"/>
      <c r="L26" s="756"/>
      <c r="M26" s="194">
        <f>IFERROR((WNIOSEK!$AR$266*IF(MONTH(WNIOSEK!$AR$249)=6,180,360))/(WNIOSEK!$AR$273+WNIOSEK!$AR$275+WNIOSEK!$AR$274),0)</f>
        <v>0</v>
      </c>
      <c r="N26" s="194">
        <f>IFERROR((WNIOSEK!$AW$266*IF(MONTH(WNIOSEK!$AW$249)=6,180,360))/(WNIOSEK!$AW$273+WNIOSEK!$AW$275+WNIOSEK!$AW$274),0)</f>
        <v>0</v>
      </c>
      <c r="O26" s="114"/>
    </row>
    <row r="27" spans="1:20" ht="46.5" customHeight="1" x14ac:dyDescent="0.3">
      <c r="B27" s="112"/>
      <c r="C27" s="141" t="s">
        <v>5339</v>
      </c>
      <c r="D27" s="751" t="s">
        <v>5340</v>
      </c>
      <c r="E27" s="752"/>
      <c r="F27" s="752"/>
      <c r="G27" s="752"/>
      <c r="H27" s="752"/>
      <c r="I27" s="752"/>
      <c r="J27" s="752"/>
      <c r="K27" s="752"/>
      <c r="L27" s="753"/>
      <c r="M27" s="194">
        <f>IFERROR((WNIOSEK!$AR$288*IF(MONTH(WNIOSEK!$AR$249)=6,180,360))/(WNIOSEK!$AR$276+WNIOSEK!$AR$277+WNIOSEK!$AR$279),0)</f>
        <v>0</v>
      </c>
      <c r="N27" s="194">
        <f>IFERROR((WNIOSEK!$AW$288*IF(MONTH(WNIOSEK!$AW$249)=6,180,360))/(WNIOSEK!$AW$276+WNIOSEK!$AW$277+WNIOSEK!$AW$279),0)</f>
        <v>0</v>
      </c>
      <c r="O27" s="114"/>
    </row>
    <row r="28" spans="1:20" ht="46.5" customHeight="1" x14ac:dyDescent="0.3">
      <c r="B28" s="112"/>
      <c r="C28" s="141">
        <v>8</v>
      </c>
      <c r="D28" s="751" t="s">
        <v>5341</v>
      </c>
      <c r="E28" s="752"/>
      <c r="F28" s="752"/>
      <c r="G28" s="752"/>
      <c r="H28" s="752"/>
      <c r="I28" s="752"/>
      <c r="J28" s="752"/>
      <c r="K28" s="752"/>
      <c r="L28" s="734"/>
      <c r="M28" s="195">
        <f>IFERROR((WNIOSEK!$AR$254+WNIOSEK!$AR$255+WNIOSEK!$AR$258)/WNIOSEK!$AR$261,0)</f>
        <v>0</v>
      </c>
      <c r="N28" s="195">
        <f>IFERROR((WNIOSEK!$AW$254+WNIOSEK!$AW$255+WNIOSEK!$AW$258)/WNIOSEK!$AW$261,0)</f>
        <v>0</v>
      </c>
      <c r="O28" s="114"/>
    </row>
    <row r="29" spans="1:20" ht="46.5" customHeight="1" thickBot="1" x14ac:dyDescent="0.35">
      <c r="B29" s="115"/>
      <c r="C29" s="144">
        <v>9</v>
      </c>
      <c r="D29" s="748" t="s">
        <v>5625</v>
      </c>
      <c r="E29" s="749"/>
      <c r="F29" s="749"/>
      <c r="G29" s="749"/>
      <c r="H29" s="749"/>
      <c r="I29" s="749"/>
      <c r="J29" s="749"/>
      <c r="K29" s="749"/>
      <c r="L29" s="750"/>
      <c r="M29" s="196">
        <f>IFERROR((WNIOSEK!$AR$257+WNIOSEK!$AR$255+WNIOSEK!$AR$288+WNIOSEK!$AR$258-WNIOSEK!$AR$291)/(WNIOSEK!$AR$262),0)</f>
        <v>0</v>
      </c>
      <c r="N29" s="196">
        <f>IFERROR((WNIOSEK!$AW$257+WNIOSEK!$AW$255+WNIOSEK!$AW$288+WNIOSEK!$AW$258-WNIOSEK!$AW$291)/WNIOSEK!$AW$262,0)</f>
        <v>0</v>
      </c>
      <c r="O29" s="117"/>
    </row>
    <row r="30" spans="1:20" x14ac:dyDescent="0.3">
      <c r="C30" s="124"/>
      <c r="D30" s="124"/>
      <c r="E30" s="124"/>
      <c r="F30" s="124"/>
      <c r="G30" s="124"/>
      <c r="H30" s="124"/>
      <c r="I30" s="124"/>
      <c r="J30" s="124"/>
      <c r="K30" s="124"/>
      <c r="L30" s="124"/>
      <c r="M30" s="124"/>
      <c r="N30" s="124"/>
      <c r="O30" s="124"/>
      <c r="P30" s="124"/>
      <c r="R30" s="106"/>
    </row>
    <row r="31" spans="1:20" x14ac:dyDescent="0.3">
      <c r="D31" s="125" t="s">
        <v>5344</v>
      </c>
      <c r="R31" s="106"/>
    </row>
    <row r="32" spans="1:20" ht="15" customHeight="1" x14ac:dyDescent="0.3">
      <c r="A32" s="760" t="s">
        <v>5345</v>
      </c>
      <c r="B32" s="760"/>
      <c r="C32" s="760"/>
      <c r="D32" s="760"/>
      <c r="E32" s="760"/>
      <c r="F32" s="760"/>
      <c r="G32" s="760"/>
      <c r="H32" s="760"/>
      <c r="I32" s="760"/>
      <c r="J32" s="760"/>
      <c r="K32" s="760"/>
      <c r="L32" s="760"/>
      <c r="M32" s="760"/>
      <c r="N32" s="760"/>
      <c r="O32" s="760"/>
      <c r="P32" s="147"/>
      <c r="R32" s="106"/>
    </row>
    <row r="33" spans="1:18" x14ac:dyDescent="0.3">
      <c r="A33" s="760"/>
      <c r="B33" s="760"/>
      <c r="C33" s="760"/>
      <c r="D33" s="760"/>
      <c r="E33" s="760"/>
      <c r="F33" s="760"/>
      <c r="G33" s="760"/>
      <c r="H33" s="760"/>
      <c r="I33" s="760"/>
      <c r="J33" s="760"/>
      <c r="K33" s="760"/>
      <c r="L33" s="760"/>
      <c r="M33" s="760"/>
      <c r="N33" s="760"/>
      <c r="O33" s="760"/>
      <c r="P33" s="147"/>
      <c r="R33" s="106"/>
    </row>
    <row r="34" spans="1:18" ht="12" customHeight="1" x14ac:dyDescent="0.3">
      <c r="A34" s="760"/>
      <c r="B34" s="760"/>
      <c r="C34" s="760"/>
      <c r="D34" s="760"/>
      <c r="E34" s="760"/>
      <c r="F34" s="760"/>
      <c r="G34" s="760"/>
      <c r="H34" s="760"/>
      <c r="I34" s="760"/>
      <c r="J34" s="760"/>
      <c r="K34" s="760"/>
      <c r="L34" s="760"/>
      <c r="M34" s="760"/>
      <c r="N34" s="760"/>
      <c r="O34" s="760"/>
      <c r="P34" s="147"/>
      <c r="R34" s="106"/>
    </row>
    <row r="35" spans="1:18" ht="129.75" customHeight="1" x14ac:dyDescent="0.3">
      <c r="A35" s="760"/>
      <c r="B35" s="760"/>
      <c r="C35" s="760"/>
      <c r="D35" s="760"/>
      <c r="E35" s="760"/>
      <c r="F35" s="760"/>
      <c r="G35" s="760"/>
      <c r="H35" s="760"/>
      <c r="I35" s="760"/>
      <c r="J35" s="760"/>
      <c r="K35" s="760"/>
      <c r="L35" s="760"/>
      <c r="M35" s="760"/>
      <c r="N35" s="760"/>
      <c r="O35" s="760"/>
      <c r="P35" s="147"/>
      <c r="R35" s="106"/>
    </row>
    <row r="37" spans="1:18" ht="15" customHeight="1" x14ac:dyDescent="0.3">
      <c r="A37" s="761" t="s">
        <v>5476</v>
      </c>
      <c r="B37" s="762"/>
      <c r="C37" s="762"/>
      <c r="D37" s="762"/>
      <c r="E37" s="762"/>
      <c r="F37" s="762"/>
      <c r="G37" s="762"/>
      <c r="H37" s="762"/>
      <c r="I37" s="762"/>
      <c r="J37" s="762"/>
      <c r="K37" s="762"/>
      <c r="L37" s="762"/>
      <c r="M37" s="762"/>
      <c r="N37" s="762"/>
      <c r="O37" s="762"/>
      <c r="P37" s="148"/>
      <c r="R37" s="106"/>
    </row>
    <row r="38" spans="1:18" x14ac:dyDescent="0.3">
      <c r="A38" s="762"/>
      <c r="B38" s="762"/>
      <c r="C38" s="762"/>
      <c r="D38" s="762"/>
      <c r="E38" s="762"/>
      <c r="F38" s="762"/>
      <c r="G38" s="762"/>
      <c r="H38" s="762"/>
      <c r="I38" s="762"/>
      <c r="J38" s="762"/>
      <c r="K38" s="762"/>
      <c r="L38" s="762"/>
      <c r="M38" s="762"/>
      <c r="N38" s="762"/>
      <c r="O38" s="762"/>
      <c r="P38" s="148"/>
      <c r="R38" s="106"/>
    </row>
    <row r="39" spans="1:18" x14ac:dyDescent="0.3">
      <c r="A39" s="762"/>
      <c r="B39" s="762"/>
      <c r="C39" s="762"/>
      <c r="D39" s="762"/>
      <c r="E39" s="762"/>
      <c r="F39" s="762"/>
      <c r="G39" s="762"/>
      <c r="H39" s="762"/>
      <c r="I39" s="762"/>
      <c r="J39" s="762"/>
      <c r="K39" s="762"/>
      <c r="L39" s="762"/>
      <c r="M39" s="762"/>
      <c r="N39" s="762"/>
      <c r="O39" s="762"/>
      <c r="P39" s="148"/>
      <c r="R39" s="106"/>
    </row>
    <row r="40" spans="1:18" x14ac:dyDescent="0.3">
      <c r="A40" s="762"/>
      <c r="B40" s="762"/>
      <c r="C40" s="762"/>
      <c r="D40" s="762"/>
      <c r="E40" s="762"/>
      <c r="F40" s="762"/>
      <c r="G40" s="762"/>
      <c r="H40" s="762"/>
      <c r="I40" s="762"/>
      <c r="J40" s="762"/>
      <c r="K40" s="762"/>
      <c r="L40" s="762"/>
      <c r="M40" s="762"/>
      <c r="N40" s="762"/>
      <c r="O40" s="762"/>
      <c r="P40" s="148"/>
      <c r="R40" s="106"/>
    </row>
    <row r="41" spans="1:18" x14ac:dyDescent="0.3">
      <c r="A41" s="762"/>
      <c r="B41" s="762"/>
      <c r="C41" s="762"/>
      <c r="D41" s="762"/>
      <c r="E41" s="762"/>
      <c r="F41" s="762"/>
      <c r="G41" s="762"/>
      <c r="H41" s="762"/>
      <c r="I41" s="762"/>
      <c r="J41" s="762"/>
      <c r="K41" s="762"/>
      <c r="L41" s="762"/>
      <c r="M41" s="762"/>
      <c r="N41" s="762"/>
      <c r="O41" s="762"/>
      <c r="P41" s="148"/>
      <c r="R41" s="106"/>
    </row>
    <row r="42" spans="1:18" x14ac:dyDescent="0.3">
      <c r="A42" s="762"/>
      <c r="B42" s="762"/>
      <c r="C42" s="762"/>
      <c r="D42" s="762"/>
      <c r="E42" s="762"/>
      <c r="F42" s="762"/>
      <c r="G42" s="762"/>
      <c r="H42" s="762"/>
      <c r="I42" s="762"/>
      <c r="J42" s="762"/>
      <c r="K42" s="762"/>
      <c r="L42" s="762"/>
      <c r="M42" s="762"/>
      <c r="N42" s="762"/>
      <c r="O42" s="762"/>
      <c r="P42" s="148"/>
      <c r="R42" s="106"/>
    </row>
    <row r="43" spans="1:18" x14ac:dyDescent="0.3">
      <c r="A43" s="762"/>
      <c r="B43" s="762"/>
      <c r="C43" s="762"/>
      <c r="D43" s="762"/>
      <c r="E43" s="762"/>
      <c r="F43" s="762"/>
      <c r="G43" s="762"/>
      <c r="H43" s="762"/>
      <c r="I43" s="762"/>
      <c r="J43" s="762"/>
      <c r="K43" s="762"/>
      <c r="L43" s="762"/>
      <c r="M43" s="762"/>
      <c r="N43" s="762"/>
      <c r="O43" s="762"/>
      <c r="P43" s="148"/>
      <c r="R43" s="106"/>
    </row>
    <row r="44" spans="1:18" ht="130.19999999999999" customHeight="1" x14ac:dyDescent="0.3">
      <c r="A44" s="762"/>
      <c r="B44" s="762"/>
      <c r="C44" s="762"/>
      <c r="D44" s="762"/>
      <c r="E44" s="762"/>
      <c r="F44" s="762"/>
      <c r="G44" s="762"/>
      <c r="H44" s="762"/>
      <c r="I44" s="762"/>
      <c r="J44" s="762"/>
      <c r="K44" s="762"/>
      <c r="L44" s="762"/>
      <c r="M44" s="762"/>
      <c r="N44" s="762"/>
      <c r="O44" s="762"/>
      <c r="P44" s="148"/>
      <c r="R44" s="106"/>
    </row>
    <row r="45" spans="1:18" x14ac:dyDescent="0.3">
      <c r="D45" s="139"/>
      <c r="E45" s="139"/>
      <c r="F45" s="139"/>
      <c r="G45" s="139"/>
      <c r="H45" s="139"/>
      <c r="I45" s="139"/>
      <c r="J45" s="139"/>
      <c r="K45" s="139"/>
      <c r="L45" s="139"/>
      <c r="M45" s="139"/>
      <c r="N45" s="139"/>
      <c r="O45" s="139"/>
      <c r="P45" s="139"/>
      <c r="R45" s="106"/>
    </row>
    <row r="46" spans="1:18" ht="15" customHeight="1" x14ac:dyDescent="0.3">
      <c r="A46" s="763" t="s">
        <v>5658</v>
      </c>
      <c r="B46" s="764"/>
      <c r="C46" s="764"/>
      <c r="D46" s="764"/>
      <c r="E46" s="764"/>
      <c r="F46" s="764"/>
      <c r="G46" s="764"/>
      <c r="H46" s="764"/>
      <c r="I46" s="764"/>
      <c r="J46" s="764"/>
      <c r="K46" s="764"/>
      <c r="L46" s="764"/>
      <c r="M46" s="764"/>
      <c r="N46" s="764"/>
      <c r="O46" s="764"/>
      <c r="P46" s="149"/>
    </row>
    <row r="47" spans="1:18" x14ac:dyDescent="0.3">
      <c r="R47" s="106"/>
    </row>
    <row r="48" spans="1:18" x14ac:dyDescent="0.3">
      <c r="A48" s="765" t="s">
        <v>5346</v>
      </c>
      <c r="B48" s="765"/>
      <c r="C48" s="765"/>
      <c r="D48" s="765"/>
      <c r="E48" s="765"/>
      <c r="F48" s="765"/>
    </row>
    <row r="50" spans="1:18" ht="81" customHeight="1" x14ac:dyDescent="0.3">
      <c r="R50" s="106"/>
    </row>
    <row r="51" spans="1:18" ht="67.5" customHeight="1" x14ac:dyDescent="0.3">
      <c r="A51" s="736" t="s">
        <v>5347</v>
      </c>
      <c r="B51" s="736"/>
      <c r="C51" s="736"/>
      <c r="D51" s="736"/>
      <c r="E51" s="736"/>
      <c r="F51" s="736"/>
      <c r="G51" s="736"/>
      <c r="H51" s="736"/>
      <c r="I51" s="736"/>
      <c r="J51" s="736"/>
      <c r="K51" s="736"/>
      <c r="L51" s="736"/>
      <c r="M51" s="736"/>
      <c r="N51" s="736"/>
      <c r="O51" s="736"/>
      <c r="P51" s="139"/>
    </row>
    <row r="53" spans="1:18" ht="21" customHeight="1" x14ac:dyDescent="0.3">
      <c r="R53" s="106"/>
    </row>
  </sheetData>
  <sheetProtection algorithmName="SHA-512" hashValue="ep4seTfSVnLRk/48W+gV0aG9Ehv0faoxqmFt2Z2b5Q4TtBt0jxLoBIOceKseDvopVFbWrXFoTdppO01MzeTErA==" saltValue="tkMxrzMbd8NjKniUzDpMhQ==" spinCount="100000" sheet="1" objects="1" scenarios="1" formatRows="0"/>
  <mergeCells count="33">
    <mergeCell ref="D24:L24"/>
    <mergeCell ref="A32:O35"/>
    <mergeCell ref="A37:O44"/>
    <mergeCell ref="A46:O46"/>
    <mergeCell ref="A48:F48"/>
    <mergeCell ref="A51:O51"/>
    <mergeCell ref="A21:Q21"/>
    <mergeCell ref="B22:Q22"/>
    <mergeCell ref="S3:Y4"/>
    <mergeCell ref="C4:L4"/>
    <mergeCell ref="A5:A12"/>
    <mergeCell ref="D5:L5"/>
    <mergeCell ref="S5:Y8"/>
    <mergeCell ref="D6:L6"/>
    <mergeCell ref="D7:L7"/>
    <mergeCell ref="D8:L8"/>
    <mergeCell ref="D29:L29"/>
    <mergeCell ref="D28:L28"/>
    <mergeCell ref="D27:L27"/>
    <mergeCell ref="D25:L25"/>
    <mergeCell ref="D26:L26"/>
    <mergeCell ref="D16:L16"/>
    <mergeCell ref="C3:N3"/>
    <mergeCell ref="A15:A19"/>
    <mergeCell ref="C14:L14"/>
    <mergeCell ref="D15:L15"/>
    <mergeCell ref="D19:L19"/>
    <mergeCell ref="D17:L17"/>
    <mergeCell ref="D18:L18"/>
    <mergeCell ref="D9:L9"/>
    <mergeCell ref="D10:L10"/>
    <mergeCell ref="D11:L11"/>
    <mergeCell ref="D12:L12"/>
  </mergeCells>
  <conditionalFormatting sqref="M16:N16">
    <cfRule type="expression" dxfId="48" priority="16">
      <formula>IF(M$16="",1,0)</formula>
    </cfRule>
    <cfRule type="expression" dxfId="47" priority="17">
      <formula>IF(M$16&lt;40%,1,0)</formula>
    </cfRule>
    <cfRule type="expression" dxfId="46" priority="18">
      <formula>IF(M$16&gt;=40%,1,0)</formula>
    </cfRule>
  </conditionalFormatting>
  <conditionalFormatting sqref="M15:N15">
    <cfRule type="expression" dxfId="45" priority="22">
      <formula>IF(M$15="",1,0)</formula>
    </cfRule>
    <cfRule type="expression" dxfId="44" priority="23">
      <formula>IF(M$15&lt;10%,1,0)</formula>
    </cfRule>
    <cfRule type="expression" dxfId="43" priority="24">
      <formula>IF(M$15&gt;=10%,1,0)</formula>
    </cfRule>
  </conditionalFormatting>
  <conditionalFormatting sqref="M17:N17">
    <cfRule type="expression" dxfId="42" priority="13">
      <formula>IF(M$17="",1,0)</formula>
    </cfRule>
    <cfRule type="expression" dxfId="41" priority="14">
      <formula>IF(M$17&lt;1,1,0)</formula>
    </cfRule>
    <cfRule type="expression" dxfId="40" priority="15">
      <formula>IF(M$17&gt;=1,1,0)</formula>
    </cfRule>
  </conditionalFormatting>
  <conditionalFormatting sqref="M19:N19">
    <cfRule type="expression" dxfId="39" priority="10">
      <formula>IF(M$19="",1,0)</formula>
    </cfRule>
    <cfRule type="expression" dxfId="38" priority="11">
      <formula>IF(M$19&gt;10%,1,0)</formula>
    </cfRule>
    <cfRule type="expression" dxfId="37" priority="12">
      <formula>IF(M$19&lt;=10%,1,0)</formula>
    </cfRule>
  </conditionalFormatting>
  <conditionalFormatting sqref="M18:N18">
    <cfRule type="expression" dxfId="36" priority="7">
      <formula>IF(M$18="",1,0)</formula>
    </cfRule>
    <cfRule type="expression" dxfId="35" priority="8">
      <formula>IF(M$18&lt;1,1,0)</formula>
    </cfRule>
    <cfRule type="expression" dxfId="34" priority="9">
      <formula>IF(M$18&gt;=1,1,0)</formula>
    </cfRule>
  </conditionalFormatting>
  <conditionalFormatting sqref="M5:N12">
    <cfRule type="expression" dxfId="33" priority="4">
      <formula>IF(M5="nie",1,0)</formula>
    </cfRule>
    <cfRule type="expression" dxfId="32" priority="5">
      <formula>IF(M5="tak",1,0)</formula>
    </cfRule>
  </conditionalFormatting>
  <pageMargins left="0.70866141732283472" right="0.70866141732283472" top="0.74803149606299213" bottom="0.74803149606299213" header="0.31496062992125984" footer="0.31496062992125984"/>
  <pageSetup paperSize="8" scale="62" orientation="portrait" r:id="rId1"/>
  <drawing r:id="rId2"/>
  <legacyDrawing r:id="rId3"/>
  <controls>
    <mc:AlternateContent xmlns:mc="http://schemas.openxmlformats.org/markup-compatibility/2006">
      <mc:Choice Requires="x14">
        <control shapeId="2064" r:id="rId4" name="CommandButton2">
          <controlPr defaultSize="0" autoLine="0" autoPict="0" r:id="rId5">
            <anchor moveWithCells="1">
              <from>
                <xdr:col>16</xdr:col>
                <xdr:colOff>99060</xdr:colOff>
                <xdr:row>5</xdr:row>
                <xdr:rowOff>228600</xdr:rowOff>
              </from>
              <to>
                <xdr:col>24</xdr:col>
                <xdr:colOff>342900</xdr:colOff>
                <xdr:row>7</xdr:row>
                <xdr:rowOff>160020</xdr:rowOff>
              </to>
            </anchor>
          </controlPr>
        </control>
      </mc:Choice>
      <mc:Fallback>
        <control shapeId="2064" r:id="rId4" name="CommandButton2"/>
      </mc:Fallback>
    </mc:AlternateContent>
    <mc:AlternateContent xmlns:mc="http://schemas.openxmlformats.org/markup-compatibility/2006">
      <mc:Choice Requires="x14">
        <control shapeId="2063" r:id="rId6" name="CommandButton1">
          <controlPr defaultSize="0" autoLine="0" autoPict="0" r:id="rId7">
            <anchor moveWithCells="1">
              <from>
                <xdr:col>16</xdr:col>
                <xdr:colOff>76200</xdr:colOff>
                <xdr:row>2</xdr:row>
                <xdr:rowOff>304800</xdr:rowOff>
              </from>
              <to>
                <xdr:col>24</xdr:col>
                <xdr:colOff>335280</xdr:colOff>
                <xdr:row>5</xdr:row>
                <xdr:rowOff>137160</xdr:rowOff>
              </to>
            </anchor>
          </controlPr>
        </control>
      </mc:Choice>
      <mc:Fallback>
        <control shapeId="2063" r:id="rId6" name="CommandButton1"/>
      </mc:Fallback>
    </mc:AlternateContent>
    <mc:AlternateContent xmlns:mc="http://schemas.openxmlformats.org/markup-compatibility/2006">
      <mc:Choice Requires="x14">
        <control shapeId="2065" r:id="rId8" name="CommandButton3">
          <controlPr defaultSize="0" autoLine="0" r:id="rId9">
            <anchor moveWithCells="1">
              <from>
                <xdr:col>16</xdr:col>
                <xdr:colOff>83820</xdr:colOff>
                <xdr:row>18</xdr:row>
                <xdr:rowOff>175260</xdr:rowOff>
              </from>
              <to>
                <xdr:col>22</xdr:col>
                <xdr:colOff>365760</xdr:colOff>
                <xdr:row>19</xdr:row>
                <xdr:rowOff>99060</xdr:rowOff>
              </to>
            </anchor>
          </controlPr>
        </control>
      </mc:Choice>
      <mc:Fallback>
        <control shapeId="2065" r:id="rId8" name="CommandButton3"/>
      </mc:Fallback>
    </mc:AlternateContent>
    <mc:AlternateContent xmlns:mc="http://schemas.openxmlformats.org/markup-compatibility/2006">
      <mc:Choice Requires="x14">
        <control shapeId="2067" r:id="rId10" name="CommandButton4">
          <controlPr defaultSize="0" autoLine="0" r:id="rId11">
            <anchor moveWithCells="1">
              <from>
                <xdr:col>16</xdr:col>
                <xdr:colOff>106680</xdr:colOff>
                <xdr:row>19</xdr:row>
                <xdr:rowOff>137160</xdr:rowOff>
              </from>
              <to>
                <xdr:col>23</xdr:col>
                <xdr:colOff>0</xdr:colOff>
                <xdr:row>22</xdr:row>
                <xdr:rowOff>22860</xdr:rowOff>
              </to>
            </anchor>
          </controlPr>
        </control>
      </mc:Choice>
      <mc:Fallback>
        <control shapeId="2067" r:id="rId10" name="CommandButton4"/>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6" id="{0D79DCF8-9DA5-4A11-8EC5-73114D2AFB44}">
            <xm:f>IF(MONTH(WNIOSEK!$AR$249)=6,1,0)</xm:f>
            <x14:dxf>
              <fill>
                <patternFill patternType="lightTrellis"/>
              </fill>
            </x14:dxf>
          </x14:cfRule>
          <xm:sqref>M6 M11:M12</xm:sqref>
        </x14:conditionalFormatting>
        <x14:conditionalFormatting xmlns:xm="http://schemas.microsoft.com/office/excel/2006/main">
          <x14:cfRule type="expression" priority="3" id="{A4A4C930-B564-4A96-80A4-68820794FA5E}">
            <xm:f>IF(MONTH(WNIOSEK!$AR$249)=6,1,0)</xm:f>
            <x14:dxf>
              <fill>
                <patternFill patternType="lightTrellis"/>
              </fill>
            </x14:dxf>
          </x14:cfRule>
          <xm:sqref>M5</xm:sqref>
        </x14:conditionalFormatting>
        <x14:conditionalFormatting xmlns:xm="http://schemas.microsoft.com/office/excel/2006/main">
          <x14:cfRule type="expression" priority="2" id="{DD7AE4F1-716F-4BC6-835E-C271D0BE97F0}">
            <xm:f>IF(MONTH(WNIOSEK!$AW$249)=6,1,0)</xm:f>
            <x14:dxf>
              <fill>
                <patternFill patternType="lightTrellis"/>
              </fill>
            </x14:dxf>
          </x14:cfRule>
          <xm:sqref>N5 N11 N12</xm:sqref>
        </x14:conditionalFormatting>
        <x14:conditionalFormatting xmlns:xm="http://schemas.microsoft.com/office/excel/2006/main">
          <x14:cfRule type="expression" priority="1" id="{2166511C-5FE5-45BE-9205-5F66F4594530}">
            <xm:f>IF(MONTH(WNIOSEK!$AW$249)=6,1,0)</xm:f>
            <x14:dxf>
              <fill>
                <patternFill patternType="lightTrellis"/>
              </fill>
            </x14:dxf>
          </x14:cfRule>
          <xm:sqref>N6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8">
    <pageSetUpPr fitToPage="1"/>
  </sheetPr>
  <dimension ref="A3:Y45"/>
  <sheetViews>
    <sheetView showGridLines="0" view="pageBreakPreview" zoomScaleNormal="85" zoomScaleSheetLayoutView="100" workbookViewId="0"/>
  </sheetViews>
  <sheetFormatPr defaultColWidth="9.33203125" defaultRowHeight="14.4" x14ac:dyDescent="0.3"/>
  <cols>
    <col min="1" max="1" width="10.33203125" style="106" customWidth="1"/>
    <col min="2" max="2" width="5.33203125" style="106" customWidth="1"/>
    <col min="3" max="3" width="6.44140625" style="106" customWidth="1"/>
    <col min="4" max="4" width="14.44140625" style="106" customWidth="1"/>
    <col min="5" max="6" width="9.33203125" style="106"/>
    <col min="7" max="7" width="13.44140625" style="106" customWidth="1"/>
    <col min="8" max="8" width="9.33203125" style="106"/>
    <col min="9" max="9" width="23.5546875" style="106" customWidth="1"/>
    <col min="10" max="10" width="9.33203125" style="106"/>
    <col min="11" max="11" width="13.44140625" style="106" customWidth="1"/>
    <col min="12" max="12" width="9" style="106" customWidth="1"/>
    <col min="13" max="13" width="16.33203125" style="107" customWidth="1"/>
    <col min="14" max="14" width="16.33203125" style="106" customWidth="1"/>
    <col min="15" max="15" width="9.33203125" style="106"/>
    <col min="16" max="16" width="13.5546875" style="106" bestFit="1" customWidth="1"/>
    <col min="17" max="17" width="4" style="106" customWidth="1"/>
    <col min="18" max="18" width="5.6640625" style="108" customWidth="1"/>
    <col min="19" max="24" width="5.6640625" style="106" customWidth="1"/>
    <col min="25" max="25" width="11.6640625" style="106" customWidth="1"/>
    <col min="26" max="26" width="5.6640625" style="106" customWidth="1"/>
    <col min="27" max="16384" width="9.33203125" style="106"/>
  </cols>
  <sheetData>
    <row r="3" spans="1:25" ht="30.75" customHeight="1" x14ac:dyDescent="0.3">
      <c r="C3" s="724" t="str">
        <f>IF(WNIOSEK!$B$15="","",WNIOSEK!$B$15)</f>
        <v/>
      </c>
      <c r="D3" s="724"/>
      <c r="E3" s="724"/>
      <c r="F3" s="724"/>
      <c r="G3" s="724"/>
      <c r="H3" s="724"/>
      <c r="I3" s="724"/>
      <c r="J3" s="724"/>
      <c r="K3" s="724"/>
      <c r="L3" s="724"/>
      <c r="M3" s="724"/>
      <c r="N3" s="724"/>
      <c r="S3" s="739"/>
      <c r="T3" s="739"/>
      <c r="U3" s="739"/>
      <c r="V3" s="739"/>
      <c r="W3" s="739"/>
      <c r="X3" s="739"/>
      <c r="Y3" s="739"/>
    </row>
    <row r="4" spans="1:25" ht="35.700000000000003" customHeight="1" thickBot="1" x14ac:dyDescent="0.35">
      <c r="C4" s="740" t="s">
        <v>5320</v>
      </c>
      <c r="D4" s="741"/>
      <c r="E4" s="741"/>
      <c r="F4" s="741"/>
      <c r="G4" s="741"/>
      <c r="H4" s="741"/>
      <c r="I4" s="741"/>
      <c r="J4" s="741"/>
      <c r="K4" s="741"/>
      <c r="L4" s="741"/>
      <c r="M4" s="145">
        <f>IF(MONTH(WNIOSEK!$AR$249)=12,YEAR(WNIOSEK!$AR$249),"2Q"&amp;YEAR(WNIOSEK!$AR$249))</f>
        <v>2024</v>
      </c>
      <c r="N4" s="145">
        <f>IF(MONTH(WNIOSEK!$AW$249)=12,YEAR(WNIOSEK!$AW$249),"2Q"&amp;YEAR(WNIOSEK!$AW$249))</f>
        <v>2025</v>
      </c>
      <c r="R4" s="106"/>
      <c r="S4" s="739"/>
      <c r="T4" s="739"/>
      <c r="U4" s="739"/>
      <c r="V4" s="739"/>
      <c r="W4" s="739"/>
      <c r="X4" s="739"/>
      <c r="Y4" s="739"/>
    </row>
    <row r="5" spans="1:25" ht="60" customHeight="1" x14ac:dyDescent="0.3">
      <c r="A5" s="725"/>
      <c r="B5" s="109"/>
      <c r="C5" s="110">
        <v>1</v>
      </c>
      <c r="D5" s="742" t="s">
        <v>5322</v>
      </c>
      <c r="E5" s="743"/>
      <c r="F5" s="743"/>
      <c r="G5" s="743"/>
      <c r="H5" s="743"/>
      <c r="I5" s="743"/>
      <c r="J5" s="743"/>
      <c r="K5" s="743"/>
      <c r="L5" s="744"/>
      <c r="M5" s="110" t="str">
        <f>IF(MONTH(WNIOSEK!$AR$249)=6,"",IF(OR(WNIOSEK!$AU$193="",WNIOSEK!$AU$195="",WNIOSEK!$AU$197=""),"",IF(OR(WNIOSEK!$AU$193="TAK",WNIOSEK!$AU$195="TAK",WNIOSEK!$AU$197="TAK"),"tak","nie")))</f>
        <v/>
      </c>
      <c r="N5" s="110" t="str">
        <f>IF(MONTH(WNIOSEK!$AW$249)=6,"",IF(OR(WNIOSEK!$AU$193="",WNIOSEK!$AU$195="",WNIOSEK!$AU$197=""),"",IF(OR(WNIOSEK!$AU$193="TAK",WNIOSEK!$AU$195="TAK",WNIOSEK!$AU$197="TAK"),"tak","nie")))</f>
        <v/>
      </c>
      <c r="O5" s="111"/>
      <c r="S5" s="745"/>
      <c r="T5" s="745"/>
      <c r="U5" s="745"/>
      <c r="V5" s="745"/>
      <c r="W5" s="745"/>
      <c r="X5" s="745"/>
      <c r="Y5" s="745"/>
    </row>
    <row r="6" spans="1:25" ht="60" customHeight="1" x14ac:dyDescent="0.3">
      <c r="A6" s="726"/>
      <c r="B6" s="112"/>
      <c r="C6" s="113">
        <v>2</v>
      </c>
      <c r="D6" s="735" t="s">
        <v>5323</v>
      </c>
      <c r="E6" s="733"/>
      <c r="F6" s="733"/>
      <c r="G6" s="733"/>
      <c r="H6" s="733"/>
      <c r="I6" s="733"/>
      <c r="J6" s="733"/>
      <c r="K6" s="733"/>
      <c r="L6" s="734"/>
      <c r="M6" s="113" t="str">
        <f>IF(MONTH(WNIOSEK!$AR$249)=6,"",IF(WNIOSEK!$AU$200="","",IF(WNIOSEK!$AU$200="TAK","tak","nie")))</f>
        <v/>
      </c>
      <c r="N6" s="113" t="str">
        <f>IF(MONTH(WNIOSEK!$AW$249)=6,"",IF(WNIOSEK!$AU$200="","",IF(WNIOSEK!$AU$200="TAK","tak","nie")))</f>
        <v/>
      </c>
      <c r="O6" s="114"/>
      <c r="S6" s="745"/>
      <c r="T6" s="745"/>
      <c r="U6" s="745"/>
      <c r="V6" s="745"/>
      <c r="W6" s="745"/>
      <c r="X6" s="745"/>
      <c r="Y6" s="745"/>
    </row>
    <row r="7" spans="1:25" ht="60" customHeight="1" x14ac:dyDescent="0.3">
      <c r="A7" s="726"/>
      <c r="B7" s="112"/>
      <c r="C7" s="113">
        <v>3</v>
      </c>
      <c r="D7" s="746" t="s">
        <v>5546</v>
      </c>
      <c r="E7" s="733"/>
      <c r="F7" s="733"/>
      <c r="G7" s="733"/>
      <c r="H7" s="733"/>
      <c r="I7" s="733"/>
      <c r="J7" s="733"/>
      <c r="K7" s="733"/>
      <c r="L7" s="734"/>
      <c r="M7" s="113" t="str">
        <f>IF(M11="","",IF(M11&gt;10%,"tak","nie"))</f>
        <v>nie</v>
      </c>
      <c r="N7" s="113" t="str">
        <f>IF(N11="","",IF(N11&gt;10%,"tak","nie"))</f>
        <v>nie</v>
      </c>
      <c r="O7" s="114"/>
      <c r="S7" s="745"/>
      <c r="T7" s="745"/>
      <c r="U7" s="745"/>
      <c r="V7" s="745"/>
      <c r="W7" s="745"/>
      <c r="X7" s="745"/>
      <c r="Y7" s="745"/>
    </row>
    <row r="8" spans="1:25" ht="60" customHeight="1" thickBot="1" x14ac:dyDescent="0.35">
      <c r="A8" s="727"/>
      <c r="B8" s="115"/>
      <c r="C8" s="116">
        <v>4</v>
      </c>
      <c r="D8" s="747" t="s">
        <v>5547</v>
      </c>
      <c r="E8" s="733"/>
      <c r="F8" s="733"/>
      <c r="G8" s="733"/>
      <c r="H8" s="733"/>
      <c r="I8" s="733"/>
      <c r="J8" s="733"/>
      <c r="K8" s="733"/>
      <c r="L8" s="734"/>
      <c r="M8" s="116" t="str">
        <f>IFERROR(IF((WNIOSEK!$AR$252/WNIOSEK!$AR$253)&gt;5%,"tak","nie"),"")</f>
        <v/>
      </c>
      <c r="N8" s="116" t="str">
        <f>IFERROR(IF((WNIOSEK!$AW$252/WNIOSEK!$AW$253)&gt;5%,"tak","nie"),"")</f>
        <v/>
      </c>
      <c r="O8" s="117"/>
      <c r="S8" s="745"/>
      <c r="T8" s="745"/>
      <c r="U8" s="745"/>
      <c r="V8" s="745"/>
      <c r="W8" s="745"/>
      <c r="X8" s="745"/>
      <c r="Y8" s="745"/>
    </row>
    <row r="9" spans="1:25" x14ac:dyDescent="0.3">
      <c r="C9" s="118"/>
      <c r="D9" s="119"/>
      <c r="E9" s="119"/>
      <c r="F9" s="119"/>
      <c r="G9" s="119"/>
      <c r="H9" s="119"/>
      <c r="I9" s="119"/>
      <c r="J9" s="119"/>
      <c r="K9" s="119"/>
      <c r="L9" s="119"/>
      <c r="M9" s="118"/>
      <c r="N9" s="118"/>
    </row>
    <row r="10" spans="1:25" ht="35.25" customHeight="1" thickBot="1" x14ac:dyDescent="0.35">
      <c r="C10" s="728" t="s">
        <v>5353</v>
      </c>
      <c r="D10" s="728"/>
      <c r="E10" s="728"/>
      <c r="F10" s="728"/>
      <c r="G10" s="728"/>
      <c r="H10" s="728"/>
      <c r="I10" s="728"/>
      <c r="J10" s="728"/>
      <c r="K10" s="728"/>
      <c r="L10" s="728"/>
      <c r="M10" s="146">
        <f>IF(MONTH(WNIOSEK!$AR$249)=12,YEAR(WNIOSEK!$AR$249),"2Q"&amp;YEAR(WNIOSEK!$AR$249))</f>
        <v>2024</v>
      </c>
      <c r="N10" s="146">
        <f>IF(MONTH(WNIOSEK!$AW$249)=12,YEAR(WNIOSEK!$AW$249),"2Q"&amp;YEAR(WNIOSEK!$AW$249))</f>
        <v>2025</v>
      </c>
    </row>
    <row r="11" spans="1:25" s="129" customFormat="1" ht="46.5" customHeight="1" thickBot="1" x14ac:dyDescent="0.35">
      <c r="A11" s="162"/>
      <c r="B11" s="158"/>
      <c r="C11" s="159">
        <v>1</v>
      </c>
      <c r="D11" s="766" t="s">
        <v>5369</v>
      </c>
      <c r="E11" s="767"/>
      <c r="F11" s="767"/>
      <c r="G11" s="767"/>
      <c r="H11" s="767"/>
      <c r="I11" s="767"/>
      <c r="J11" s="767"/>
      <c r="K11" s="767"/>
      <c r="L11" s="767"/>
      <c r="M11" s="199">
        <f>IFERROR(WNIOSEK!$AR$250/WNIOSEK!$AR$251,0)</f>
        <v>0</v>
      </c>
      <c r="N11" s="199">
        <f>IFERROR(WNIOSEK!$AW$250/WNIOSEK!$AW$251,0)</f>
        <v>0</v>
      </c>
      <c r="O11" s="160"/>
      <c r="P11" s="126"/>
      <c r="R11" s="128"/>
    </row>
    <row r="12" spans="1:25" x14ac:dyDescent="0.3">
      <c r="A12" s="123"/>
      <c r="C12" s="121"/>
      <c r="D12" s="122"/>
      <c r="E12" s="122"/>
      <c r="F12" s="122"/>
      <c r="G12" s="122"/>
      <c r="H12" s="122"/>
      <c r="I12" s="122"/>
      <c r="J12" s="122"/>
      <c r="K12" s="122"/>
      <c r="L12" s="122"/>
      <c r="M12" s="122"/>
      <c r="T12" s="120"/>
    </row>
    <row r="13" spans="1:25" s="123" customFormat="1" ht="9" customHeight="1" x14ac:dyDescent="0.3">
      <c r="A13" s="737"/>
      <c r="B13" s="737"/>
      <c r="C13" s="737"/>
      <c r="D13" s="737"/>
      <c r="E13" s="737"/>
      <c r="F13" s="737"/>
      <c r="G13" s="737"/>
      <c r="H13" s="737"/>
      <c r="I13" s="737"/>
      <c r="J13" s="737"/>
      <c r="K13" s="737"/>
      <c r="L13" s="737"/>
      <c r="M13" s="737"/>
      <c r="N13" s="737"/>
      <c r="O13" s="737"/>
      <c r="P13" s="737"/>
      <c r="Q13" s="737"/>
    </row>
    <row r="14" spans="1:25" ht="25.5" customHeight="1" x14ac:dyDescent="0.3">
      <c r="A14" s="140"/>
      <c r="B14" s="738" t="s">
        <v>5333</v>
      </c>
      <c r="C14" s="738"/>
      <c r="D14" s="738"/>
      <c r="E14" s="738"/>
      <c r="F14" s="738"/>
      <c r="G14" s="738"/>
      <c r="H14" s="738"/>
      <c r="I14" s="738"/>
      <c r="J14" s="738"/>
      <c r="K14" s="738"/>
      <c r="L14" s="738"/>
      <c r="M14" s="738"/>
      <c r="N14" s="738"/>
      <c r="O14" s="738"/>
      <c r="P14" s="738"/>
      <c r="Q14" s="738"/>
      <c r="T14" s="120"/>
    </row>
    <row r="15" spans="1:25" ht="15" thickBot="1" x14ac:dyDescent="0.35">
      <c r="C15" s="121"/>
      <c r="D15" s="122"/>
      <c r="E15" s="122"/>
      <c r="F15" s="122"/>
      <c r="G15" s="122"/>
      <c r="H15" s="122"/>
      <c r="I15" s="122"/>
      <c r="J15" s="122"/>
      <c r="K15" s="122"/>
      <c r="L15" s="122"/>
      <c r="M15" s="122"/>
    </row>
    <row r="16" spans="1:25" ht="46.5" customHeight="1" x14ac:dyDescent="0.3">
      <c r="B16" s="109"/>
      <c r="C16" s="142">
        <v>2</v>
      </c>
      <c r="D16" s="768" t="s">
        <v>5336</v>
      </c>
      <c r="E16" s="769"/>
      <c r="F16" s="769"/>
      <c r="G16" s="769"/>
      <c r="H16" s="769"/>
      <c r="I16" s="769"/>
      <c r="J16" s="769"/>
      <c r="K16" s="769"/>
      <c r="L16" s="770"/>
      <c r="M16" s="197">
        <f>IFERROR((WNIOSEK!$AR$282-WNIOSEK!$AR$283-WNIOSEK!$AR$284)/(WNIOSEK!$AR$288-WNIOSEK!$AR$264),0)</f>
        <v>0</v>
      </c>
      <c r="N16" s="197">
        <f>IFERROR((WNIOSEK!$AW$282-WNIOSEK!$AW$283-WNIOSEK!$AW$284)/(WNIOSEK!$AW$288-WNIOSEK!$AW$264),0)</f>
        <v>0</v>
      </c>
      <c r="O16" s="151"/>
    </row>
    <row r="17" spans="1:18" ht="46.5" customHeight="1" x14ac:dyDescent="0.3">
      <c r="B17" s="112"/>
      <c r="C17" s="141">
        <v>3</v>
      </c>
      <c r="D17" s="771" t="s">
        <v>5338</v>
      </c>
      <c r="E17" s="772"/>
      <c r="F17" s="772"/>
      <c r="G17" s="772"/>
      <c r="H17" s="772"/>
      <c r="I17" s="772"/>
      <c r="J17" s="772"/>
      <c r="K17" s="772"/>
      <c r="L17" s="773"/>
      <c r="M17" s="194">
        <f>IFERROR((WNIOSEK!$AR$266*IF(MONTH(WNIOSEK!$AR$249)=6,180,360))/(WNIOSEK!$AR$273+WNIOSEK!$AR$275+WNIOSEK!$AR$274),0)</f>
        <v>0</v>
      </c>
      <c r="N17" s="194">
        <f>IFERROR((WNIOSEK!$AW$266*IF(MONTH(WNIOSEK!$AW$249)=6,180,360))/(WNIOSEK!$AW$273+WNIOSEK!$AW$275+WNIOSEK!$AW$274),0)</f>
        <v>0</v>
      </c>
      <c r="O17" s="114"/>
    </row>
    <row r="18" spans="1:18" ht="46.5" customHeight="1" x14ac:dyDescent="0.3">
      <c r="B18" s="112"/>
      <c r="C18" s="141">
        <v>4</v>
      </c>
      <c r="D18" s="774" t="s">
        <v>5340</v>
      </c>
      <c r="E18" s="775"/>
      <c r="F18" s="775"/>
      <c r="G18" s="775"/>
      <c r="H18" s="775"/>
      <c r="I18" s="775"/>
      <c r="J18" s="775"/>
      <c r="K18" s="775"/>
      <c r="L18" s="776"/>
      <c r="M18" s="194">
        <f>IFERROR(((WNIOSEK!$AR$288-WNIOSEK!$AR$264)*IF(MONTH(WNIOSEK!$AR$249)=6,180,360))/(WNIOSEK!$AR$276+WNIOSEK!$AR$277+WNIOSEK!$AR$279),0)</f>
        <v>0</v>
      </c>
      <c r="N18" s="194">
        <f>IFERROR(((WNIOSEK!$AW$288-WNIOSEK!$AW$264)*IF(MONTH(WNIOSEK!$AW$249)=6,180,360))/(WNIOSEK!$AW$276+WNIOSEK!$AW$277+WNIOSEK!$AW$279),0)</f>
        <v>0</v>
      </c>
      <c r="O18" s="114"/>
    </row>
    <row r="19" spans="1:18" ht="46.5" customHeight="1" x14ac:dyDescent="0.3">
      <c r="B19" s="112"/>
      <c r="C19" s="141">
        <v>5</v>
      </c>
      <c r="D19" s="774" t="s">
        <v>5341</v>
      </c>
      <c r="E19" s="775"/>
      <c r="F19" s="775"/>
      <c r="G19" s="775"/>
      <c r="H19" s="775"/>
      <c r="I19" s="775"/>
      <c r="J19" s="775"/>
      <c r="K19" s="775"/>
      <c r="L19" s="777"/>
      <c r="M19" s="195">
        <f>IFERROR((WNIOSEK!$AR$254+WNIOSEK!$AR$255+WNIOSEK!$AR$258)/WNIOSEK!$AR$261,0)</f>
        <v>0</v>
      </c>
      <c r="N19" s="195">
        <f>IFERROR((WNIOSEK!$AW$254+WNIOSEK!$AW$255+WNIOSEK!$AW$258)/WNIOSEK!$AW$261,0)</f>
        <v>0</v>
      </c>
      <c r="O19" s="114"/>
    </row>
    <row r="20" spans="1:18" ht="46.5" customHeight="1" x14ac:dyDescent="0.3">
      <c r="B20" s="112"/>
      <c r="C20" s="141">
        <v>6</v>
      </c>
      <c r="D20" s="774" t="s">
        <v>5354</v>
      </c>
      <c r="E20" s="775"/>
      <c r="F20" s="775"/>
      <c r="G20" s="775"/>
      <c r="H20" s="775"/>
      <c r="I20" s="775"/>
      <c r="J20" s="775"/>
      <c r="K20" s="775"/>
      <c r="L20" s="776"/>
      <c r="M20" s="195">
        <f>IFERROR((WNIOSEK!$AR$257+WNIOSEK!$AR$255+WNIOSEK!$AR$288)/(WNIOSEK!$AR$254),0)</f>
        <v>0</v>
      </c>
      <c r="N20" s="195">
        <f>IFERROR((WNIOSEK!$AW$257+WNIOSEK!$AW$255+WNIOSEK!$AW$288)/WNIOSEK!$AW$254,0)</f>
        <v>0</v>
      </c>
      <c r="O20" s="114"/>
    </row>
    <row r="21" spans="1:18" ht="46.5" customHeight="1" thickBot="1" x14ac:dyDescent="0.35">
      <c r="B21" s="115"/>
      <c r="C21" s="144">
        <v>7</v>
      </c>
      <c r="D21" s="778" t="s">
        <v>5625</v>
      </c>
      <c r="E21" s="779"/>
      <c r="F21" s="779"/>
      <c r="G21" s="779"/>
      <c r="H21" s="779"/>
      <c r="I21" s="779"/>
      <c r="J21" s="779"/>
      <c r="K21" s="779"/>
      <c r="L21" s="780"/>
      <c r="M21" s="198">
        <f>IFERROR((WNIOSEK!$AR$257+WNIOSEK!$AR$255+WNIOSEK!$AR$288)*100/(WNIOSEK!$AR$262),0)</f>
        <v>0</v>
      </c>
      <c r="N21" s="198">
        <f>IFERROR((WNIOSEK!$AW$257+WNIOSEK!$AW$255+WNIOSEK!$AW$288)*100/WNIOSEK!$AW$262,0)</f>
        <v>0</v>
      </c>
      <c r="O21" s="117"/>
    </row>
    <row r="22" spans="1:18" x14ac:dyDescent="0.3">
      <c r="C22" s="124"/>
      <c r="D22" s="124"/>
      <c r="E22" s="124"/>
      <c r="F22" s="124"/>
      <c r="G22" s="124"/>
      <c r="H22" s="124"/>
      <c r="I22" s="124"/>
      <c r="J22" s="124"/>
      <c r="K22" s="124"/>
      <c r="L22" s="124"/>
      <c r="M22" s="124"/>
      <c r="N22" s="124"/>
      <c r="O22" s="124"/>
      <c r="P22" s="124"/>
      <c r="R22" s="106"/>
    </row>
    <row r="23" spans="1:18" x14ac:dyDescent="0.3">
      <c r="D23" s="125" t="s">
        <v>5344</v>
      </c>
      <c r="R23" s="106"/>
    </row>
    <row r="24" spans="1:18" ht="15" customHeight="1" x14ac:dyDescent="0.3">
      <c r="A24" s="760" t="s">
        <v>5345</v>
      </c>
      <c r="B24" s="760"/>
      <c r="C24" s="760"/>
      <c r="D24" s="760"/>
      <c r="E24" s="760"/>
      <c r="F24" s="760"/>
      <c r="G24" s="760"/>
      <c r="H24" s="760"/>
      <c r="I24" s="760"/>
      <c r="J24" s="760"/>
      <c r="K24" s="760"/>
      <c r="L24" s="760"/>
      <c r="M24" s="760"/>
      <c r="N24" s="760"/>
      <c r="O24" s="760"/>
      <c r="P24" s="147"/>
      <c r="R24" s="106"/>
    </row>
    <row r="25" spans="1:18" x14ac:dyDescent="0.3">
      <c r="A25" s="760"/>
      <c r="B25" s="760"/>
      <c r="C25" s="760"/>
      <c r="D25" s="760"/>
      <c r="E25" s="760"/>
      <c r="F25" s="760"/>
      <c r="G25" s="760"/>
      <c r="H25" s="760"/>
      <c r="I25" s="760"/>
      <c r="J25" s="760"/>
      <c r="K25" s="760"/>
      <c r="L25" s="760"/>
      <c r="M25" s="760"/>
      <c r="N25" s="760"/>
      <c r="O25" s="760"/>
      <c r="P25" s="147"/>
      <c r="R25" s="106"/>
    </row>
    <row r="26" spans="1:18" ht="12" customHeight="1" x14ac:dyDescent="0.3">
      <c r="A26" s="760"/>
      <c r="B26" s="760"/>
      <c r="C26" s="760"/>
      <c r="D26" s="760"/>
      <c r="E26" s="760"/>
      <c r="F26" s="760"/>
      <c r="G26" s="760"/>
      <c r="H26" s="760"/>
      <c r="I26" s="760"/>
      <c r="J26" s="760"/>
      <c r="K26" s="760"/>
      <c r="L26" s="760"/>
      <c r="M26" s="760"/>
      <c r="N26" s="760"/>
      <c r="O26" s="760"/>
      <c r="P26" s="147"/>
      <c r="R26" s="106"/>
    </row>
    <row r="27" spans="1:18" ht="130.19999999999999" customHeight="1" x14ac:dyDescent="0.3">
      <c r="A27" s="760"/>
      <c r="B27" s="760"/>
      <c r="C27" s="760"/>
      <c r="D27" s="760"/>
      <c r="E27" s="760"/>
      <c r="F27" s="760"/>
      <c r="G27" s="760"/>
      <c r="H27" s="760"/>
      <c r="I27" s="760"/>
      <c r="J27" s="760"/>
      <c r="K27" s="760"/>
      <c r="L27" s="760"/>
      <c r="M27" s="760"/>
      <c r="N27" s="760"/>
      <c r="O27" s="760"/>
      <c r="P27" s="147"/>
      <c r="R27" s="106"/>
    </row>
    <row r="29" spans="1:18" ht="15" customHeight="1" x14ac:dyDescent="0.3">
      <c r="A29" s="761" t="s">
        <v>5477</v>
      </c>
      <c r="B29" s="762"/>
      <c r="C29" s="762"/>
      <c r="D29" s="762"/>
      <c r="E29" s="762"/>
      <c r="F29" s="762"/>
      <c r="G29" s="762"/>
      <c r="H29" s="762"/>
      <c r="I29" s="762"/>
      <c r="J29" s="762"/>
      <c r="K29" s="762"/>
      <c r="L29" s="762"/>
      <c r="M29" s="762"/>
      <c r="N29" s="762"/>
      <c r="O29" s="762"/>
      <c r="P29" s="148"/>
      <c r="R29" s="106"/>
    </row>
    <row r="30" spans="1:18" x14ac:dyDescent="0.3">
      <c r="A30" s="762"/>
      <c r="B30" s="762"/>
      <c r="C30" s="762"/>
      <c r="D30" s="762"/>
      <c r="E30" s="762"/>
      <c r="F30" s="762"/>
      <c r="G30" s="762"/>
      <c r="H30" s="762"/>
      <c r="I30" s="762"/>
      <c r="J30" s="762"/>
      <c r="K30" s="762"/>
      <c r="L30" s="762"/>
      <c r="M30" s="762"/>
      <c r="N30" s="762"/>
      <c r="O30" s="762"/>
      <c r="P30" s="148"/>
      <c r="R30" s="106"/>
    </row>
    <row r="31" spans="1:18" x14ac:dyDescent="0.3">
      <c r="A31" s="762"/>
      <c r="B31" s="762"/>
      <c r="C31" s="762"/>
      <c r="D31" s="762"/>
      <c r="E31" s="762"/>
      <c r="F31" s="762"/>
      <c r="G31" s="762"/>
      <c r="H31" s="762"/>
      <c r="I31" s="762"/>
      <c r="J31" s="762"/>
      <c r="K31" s="762"/>
      <c r="L31" s="762"/>
      <c r="M31" s="762"/>
      <c r="N31" s="762"/>
      <c r="O31" s="762"/>
      <c r="P31" s="148"/>
      <c r="R31" s="106"/>
    </row>
    <row r="32" spans="1:18" x14ac:dyDescent="0.3">
      <c r="A32" s="762"/>
      <c r="B32" s="762"/>
      <c r="C32" s="762"/>
      <c r="D32" s="762"/>
      <c r="E32" s="762"/>
      <c r="F32" s="762"/>
      <c r="G32" s="762"/>
      <c r="H32" s="762"/>
      <c r="I32" s="762"/>
      <c r="J32" s="762"/>
      <c r="K32" s="762"/>
      <c r="L32" s="762"/>
      <c r="M32" s="762"/>
      <c r="N32" s="762"/>
      <c r="O32" s="762"/>
      <c r="P32" s="148"/>
      <c r="R32" s="106"/>
    </row>
    <row r="33" spans="1:18" x14ac:dyDescent="0.3">
      <c r="A33" s="762"/>
      <c r="B33" s="762"/>
      <c r="C33" s="762"/>
      <c r="D33" s="762"/>
      <c r="E33" s="762"/>
      <c r="F33" s="762"/>
      <c r="G33" s="762"/>
      <c r="H33" s="762"/>
      <c r="I33" s="762"/>
      <c r="J33" s="762"/>
      <c r="K33" s="762"/>
      <c r="L33" s="762"/>
      <c r="M33" s="762"/>
      <c r="N33" s="762"/>
      <c r="O33" s="762"/>
      <c r="P33" s="148"/>
      <c r="R33" s="106"/>
    </row>
    <row r="34" spans="1:18" x14ac:dyDescent="0.3">
      <c r="A34" s="762"/>
      <c r="B34" s="762"/>
      <c r="C34" s="762"/>
      <c r="D34" s="762"/>
      <c r="E34" s="762"/>
      <c r="F34" s="762"/>
      <c r="G34" s="762"/>
      <c r="H34" s="762"/>
      <c r="I34" s="762"/>
      <c r="J34" s="762"/>
      <c r="K34" s="762"/>
      <c r="L34" s="762"/>
      <c r="M34" s="762"/>
      <c r="N34" s="762"/>
      <c r="O34" s="762"/>
      <c r="P34" s="148"/>
      <c r="R34" s="106"/>
    </row>
    <row r="35" spans="1:18" x14ac:dyDescent="0.3">
      <c r="A35" s="762"/>
      <c r="B35" s="762"/>
      <c r="C35" s="762"/>
      <c r="D35" s="762"/>
      <c r="E35" s="762"/>
      <c r="F35" s="762"/>
      <c r="G35" s="762"/>
      <c r="H35" s="762"/>
      <c r="I35" s="762"/>
      <c r="J35" s="762"/>
      <c r="K35" s="762"/>
      <c r="L35" s="762"/>
      <c r="M35" s="762"/>
      <c r="N35" s="762"/>
      <c r="O35" s="762"/>
      <c r="P35" s="148"/>
      <c r="R35" s="106"/>
    </row>
    <row r="36" spans="1:18" ht="130.19999999999999" customHeight="1" x14ac:dyDescent="0.3">
      <c r="A36" s="762"/>
      <c r="B36" s="762"/>
      <c r="C36" s="762"/>
      <c r="D36" s="762"/>
      <c r="E36" s="762"/>
      <c r="F36" s="762"/>
      <c r="G36" s="762"/>
      <c r="H36" s="762"/>
      <c r="I36" s="762"/>
      <c r="J36" s="762"/>
      <c r="K36" s="762"/>
      <c r="L36" s="762"/>
      <c r="M36" s="762"/>
      <c r="N36" s="762"/>
      <c r="O36" s="762"/>
      <c r="P36" s="148"/>
      <c r="R36" s="106"/>
    </row>
    <row r="37" spans="1:18" x14ac:dyDescent="0.3">
      <c r="D37" s="139"/>
      <c r="E37" s="139"/>
      <c r="F37" s="139"/>
      <c r="G37" s="139"/>
      <c r="H37" s="139"/>
      <c r="I37" s="139"/>
      <c r="J37" s="139"/>
      <c r="K37" s="139"/>
      <c r="L37" s="139"/>
      <c r="M37" s="139"/>
      <c r="N37" s="139"/>
      <c r="O37" s="139"/>
      <c r="P37" s="139"/>
      <c r="R37" s="106"/>
    </row>
    <row r="38" spans="1:18" ht="15" customHeight="1" x14ac:dyDescent="0.3">
      <c r="A38" s="781" t="s">
        <v>5658</v>
      </c>
      <c r="B38" s="764"/>
      <c r="C38" s="764"/>
      <c r="D38" s="764"/>
      <c r="E38" s="764"/>
      <c r="F38" s="764"/>
      <c r="G38" s="764"/>
      <c r="H38" s="764"/>
      <c r="I38" s="764"/>
      <c r="J38" s="764"/>
      <c r="K38" s="764"/>
      <c r="L38" s="764"/>
      <c r="M38" s="764"/>
      <c r="N38" s="764"/>
      <c r="O38" s="764"/>
      <c r="P38" s="149"/>
    </row>
    <row r="39" spans="1:18" x14ac:dyDescent="0.3">
      <c r="R39" s="106"/>
    </row>
    <row r="40" spans="1:18" x14ac:dyDescent="0.3">
      <c r="A40" s="765" t="s">
        <v>5346</v>
      </c>
      <c r="B40" s="765"/>
      <c r="C40" s="765"/>
      <c r="D40" s="765"/>
      <c r="E40" s="765"/>
      <c r="F40" s="765"/>
    </row>
    <row r="42" spans="1:18" ht="81" customHeight="1" x14ac:dyDescent="0.3">
      <c r="R42" s="106"/>
    </row>
    <row r="43" spans="1:18" ht="67.5" customHeight="1" x14ac:dyDescent="0.3">
      <c r="A43" s="736" t="s">
        <v>5347</v>
      </c>
      <c r="B43" s="736"/>
      <c r="C43" s="736"/>
      <c r="D43" s="736"/>
      <c r="E43" s="736"/>
      <c r="F43" s="736"/>
      <c r="G43" s="736"/>
      <c r="H43" s="736"/>
      <c r="I43" s="736"/>
      <c r="J43" s="736"/>
      <c r="K43" s="736"/>
      <c r="L43" s="736"/>
      <c r="M43" s="736"/>
      <c r="N43" s="736"/>
      <c r="O43" s="736"/>
      <c r="P43" s="139"/>
    </row>
    <row r="45" spans="1:18" ht="21" customHeight="1" x14ac:dyDescent="0.3">
      <c r="R45" s="106"/>
    </row>
  </sheetData>
  <sheetProtection algorithmName="SHA-512" hashValue="6snUbt3UqoJy+HDVN69XGdhRNAihlhenh4VTmmfac84MatP0SAYueowaFSjlErjSg0auhlYYcN6CuhoFHTbpPA==" saltValue="rzWsZS+tzOE7Rzw3IYJ0WQ==" spinCount="100000" sheet="1" objects="1" scenarios="1" formatRows="0"/>
  <mergeCells count="24">
    <mergeCell ref="D17:L17"/>
    <mergeCell ref="D18:L18"/>
    <mergeCell ref="A43:O43"/>
    <mergeCell ref="D20:L20"/>
    <mergeCell ref="D19:L19"/>
    <mergeCell ref="D21:L21"/>
    <mergeCell ref="A24:O27"/>
    <mergeCell ref="A29:O36"/>
    <mergeCell ref="A38:O38"/>
    <mergeCell ref="A40:F40"/>
    <mergeCell ref="C10:L10"/>
    <mergeCell ref="D11:L11"/>
    <mergeCell ref="A13:Q13"/>
    <mergeCell ref="B14:Q14"/>
    <mergeCell ref="D16:L16"/>
    <mergeCell ref="C3:N3"/>
    <mergeCell ref="S3:Y4"/>
    <mergeCell ref="C4:L4"/>
    <mergeCell ref="A5:A8"/>
    <mergeCell ref="D5:L5"/>
    <mergeCell ref="S5:Y8"/>
    <mergeCell ref="D6:L6"/>
    <mergeCell ref="D7:L7"/>
    <mergeCell ref="D8:L8"/>
  </mergeCells>
  <conditionalFormatting sqref="M11:N11">
    <cfRule type="expression" dxfId="27" priority="10">
      <formula>IF(M$11="",1,0)</formula>
    </cfRule>
    <cfRule type="expression" dxfId="26" priority="11">
      <formula>IF(M$11&gt;10%,1,0)</formula>
    </cfRule>
    <cfRule type="expression" dxfId="25" priority="12">
      <formula>IF(M$11&lt;=10%,1,0)</formula>
    </cfRule>
  </conditionalFormatting>
  <conditionalFormatting sqref="M5:N8">
    <cfRule type="expression" dxfId="24" priority="4">
      <formula>IF(M5="nie",1,0)</formula>
    </cfRule>
    <cfRule type="expression" dxfId="23" priority="5">
      <formula>IF(M5="tak",1,0)</formula>
    </cfRule>
  </conditionalFormatting>
  <pageMargins left="0.70866141732283472" right="0.70866141732283472" top="0.74803149606299213" bottom="0.74803149606299213" header="0.31496062992125984" footer="0.31496062992125984"/>
  <pageSetup paperSize="8" scale="69" orientation="portrait" r:id="rId1"/>
  <drawing r:id="rId2"/>
  <legacyDrawing r:id="rId3"/>
  <controls>
    <mc:AlternateContent xmlns:mc="http://schemas.openxmlformats.org/markup-compatibility/2006">
      <mc:Choice Requires="x14">
        <control shapeId="10244" r:id="rId4" name="CommandButton14">
          <controlPr defaultSize="0" autoLine="0" r:id="rId5">
            <anchor moveWithCells="1">
              <from>
                <xdr:col>16</xdr:col>
                <xdr:colOff>121920</xdr:colOff>
                <xdr:row>10</xdr:row>
                <xdr:rowOff>464820</xdr:rowOff>
              </from>
              <to>
                <xdr:col>23</xdr:col>
                <xdr:colOff>15240</xdr:colOff>
                <xdr:row>13</xdr:row>
                <xdr:rowOff>76200</xdr:rowOff>
              </to>
            </anchor>
          </controlPr>
        </control>
      </mc:Choice>
      <mc:Fallback>
        <control shapeId="10244" r:id="rId4" name="CommandButton14"/>
      </mc:Fallback>
    </mc:AlternateContent>
    <mc:AlternateContent xmlns:mc="http://schemas.openxmlformats.org/markup-compatibility/2006">
      <mc:Choice Requires="x14">
        <control shapeId="10243" r:id="rId6" name="CommandButton13">
          <controlPr defaultSize="0" autoLine="0" r:id="rId7">
            <anchor moveWithCells="1">
              <from>
                <xdr:col>16</xdr:col>
                <xdr:colOff>114300</xdr:colOff>
                <xdr:row>9</xdr:row>
                <xdr:rowOff>365760</xdr:rowOff>
              </from>
              <to>
                <xdr:col>23</xdr:col>
                <xdr:colOff>7620</xdr:colOff>
                <xdr:row>10</xdr:row>
                <xdr:rowOff>426720</xdr:rowOff>
              </to>
            </anchor>
          </controlPr>
        </control>
      </mc:Choice>
      <mc:Fallback>
        <control shapeId="10243" r:id="rId6" name="CommandButton13"/>
      </mc:Fallback>
    </mc:AlternateContent>
    <mc:AlternateContent xmlns:mc="http://schemas.openxmlformats.org/markup-compatibility/2006">
      <mc:Choice Requires="x14">
        <control shapeId="10242" r:id="rId8" name="CommandButton12">
          <controlPr defaultSize="0" autoLine="0" r:id="rId9">
            <anchor moveWithCells="1">
              <from>
                <xdr:col>16</xdr:col>
                <xdr:colOff>99060</xdr:colOff>
                <xdr:row>4</xdr:row>
                <xdr:rowOff>571500</xdr:rowOff>
              </from>
              <to>
                <xdr:col>24</xdr:col>
                <xdr:colOff>312420</xdr:colOff>
                <xdr:row>6</xdr:row>
                <xdr:rowOff>38100</xdr:rowOff>
              </to>
            </anchor>
          </controlPr>
        </control>
      </mc:Choice>
      <mc:Fallback>
        <control shapeId="10242" r:id="rId8" name="CommandButton12"/>
      </mc:Fallback>
    </mc:AlternateContent>
    <mc:AlternateContent xmlns:mc="http://schemas.openxmlformats.org/markup-compatibility/2006">
      <mc:Choice Requires="x14">
        <control shapeId="10241" r:id="rId10" name="CommandButton10">
          <controlPr defaultSize="0" autoLine="0" r:id="rId11">
            <anchor moveWithCells="1">
              <from>
                <xdr:col>16</xdr:col>
                <xdr:colOff>76200</xdr:colOff>
                <xdr:row>2</xdr:row>
                <xdr:rowOff>304800</xdr:rowOff>
              </from>
              <to>
                <xdr:col>24</xdr:col>
                <xdr:colOff>266700</xdr:colOff>
                <xdr:row>4</xdr:row>
                <xdr:rowOff>464820</xdr:rowOff>
              </to>
            </anchor>
          </controlPr>
        </control>
      </mc:Choice>
      <mc:Fallback>
        <control shapeId="10241" r:id="rId10" name="CommandButton10"/>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6" id="{5EC55B7D-4E57-4240-8C30-31648064B56E}">
            <xm:f>IF(MONTH(WNIOSEK!$AR$249)=6,1,0)</xm:f>
            <x14:dxf>
              <fill>
                <patternFill patternType="lightTrellis"/>
              </fill>
            </x14:dxf>
          </x14:cfRule>
          <xm:sqref>M6</xm:sqref>
        </x14:conditionalFormatting>
        <x14:conditionalFormatting xmlns:xm="http://schemas.microsoft.com/office/excel/2006/main">
          <x14:cfRule type="expression" priority="3" id="{22CEA0C8-CBE6-41AB-81EE-941C7A6A39E0}">
            <xm:f>IF(MONTH(WNIOSEK!$AR$249)=6,1,0)</xm:f>
            <x14:dxf>
              <fill>
                <patternFill patternType="lightTrellis"/>
              </fill>
            </x14:dxf>
          </x14:cfRule>
          <xm:sqref>M5</xm:sqref>
        </x14:conditionalFormatting>
        <x14:conditionalFormatting xmlns:xm="http://schemas.microsoft.com/office/excel/2006/main">
          <x14:cfRule type="expression" priority="2" id="{0D75F835-57DB-49DE-ABE4-E7DFEB2BCE18}">
            <xm:f>IF(MONTH(WNIOSEK!$AW$249)=6,1,0)</xm:f>
            <x14:dxf>
              <fill>
                <patternFill patternType="lightTrellis"/>
              </fill>
            </x14:dxf>
          </x14:cfRule>
          <xm:sqref>N5</xm:sqref>
        </x14:conditionalFormatting>
        <x14:conditionalFormatting xmlns:xm="http://schemas.microsoft.com/office/excel/2006/main">
          <x14:cfRule type="expression" priority="1" id="{33BB2C39-DE6F-4A44-9245-B79A874F2653}">
            <xm:f>IF(MONTH(WNIOSEK!$AW$249)=6,1,0)</xm:f>
            <x14:dxf>
              <fill>
                <patternFill patternType="lightTrellis"/>
              </fill>
            </x14:dxf>
          </x14:cfRule>
          <xm:sqref>N6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9">
    <pageSetUpPr fitToPage="1"/>
  </sheetPr>
  <dimension ref="A3:Y61"/>
  <sheetViews>
    <sheetView showGridLines="0" view="pageBreakPreview" zoomScaleNormal="85" zoomScaleSheetLayoutView="100" workbookViewId="0"/>
  </sheetViews>
  <sheetFormatPr defaultColWidth="9.33203125" defaultRowHeight="14.4" x14ac:dyDescent="0.3"/>
  <cols>
    <col min="1" max="1" width="8" style="106" customWidth="1"/>
    <col min="2" max="2" width="5.33203125" style="106" customWidth="1"/>
    <col min="3" max="3" width="6.44140625" style="106" customWidth="1"/>
    <col min="4" max="4" width="14.44140625" style="106" customWidth="1"/>
    <col min="5" max="6" width="9.33203125" style="106"/>
    <col min="7" max="7" width="13.44140625" style="106" customWidth="1"/>
    <col min="8" max="8" width="9.33203125" style="106"/>
    <col min="9" max="9" width="23.5546875" style="106" customWidth="1"/>
    <col min="10" max="10" width="9.33203125" style="106"/>
    <col min="11" max="11" width="13.44140625" style="106" customWidth="1"/>
    <col min="12" max="12" width="9" style="106" customWidth="1"/>
    <col min="13" max="13" width="16.33203125" style="107" customWidth="1"/>
    <col min="14" max="14" width="16.33203125" style="106" customWidth="1"/>
    <col min="15" max="15" width="9.33203125" style="106"/>
    <col min="16" max="16" width="13.5546875" style="106" bestFit="1" customWidth="1"/>
    <col min="17" max="17" width="4" style="106" customWidth="1"/>
    <col min="18" max="18" width="5.6640625" style="108" customWidth="1"/>
    <col min="19" max="24" width="5.6640625" style="106" customWidth="1"/>
    <col min="25" max="25" width="11.6640625" style="106" customWidth="1"/>
    <col min="26" max="26" width="5.6640625" style="106" customWidth="1"/>
    <col min="27" max="16384" width="9.33203125" style="106"/>
  </cols>
  <sheetData>
    <row r="3" spans="1:25" ht="30.75" customHeight="1" x14ac:dyDescent="0.3">
      <c r="C3" s="724" t="str">
        <f>IF(WNIOSEK!$B$15="","",WNIOSEK!$B$15)</f>
        <v/>
      </c>
      <c r="D3" s="724"/>
      <c r="E3" s="724"/>
      <c r="F3" s="724"/>
      <c r="G3" s="724"/>
      <c r="H3" s="724"/>
      <c r="I3" s="724"/>
      <c r="J3" s="724"/>
      <c r="K3" s="724"/>
      <c r="L3" s="724"/>
      <c r="M3" s="724"/>
      <c r="N3" s="724"/>
      <c r="S3" s="739"/>
      <c r="T3" s="739"/>
      <c r="U3" s="739"/>
      <c r="V3" s="739"/>
      <c r="W3" s="739"/>
      <c r="X3" s="739"/>
      <c r="Y3" s="739"/>
    </row>
    <row r="4" spans="1:25" ht="35.700000000000003" customHeight="1" thickBot="1" x14ac:dyDescent="0.35">
      <c r="C4" s="740" t="s">
        <v>5320</v>
      </c>
      <c r="D4" s="741"/>
      <c r="E4" s="741"/>
      <c r="F4" s="741"/>
      <c r="G4" s="741"/>
      <c r="H4" s="741"/>
      <c r="I4" s="741"/>
      <c r="J4" s="741"/>
      <c r="K4" s="741"/>
      <c r="L4" s="741"/>
      <c r="M4" s="145">
        <f>IF(MONTH(WNIOSEK!$AR$249)=12,YEAR(WNIOSEK!$AR$249),"2Q"&amp;YEAR(WNIOSEK!$AR$249))</f>
        <v>2024</v>
      </c>
      <c r="N4" s="145">
        <f>IF(MONTH(WNIOSEK!$AW$249)=12,YEAR(WNIOSEK!$AW$249),"2Q"&amp;YEAR(WNIOSEK!$AW$249))</f>
        <v>2025</v>
      </c>
      <c r="R4" s="106"/>
      <c r="S4" s="739"/>
      <c r="T4" s="739"/>
      <c r="U4" s="739"/>
      <c r="V4" s="739"/>
      <c r="W4" s="739"/>
      <c r="X4" s="739"/>
      <c r="Y4" s="739"/>
    </row>
    <row r="5" spans="1:25" ht="27.6" customHeight="1" x14ac:dyDescent="0.3">
      <c r="A5" s="725"/>
      <c r="B5" s="109"/>
      <c r="C5" s="110">
        <v>1</v>
      </c>
      <c r="D5" s="742" t="s">
        <v>5322</v>
      </c>
      <c r="E5" s="743"/>
      <c r="F5" s="743"/>
      <c r="G5" s="743"/>
      <c r="H5" s="743"/>
      <c r="I5" s="743"/>
      <c r="J5" s="743"/>
      <c r="K5" s="743"/>
      <c r="L5" s="744"/>
      <c r="M5" s="110" t="str">
        <f>IF(MONTH(WNIOSEK!$AR$249)=6,"",IF(OR(WNIOSEK!$AU$193="",WNIOSEK!$AU$195="",WNIOSEK!$AU$197=""),"",IF(OR(WNIOSEK!$AU$193="TAK",WNIOSEK!$AU$195="TAK",WNIOSEK!$AU$197="TAK"),"tak","nie")))</f>
        <v/>
      </c>
      <c r="N5" s="110" t="str">
        <f>IF(MONTH(WNIOSEK!$AW$249)=6,"",IF(OR(WNIOSEK!$AU$193="",WNIOSEK!$AU$195="",WNIOSEK!$AU$197=""),"",IF(OR(WNIOSEK!$AU$193="TAK",WNIOSEK!$AU$195="TAK",WNIOSEK!$AU$197="TAK"),"tak","nie")))</f>
        <v/>
      </c>
      <c r="O5" s="111"/>
      <c r="S5" s="745"/>
      <c r="T5" s="745"/>
      <c r="U5" s="745"/>
      <c r="V5" s="745"/>
      <c r="W5" s="745"/>
      <c r="X5" s="745"/>
      <c r="Y5" s="745"/>
    </row>
    <row r="6" spans="1:25" ht="36" customHeight="1" x14ac:dyDescent="0.3">
      <c r="A6" s="726"/>
      <c r="B6" s="112"/>
      <c r="C6" s="113">
        <v>2</v>
      </c>
      <c r="D6" s="735" t="s">
        <v>5323</v>
      </c>
      <c r="E6" s="733"/>
      <c r="F6" s="733"/>
      <c r="G6" s="733"/>
      <c r="H6" s="733"/>
      <c r="I6" s="733"/>
      <c r="J6" s="733"/>
      <c r="K6" s="733"/>
      <c r="L6" s="734"/>
      <c r="M6" s="113" t="str">
        <f>IF(MONTH(WNIOSEK!$AR$249)=6,"",IF(WNIOSEK!$AU$200="","",IF(WNIOSEK!$AU$200="TAK","tak","nie")))</f>
        <v/>
      </c>
      <c r="N6" s="113" t="str">
        <f>IF(MONTH(WNIOSEK!$AW$249)=6,"",IF(WNIOSEK!$AU$200="","",IF(WNIOSEK!$AU$200="TAK","tak","nie")))</f>
        <v/>
      </c>
      <c r="O6" s="114"/>
      <c r="S6" s="745"/>
      <c r="T6" s="745"/>
      <c r="U6" s="745"/>
      <c r="V6" s="745"/>
      <c r="W6" s="745"/>
      <c r="X6" s="745"/>
      <c r="Y6" s="745"/>
    </row>
    <row r="7" spans="1:25" ht="48.75" customHeight="1" x14ac:dyDescent="0.3">
      <c r="A7" s="726"/>
      <c r="B7" s="112"/>
      <c r="C7" s="113">
        <v>3</v>
      </c>
      <c r="D7" s="746" t="s">
        <v>5546</v>
      </c>
      <c r="E7" s="733"/>
      <c r="F7" s="733"/>
      <c r="G7" s="733"/>
      <c r="H7" s="733"/>
      <c r="I7" s="733"/>
      <c r="J7" s="733"/>
      <c r="K7" s="733"/>
      <c r="L7" s="734"/>
      <c r="M7" s="113" t="str">
        <f>IF(M16="","",IF(M16&gt;10%,"tak","nie"))</f>
        <v>nie</v>
      </c>
      <c r="N7" s="113" t="str">
        <f>IF(N16="","",IF(N16&gt;10%,"tak","nie"))</f>
        <v>nie</v>
      </c>
      <c r="O7" s="114"/>
      <c r="S7" s="745"/>
      <c r="T7" s="745"/>
      <c r="U7" s="745"/>
      <c r="V7" s="745"/>
      <c r="W7" s="745"/>
      <c r="X7" s="745"/>
      <c r="Y7" s="745"/>
    </row>
    <row r="8" spans="1:25" ht="49.5" customHeight="1" x14ac:dyDescent="0.3">
      <c r="A8" s="726"/>
      <c r="B8" s="112"/>
      <c r="C8" s="113">
        <v>4</v>
      </c>
      <c r="D8" s="747" t="s">
        <v>5547</v>
      </c>
      <c r="E8" s="733"/>
      <c r="F8" s="733"/>
      <c r="G8" s="733"/>
      <c r="H8" s="733"/>
      <c r="I8" s="733"/>
      <c r="J8" s="733"/>
      <c r="K8" s="733"/>
      <c r="L8" s="734"/>
      <c r="M8" s="113" t="str">
        <f>IFERROR(IF((WNIOSEK!$AR$252/WNIOSEK!$AR$253)&gt;5%,"tak","nie"),"")</f>
        <v/>
      </c>
      <c r="N8" s="113" t="str">
        <f>IFERROR(IF((WNIOSEK!$AW$252/WNIOSEK!$AW$253)&gt;5%,"tak","nie"),"")</f>
        <v/>
      </c>
      <c r="O8" s="114"/>
      <c r="S8" s="745"/>
      <c r="T8" s="745"/>
      <c r="U8" s="745"/>
      <c r="V8" s="745"/>
      <c r="W8" s="745"/>
      <c r="X8" s="745"/>
      <c r="Y8" s="745"/>
    </row>
    <row r="9" spans="1:25" ht="49.5" customHeight="1" x14ac:dyDescent="0.3">
      <c r="A9" s="726"/>
      <c r="B9" s="112"/>
      <c r="C9" s="113">
        <v>5</v>
      </c>
      <c r="D9" s="732" t="s">
        <v>5656</v>
      </c>
      <c r="E9" s="733"/>
      <c r="F9" s="733"/>
      <c r="G9" s="733"/>
      <c r="H9" s="733"/>
      <c r="I9" s="733"/>
      <c r="J9" s="733"/>
      <c r="K9" s="733"/>
      <c r="L9" s="734"/>
      <c r="M9" s="113" t="str">
        <f>IF(OR(M14="",M15=""),"",IF(OR(M14&lt;1,M15&lt;1),"tak","nie"))</f>
        <v>tak</v>
      </c>
      <c r="N9" s="113" t="str">
        <f>IF(OR(N14="",N15=""),"",IF(OR(N14&lt;1,N15&lt;1),"tak","nie"))</f>
        <v>tak</v>
      </c>
      <c r="O9" s="114"/>
    </row>
    <row r="10" spans="1:25" ht="33" customHeight="1" x14ac:dyDescent="0.3">
      <c r="A10" s="726"/>
      <c r="B10" s="112"/>
      <c r="C10" s="113">
        <v>6</v>
      </c>
      <c r="D10" s="735" t="s">
        <v>5324</v>
      </c>
      <c r="E10" s="733"/>
      <c r="F10" s="733"/>
      <c r="G10" s="733"/>
      <c r="H10" s="733"/>
      <c r="I10" s="733"/>
      <c r="J10" s="733"/>
      <c r="K10" s="733"/>
      <c r="L10" s="734"/>
      <c r="M10" s="113" t="str">
        <f>IF(MONTH(WNIOSEK!$AR$249)=6,"",IF(OR(WNIOSEK!$AR$268="",WNIOSEK!$AR$269="",WNIOSEK!$AR$270=""),"",IF(OR(WNIOSEK!$AR$268&lt;0,WNIOSEK!$AR$269&lt;0,WNIOSEK!$AR$270&lt;0),"tak","nie")))</f>
        <v/>
      </c>
      <c r="N10" s="113" t="str">
        <f>IF(MONTH(WNIOSEK!$AW$249)=6,"",IF(OR(WNIOSEK!$AR$268="",WNIOSEK!$AR$269="",WNIOSEK!$AR$270=""),"",IF(OR(WNIOSEK!$AR$268&lt;0,WNIOSEK!$AR$269&lt;0,WNIOSEK!$AR$270&lt;0),"tak","nie")))</f>
        <v/>
      </c>
      <c r="O10" s="114"/>
    </row>
    <row r="11" spans="1:25" ht="39.75" customHeight="1" thickBot="1" x14ac:dyDescent="0.35">
      <c r="A11" s="727"/>
      <c r="B11" s="115"/>
      <c r="C11" s="116">
        <v>7</v>
      </c>
      <c r="D11" s="731" t="s">
        <v>5325</v>
      </c>
      <c r="E11" s="731"/>
      <c r="F11" s="731"/>
      <c r="G11" s="731"/>
      <c r="H11" s="731"/>
      <c r="I11" s="731"/>
      <c r="J11" s="731"/>
      <c r="K11" s="731"/>
      <c r="L11" s="731"/>
      <c r="M11" s="116" t="str">
        <f>IF(MONTH(WNIOSEK!$AR$249)=6,"",IF(OR(WNIOSEK!$AR$295="",WNIOSEK!$AR$297=""),"",IF(OR(WNIOSEK!$AR$295&lt;0.75%,WNIOSEK!$AR$297&lt;0.75%),"tak","nie")))</f>
        <v/>
      </c>
      <c r="N11" s="116" t="str">
        <f>IF(MONTH(WNIOSEK!$AW$249)=6,"",IF(OR(WNIOSEK!$AW$295="",WNIOSEK!$AW$297=""),"",IF(OR(WNIOSEK!$AW$295&lt;0.75%,WNIOSEK!$AW$297&lt;0.75%),"tak","nie")))</f>
        <v/>
      </c>
      <c r="O11" s="117"/>
    </row>
    <row r="12" spans="1:25" x14ac:dyDescent="0.3">
      <c r="C12" s="118"/>
      <c r="D12" s="119"/>
      <c r="E12" s="119"/>
      <c r="F12" s="119"/>
      <c r="G12" s="119"/>
      <c r="H12" s="119"/>
      <c r="I12" s="119"/>
      <c r="J12" s="119"/>
      <c r="K12" s="119"/>
      <c r="L12" s="119"/>
      <c r="M12" s="118"/>
      <c r="N12" s="118"/>
    </row>
    <row r="13" spans="1:25" ht="35.25" customHeight="1" thickBot="1" x14ac:dyDescent="0.35">
      <c r="C13" s="728" t="s">
        <v>5368</v>
      </c>
      <c r="D13" s="728"/>
      <c r="E13" s="728"/>
      <c r="F13" s="728"/>
      <c r="G13" s="728"/>
      <c r="H13" s="728"/>
      <c r="I13" s="728"/>
      <c r="J13" s="728"/>
      <c r="K13" s="728"/>
      <c r="L13" s="728"/>
      <c r="M13" s="146">
        <f>IF(MONTH(WNIOSEK!$AR$249)=12,YEAR(WNIOSEK!$AR$249),"2Q"&amp;YEAR(WNIOSEK!$AR$249))</f>
        <v>2024</v>
      </c>
      <c r="N13" s="146">
        <f>IF(MONTH(WNIOSEK!$AW$249)=12,YEAR(WNIOSEK!$AW$249),"2Q"&amp;YEAR(WNIOSEK!$AW$249))</f>
        <v>2025</v>
      </c>
    </row>
    <row r="14" spans="1:25" s="129" customFormat="1" ht="46.5" customHeight="1" x14ac:dyDescent="0.3">
      <c r="A14" s="725"/>
      <c r="B14" s="132"/>
      <c r="C14" s="136">
        <v>1</v>
      </c>
      <c r="D14" s="729" t="s">
        <v>5330</v>
      </c>
      <c r="E14" s="729"/>
      <c r="F14" s="729"/>
      <c r="G14" s="729"/>
      <c r="H14" s="729"/>
      <c r="I14" s="729"/>
      <c r="J14" s="729"/>
      <c r="K14" s="729"/>
      <c r="L14" s="729"/>
      <c r="M14" s="200">
        <f>IFERROR(WNIOSEK!$AR$273/(WNIOSEK!$AR$276+WNIOSEK!$AR$279),0)</f>
        <v>0</v>
      </c>
      <c r="N14" s="200">
        <f>IFERROR(WNIOSEK!$AW$273/(WNIOSEK!$AW$276+WNIOSEK!$AW$279),0)</f>
        <v>0</v>
      </c>
      <c r="O14" s="133"/>
      <c r="P14" s="126"/>
      <c r="R14" s="128"/>
    </row>
    <row r="15" spans="1:25" s="129" customFormat="1" ht="46.5" customHeight="1" x14ac:dyDescent="0.3">
      <c r="A15" s="726"/>
      <c r="C15" s="137">
        <v>2</v>
      </c>
      <c r="D15" s="723" t="s">
        <v>5331</v>
      </c>
      <c r="E15" s="723"/>
      <c r="F15" s="723"/>
      <c r="G15" s="723"/>
      <c r="H15" s="723"/>
      <c r="I15" s="723"/>
      <c r="J15" s="723"/>
      <c r="K15" s="723"/>
      <c r="L15" s="723"/>
      <c r="M15" s="191">
        <f>IFERROR(IF(MONTH(WNIOSEK!$AR$249)=6,(WNIOSEK!$AR$271+WNIOSEK!$AR$278+WNIOSEK!$AR$280)/(WNIOSEK!$AR$289+WNIOSEK!$AR$299+WNIOSEK!$AR$300+WNIOSEK!$AR$280),(WNIOSEK!$AR$270+WNIOSEK!$AR$278+WNIOSEK!$AR$280)/(WNIOSEK!$AR$289+WNIOSEK!$AR$299+WNIOSEK!$AR$300+WNIOSEK!$AR$280)),0)</f>
        <v>0</v>
      </c>
      <c r="N15" s="191">
        <f>IFERROR(IF(MONTH(WNIOSEK!$AW$249)=12,(WNIOSEK!$AR$270+WNIOSEK!$AW$278+WNIOSEK!$AW$280)/(WNIOSEK!$AW$289+WNIOSEK!$AW$299+WNIOSEK!$AW$300+WNIOSEK!$AW$280),(WNIOSEK!$AR$271+WNIOSEK!$AW$278+WNIOSEK!$AW$280)/(WNIOSEK!$AW$289+WNIOSEK!$AW$299+WNIOSEK!$AW$300+WNIOSEK!$AW$280)),0)</f>
        <v>0</v>
      </c>
      <c r="O15" s="131"/>
      <c r="P15" s="127"/>
      <c r="R15" s="128"/>
    </row>
    <row r="16" spans="1:25" s="129" customFormat="1" ht="46.5" customHeight="1" thickBot="1" x14ac:dyDescent="0.35">
      <c r="A16" s="727"/>
      <c r="B16" s="134"/>
      <c r="C16" s="138">
        <v>3</v>
      </c>
      <c r="D16" s="730" t="s">
        <v>5332</v>
      </c>
      <c r="E16" s="731"/>
      <c r="F16" s="731"/>
      <c r="G16" s="731"/>
      <c r="H16" s="731"/>
      <c r="I16" s="731"/>
      <c r="J16" s="731"/>
      <c r="K16" s="731"/>
      <c r="L16" s="731"/>
      <c r="M16" s="192">
        <f>IFERROR(WNIOSEK!$AR$250/WNIOSEK!$AR$251,0)</f>
        <v>0</v>
      </c>
      <c r="N16" s="192">
        <f>IFERROR(WNIOSEK!$AW$250/WNIOSEK!$AW$251,0)</f>
        <v>0</v>
      </c>
      <c r="O16" s="135"/>
      <c r="P16" s="126"/>
      <c r="R16" s="128"/>
    </row>
    <row r="17" spans="1:20" x14ac:dyDescent="0.3">
      <c r="A17" s="123"/>
      <c r="C17" s="121"/>
      <c r="D17" s="122"/>
      <c r="E17" s="122"/>
      <c r="F17" s="122"/>
      <c r="G17" s="122"/>
      <c r="H17" s="122"/>
      <c r="I17" s="122"/>
      <c r="J17" s="122"/>
      <c r="K17" s="122"/>
      <c r="L17" s="122"/>
      <c r="M17" s="122"/>
      <c r="T17" s="120"/>
    </row>
    <row r="18" spans="1:20" ht="25.5" customHeight="1" x14ac:dyDescent="0.3">
      <c r="A18" s="140"/>
      <c r="B18" s="738" t="s">
        <v>5333</v>
      </c>
      <c r="C18" s="738"/>
      <c r="D18" s="738"/>
      <c r="E18" s="738"/>
      <c r="F18" s="738"/>
      <c r="G18" s="738"/>
      <c r="H18" s="738"/>
      <c r="I18" s="738"/>
      <c r="J18" s="738"/>
      <c r="K18" s="738"/>
      <c r="L18" s="738"/>
      <c r="M18" s="738"/>
      <c r="N18" s="738"/>
      <c r="O18" s="738"/>
      <c r="P18" s="738"/>
      <c r="Q18" s="738"/>
      <c r="T18" s="120"/>
    </row>
    <row r="19" spans="1:20" ht="25.5" customHeight="1" x14ac:dyDescent="0.3">
      <c r="A19" s="140"/>
      <c r="B19" s="150"/>
      <c r="C19" s="150"/>
      <c r="D19" s="150"/>
      <c r="E19" s="150"/>
      <c r="F19" s="150"/>
      <c r="G19" s="150"/>
      <c r="H19" s="150"/>
      <c r="I19" s="150"/>
      <c r="J19" s="150"/>
      <c r="K19" s="150"/>
      <c r="L19" s="150"/>
      <c r="M19" s="150"/>
      <c r="N19" s="150"/>
      <c r="O19" s="150"/>
      <c r="P19" s="150"/>
      <c r="Q19" s="150"/>
      <c r="T19" s="120"/>
    </row>
    <row r="20" spans="1:20" ht="35.25" customHeight="1" thickBot="1" x14ac:dyDescent="0.35">
      <c r="A20" s="140"/>
      <c r="B20" s="150"/>
      <c r="C20" s="728" t="s">
        <v>5365</v>
      </c>
      <c r="D20" s="728"/>
      <c r="E20" s="728"/>
      <c r="F20" s="728"/>
      <c r="G20" s="728"/>
      <c r="H20" s="728"/>
      <c r="I20" s="728"/>
      <c r="J20" s="728"/>
      <c r="K20" s="728"/>
      <c r="L20" s="728"/>
      <c r="M20" s="146">
        <f>IF(MONTH(WNIOSEK!$AR$249)=12,YEAR(WNIOSEK!$AR$249),"2Q"&amp;YEAR(WNIOSEK!$AR$249))</f>
        <v>2024</v>
      </c>
      <c r="N20" s="146">
        <f>IF(MONTH(WNIOSEK!$AW$249)=12,YEAR(WNIOSEK!$AW$249),"2Q"&amp;YEAR(WNIOSEK!$AW$249))</f>
        <v>2025</v>
      </c>
      <c r="O20" s="150"/>
      <c r="P20" s="150"/>
      <c r="Q20" s="150"/>
      <c r="T20" s="120"/>
    </row>
    <row r="21" spans="1:20" ht="45.75" customHeight="1" x14ac:dyDescent="0.3">
      <c r="A21" s="140"/>
      <c r="B21" s="152"/>
      <c r="C21" s="110">
        <v>8</v>
      </c>
      <c r="D21" s="786" t="s">
        <v>5659</v>
      </c>
      <c r="E21" s="743"/>
      <c r="F21" s="743"/>
      <c r="G21" s="743"/>
      <c r="H21" s="743"/>
      <c r="I21" s="743"/>
      <c r="J21" s="743"/>
      <c r="K21" s="743"/>
      <c r="L21" s="744"/>
      <c r="M21" s="163"/>
      <c r="N21" s="163"/>
      <c r="O21" s="153"/>
      <c r="P21" s="150"/>
      <c r="Q21" s="150"/>
      <c r="T21" s="120"/>
    </row>
    <row r="22" spans="1:20" ht="45.75" customHeight="1" x14ac:dyDescent="0.3">
      <c r="A22" s="140"/>
      <c r="B22" s="154"/>
      <c r="C22" s="113">
        <v>9</v>
      </c>
      <c r="D22" s="732" t="s">
        <v>5660</v>
      </c>
      <c r="E22" s="733"/>
      <c r="F22" s="733"/>
      <c r="G22" s="733"/>
      <c r="H22" s="733"/>
      <c r="I22" s="733"/>
      <c r="J22" s="733"/>
      <c r="K22" s="733"/>
      <c r="L22" s="734"/>
      <c r="M22" s="164"/>
      <c r="N22" s="164"/>
      <c r="O22" s="155"/>
      <c r="P22" s="150"/>
      <c r="Q22" s="150"/>
      <c r="T22" s="120"/>
    </row>
    <row r="23" spans="1:20" ht="45.75" customHeight="1" x14ac:dyDescent="0.3">
      <c r="A23" s="140"/>
      <c r="B23" s="154"/>
      <c r="C23" s="113">
        <v>10</v>
      </c>
      <c r="D23" s="746" t="s">
        <v>5366</v>
      </c>
      <c r="E23" s="733"/>
      <c r="F23" s="733"/>
      <c r="G23" s="733"/>
      <c r="H23" s="733"/>
      <c r="I23" s="733"/>
      <c r="J23" s="733"/>
      <c r="K23" s="733"/>
      <c r="L23" s="734"/>
      <c r="M23" s="164"/>
      <c r="N23" s="164"/>
      <c r="O23" s="155"/>
      <c r="P23" s="150"/>
      <c r="Q23" s="150"/>
      <c r="T23" s="120"/>
    </row>
    <row r="24" spans="1:20" ht="45.75" customHeight="1" x14ac:dyDescent="0.3">
      <c r="A24" s="140"/>
      <c r="B24" s="154"/>
      <c r="C24" s="113">
        <v>11</v>
      </c>
      <c r="D24" s="732" t="s">
        <v>5661</v>
      </c>
      <c r="E24" s="733"/>
      <c r="F24" s="733"/>
      <c r="G24" s="733"/>
      <c r="H24" s="733"/>
      <c r="I24" s="733"/>
      <c r="J24" s="733"/>
      <c r="K24" s="733"/>
      <c r="L24" s="734"/>
      <c r="M24" s="165"/>
      <c r="N24" s="164"/>
      <c r="O24" s="155"/>
      <c r="P24" s="150"/>
      <c r="Q24" s="150"/>
      <c r="T24" s="120"/>
    </row>
    <row r="25" spans="1:20" ht="45.75" customHeight="1" x14ac:dyDescent="0.3">
      <c r="A25" s="140"/>
      <c r="B25" s="154"/>
      <c r="C25" s="113">
        <v>12</v>
      </c>
      <c r="D25" s="787" t="s">
        <v>5367</v>
      </c>
      <c r="E25" s="733"/>
      <c r="F25" s="733"/>
      <c r="G25" s="733"/>
      <c r="H25" s="733"/>
      <c r="I25" s="733"/>
      <c r="J25" s="733"/>
      <c r="K25" s="733"/>
      <c r="L25" s="734"/>
      <c r="M25" s="164"/>
      <c r="N25" s="164"/>
      <c r="O25" s="155"/>
      <c r="P25" s="150"/>
      <c r="Q25" s="150"/>
      <c r="T25" s="120"/>
    </row>
    <row r="26" spans="1:20" ht="45.75" customHeight="1" thickBot="1" x14ac:dyDescent="0.35">
      <c r="A26" s="140"/>
      <c r="B26" s="156"/>
      <c r="C26" s="116">
        <v>13</v>
      </c>
      <c r="D26" s="788" t="s">
        <v>5662</v>
      </c>
      <c r="E26" s="789"/>
      <c r="F26" s="789"/>
      <c r="G26" s="789"/>
      <c r="H26" s="789"/>
      <c r="I26" s="789"/>
      <c r="J26" s="789"/>
      <c r="K26" s="789"/>
      <c r="L26" s="790"/>
      <c r="M26" s="166"/>
      <c r="N26" s="166"/>
      <c r="O26" s="157"/>
      <c r="P26" s="150"/>
      <c r="Q26" s="150"/>
      <c r="T26" s="120"/>
    </row>
    <row r="27" spans="1:20" ht="25.5" customHeight="1" x14ac:dyDescent="0.3">
      <c r="A27" s="140"/>
      <c r="B27" s="150"/>
      <c r="C27" s="150"/>
      <c r="D27" s="150"/>
      <c r="E27" s="150"/>
      <c r="F27" s="150"/>
      <c r="G27" s="150"/>
      <c r="H27" s="150"/>
      <c r="I27" s="150"/>
      <c r="J27" s="150"/>
      <c r="K27" s="150"/>
      <c r="L27" s="150"/>
      <c r="M27" s="150"/>
      <c r="N27" s="150"/>
      <c r="O27" s="150"/>
      <c r="P27" s="150"/>
      <c r="Q27" s="150"/>
      <c r="T27" s="120"/>
    </row>
    <row r="28" spans="1:20" ht="35.25" customHeight="1" thickBot="1" x14ac:dyDescent="0.35">
      <c r="C28" s="783" t="s">
        <v>5326</v>
      </c>
      <c r="D28" s="784"/>
      <c r="E28" s="784"/>
      <c r="F28" s="784"/>
      <c r="G28" s="784"/>
      <c r="H28" s="784"/>
      <c r="I28" s="784"/>
      <c r="J28" s="784"/>
      <c r="K28" s="784"/>
      <c r="L28" s="785"/>
      <c r="M28" s="146">
        <f>IF(MONTH(WNIOSEK!$AR$249)=12,YEAR(WNIOSEK!$AR$249),"2Q"&amp;YEAR(WNIOSEK!$AR$249))</f>
        <v>2024</v>
      </c>
      <c r="N28" s="146">
        <f>IF(MONTH(WNIOSEK!$AW$249)=12,YEAR(WNIOSEK!$AW$249),"2Q"&amp;YEAR(WNIOSEK!$AW$249))</f>
        <v>2025</v>
      </c>
    </row>
    <row r="29" spans="1:20" ht="46.5" customHeight="1" x14ac:dyDescent="0.3">
      <c r="B29" s="109"/>
      <c r="C29" s="142">
        <v>4</v>
      </c>
      <c r="D29" s="768" t="s">
        <v>5355</v>
      </c>
      <c r="E29" s="769"/>
      <c r="F29" s="769"/>
      <c r="G29" s="769"/>
      <c r="H29" s="769"/>
      <c r="I29" s="769"/>
      <c r="J29" s="769"/>
      <c r="K29" s="769"/>
      <c r="L29" s="782"/>
      <c r="M29" s="193">
        <f>IFERROR((WNIOSEK!$AR$282-WNIOSEK!$AR$266)/WNIOSEK!$AR$288,0)</f>
        <v>0</v>
      </c>
      <c r="N29" s="193">
        <f>IFERROR((WNIOSEK!$AW$282-WNIOSEK!$AW$266)/WNIOSEK!$AW$288,0)</f>
        <v>0</v>
      </c>
      <c r="O29" s="111"/>
      <c r="T29" s="120"/>
    </row>
    <row r="30" spans="1:20" ht="46.5" customHeight="1" x14ac:dyDescent="0.3">
      <c r="B30" s="112"/>
      <c r="C30" s="141">
        <v>5</v>
      </c>
      <c r="D30" s="774" t="s">
        <v>5336</v>
      </c>
      <c r="E30" s="775"/>
      <c r="F30" s="775"/>
      <c r="G30" s="775"/>
      <c r="H30" s="775"/>
      <c r="I30" s="775"/>
      <c r="J30" s="775"/>
      <c r="K30" s="775"/>
      <c r="L30" s="776"/>
      <c r="M30" s="194">
        <f>IFERROR((WNIOSEK!$AR$282-WNIOSEK!$AR$266-WNIOSEK!$AR$283)/WNIOSEK!$AR$288,0)</f>
        <v>0</v>
      </c>
      <c r="N30" s="194">
        <f>IFERROR((WNIOSEK!$AW$282-WNIOSEK!$AW$266-WNIOSEK!$AW$283)/WNIOSEK!$AW$288,0)</f>
        <v>0</v>
      </c>
      <c r="O30" s="143"/>
    </row>
    <row r="31" spans="1:20" ht="46.5" customHeight="1" x14ac:dyDescent="0.3">
      <c r="B31" s="112"/>
      <c r="C31" s="141">
        <v>6</v>
      </c>
      <c r="D31" s="771" t="s">
        <v>5356</v>
      </c>
      <c r="E31" s="772"/>
      <c r="F31" s="772"/>
      <c r="G31" s="772"/>
      <c r="H31" s="772"/>
      <c r="I31" s="772"/>
      <c r="J31" s="772"/>
      <c r="K31" s="772"/>
      <c r="L31" s="773"/>
      <c r="M31" s="194">
        <f>IFERROR((WNIOSEK!$AR$267*100%)/WNIOSEK!$AR$273,0)</f>
        <v>0</v>
      </c>
      <c r="N31" s="194">
        <f>IFERROR((WNIOSEK!$AW$267*100%)/WNIOSEK!$AW$273,0)</f>
        <v>0</v>
      </c>
      <c r="O31" s="114"/>
    </row>
    <row r="32" spans="1:20" ht="46.5" customHeight="1" x14ac:dyDescent="0.3">
      <c r="B32" s="112"/>
      <c r="C32" s="141">
        <v>7</v>
      </c>
      <c r="D32" s="774" t="s">
        <v>5357</v>
      </c>
      <c r="E32" s="775"/>
      <c r="F32" s="775"/>
      <c r="G32" s="775"/>
      <c r="H32" s="775"/>
      <c r="I32" s="775"/>
      <c r="J32" s="775"/>
      <c r="K32" s="775"/>
      <c r="L32" s="776"/>
      <c r="M32" s="194">
        <f>IFERROR((WNIOSEK!$AR$259*IF(MONTH(WNIOSEK!$AR$249)=6,180,360))/WNIOSEK!$AR$273,0)</f>
        <v>0</v>
      </c>
      <c r="N32" s="194">
        <f>IFERROR((WNIOSEK!$AW$259*IF(MONTH(WNIOSEK!$AW$249)=6,180,360))/WNIOSEK!$AW$273,0)</f>
        <v>0</v>
      </c>
      <c r="O32" s="114"/>
    </row>
    <row r="33" spans="1:18" ht="46.5" customHeight="1" x14ac:dyDescent="0.3">
      <c r="B33" s="112"/>
      <c r="C33" s="141">
        <v>8</v>
      </c>
      <c r="D33" s="774" t="s">
        <v>5358</v>
      </c>
      <c r="E33" s="775"/>
      <c r="F33" s="775"/>
      <c r="G33" s="775"/>
      <c r="H33" s="775"/>
      <c r="I33" s="775"/>
      <c r="J33" s="775"/>
      <c r="K33" s="775"/>
      <c r="L33" s="776"/>
      <c r="M33" s="194">
        <f>IFERROR((WNIOSEK!$AR$283*IF(MONTH(WNIOSEK!$AR$249)=6,180,360))/(WNIOSEK!$AR$276),0)</f>
        <v>0</v>
      </c>
      <c r="N33" s="194">
        <f>IFERROR((WNIOSEK!$AW$283*IF(MONTH(WNIOSEK!$AW$249)=6,180,360))/(WNIOSEK!$AW$276),0)</f>
        <v>0</v>
      </c>
      <c r="O33" s="114"/>
    </row>
    <row r="34" spans="1:18" ht="46.5" customHeight="1" x14ac:dyDescent="0.3">
      <c r="B34" s="112"/>
      <c r="C34" s="141">
        <v>9</v>
      </c>
      <c r="D34" s="774" t="s">
        <v>5359</v>
      </c>
      <c r="E34" s="775"/>
      <c r="F34" s="775"/>
      <c r="G34" s="775"/>
      <c r="H34" s="775"/>
      <c r="I34" s="775"/>
      <c r="J34" s="775"/>
      <c r="K34" s="775"/>
      <c r="L34" s="776"/>
      <c r="M34" s="194">
        <f>IFERROR(WNIOSEK!$AR$256*IF(MONTH(WNIOSEK!$AR$249)=6,180,360)/WNIOSEK!$AR$273,0)</f>
        <v>0</v>
      </c>
      <c r="N34" s="194">
        <f>IFERROR(WNIOSEK!$AW$256*IF(MONTH(WNIOSEK!$AW$249)=6,180,360)/WNIOSEK!$AW$273,0)</f>
        <v>0</v>
      </c>
      <c r="O34" s="114"/>
    </row>
    <row r="35" spans="1:18" ht="46.5" customHeight="1" x14ac:dyDescent="0.3">
      <c r="B35" s="112"/>
      <c r="C35" s="141">
        <v>10</v>
      </c>
      <c r="D35" s="774" t="s">
        <v>5360</v>
      </c>
      <c r="E35" s="775"/>
      <c r="F35" s="775"/>
      <c r="G35" s="775"/>
      <c r="H35" s="775"/>
      <c r="I35" s="775"/>
      <c r="J35" s="775"/>
      <c r="K35" s="775"/>
      <c r="L35" s="776"/>
      <c r="M35" s="194">
        <f>IFERROR(((WNIOSEK!$AR$254+WNIOSEK!$AR$255+WNIOSEK!$AR$257)*100%)/WNIOSEK!$AR$261,0)</f>
        <v>0</v>
      </c>
      <c r="N35" s="194">
        <f>IFERROR(((WNIOSEK!$AW$254+WNIOSEK!$AW$255+WNIOSEK!$AW$257)*100%)/WNIOSEK!$AW$261,0)</f>
        <v>0</v>
      </c>
      <c r="O35" s="114"/>
    </row>
    <row r="36" spans="1:18" ht="46.5" customHeight="1" x14ac:dyDescent="0.3">
      <c r="B36" s="112"/>
      <c r="C36" s="141">
        <v>11</v>
      </c>
      <c r="D36" s="774" t="s">
        <v>5361</v>
      </c>
      <c r="E36" s="775"/>
      <c r="F36" s="775"/>
      <c r="G36" s="775"/>
      <c r="H36" s="775"/>
      <c r="I36" s="775"/>
      <c r="J36" s="775"/>
      <c r="K36" s="775"/>
      <c r="L36" s="776"/>
      <c r="M36" s="194">
        <f>IFERROR((IF(MONTH(WNIOSEK!$AR$249)=6,WNIOSEK!$AR$271,WNIOSEK!$AR$270)+WNIOSEK!$AR$281+WNIOSEK!$AR$278+WNIOSEK!$AR$280)/(WNIOSEK!$AR$280+WNIOSEK!$AR$289),0)</f>
        <v>0</v>
      </c>
      <c r="N36" s="194">
        <f>IFERROR((IF(MONTH(WNIOSEK!$AW$249)=6,WNIOSEK!$AR$271,WNIOSEK!$AR$270)+WNIOSEK!$AW$281+WNIOSEK!$AW$278+WNIOSEK!$AW$280)/(WNIOSEK!$AW$280+WNIOSEK!$AW$289),0)</f>
        <v>0</v>
      </c>
      <c r="O36" s="114"/>
    </row>
    <row r="37" spans="1:18" ht="46.5" customHeight="1" thickBot="1" x14ac:dyDescent="0.35">
      <c r="B37" s="115"/>
      <c r="C37" s="144">
        <v>12</v>
      </c>
      <c r="D37" s="778" t="s">
        <v>5625</v>
      </c>
      <c r="E37" s="779"/>
      <c r="F37" s="779"/>
      <c r="G37" s="779"/>
      <c r="H37" s="779"/>
      <c r="I37" s="779"/>
      <c r="J37" s="779"/>
      <c r="K37" s="779"/>
      <c r="L37" s="780"/>
      <c r="M37" s="196">
        <f>IFERROR(((WNIOSEK!$AR$255+WNIOSEK!$AR$288+WNIOSEK!$AR$258)*100%)/WNIOSEK!$AR$287,0)</f>
        <v>0</v>
      </c>
      <c r="N37" s="196">
        <f>IFERROR(((WNIOSEK!$AW$255+WNIOSEK!$AW$288+WNIOSEK!$AW$258)*100%)/WNIOSEK!$AW$287,0)</f>
        <v>0</v>
      </c>
      <c r="O37" s="117"/>
    </row>
    <row r="38" spans="1:18" x14ac:dyDescent="0.3">
      <c r="C38" s="124"/>
      <c r="D38" s="124"/>
      <c r="E38" s="124"/>
      <c r="F38" s="124"/>
      <c r="G38" s="124"/>
      <c r="H38" s="124"/>
      <c r="I38" s="124"/>
      <c r="J38" s="124"/>
      <c r="K38" s="124"/>
      <c r="L38" s="124"/>
      <c r="M38" s="124"/>
      <c r="N38" s="124"/>
      <c r="O38" s="124"/>
      <c r="P38" s="124"/>
      <c r="R38" s="106"/>
    </row>
    <row r="39" spans="1:18" x14ac:dyDescent="0.3">
      <c r="D39" s="125" t="s">
        <v>5344</v>
      </c>
      <c r="R39" s="106"/>
    </row>
    <row r="40" spans="1:18" ht="15" customHeight="1" x14ac:dyDescent="0.3">
      <c r="A40" s="794" t="s">
        <v>5345</v>
      </c>
      <c r="B40" s="795"/>
      <c r="C40" s="795"/>
      <c r="D40" s="795"/>
      <c r="E40" s="795"/>
      <c r="F40" s="795"/>
      <c r="G40" s="795"/>
      <c r="H40" s="795"/>
      <c r="I40" s="795"/>
      <c r="J40" s="795"/>
      <c r="K40" s="795"/>
      <c r="L40" s="795"/>
      <c r="M40" s="795"/>
      <c r="N40" s="795"/>
      <c r="O40" s="796"/>
      <c r="P40" s="147"/>
      <c r="R40" s="106"/>
    </row>
    <row r="41" spans="1:18" x14ac:dyDescent="0.3">
      <c r="A41" s="797"/>
      <c r="B41" s="798"/>
      <c r="C41" s="798"/>
      <c r="D41" s="798"/>
      <c r="E41" s="798"/>
      <c r="F41" s="798"/>
      <c r="G41" s="798"/>
      <c r="H41" s="798"/>
      <c r="I41" s="798"/>
      <c r="J41" s="798"/>
      <c r="K41" s="798"/>
      <c r="L41" s="798"/>
      <c r="M41" s="798"/>
      <c r="N41" s="798"/>
      <c r="O41" s="799"/>
      <c r="P41" s="147"/>
      <c r="R41" s="106"/>
    </row>
    <row r="42" spans="1:18" ht="12" customHeight="1" x14ac:dyDescent="0.3">
      <c r="A42" s="797"/>
      <c r="B42" s="798"/>
      <c r="C42" s="798"/>
      <c r="D42" s="798"/>
      <c r="E42" s="798"/>
      <c r="F42" s="798"/>
      <c r="G42" s="798"/>
      <c r="H42" s="798"/>
      <c r="I42" s="798"/>
      <c r="J42" s="798"/>
      <c r="K42" s="798"/>
      <c r="L42" s="798"/>
      <c r="M42" s="798"/>
      <c r="N42" s="798"/>
      <c r="O42" s="799"/>
      <c r="P42" s="147"/>
      <c r="R42" s="106"/>
    </row>
    <row r="43" spans="1:18" ht="129.75" customHeight="1" x14ac:dyDescent="0.3">
      <c r="A43" s="800"/>
      <c r="B43" s="801"/>
      <c r="C43" s="801"/>
      <c r="D43" s="801"/>
      <c r="E43" s="801"/>
      <c r="F43" s="801"/>
      <c r="G43" s="801"/>
      <c r="H43" s="801"/>
      <c r="I43" s="801"/>
      <c r="J43" s="801"/>
      <c r="K43" s="801"/>
      <c r="L43" s="801"/>
      <c r="M43" s="801"/>
      <c r="N43" s="801"/>
      <c r="O43" s="802"/>
      <c r="P43" s="147"/>
      <c r="R43" s="106"/>
    </row>
    <row r="45" spans="1:18" ht="15" customHeight="1" x14ac:dyDescent="0.3">
      <c r="A45" s="803" t="s">
        <v>5478</v>
      </c>
      <c r="B45" s="804"/>
      <c r="C45" s="804"/>
      <c r="D45" s="804"/>
      <c r="E45" s="804"/>
      <c r="F45" s="804"/>
      <c r="G45" s="804"/>
      <c r="H45" s="804"/>
      <c r="I45" s="804"/>
      <c r="J45" s="804"/>
      <c r="K45" s="804"/>
      <c r="L45" s="804"/>
      <c r="M45" s="804"/>
      <c r="N45" s="804"/>
      <c r="O45" s="805"/>
      <c r="P45" s="148"/>
      <c r="R45" s="106"/>
    </row>
    <row r="46" spans="1:18" x14ac:dyDescent="0.3">
      <c r="A46" s="806"/>
      <c r="B46" s="764"/>
      <c r="C46" s="764"/>
      <c r="D46" s="764"/>
      <c r="E46" s="764"/>
      <c r="F46" s="764"/>
      <c r="G46" s="764"/>
      <c r="H46" s="764"/>
      <c r="I46" s="764"/>
      <c r="J46" s="764"/>
      <c r="K46" s="764"/>
      <c r="L46" s="764"/>
      <c r="M46" s="764"/>
      <c r="N46" s="764"/>
      <c r="O46" s="807"/>
      <c r="P46" s="148"/>
      <c r="R46" s="106"/>
    </row>
    <row r="47" spans="1:18" x14ac:dyDescent="0.3">
      <c r="A47" s="806"/>
      <c r="B47" s="764"/>
      <c r="C47" s="764"/>
      <c r="D47" s="764"/>
      <c r="E47" s="764"/>
      <c r="F47" s="764"/>
      <c r="G47" s="764"/>
      <c r="H47" s="764"/>
      <c r="I47" s="764"/>
      <c r="J47" s="764"/>
      <c r="K47" s="764"/>
      <c r="L47" s="764"/>
      <c r="M47" s="764"/>
      <c r="N47" s="764"/>
      <c r="O47" s="807"/>
      <c r="P47" s="148"/>
      <c r="R47" s="106"/>
    </row>
    <row r="48" spans="1:18" x14ac:dyDescent="0.3">
      <c r="A48" s="806"/>
      <c r="B48" s="764"/>
      <c r="C48" s="764"/>
      <c r="D48" s="764"/>
      <c r="E48" s="764"/>
      <c r="F48" s="764"/>
      <c r="G48" s="764"/>
      <c r="H48" s="764"/>
      <c r="I48" s="764"/>
      <c r="J48" s="764"/>
      <c r="K48" s="764"/>
      <c r="L48" s="764"/>
      <c r="M48" s="764"/>
      <c r="N48" s="764"/>
      <c r="O48" s="807"/>
      <c r="P48" s="148"/>
      <c r="R48" s="106"/>
    </row>
    <row r="49" spans="1:18" x14ac:dyDescent="0.3">
      <c r="A49" s="806"/>
      <c r="B49" s="764"/>
      <c r="C49" s="764"/>
      <c r="D49" s="764"/>
      <c r="E49" s="764"/>
      <c r="F49" s="764"/>
      <c r="G49" s="764"/>
      <c r="H49" s="764"/>
      <c r="I49" s="764"/>
      <c r="J49" s="764"/>
      <c r="K49" s="764"/>
      <c r="L49" s="764"/>
      <c r="M49" s="764"/>
      <c r="N49" s="764"/>
      <c r="O49" s="807"/>
      <c r="P49" s="148"/>
      <c r="R49" s="106"/>
    </row>
    <row r="50" spans="1:18" x14ac:dyDescent="0.3">
      <c r="A50" s="806"/>
      <c r="B50" s="764"/>
      <c r="C50" s="764"/>
      <c r="D50" s="764"/>
      <c r="E50" s="764"/>
      <c r="F50" s="764"/>
      <c r="G50" s="764"/>
      <c r="H50" s="764"/>
      <c r="I50" s="764"/>
      <c r="J50" s="764"/>
      <c r="K50" s="764"/>
      <c r="L50" s="764"/>
      <c r="M50" s="764"/>
      <c r="N50" s="764"/>
      <c r="O50" s="807"/>
      <c r="P50" s="148"/>
      <c r="R50" s="106"/>
    </row>
    <row r="51" spans="1:18" x14ac:dyDescent="0.3">
      <c r="A51" s="806"/>
      <c r="B51" s="764"/>
      <c r="C51" s="764"/>
      <c r="D51" s="764"/>
      <c r="E51" s="764"/>
      <c r="F51" s="764"/>
      <c r="G51" s="764"/>
      <c r="H51" s="764"/>
      <c r="I51" s="764"/>
      <c r="J51" s="764"/>
      <c r="K51" s="764"/>
      <c r="L51" s="764"/>
      <c r="M51" s="764"/>
      <c r="N51" s="764"/>
      <c r="O51" s="807"/>
      <c r="P51" s="148"/>
      <c r="R51" s="106"/>
    </row>
    <row r="52" spans="1:18" ht="130.19999999999999" customHeight="1" x14ac:dyDescent="0.3">
      <c r="A52" s="808"/>
      <c r="B52" s="809"/>
      <c r="C52" s="809"/>
      <c r="D52" s="809"/>
      <c r="E52" s="809"/>
      <c r="F52" s="809"/>
      <c r="G52" s="809"/>
      <c r="H52" s="809"/>
      <c r="I52" s="809"/>
      <c r="J52" s="809"/>
      <c r="K52" s="809"/>
      <c r="L52" s="809"/>
      <c r="M52" s="809"/>
      <c r="N52" s="809"/>
      <c r="O52" s="810"/>
      <c r="P52" s="148"/>
      <c r="R52" s="106"/>
    </row>
    <row r="53" spans="1:18" x14ac:dyDescent="0.3">
      <c r="D53" s="139"/>
      <c r="E53" s="139"/>
      <c r="F53" s="139"/>
      <c r="G53" s="139"/>
      <c r="H53" s="139"/>
      <c r="I53" s="139"/>
      <c r="J53" s="139"/>
      <c r="K53" s="139"/>
      <c r="L53" s="139"/>
      <c r="M53" s="139"/>
      <c r="N53" s="139"/>
      <c r="O53" s="139"/>
      <c r="P53" s="139"/>
      <c r="R53" s="106"/>
    </row>
    <row r="54" spans="1:18" ht="15" customHeight="1" x14ac:dyDescent="0.3">
      <c r="A54" s="781" t="s">
        <v>5658</v>
      </c>
      <c r="B54" s="764"/>
      <c r="C54" s="764"/>
      <c r="D54" s="764"/>
      <c r="E54" s="764"/>
      <c r="F54" s="764"/>
      <c r="G54" s="764"/>
      <c r="H54" s="764"/>
      <c r="I54" s="764"/>
      <c r="J54" s="764"/>
      <c r="K54" s="764"/>
      <c r="L54" s="764"/>
      <c r="M54" s="764"/>
      <c r="N54" s="764"/>
      <c r="O54" s="764"/>
      <c r="P54" s="149"/>
    </row>
    <row r="55" spans="1:18" x14ac:dyDescent="0.3">
      <c r="R55" s="106"/>
    </row>
    <row r="56" spans="1:18" x14ac:dyDescent="0.3">
      <c r="A56" s="765" t="s">
        <v>5346</v>
      </c>
      <c r="B56" s="765"/>
      <c r="C56" s="765"/>
      <c r="D56" s="765"/>
      <c r="E56" s="765"/>
      <c r="F56" s="765"/>
    </row>
    <row r="58" spans="1:18" ht="81" customHeight="1" x14ac:dyDescent="0.3">
      <c r="R58" s="106"/>
    </row>
    <row r="59" spans="1:18" ht="67.5" customHeight="1" x14ac:dyDescent="0.3">
      <c r="A59" s="791" t="s">
        <v>5347</v>
      </c>
      <c r="B59" s="792"/>
      <c r="C59" s="792"/>
      <c r="D59" s="792"/>
      <c r="E59" s="792"/>
      <c r="F59" s="792"/>
      <c r="G59" s="792"/>
      <c r="H59" s="792"/>
      <c r="I59" s="792"/>
      <c r="J59" s="792"/>
      <c r="K59" s="792"/>
      <c r="L59" s="792"/>
      <c r="M59" s="792"/>
      <c r="N59" s="792"/>
      <c r="O59" s="793"/>
      <c r="P59" s="139"/>
    </row>
    <row r="61" spans="1:18" ht="21" customHeight="1" x14ac:dyDescent="0.3">
      <c r="R61" s="106"/>
    </row>
  </sheetData>
  <sheetProtection algorithmName="SHA-512" hashValue="aEoqAnwASYwo1GB219FOcdWGYWuwwv18MGhQn+0A8KXPsf1aePytww2JQnydJAqveho4UNS78BK0Bjwxns7tng==" saltValue="xDGYHRlx6gg3RkIbVhb99g==" spinCount="100000" sheet="1" objects="1" scenarios="1" formatRows="0"/>
  <mergeCells count="40">
    <mergeCell ref="A59:O59"/>
    <mergeCell ref="D33:L33"/>
    <mergeCell ref="D34:L34"/>
    <mergeCell ref="D35:L35"/>
    <mergeCell ref="D36:L36"/>
    <mergeCell ref="D37:L37"/>
    <mergeCell ref="A40:O43"/>
    <mergeCell ref="A45:O52"/>
    <mergeCell ref="A54:O54"/>
    <mergeCell ref="A56:F56"/>
    <mergeCell ref="C13:L13"/>
    <mergeCell ref="C28:L28"/>
    <mergeCell ref="C20:L20"/>
    <mergeCell ref="D21:L21"/>
    <mergeCell ref="D22:L22"/>
    <mergeCell ref="B18:Q18"/>
    <mergeCell ref="D23:L23"/>
    <mergeCell ref="D24:L24"/>
    <mergeCell ref="D25:L25"/>
    <mergeCell ref="D26:L26"/>
    <mergeCell ref="A14:A16"/>
    <mergeCell ref="D14:L14"/>
    <mergeCell ref="D15:L15"/>
    <mergeCell ref="D16:L16"/>
    <mergeCell ref="D32:L32"/>
    <mergeCell ref="D29:L29"/>
    <mergeCell ref="D30:L30"/>
    <mergeCell ref="D31:L31"/>
    <mergeCell ref="C3:N3"/>
    <mergeCell ref="S3:Y4"/>
    <mergeCell ref="C4:L4"/>
    <mergeCell ref="A5:A11"/>
    <mergeCell ref="D5:L5"/>
    <mergeCell ref="S5:Y8"/>
    <mergeCell ref="D6:L6"/>
    <mergeCell ref="D7:L7"/>
    <mergeCell ref="D8:L8"/>
    <mergeCell ref="D9:L9"/>
    <mergeCell ref="D10:L10"/>
    <mergeCell ref="D11:L11"/>
  </mergeCells>
  <conditionalFormatting sqref="M14:N14">
    <cfRule type="expression" dxfId="18" priority="19">
      <formula>IF(M$14="",1,0)</formula>
    </cfRule>
    <cfRule type="expression" dxfId="17" priority="20">
      <formula>IF(M$14&lt;1,1,0)</formula>
    </cfRule>
    <cfRule type="expression" dxfId="16" priority="21">
      <formula>IF(M$14&gt;=1,1,0)</formula>
    </cfRule>
  </conditionalFormatting>
  <conditionalFormatting sqref="M16:N16">
    <cfRule type="expression" dxfId="15" priority="16">
      <formula>IF(M$16="",1,0)</formula>
    </cfRule>
    <cfRule type="expression" dxfId="14" priority="17">
      <formula>IF(M$16&gt;10%,1,0)</formula>
    </cfRule>
    <cfRule type="expression" dxfId="13" priority="18">
      <formula>IF(M$16&lt;=10%,1,0)</formula>
    </cfRule>
  </conditionalFormatting>
  <conditionalFormatting sqref="M15:N15">
    <cfRule type="expression" dxfId="12" priority="13">
      <formula>IF(M$15="",1,0)</formula>
    </cfRule>
    <cfRule type="expression" dxfId="11" priority="14">
      <formula>IF(M$15&lt;1,1,0)</formula>
    </cfRule>
    <cfRule type="expression" dxfId="10" priority="15">
      <formula>IF(M$15&gt;=1,1,0)</formula>
    </cfRule>
  </conditionalFormatting>
  <conditionalFormatting sqref="M5:N11">
    <cfRule type="expression" dxfId="9" priority="10">
      <formula>IF(M5="nie",1,0)</formula>
    </cfRule>
    <cfRule type="expression" dxfId="8" priority="11">
      <formula>IF(M5="tak",1,0)</formula>
    </cfRule>
  </conditionalFormatting>
  <conditionalFormatting sqref="M21:N26">
    <cfRule type="expression" dxfId="7" priority="6">
      <formula>IF(M21="nie",1,0)</formula>
    </cfRule>
    <cfRule type="expression" dxfId="6" priority="7">
      <formula>IF(M21="tak",1,0)</formula>
    </cfRule>
  </conditionalFormatting>
  <dataValidations count="1">
    <dataValidation type="list" allowBlank="1" showInputMessage="1" showErrorMessage="1" sqref="M21:N26" xr:uid="{00000000-0002-0000-0900-000000000000}">
      <formula1>"tak,nie"</formula1>
    </dataValidation>
  </dataValidations>
  <pageMargins left="0.70866141732283472" right="0.70866141732283472" top="0.74803149606299213" bottom="0.74803149606299213" header="0.31496062992125984" footer="0.31496062992125984"/>
  <pageSetup paperSize="8" scale="50" orientation="portrait" r:id="rId1"/>
  <drawing r:id="rId2"/>
  <legacyDrawing r:id="rId3"/>
  <controls>
    <mc:AlternateContent xmlns:mc="http://schemas.openxmlformats.org/markup-compatibility/2006">
      <mc:Choice Requires="x14">
        <control shapeId="11268" r:id="rId4" name="CommandButton24">
          <controlPr locked="0" defaultSize="0" autoLine="0" r:id="rId5">
            <anchor moveWithCells="1">
              <from>
                <xdr:col>16</xdr:col>
                <xdr:colOff>99060</xdr:colOff>
                <xdr:row>15</xdr:row>
                <xdr:rowOff>480060</xdr:rowOff>
              </from>
              <to>
                <xdr:col>22</xdr:col>
                <xdr:colOff>381000</xdr:colOff>
                <xdr:row>17</xdr:row>
                <xdr:rowOff>213360</xdr:rowOff>
              </to>
            </anchor>
          </controlPr>
        </control>
      </mc:Choice>
      <mc:Fallback>
        <control shapeId="11268" r:id="rId4" name="CommandButton24"/>
      </mc:Fallback>
    </mc:AlternateContent>
    <mc:AlternateContent xmlns:mc="http://schemas.openxmlformats.org/markup-compatibility/2006">
      <mc:Choice Requires="x14">
        <control shapeId="11267" r:id="rId6" name="CommandButton23">
          <controlPr locked="0" defaultSize="0" autoLine="0" r:id="rId7">
            <anchor moveWithCells="1">
              <from>
                <xdr:col>16</xdr:col>
                <xdr:colOff>99060</xdr:colOff>
                <xdr:row>14</xdr:row>
                <xdr:rowOff>518160</xdr:rowOff>
              </from>
              <to>
                <xdr:col>22</xdr:col>
                <xdr:colOff>381000</xdr:colOff>
                <xdr:row>15</xdr:row>
                <xdr:rowOff>441960</xdr:rowOff>
              </to>
            </anchor>
          </controlPr>
        </control>
      </mc:Choice>
      <mc:Fallback>
        <control shapeId="11267" r:id="rId6" name="CommandButton23"/>
      </mc:Fallback>
    </mc:AlternateContent>
    <mc:AlternateContent xmlns:mc="http://schemas.openxmlformats.org/markup-compatibility/2006">
      <mc:Choice Requires="x14">
        <control shapeId="11266" r:id="rId8" name="CommandButton22">
          <controlPr defaultSize="0" autoLine="0" r:id="rId9">
            <anchor moveWithCells="1">
              <from>
                <xdr:col>16</xdr:col>
                <xdr:colOff>99060</xdr:colOff>
                <xdr:row>5</xdr:row>
                <xdr:rowOff>228600</xdr:rowOff>
              </from>
              <to>
                <xdr:col>24</xdr:col>
                <xdr:colOff>312420</xdr:colOff>
                <xdr:row>7</xdr:row>
                <xdr:rowOff>137160</xdr:rowOff>
              </to>
            </anchor>
          </controlPr>
        </control>
      </mc:Choice>
      <mc:Fallback>
        <control shapeId="11266" r:id="rId8" name="CommandButton22"/>
      </mc:Fallback>
    </mc:AlternateContent>
    <mc:AlternateContent xmlns:mc="http://schemas.openxmlformats.org/markup-compatibility/2006">
      <mc:Choice Requires="x14">
        <control shapeId="11265" r:id="rId10" name="CommandButton21">
          <controlPr defaultSize="0" autoLine="0" r:id="rId11">
            <anchor moveWithCells="1">
              <from>
                <xdr:col>16</xdr:col>
                <xdr:colOff>76200</xdr:colOff>
                <xdr:row>2</xdr:row>
                <xdr:rowOff>304800</xdr:rowOff>
              </from>
              <to>
                <xdr:col>24</xdr:col>
                <xdr:colOff>266700</xdr:colOff>
                <xdr:row>5</xdr:row>
                <xdr:rowOff>114300</xdr:rowOff>
              </to>
            </anchor>
          </controlPr>
        </control>
      </mc:Choice>
      <mc:Fallback>
        <control shapeId="11265" r:id="rId10" name="CommandButton2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2" id="{256D6439-1935-45FC-94A7-2DEC2C203028}">
            <xm:f>IF(MONTH(WNIOSEK!$AR$249)=6,1,0)</xm:f>
            <x14:dxf>
              <fill>
                <patternFill patternType="lightTrellis"/>
              </fill>
            </x14:dxf>
          </x14:cfRule>
          <xm:sqref>M6 M11</xm:sqref>
        </x14:conditionalFormatting>
        <x14:conditionalFormatting xmlns:xm="http://schemas.microsoft.com/office/excel/2006/main">
          <x14:cfRule type="expression" priority="9" id="{EA7C6FEE-E799-4C7D-9BB0-3305321A16DC}">
            <xm:f>IF(MONTH(WNIOSEK!$AR$249)=6,1,0)</xm:f>
            <x14:dxf>
              <fill>
                <patternFill patternType="lightTrellis"/>
              </fill>
            </x14:dxf>
          </x14:cfRule>
          <xm:sqref>M5</xm:sqref>
        </x14:conditionalFormatting>
        <x14:conditionalFormatting xmlns:xm="http://schemas.microsoft.com/office/excel/2006/main">
          <x14:cfRule type="expression" priority="4" id="{5BAB0870-4C44-4D21-B057-7AD7B79E5A76}">
            <xm:f>IF(MONTH(WNIOSEK!$AW$249)=6,1,0)</xm:f>
            <x14:dxf>
              <fill>
                <patternFill patternType="lightTrellis"/>
              </fill>
            </x14:dxf>
          </x14:cfRule>
          <xm:sqref>N5 N11</xm:sqref>
        </x14:conditionalFormatting>
        <x14:conditionalFormatting xmlns:xm="http://schemas.microsoft.com/office/excel/2006/main">
          <x14:cfRule type="expression" priority="3" id="{8942CCF8-8610-4DA9-975F-F40BAF460B3C}">
            <xm:f>IF(MONTH(WNIOSEK!$AW$249)=6,1,0)</xm:f>
            <x14:dxf>
              <fill>
                <patternFill patternType="lightTrellis"/>
              </fill>
            </x14:dxf>
          </x14:cfRule>
          <xm:sqref>N6</xm:sqref>
        </x14:conditionalFormatting>
        <x14:conditionalFormatting xmlns:xm="http://schemas.microsoft.com/office/excel/2006/main">
          <x14:cfRule type="expression" priority="2" id="{5B247D21-6414-44C9-BA2F-720A20392258}">
            <xm:f>IF(MONTH(WNIOSEK!$AR$249)=6,1,0)</xm:f>
            <x14:dxf>
              <fill>
                <patternFill patternType="lightTrellis"/>
              </fill>
            </x14:dxf>
          </x14:cfRule>
          <xm:sqref>M10</xm:sqref>
        </x14:conditionalFormatting>
        <x14:conditionalFormatting xmlns:xm="http://schemas.microsoft.com/office/excel/2006/main">
          <x14:cfRule type="expression" priority="1" id="{E34B3F91-55FE-41AA-B069-2FA45373940C}">
            <xm:f>IF(MONTH(WNIOSEK!$AW$249)=6,1,0)</xm:f>
            <x14:dxf>
              <fill>
                <patternFill patternType="lightTrellis"/>
              </fill>
            </x14:dxf>
          </x14:cfRule>
          <xm:sqref>N10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10</vt:i4>
      </vt:variant>
      <vt:variant>
        <vt:lpstr>Nazwane zakresy</vt:lpstr>
      </vt:variant>
      <vt:variant>
        <vt:i4>11</vt:i4>
      </vt:variant>
    </vt:vector>
  </HeadingPairs>
  <TitlesOfParts>
    <vt:vector size="21" baseType="lpstr">
      <vt:lpstr>WNIOSEK</vt:lpstr>
      <vt:lpstr>województwa</vt:lpstr>
      <vt:lpstr>powiaty w województwach</vt:lpstr>
      <vt:lpstr>gminy w powiatach</vt:lpstr>
      <vt:lpstr>listy</vt:lpstr>
      <vt:lpstr>pomocnicze</vt:lpstr>
      <vt:lpstr>Lista kodów TERYT</vt:lpstr>
      <vt:lpstr>ocena wiarygodności_TBS</vt:lpstr>
      <vt:lpstr>ocena wiarygodności_SM</vt:lpstr>
      <vt:lpstr>ocena wiarygodności_spółka gmin</vt:lpstr>
      <vt:lpstr>'ocena wiarygodności_SM'!Klient</vt:lpstr>
      <vt:lpstr>'ocena wiarygodności_spółka gmin'!Klient</vt:lpstr>
      <vt:lpstr>Klient</vt:lpstr>
      <vt:lpstr>'ocena wiarygodności_SM'!Klient1</vt:lpstr>
      <vt:lpstr>'ocena wiarygodności_spółka gmin'!Klient1</vt:lpstr>
      <vt:lpstr>Klient1</vt:lpstr>
      <vt:lpstr>Miesiace</vt:lpstr>
      <vt:lpstr>'ocena wiarygodności_SM'!Obszar_wydruku</vt:lpstr>
      <vt:lpstr>'ocena wiarygodności_spółka gmin'!Obszar_wydruku</vt:lpstr>
      <vt:lpstr>'ocena wiarygodności_TBS'!Obszar_wydruku</vt:lpstr>
      <vt:lpstr>WNIOSEK!Obszar_wydruku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Dobrosz, Karolina</dc:creator>
  <cp:lastModifiedBy>Chmielewski, Marcin</cp:lastModifiedBy>
  <cp:lastPrinted>2026-04-28T12:11:40Z</cp:lastPrinted>
  <dcterms:created xsi:type="dcterms:W3CDTF">2006-09-16T00:00:00Z</dcterms:created>
  <dcterms:modified xsi:type="dcterms:W3CDTF">2026-04-28T14:29:41Z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2e05055-e449-4922-9b24-eaf69810da98_Enabled">
    <vt:lpwstr>true</vt:lpwstr>
  </property>
  <property fmtid="{D5CDD505-2E9C-101B-9397-08002B2CF9AE}" pid="3" name="MSIP_Label_e2e05055-e449-4922-9b24-eaf69810da98_SetDate">
    <vt:lpwstr>2022-01-28T10:51:37Z</vt:lpwstr>
  </property>
  <property fmtid="{D5CDD505-2E9C-101B-9397-08002B2CF9AE}" pid="4" name="MSIP_Label_e2e05055-e449-4922-9b24-eaf69810da98_Method">
    <vt:lpwstr>Privileged</vt:lpwstr>
  </property>
  <property fmtid="{D5CDD505-2E9C-101B-9397-08002B2CF9AE}" pid="5" name="MSIP_Label_e2e05055-e449-4922-9b24-eaf69810da98_Name">
    <vt:lpwstr>e2e05055-e449-4922-9b24-eaf69810da98</vt:lpwstr>
  </property>
  <property fmtid="{D5CDD505-2E9C-101B-9397-08002B2CF9AE}" pid="6" name="MSIP_Label_e2e05055-e449-4922-9b24-eaf69810da98_SiteId">
    <vt:lpwstr>29bb5b9c-200a-4906-89ef-c651c86ab301</vt:lpwstr>
  </property>
  <property fmtid="{D5CDD505-2E9C-101B-9397-08002B2CF9AE}" pid="7" name="MSIP_Label_e2e05055-e449-4922-9b24-eaf69810da98_ContentBits">
    <vt:lpwstr>0</vt:lpwstr>
  </property>
</Properties>
</file>