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en_skoroszyt"/>
  <xr:revisionPtr revIDLastSave="0" documentId="13_ncr:1_{91EEEDA7-9AD9-40EB-90F1-ECAAF353CE90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Wybór" sheetId="41" state="hidden" r:id="rId1"/>
    <sheet name="Rozliczenie art. 3 i art. 4" sheetId="32" r:id="rId2"/>
    <sheet name="Rozliczenie art. 5 i art. 5a" sheetId="38" r:id="rId3"/>
    <sheet name="Rozliczenie art. 5c beneficjent" sheetId="35" r:id="rId4"/>
    <sheet name="Rozliczenie art. 5c inwestor" sheetId="42" r:id="rId5"/>
    <sheet name="Rozliczenie art. 4a akademiki" sheetId="43" r:id="rId6"/>
    <sheet name="Słownik" sheetId="33" state="hidden" r:id="rId7"/>
    <sheet name="pierwowzór" sheetId="37" state="hidden" r:id="rId8"/>
  </sheets>
  <externalReferences>
    <externalReference r:id="rId9"/>
    <externalReference r:id="rId10"/>
  </externalReferences>
  <definedNames>
    <definedName name="ListaRob">#REF!</definedName>
    <definedName name="_xlnm.Print_Area" localSheetId="1">'Rozliczenie art. 3 i art. 4'!$A$4:$AL$39</definedName>
    <definedName name="_xlnm.Print_Area" localSheetId="5">'Rozliczenie art. 4a akademiki'!$A$4:$AL$35</definedName>
    <definedName name="_xlnm.Print_Area" localSheetId="2">'Rozliczenie art. 5 i art. 5a'!$A$4:$AL$45</definedName>
    <definedName name="_xlnm.Print_Area" localSheetId="3">'Rozliczenie art. 5c beneficjent'!$A$4:$AL$34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43" l="1"/>
  <c r="U27" i="43" s="1"/>
  <c r="H5" i="43"/>
  <c r="U30" i="43" l="1"/>
  <c r="U28" i="43"/>
  <c r="U29" i="43"/>
  <c r="U25" i="43"/>
  <c r="AM20" i="43" s="1"/>
  <c r="U26" i="35"/>
  <c r="U28" i="42"/>
  <c r="U31" i="42" s="1"/>
  <c r="H5" i="42"/>
  <c r="U29" i="38"/>
  <c r="U26" i="32"/>
  <c r="U30" i="42" l="1"/>
  <c r="AM20" i="42"/>
  <c r="U29" i="42"/>
  <c r="AD24" i="38"/>
  <c r="N24" i="38"/>
  <c r="AD23" i="32"/>
  <c r="N23" i="32"/>
  <c r="U31" i="32" l="1"/>
  <c r="H5" i="35" l="1"/>
  <c r="U37" i="38"/>
  <c r="AM25" i="38" s="1"/>
  <c r="U29" i="35" l="1"/>
  <c r="AM19" i="35"/>
  <c r="U28" i="35"/>
  <c r="U27" i="35"/>
  <c r="U40" i="38"/>
  <c r="H5" i="38"/>
  <c r="U38" i="38" l="1"/>
  <c r="U39" i="38"/>
  <c r="U34" i="32" l="1"/>
  <c r="U32" i="32"/>
  <c r="U33" i="32"/>
  <c r="U20" i="37"/>
  <c r="U21" i="37" s="1"/>
  <c r="H5" i="37"/>
  <c r="U25" i="37" l="1"/>
  <c r="U24" i="37"/>
  <c r="U23" i="37"/>
  <c r="H5" i="32" l="1"/>
  <c r="U29" i="32" l="1"/>
  <c r="AM24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M21" authorId="0" shapeId="0" xr:uid="{36269553-4347-4ADC-B4D5-328A9591B5E8}">
      <text>
        <r>
          <rPr>
            <b/>
            <sz val="9"/>
            <color indexed="81"/>
            <rFont val="Tahoma"/>
            <family val="2"/>
            <charset val="238"/>
          </rPr>
          <t xml:space="preserve">Autor:
</t>
        </r>
      </text>
    </comment>
  </commentList>
</comments>
</file>

<file path=xl/sharedStrings.xml><?xml version="1.0" encoding="utf-8"?>
<sst xmlns="http://schemas.openxmlformats.org/spreadsheetml/2006/main" count="435" uniqueCount="188">
  <si>
    <t>Proszę wypełnić niebieskie pola.</t>
  </si>
  <si>
    <t>Żółte pola wypełnią się automatycznie.</t>
  </si>
  <si>
    <t>data wniosku</t>
  </si>
  <si>
    <t>miejscowość</t>
  </si>
  <si>
    <t>Zielone pola wypełnia pracownik Banku.</t>
  </si>
  <si>
    <t>Uwagi, komentarze przydatne przy wypełnianiu wniosku</t>
  </si>
  <si>
    <r>
      <t>Przygotowany wniosek prosimy zapisać do formatu PDF i opatrzeć kwalifikowanym podpisem elektronicznym przez osobę lub osoby upoważnione do składania oświadczeń woli przez wnioskodawcę.                                                                                                                                                                                                 Krótka instrukcja zapisania wniosku do</t>
    </r>
    <r>
      <rPr>
        <b/>
        <sz val="12"/>
        <color theme="1"/>
        <rFont val="Arial"/>
        <family val="2"/>
        <charset val="238"/>
      </rPr>
      <t xml:space="preserve"> pliku PDF</t>
    </r>
    <r>
      <rPr>
        <sz val="12"/>
        <color theme="1"/>
        <rFont val="Arial"/>
        <family val="2"/>
        <charset val="238"/>
      </rPr>
      <t xml:space="preserve">:  Kliknij na górnym pasku  </t>
    </r>
    <r>
      <rPr>
        <b/>
        <sz val="12"/>
        <color theme="1"/>
        <rFont val="Arial"/>
        <family val="2"/>
        <charset val="238"/>
      </rPr>
      <t>Pliki</t>
    </r>
    <r>
      <rPr>
        <sz val="12"/>
        <color theme="1"/>
        <rFont val="Arial"/>
        <family val="2"/>
        <charset val="238"/>
      </rPr>
      <t xml:space="preserve"> -&gt; wybierz </t>
    </r>
    <r>
      <rPr>
        <b/>
        <sz val="12"/>
        <color theme="1"/>
        <rFont val="Arial"/>
        <family val="2"/>
        <charset val="238"/>
      </rPr>
      <t>Zapisz plik</t>
    </r>
    <r>
      <rPr>
        <sz val="12"/>
        <color theme="1"/>
        <rFont val="Arial"/>
        <family val="2"/>
        <charset val="238"/>
      </rPr>
      <t xml:space="preserve"> -&gt; </t>
    </r>
    <r>
      <rPr>
        <b/>
        <sz val="12"/>
        <color theme="1"/>
        <rFont val="Arial"/>
        <family val="2"/>
        <charset val="238"/>
      </rPr>
      <t xml:space="preserve">wybierz folder </t>
    </r>
    <r>
      <rPr>
        <sz val="12"/>
        <color theme="1"/>
        <rFont val="Arial"/>
        <family val="2"/>
        <charset val="238"/>
      </rPr>
      <t xml:space="preserve">docelowy zapisania pliku Wniosku -&gt; </t>
    </r>
    <r>
      <rPr>
        <b/>
        <sz val="12"/>
        <color theme="1"/>
        <rFont val="Arial"/>
        <family val="2"/>
        <charset val="238"/>
      </rPr>
      <t>zmień Zapisz jako typ Skoroszyt programu Excel wybierając z rozwijanej listy plik PDF</t>
    </r>
    <r>
      <rPr>
        <sz val="12"/>
        <color theme="1"/>
        <rFont val="Arial"/>
        <family val="2"/>
        <charset val="238"/>
      </rPr>
      <t xml:space="preserve"> i kliknij </t>
    </r>
    <r>
      <rPr>
        <b/>
        <sz val="12"/>
        <color theme="1"/>
        <rFont val="Arial"/>
        <family val="2"/>
        <charset val="238"/>
      </rPr>
      <t>Zapisz</t>
    </r>
    <r>
      <rPr>
        <sz val="12"/>
        <color theme="1"/>
        <rFont val="Arial"/>
        <family val="2"/>
        <charset val="238"/>
      </rPr>
      <t xml:space="preserve">. Wniosek zapisany w formacie pdf jest gotowy do podpisania. Wniosek podpisany należy wysłać za pomocą środków komunikacji elektronicznej przez elektroniczną skrzynkę podawczą banku ePUAP:  /BGK/DFM. Na potwierdzenie wysłania wniosku należy pobrać dokument Urzędowego Poświadczenia Przedłożenia (UPP). Po pobraniu UPP należy oczekiwać do 14 dni na korespondencję z banku w przedmiotowej sprawie. Przez ten czas nie należy przesyłać wniosku ponownie lub zmian do niego. </t>
    </r>
  </si>
  <si>
    <t>Podpis beneficjenta wsparcia</t>
  </si>
  <si>
    <t>FORMULARZ, NA KTÓRYM DOKONUJE SIĘ ROZLICZENIA FAKTYCZNIE PONIESIONYCH KOSZTÓW 
PRZEDSIĘWZIĘCIA, Z WYŁĄCZENIEM PRZEDSIĘWZIĘCIA, O KTÓRYM MOWA W ART. 5C USTAWY
Z DNIA 8 GRUDNIA 2006 R. O FINANSOWYM WSPARCIU NIEKTÓRYCH PRZEDSIĘWZIĘĆ MIESZKANIO WYCH (DZ. U. Z 2024 R. POZ. 304), ZWANEJ DALEJ „USTAWĄ</t>
  </si>
  <si>
    <t>1. Wnioskodawca</t>
  </si>
  <si>
    <t>2. Numer umowy:</t>
  </si>
  <si>
    <t>2a. Numer aneksu podwyższającego wysokość wsparcia lub data złożenia wniosku o aneks podwyższający wsparcie</t>
  </si>
  <si>
    <t>Objaśnienia:</t>
  </si>
  <si>
    <t>* Rodzaje przedsięwzięć:</t>
  </si>
  <si>
    <t>A. Budowa budynku.</t>
  </si>
  <si>
    <t>B. Remont budynku albo jego części.</t>
  </si>
  <si>
    <t>C. Przebudowa budynku albo jego części.</t>
  </si>
  <si>
    <t>D. Zmiana sposobu użytkowania budynku albo jego części.</t>
  </si>
  <si>
    <t>E. Kupno lokalu mieszkalnego, budynku mieszkalnego albo udziału we współwłasności budynku mieszkalnego.</t>
  </si>
  <si>
    <t>F. Kupno lokalu mieszkalnego, budynku mieszkalnego albo udziału we współwłasności budynku mieszkalnego po_x0002_łączone z remontem tego lokalu lub budynku mieszkalnego.</t>
  </si>
  <si>
    <t>G. Budowa infrastruktury technicznej lub infrastruktury społecznej.</t>
  </si>
  <si>
    <t>H. Przebudowa infrastruktury technicznej lub infrastruktury społecznej.</t>
  </si>
  <si>
    <t>3. Rodzaj przedsięwzięcia (wybrać właściwe)</t>
  </si>
  <si>
    <t>nie dotyczy</t>
  </si>
  <si>
    <t>4. Faktyczny koszt przedsięwzięcia</t>
  </si>
  <si>
    <t>7. Należne finansowe wsparcie</t>
  </si>
  <si>
    <t>8. Wypłacona kwota finansowego wsparcia</t>
  </si>
  <si>
    <t>9. Kwota finansowego wsparcia do wypłaty (nadwyżka wsparcia należnego nad kwotę wsparcia wypłaconego; jeżeli liczba ujemna, wpisać 0,00 zł)</t>
  </si>
  <si>
    <t>10. Do zwrotu (nadwyżka wypłaconego wsparcia nad kwotę wsparcia należnego; jeżeli liczba ujemna, wpisać 0,00 zł)</t>
  </si>
  <si>
    <t>11. Udział należnego wsparcia w faktycznym koszcie przedsięwzięcia</t>
  </si>
  <si>
    <t>13. Inne niż wsparcie finansowe źródła sfinansowania przedsięwzięcia, w tym: (rodzaje i kwoty)</t>
  </si>
  <si>
    <t>środki własne</t>
  </si>
  <si>
    <t>środki inne</t>
  </si>
  <si>
    <t>15. Data rozpoczęcia przedsięwzięcia (dzień, miesiąc i rok):</t>
  </si>
  <si>
    <t>16. Data zakończenia przedsięwzięcia (dzień, miesiąc i rok)</t>
  </si>
  <si>
    <t>14. Dane kontaktowe osoby wypełniającej rozliczenie</t>
  </si>
  <si>
    <t xml:space="preserve">18. Podpis osoby uprawnionej do składania oświadczeń w imieniu wnioskodawcy
</t>
  </si>
  <si>
    <t>Rodzaj zasobu</t>
  </si>
  <si>
    <t>lokale mieszkalne</t>
  </si>
  <si>
    <t xml:space="preserve">tymczasowe pomieszczenia </t>
  </si>
  <si>
    <t xml:space="preserve">liczba miejsc w pomieszczeniach noclegowych w noclegowni
</t>
  </si>
  <si>
    <t>liczba miejsc w pomieszczeniach mieszkalnych w schroniskach dla osób bezdomnych</t>
  </si>
  <si>
    <t>liczba miejsc w ogrzewalniach</t>
  </si>
  <si>
    <t>12. Liczba i powierzchnia użytkowa pozyskanych w ramach przedsięwzięcia lokali mieszkalnych, tymczasowych pomieszczeń / liczba miejsc w pomieszczeniach noclegowych w noclegowni, liczba miejsc w pomieszczeniach mieszkalnych w schroniskach dla osób bezdomnych lub liczba miejsc w ogrzewalniach, lokali/miejsc, w tym także: lokali mieszkalnych dedykowanych seniorom, lokali oraz dedykowanych adresatom programu „Za życiem”</t>
  </si>
  <si>
    <t>Liczba zasobu</t>
  </si>
  <si>
    <t>Powierzchnia użytkowa w [m²]</t>
  </si>
  <si>
    <t xml:space="preserve"> w tym także lokale mieszkalne dedykowane adresatom programu „Za życiem”</t>
  </si>
  <si>
    <t>w tym także lokale mieszkalne dedykowane seniorom</t>
  </si>
  <si>
    <t>w tym także lokale mieszkalne dedykowane adresatom programu „Za życiem”</t>
  </si>
  <si>
    <t>mieszkania wspomagane</t>
  </si>
  <si>
    <t>mieszkania treningowe</t>
  </si>
  <si>
    <t>Wybierz właściwy zasób w przypadku gdy utworzono więcej niż jeden zasób lub wybierz nie dotyczy</t>
  </si>
  <si>
    <t>Wybierz właściwy zasób</t>
  </si>
  <si>
    <t>Procent dofinansowania</t>
  </si>
  <si>
    <t>6. Kwota finansowego wsparcia wynikająca z umowy (kwota zapisana w umowie)</t>
  </si>
  <si>
    <t>Umowny procent dofinansowania [%]</t>
  </si>
  <si>
    <t>Czy przedsięwzięcie jest objęte gminnym programem rewitalizacji lub przynajmniej 5% lokali mieszkalnych dedykowanych jest adresatom programu „Za życiem”? [TAK/NIE]</t>
  </si>
  <si>
    <t>TAK</t>
  </si>
  <si>
    <t>NIE</t>
  </si>
  <si>
    <t>4. Faktyczny koszt przedsięwzięcia (w przypadku przedsięwzięcia realizowanego przez inwestora, o którym mowa w art. 18 ust. 1 pkt 2 ustawy, uzupełnia się na podstawie jego oświadczenia)</t>
  </si>
  <si>
    <t>wartość gruntu stanowiącego własność inwestora, na którym realizowane jest przedsięwzięcie</t>
  </si>
  <si>
    <t>środki Rządowego Funduszu Rozwoju Mieszkalnictwa</t>
  </si>
  <si>
    <t>finansowanie zwrotne</t>
  </si>
  <si>
    <t xml:space="preserve"> Wsparcie ze środków Rządowego Funduszu Rozwoju Mieszkalnictwa, o którym mowa w art. 33l ustawy z dnia 26 października 1995 r. o społecznych formach rozwoju mieszkalnictwa (Dz. U. z 2023 r. poz. 790, 1114, 1463 i 1693).</t>
  </si>
  <si>
    <t xml:space="preserve"> Finansowanie zwrotne, o którym mowa w art. 15b ustawy, o której mowa w odnośniku wyżej.</t>
  </si>
  <si>
    <t>5. Udział wnioskodawcy w faktycznym koszcie przedsięwzięcia (w przypadku przedsięwzięcia realizowanego przez inwestora, o którym mowa w art. 18 ust. 1 pkt 2 ustawy – uzupełnia się na podstawie jego oświadczenia)</t>
  </si>
  <si>
    <t>Jak wybrać że to art. 5 a nie art. 5a - nowa wiersz czy nowy formularz? Najlepiej nowy wiersz obsługujący całość</t>
  </si>
  <si>
    <t>Art. 7. 1. pkt 2 ustawy z dnia 8 marca 1990 r. o samorządzie gminnym - gminnych dróg, ulic, mostów, placów oraz organizacji ruchu drogowego.</t>
  </si>
  <si>
    <t>Art. 7. 1. pkt 3 ustawy z dnia 8 marca 1990 r. o samorządzie gminnym - wodociągów i zaopatrzenia w wodę, kanalizacji, usuwania i oczyszczania ścieków komunalnych, utrzymania czystości i porządku oraz urządzeń sanitarnych, wysypisk i unieszkodliwiania odpadów komunalnych, zaopatrzenia w energię elektryczną i cieplną oraz gaz.</t>
  </si>
  <si>
    <t>Art. 4 ust. 1 pkt 1 ustawy z dnia 5 czerwca 1998 r. o samorządzie powiatowym - edukacji publicznej</t>
  </si>
  <si>
    <t>Art. 7. 1. pkt 4 ustawy z dnia 8 marca 1990 r. o samorządzie gminnym - lokalnego transportu zbiorowego.</t>
  </si>
  <si>
    <t>Art. 4 ust. 1 pkt 2 ustawy z dnia 5 czerwca 1998 r. o samorządzie powiatowym - promocji i ochrony zdrowia</t>
  </si>
  <si>
    <t>Art. 7. 1. pkt 5 ustawy z dnia 8 marca 1990 r. o samorządzie gminnym - ochrony zdrowia.</t>
  </si>
  <si>
    <t>Art. 4 ust. 1 pkt 3 ustawy z dnia 5 czerwca 1998 r. o samorządzie powiatowym - pomocy społecznej</t>
  </si>
  <si>
    <t>Art. 7. 1. pkt 6 ustawy z dnia 8 marca 1990 r. o samorządzie gminnym - pomocy społecznej, w tym ośrodków i zakładów opiekuńczych.</t>
  </si>
  <si>
    <t>Art. 4 ust. 1 pkt 6 ustawy z dnia 5 czerwca 1998 r. o samorządzie powiatowym - transportu zbiorowego i dróg publicznych</t>
  </si>
  <si>
    <t>Art. 7. 1. pkt 8 ustawy z dnia 8 marca 1990 r. o samorządzie gminnym - edukacji publicznej.</t>
  </si>
  <si>
    <t>Art. 4 ust. 1 pkt 7 ustawy z dnia 5 czerwca 1998 r. o samorządzie powiatowym - kultury oraz ochrony zabytków i opieki nad zabytkami</t>
  </si>
  <si>
    <t>Art. 7. 1. pkt 9 ustawy z dnia 8 marca 1990 r. o samorządzie gminnym - kultury, w tym bibliotek gminnych i innych instytucji kultury oraz ochrony zabytków i opieki nad zabytkami.</t>
  </si>
  <si>
    <t>Art. 4 ust. 1 pkt 8 ustawy z dnia 5 czerwca 1998 r. o samorządzie powiatowym kultury fizycznej i turystyki</t>
  </si>
  <si>
    <t>Art. 7. 1. pkt 10 ustawy z dnia 8 marca 1990 r. o samorządzie gminnym - kultury fizycznej i turystyki, w tym terenów rekreacyjnych i urządzeń sportowych.</t>
  </si>
  <si>
    <t>Art. 4 ust. 1 pkt 12 ustawy z dnia 5 czerwca 1998 r. o samorządzie powiatowym - gospodarki wodnej</t>
  </si>
  <si>
    <t>Art. 7. 1. pkt 12 ustawy z dnia 8 marca 1990 r. o samorządzie gminnym - zieleni gminnej i zadrzewień.</t>
  </si>
  <si>
    <t>Nie dotyczy</t>
  </si>
  <si>
    <t>Uwagi, komentarze przydatne przy wypełnianiu formularza</t>
  </si>
  <si>
    <r>
      <t xml:space="preserve">Dniem rozpoczęcia realizacji przedsięwzięcia jest dzień pierwszego wpisu do dziennika budowy informującego o rozpoczęciu robót a w przypadku gdy dziennik budowy nie jest wymagany dzień protokolarnego wprowadzenia wykonawcy na teren budowy lub przekazania placu budowy albo dzień wskazany w innym stosownym dokumencie. </t>
    </r>
    <r>
      <rPr>
        <b/>
        <sz val="8"/>
        <color theme="1"/>
        <rFont val="Arial"/>
        <family val="2"/>
        <charset val="238"/>
      </rPr>
      <t>Jeżeli nie przesłali Państwo do tej pory jednego z ww. dokumentów do banku, prosimy o dołączenie go do dokumentacji dotyczącej rozliczenia.</t>
    </r>
  </si>
  <si>
    <r>
      <t xml:space="preserve">Dniem zakończenia realizacji przedsięwzięcia jest dzień, w którym zgodnie z odrębnymi przepisami można przystąpić do użytkowania zasobu utworzonego lub zmodernizowanego z udziałem wsparcia. </t>
    </r>
    <r>
      <rPr>
        <b/>
        <sz val="8"/>
        <color theme="1"/>
        <rFont val="Arial"/>
        <family val="2"/>
        <charset val="238"/>
      </rPr>
      <t>Do dokumentacji rozliczeniowej należy dołączyć potwierdzoną za zgodność z oryginałem kopię dokumentu potwierdzającego zakończenie realizacji przedsięwzięcia.</t>
    </r>
  </si>
  <si>
    <t>Wybierz właściwy zasób oraz uzupełnij jego liczbę i powierzchnię użytkową w [m²]</t>
  </si>
  <si>
    <t>Jeżeli umowny procent dofinansowania jest inny prosimy wprowadzić wartość odpowiadającą watości z umowy.</t>
  </si>
  <si>
    <r>
      <t>Przygotowany formularz rozliczenia prosimy zapisać do formatu PDF i opatrzeć kwalifikowanym podpisem elektronicznym przez osobę lub osoby upoważnione do składania oświadczeń woli przez beneficjenta wsparcia.                                                                                                                                                                                                 Krótka instrukcja zapisania formularza do</t>
    </r>
    <r>
      <rPr>
        <b/>
        <sz val="12"/>
        <color theme="1"/>
        <rFont val="Arial"/>
        <family val="2"/>
        <charset val="238"/>
      </rPr>
      <t xml:space="preserve"> pliku PDF</t>
    </r>
    <r>
      <rPr>
        <sz val="12"/>
        <color theme="1"/>
        <rFont val="Arial"/>
        <family val="2"/>
        <charset val="238"/>
      </rPr>
      <t xml:space="preserve">:  Kliknij na górnym pasku  </t>
    </r>
    <r>
      <rPr>
        <b/>
        <sz val="12"/>
        <color theme="1"/>
        <rFont val="Arial"/>
        <family val="2"/>
        <charset val="238"/>
      </rPr>
      <t>Pliki</t>
    </r>
    <r>
      <rPr>
        <sz val="12"/>
        <color theme="1"/>
        <rFont val="Arial"/>
        <family val="2"/>
        <charset val="238"/>
      </rPr>
      <t xml:space="preserve"> -&gt; wybierz </t>
    </r>
    <r>
      <rPr>
        <b/>
        <sz val="12"/>
        <color theme="1"/>
        <rFont val="Arial"/>
        <family val="2"/>
        <charset val="238"/>
      </rPr>
      <t>Zapisz plik</t>
    </r>
    <r>
      <rPr>
        <sz val="12"/>
        <color theme="1"/>
        <rFont val="Arial"/>
        <family val="2"/>
        <charset val="238"/>
      </rPr>
      <t xml:space="preserve"> -&gt; </t>
    </r>
    <r>
      <rPr>
        <b/>
        <sz val="12"/>
        <color theme="1"/>
        <rFont val="Arial"/>
        <family val="2"/>
        <charset val="238"/>
      </rPr>
      <t xml:space="preserve">wybierz folder </t>
    </r>
    <r>
      <rPr>
        <sz val="12"/>
        <color theme="1"/>
        <rFont val="Arial"/>
        <family val="2"/>
        <charset val="238"/>
      </rPr>
      <t xml:space="preserve">docelowy zapisania pliku Formularza -&gt; </t>
    </r>
    <r>
      <rPr>
        <b/>
        <sz val="12"/>
        <color theme="1"/>
        <rFont val="Arial"/>
        <family val="2"/>
        <charset val="238"/>
      </rPr>
      <t>zmień Zapisz jako typ Skoroszyt programu Excel wybierając z rozwijanej listy plik PDF</t>
    </r>
    <r>
      <rPr>
        <sz val="12"/>
        <color theme="1"/>
        <rFont val="Arial"/>
        <family val="2"/>
        <charset val="238"/>
      </rPr>
      <t xml:space="preserve"> i kliknij </t>
    </r>
    <r>
      <rPr>
        <b/>
        <sz val="12"/>
        <color theme="1"/>
        <rFont val="Arial"/>
        <family val="2"/>
        <charset val="238"/>
      </rPr>
      <t>Zapisz</t>
    </r>
    <r>
      <rPr>
        <sz val="12"/>
        <color theme="1"/>
        <rFont val="Arial"/>
        <family val="2"/>
        <charset val="238"/>
      </rPr>
      <t xml:space="preserve">. Formularz zapisany w formacie pdf jest gotowy do podpisania. Podpisany formularz należy wysłać za pomocą środków komunikacji elektronicznej przez elektroniczną skrzynkę podawczą banku ePUAP:  /BGK/DFM. Na potwierdzenie wysłania wniosku należy pobrać dokument Urzędowego Poświadczenia Przedłożenia (UPP). Po pobraniu UPP należy oczekiwać do 60 dni na korespondencję z banku w przedmiotowej sprawie.  </t>
    </r>
  </si>
  <si>
    <t>Prosimy o wybranie TAK, jeżeli w umowie finansowe wsparcie zostało podwyższone finansowe wsparcie o 5 punktów procentowych w związku z realizacją przedsięwzięzia objetęgo rewitalizacją lub dedykowanemu adresatom programu "Za życiem". Podwyższenie o 5 punktów procentowych finansowego wsparcia wynika z art. 13 ust. 4 ww. ustawy. Jeżeli w umowie o finansowe wsparcie nie ma zapisów dotyczących rewitalizacji lub programu "Za życiem" wybierz NIE.</t>
  </si>
  <si>
    <t>data</t>
  </si>
  <si>
    <t xml:space="preserve">9. Kwota finansowego wsparcia do wypłaty </t>
  </si>
  <si>
    <t xml:space="preserve">10. Do zwrotu </t>
  </si>
  <si>
    <t xml:space="preserve">11. Udział należnego wsparcia w faktycznym koszcie przedsięwzięcia </t>
  </si>
  <si>
    <t>Dniem rozpoczęcia realizacji przedsięwzięcia jest data zawarcia przez Beneficjenta wsparcia i Inwestora umowy przewidującej wysokość udziału Beneficjenta wsparcia w kosztach tworzenia lokali mieszkalnych, prawo Beneficjenta wsparcia do wskazywania najemców tych lokali i określającej szczegółowe kryteria przeznaczania tych lokali najemcom wymienione w art. 5 ust. 3 ww. ustawy.</t>
  </si>
  <si>
    <t>12. Liczba i powierzchnia użytkowa pozyskanych w ramach przedsięwzięcia lokali mieszkalnych w tym także: lokali mieszkalnych dedykowanych seniorom, lokali oraz dedykowanych adresatom programu „Za życiem”</t>
  </si>
  <si>
    <t>Finansowanie zwrotne, o którym mowa w art. 15b ustawy, o której mowa w odnośniku wyżej.</t>
  </si>
  <si>
    <t>Wsparcie ze środków Rządowego Funduszu Rozwoju Mieszkalnictwa, o którym mowa w art. 33l ustawy z dnia 26 października 1995 r. o społecznych formach rozwoju mieszkalnictwa (Dz. U. z 2023 r. poz. 790, 1114, 1463 i 1693).</t>
  </si>
  <si>
    <t>17. Data spełnienia świadczenia na rzecz inwestora, o którym mowa w art. 18 ust. 1 pkt 2 ustawy</t>
  </si>
  <si>
    <t xml:space="preserve">Data przekazania przez beneficjenta wsprcia do inwestora środków finansowego wsparcia. </t>
  </si>
  <si>
    <t>A. Budowa budynku - art. 5.</t>
  </si>
  <si>
    <t>B. Remont budynku albo jego części - art. 5.</t>
  </si>
  <si>
    <t>C. Przebudowa budynku albo jego części - art. 5.</t>
  </si>
  <si>
    <t>D. Zmiana sposobu użytkowania budynku albo jego części - art. 5.</t>
  </si>
  <si>
    <t>A. Budowa budynku - art. 5a.</t>
  </si>
  <si>
    <t>B. Remont budynku albo jego części - art. 5a.</t>
  </si>
  <si>
    <t>C. Przebudowa budynku albo jego części - art. 5a.</t>
  </si>
  <si>
    <t>D. Zmiana sposobu użytkowania budynku albo jego części - art. 5a.</t>
  </si>
  <si>
    <r>
      <t xml:space="preserve">4. Faktyczny koszt przedsięwzięcia </t>
    </r>
    <r>
      <rPr>
        <sz val="10"/>
        <color theme="1"/>
        <rFont val="Calibri"/>
        <family val="2"/>
        <charset val="238"/>
        <scheme val="minor"/>
      </rPr>
      <t>(w przypadku przedsięwzięcia realizowanego przez inwestora, o którym mowa w art. 18 ust. 1 pkt 2 ustawy, uzupełnia się na podstawie jego oświadczenia)</t>
    </r>
  </si>
  <si>
    <r>
      <t xml:space="preserve">5. Udział wnioskodawcy w faktycznym koszcie przedsięwzięcia </t>
    </r>
    <r>
      <rPr>
        <sz val="10"/>
        <color theme="1"/>
        <rFont val="Calibri"/>
        <family val="2"/>
        <charset val="238"/>
        <scheme val="minor"/>
      </rPr>
      <t>(w przypadku przedsięwzięcia realizowanego przez inwestora, o którym mowa w art. 18 ust. 1 pkt 2 ustawy – uzupełnia się na podstawie jego oświadczenia)</t>
    </r>
  </si>
  <si>
    <r>
      <t xml:space="preserve">6. Kwota finansowego wsparcia wynikająca z umowy </t>
    </r>
    <r>
      <rPr>
        <sz val="11"/>
        <color theme="1"/>
        <rFont val="Calibri"/>
        <family val="2"/>
        <charset val="238"/>
        <scheme val="minor"/>
      </rPr>
      <t>(kwota zapisana w umowie)</t>
    </r>
  </si>
  <si>
    <t>[U38=U35/U24] Kwota należnego wsparcia podzielona przez kwotę faktycznych kosztów przedsięwzięcia wyrażona w procentach.</t>
  </si>
  <si>
    <t>[U29&gt;U35 jeżeli prawda to U37=U29-U35, jeżeli fałsz to U37=0,00] Nadwyżka wypłaconego wsparcia nad kwotę wsparcia należnego, jeżeli liczba ujemna, wartość równa się 0,00 zł.</t>
  </si>
  <si>
    <t>[U35&lt;U29 jeżeli prawda to U36=U35-U29, jeżeli fałsz to U36=0,00] Nadwyżka wsparcia należnego nad kwotę wsparcia wypłaconego, jeżeli liczba ujemna, wartość równa się 0,00 zł.</t>
  </si>
  <si>
    <t xml:space="preserve">[U35=U24*U28 lub U35=U27] Należne finansowe wsparcie nie może przekroczyć kwoty finansowego wsparcia wynikającej z umowy (aneksu) i zarazem maksymalnego dofinansowania określonego procentowo w art. 13 ww. ustawy. </t>
  </si>
  <si>
    <t xml:space="preserve">W przypadku przedsięwzięć realizowanych na podstawie art. 5, wprowadź wartość gruntu wynikającą z zawartej umowy o finansowe wsparcie. </t>
  </si>
  <si>
    <t>Data przekazania przez beneficjenta wsprcia do inwestora środków finansowego wsparcia. Jeżeli nie dotyczy wpisz nie dotyczy</t>
  </si>
  <si>
    <t xml:space="preserve">12. Wskazanie, które z zadań własnych gminy, wymienionych w art. 7 ust. 1 pkt 2, 3–6, 8–10 lub 12 ustawy z dnia 8 marca 1990 r. o samorządzie gminnym (Dz. U. z 2023 r. poz. 40, 572, 1463 i 1688), lub wymienionych w art. 4 ust. 1 pkt 1–3, 6–8 i 12 ustawy z dnia 5 czerwca 1998 r. o samorządzie powiatowym 
(Dz. U. z 2024 r. poz. 107), zostało zrealizowane w ramach przedsięwzięcia </t>
  </si>
  <si>
    <t>Należy wskazać odpowiedni punkt z art. 7 ust. 1 ustawy z dnia 8 marca 1990 r. o samorządzie gminnym lub art. 4 ust. 1 ustawy z dnia 5 czerwca 1998 r. o samorządzie powiatowym.</t>
  </si>
  <si>
    <t>Oznaczenie umowy kredytu finansowania zwrotnego i data jej zawarcia</t>
  </si>
  <si>
    <t>A. Budowa budynku - art. 3.</t>
  </si>
  <si>
    <t>B. Remont budynku albo jego części - art. 3.</t>
  </si>
  <si>
    <t>C. Przebudowa budynku albo jego części - art. 3.</t>
  </si>
  <si>
    <t>D. Zmiana sposobu użytkowania budynku albo jego części - art. 3.</t>
  </si>
  <si>
    <t xml:space="preserve">Należne finansowe wsparcie nie może przekroczyć kwoty finansowego wsparcia wynikającej z umowy (aneksu) i zarazem maksymalnego dofinansowania określonego procentowo w art. 13 ww. ustawy. </t>
  </si>
  <si>
    <t>Nadwyżka wsparcia należnego nad kwotę wsparcia wypłaconego, jeżeli liczba ujemna, wartość równa się 0,00 zł.</t>
  </si>
  <si>
    <t>Nadwyżka wypłaconego wsparcia nad kwotę wsparcia należnego, jeżeli liczba ujemna, wartość równa się 0,00 zł.</t>
  </si>
  <si>
    <t>Kwota należnego wsparcia podzielona przez kwotę faktycznych kosztów przedsięwzięcia wyrażona w procentach.</t>
  </si>
  <si>
    <t>Udział wnioskodawcy w faktycznym koszcie przedsięwzięcia to środki finansowe pochodzące m.in. z finansowego wsparcia, finansowego wsparcia w ramach planu rozwojowego, grantu OZE, środków RFRM oraz środków własnych beneficjenta.</t>
  </si>
  <si>
    <t>FORMULARZ, NA KTÓRYM DOKONUJE SIĘ ROZLICZENIA FAKTYCZNIE PONIESIONYCH KOSZTÓW PRZEDSIĘWZIĘCIA, Z WYŁĄCZENIEM PRZEDSIĘWZIĘCIA, O KTÓRYM MOWA W ART. 5C USTAWY Z DNIA 8 GRUDNIA 2006 R. O FINANSOWYM WSPARCIU NIEKTÓRYCH PRZEDSIĘWZIĘĆ MIESZKANIOWYCH (DZ. U. Z 2024 R. POZ. 304), ZWANEJ DALEJ „USTAWĄ</t>
  </si>
  <si>
    <t>Wprowadzone nieprawidłowe wartości w niebieskie pola mogą spowodować niepoprawne wyliczenia.</t>
  </si>
  <si>
    <t>Żółte pola wypełnią się automatycznie, na podstawie wprowadzonych wartości.</t>
  </si>
  <si>
    <t>Wprowadź kwotę wynikającą z umowy o finansowe wsparcie. Jeżeli zawarto aneks do umowy, wprowadź kwotę z ostatniego aneksu.</t>
  </si>
  <si>
    <t>Wybierz beneficjenta wsparcia</t>
  </si>
  <si>
    <t>Wybierz rodzaj przedsięwzięcia</t>
  </si>
  <si>
    <t>Wybierz Inwestora innego niż beneficjent  wsparcia****</t>
  </si>
  <si>
    <t>Rodzaj przedsięwzięcia***</t>
  </si>
  <si>
    <t>Budowa budynku</t>
  </si>
  <si>
    <t>Remont lub przebudowa budynku</t>
  </si>
  <si>
    <t>Remont lub przebudowa budynku SAN</t>
  </si>
  <si>
    <t>Lokale Mieszkalne  stanowiące mieszkaniowy zasób gminy * art. 3</t>
  </si>
  <si>
    <t>Kupno lub kupno połączone z remontem</t>
  </si>
  <si>
    <t>Remont lub przebudowa budynku mieszkalnego</t>
  </si>
  <si>
    <t>Remont lub przebudowa budynku niemieszkalnego</t>
  </si>
  <si>
    <t>Zmiana sposobu użytkowania budynku</t>
  </si>
  <si>
    <t>Remont lub przebudowa lokalu mieszkalnego z premią MZG</t>
  </si>
  <si>
    <t>Mieszkania Chronione * art. 3 oraz art. 6</t>
  </si>
  <si>
    <t>Mieszkania chronione z prawem do podnajmowania art. 5a w związku z art. 6 *</t>
  </si>
  <si>
    <t>Remont lub przebudowa budynku niemieszkalnego lub mieszkalnego</t>
  </si>
  <si>
    <t>Mieszkania (Powódź)</t>
  </si>
  <si>
    <t xml:space="preserve">Remont lub przebudowa lokalu mieszkalnego </t>
  </si>
  <si>
    <t>Ogrzewalnie art. 4 *</t>
  </si>
  <si>
    <t>Budowa budynku **</t>
  </si>
  <si>
    <t>Pomieszczenia tymczasowe art. 3 *</t>
  </si>
  <si>
    <t>Mieszkania Zakładowe art. 3</t>
  </si>
  <si>
    <t>Dostosowanie Standardów Noclegowni art. 4</t>
  </si>
  <si>
    <t>Remont lub przebudowa istniejącej noclegowni</t>
  </si>
  <si>
    <t>Dostosowanie Standardów Schronisk dla bezdomnych art. 4</t>
  </si>
  <si>
    <t>Remont lub przebudowa istniejącego schroniska dla bezdomnych</t>
  </si>
  <si>
    <t>Dostosowanie Standardów Ogrzewalni art. 4</t>
  </si>
  <si>
    <t>Remont lub przebudowa istniejącej ogrzewalni</t>
  </si>
  <si>
    <t>Noclegownie art. 4 *</t>
  </si>
  <si>
    <t>Schroniska dla bezdomnych art. 4*</t>
  </si>
  <si>
    <t>Infrastruktury techniczna lub infrastruktura społeczna</t>
  </si>
  <si>
    <t>budowa lub przebudowa</t>
  </si>
  <si>
    <t>Objaśnienia do tabeli:</t>
  </si>
  <si>
    <t>* 5 % dodatkowo, w przypadku przedsięwzięć, w których nie mniej niż 5 % lokali mieszkalnych przeznaczonych będzie dla rodzin wg ustawy o wsparciu kobiet i rodzin "za życiem" lub w przypadku przedsięwzięcia, o którym mowa w art. 15 ust. 1 pkt 5 lit. a ustawy o rewitalizacji</t>
  </si>
  <si>
    <t>** przedsięwzięcie polegające na budowie ogrzewalni jest możliwe tylko w przypadku, gdy w budynku powstanie również noclegownia lub schronisko dla bezdomnych</t>
  </si>
  <si>
    <t>*** jeżeli inwestycja dotyczy wielu rodzajów przedsięwzięć lub wielu rodzajów zasobów należy wybrać do wypełnienia wnioski z dopiskiem "inne" lub "mieszane"</t>
  </si>
  <si>
    <t>**** Wybierz Inwestora innego niż beneficjent  wsparcia dotyczy tylko Gminy lub Związku Międzygminnego</t>
  </si>
  <si>
    <t xml:space="preserve"> *</t>
  </si>
  <si>
    <t>Lokale Mieszkalne na Wynajem - art. 5, Lokale mieszkalne z prawem do podnajmowania art. 5a</t>
  </si>
  <si>
    <t>Proszę wybierz odpowiedni arkusz i wypełnij niebieskie pola. Zadbaj o jakość wprowadzanych danych.</t>
  </si>
  <si>
    <t>lokale mieszkalne -byłe mieszkania zakładowe</t>
  </si>
  <si>
    <t>6. Kwota finansowego wsparcia wynikająca z umowy (kwota zapisana w umowie lub aneksie)</t>
  </si>
  <si>
    <t>Jednocześnie potwierdzam za zgodność z oryginałem wszystkie przedłożone do rozliczenia kosztów przedsięwzięcia dokumenty.</t>
  </si>
  <si>
    <r>
      <t>18. Podpis osoby uprawnionej do składania oświadczeń w imieniu wnioskodawcy</t>
    </r>
    <r>
      <rPr>
        <sz val="11"/>
        <color theme="1"/>
        <rFont val="Calibri"/>
        <family val="2"/>
        <charset val="238"/>
        <scheme val="minor"/>
      </rPr>
      <t xml:space="preserve"> (Jeżeli podpis składa inna osoba niż wójt, burmistrz, prezydent miasta, starosta, osoba uprawniona do składania oświadczeń woli przez spółkę lub organizację nie wymieniona w Krajowym Rejestrze Sądowym należy dołączyć dokument potwierdzający uprawnienia do składania oświadczeń w imieniu beneficjenta wsparcia dla tej osoby.)</t>
    </r>
  </si>
  <si>
    <r>
      <t>18. Podpis osoby uprawnionej do składania oświadczeń w imieniu wnioskodawcy</t>
    </r>
    <r>
      <rPr>
        <sz val="11"/>
        <color theme="1"/>
        <rFont val="Calibri"/>
        <family val="2"/>
        <charset val="238"/>
        <scheme val="minor"/>
      </rPr>
      <t xml:space="preserve"> (Jeżeli podpis składa inna osoba niż wójt, burmistrz, prezydent miasta, starosta, osoba uprawniona do składania oświadczeń woli przez spółkę nie wymieniona w Krajowym Rejestrze Sądowym należy dołączyć dokument potwierdzający uprawnienia do składania oświadczeń w imieniu beneficjenta wsparcia dla tej osoby.)</t>
    </r>
  </si>
  <si>
    <r>
      <t>18. Podpis osoby uprawnionej do składania oświadczeń w imieniu wnioskodawcy</t>
    </r>
    <r>
      <rPr>
        <sz val="11"/>
        <color theme="1"/>
        <rFont val="Calibri"/>
        <family val="2"/>
        <charset val="238"/>
        <scheme val="minor"/>
      </rPr>
      <t xml:space="preserve"> (Jeżeli podpis składa inna osoba niż wójt, burmistrz, prezydent miasta, starosta, osoba uprawniona do składania oświadczeń woli przez związek miedzygminny nie wymieniona w Krajowym Rejestrze Sądowym należy dołączyć dokument potwierdzający uprawnienia do składania oświadczeń w imieniu beneficjenta wsparcia dla tej osoby.)</t>
    </r>
  </si>
  <si>
    <r>
      <t xml:space="preserve">FORMULARZ, NA KTÓRYM DOKONUJE SIĘ ROZLICZENIA FAKTYCZNIE PONIESIONYCH KOSZTÓW PRZEDSIĘWZIĘCIA, O KTÓRYM MOWA W ART. 5C USTAWY Z DNIA 8 GRUDNIA 2006 R. O FINANSOWYM WSPARCIU NIEKTÓRYCH PRZEDSIĘWZIĘĆ MIESZKANIO WYCH (DZ. U. Z 2024 R. POZ. 304), ZWANEJ DALEJ USTAWĄ </t>
    </r>
    <r>
      <rPr>
        <b/>
        <sz val="11"/>
        <color theme="1"/>
        <rFont val="Calibri"/>
        <family val="2"/>
        <charset val="238"/>
        <scheme val="minor"/>
      </rPr>
      <t>- przedsięwzięcia infrastrukturalne realizowane przez beneficjenta wsparcia</t>
    </r>
  </si>
  <si>
    <r>
      <t>18. Podpis osoby uprawnionej do składania oświadczeń w imieniu wnioskodawcy</t>
    </r>
    <r>
      <rPr>
        <sz val="11"/>
        <color theme="1"/>
        <rFont val="Calibri"/>
        <family val="2"/>
        <charset val="238"/>
        <scheme val="minor"/>
      </rPr>
      <t xml:space="preserve"> (Jeżeli podpis składa inna osoba niż rektor należy dołączyć dokument potwierdzający uprawnienia do składania oświadczeń w imieniu beneficjenta wsparcia dla tej osoby.)</t>
    </r>
  </si>
  <si>
    <t>Kupno budynku mieszkalnego albo udziału we własności budynku mieszkalnego, w tym kupno połączone z remontem lub przebudową tego budynku</t>
  </si>
  <si>
    <t>12. Liczba i powierzchnia użytkowa pozyskanych w ramach przedsięwzięcia lokali mieszkalnych, tymczasowych pomieszczeń / liczba miejsc w pomieszczeniach noclegowych w noclegowni, liczba miejsc w pomieszczeniach mieszkalnych w schroniskach dla osób bezdomnych lub liczba miejsc w ogrzewalniach, lokali/miejsc, liczba pomieszczeń służących zaspokajaniu potrzeb mieszkaniowych studentów i doktorantów oraz liczba miejsc znajdujących się w tych pomieszczeniach</t>
  </si>
  <si>
    <t>Liczba pomieszczeń służących zaspokajaniu potrzeb mieszkaniowych studentów i doktorantów</t>
  </si>
  <si>
    <t>Liczba miejsc znajdujacych się w tych pomieszczeniach</t>
  </si>
  <si>
    <t>pomieszczenia służące zaspokajaniu potrzeb mieszkaniowych studentów i doktorantów</t>
  </si>
  <si>
    <t>W imieniu beneficjenta, udzielam pełnomocnictwa osobie wskazanej w pkt 14 niniejszego dokumentu do uzyskiwania informacji oraz wyjaśnień we wszystkich sprawach dotyczących rozliczenia, obowiązków po rozliczeniu oraz kontroli.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</si>
</sst>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[$-415]d\ mmmm\ yyyy;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rgb="FFFFFF00"/>
      <name val="Arial"/>
      <family val="2"/>
      <charset val="238"/>
    </font>
    <font>
      <vertAlign val="superscript"/>
      <sz val="8"/>
      <color rgb="FF000000"/>
      <name val="Arial"/>
      <family val="2"/>
      <charset val="238"/>
    </font>
    <font>
      <sz val="11"/>
      <color theme="0"/>
      <name val="Arial"/>
      <family val="2"/>
      <charset val="238"/>
    </font>
    <font>
      <sz val="9"/>
      <color rgb="FFFFFF0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FFFF0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4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0"/>
      <color rgb="FFFF0000"/>
      <name val="Arial"/>
      <family val="2"/>
      <charset val="238"/>
    </font>
    <font>
      <sz val="16"/>
      <color rgb="FFFFFF00"/>
      <name val="Calibri"/>
      <family val="2"/>
      <charset val="238"/>
      <scheme val="minor"/>
    </font>
    <font>
      <sz val="16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FF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24" fillId="0" borderId="0"/>
    <xf numFmtId="0" fontId="38" fillId="0" borderId="0" applyNumberForma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wrapText="1"/>
    </xf>
    <xf numFmtId="0" fontId="14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7" fillId="3" borderId="0" xfId="0" applyFont="1" applyFill="1" applyProtection="1">
      <protection locked="0"/>
    </xf>
    <xf numFmtId="0" fontId="17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5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3" fillId="0" borderId="0" xfId="0" applyFont="1" applyProtection="1">
      <protection locked="0"/>
    </xf>
    <xf numFmtId="14" fontId="25" fillId="4" borderId="0" xfId="0" applyNumberFormat="1" applyFont="1" applyFill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26" fillId="4" borderId="0" xfId="0" applyFont="1" applyFill="1" applyProtection="1">
      <protection locked="0"/>
    </xf>
    <xf numFmtId="9" fontId="0" fillId="0" borderId="0" xfId="0" applyNumberFormat="1"/>
    <xf numFmtId="0" fontId="13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justify" vertical="center"/>
      <protection locked="0"/>
    </xf>
    <xf numFmtId="0" fontId="11" fillId="4" borderId="0" xfId="0" applyFont="1" applyFill="1" applyAlignment="1" applyProtection="1">
      <alignment horizontal="left"/>
      <protection locked="0"/>
    </xf>
    <xf numFmtId="0" fontId="28" fillId="4" borderId="0" xfId="0" applyFont="1" applyFill="1" applyProtection="1">
      <protection locked="0"/>
    </xf>
    <xf numFmtId="0" fontId="26" fillId="0" borderId="0" xfId="0" applyFont="1" applyAlignment="1" applyProtection="1">
      <alignment wrapText="1"/>
      <protection locked="0"/>
    </xf>
    <xf numFmtId="0" fontId="21" fillId="0" borderId="0" xfId="0" applyFont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2" fontId="21" fillId="0" borderId="0" xfId="0" applyNumberFormat="1" applyFont="1" applyProtection="1"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31" fillId="0" borderId="0" xfId="0" applyFont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24" fillId="0" borderId="0" xfId="0" applyFont="1" applyAlignment="1" applyProtection="1">
      <alignment horizontal="left" vertical="center" wrapText="1"/>
      <protection locked="0"/>
    </xf>
    <xf numFmtId="0" fontId="36" fillId="3" borderId="9" xfId="0" applyFont="1" applyFill="1" applyBorder="1" applyAlignment="1">
      <alignment vertical="center"/>
    </xf>
    <xf numFmtId="0" fontId="37" fillId="2" borderId="10" xfId="0" applyFont="1" applyFill="1" applyBorder="1" applyAlignment="1">
      <alignment vertical="center"/>
    </xf>
    <xf numFmtId="0" fontId="36" fillId="3" borderId="11" xfId="0" applyFont="1" applyFill="1" applyBorder="1" applyAlignment="1">
      <alignment vertical="center"/>
    </xf>
    <xf numFmtId="0" fontId="37" fillId="2" borderId="12" xfId="0" applyFont="1" applyFill="1" applyBorder="1" applyAlignment="1">
      <alignment vertical="center"/>
    </xf>
    <xf numFmtId="0" fontId="38" fillId="0" borderId="0" xfId="4"/>
    <xf numFmtId="0" fontId="38" fillId="0" borderId="18" xfId="4" applyFill="1" applyBorder="1" applyAlignment="1">
      <alignment horizontal="left" vertical="center" wrapText="1"/>
    </xf>
    <xf numFmtId="0" fontId="38" fillId="0" borderId="0" xfId="4" applyFill="1" applyBorder="1" applyAlignment="1">
      <alignment horizontal="left" vertical="center" wrapText="1"/>
    </xf>
    <xf numFmtId="0" fontId="38" fillId="0" borderId="19" xfId="4" applyFill="1" applyBorder="1" applyAlignment="1">
      <alignment horizontal="left" vertical="center" wrapText="1"/>
    </xf>
    <xf numFmtId="0" fontId="38" fillId="0" borderId="20" xfId="4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8" fillId="0" borderId="17" xfId="4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8" fillId="0" borderId="21" xfId="4" applyFill="1" applyBorder="1" applyAlignment="1">
      <alignment horizontal="left" vertical="center" wrapText="1"/>
    </xf>
    <xf numFmtId="0" fontId="38" fillId="0" borderId="22" xfId="4" applyFill="1" applyBorder="1" applyAlignment="1">
      <alignment horizontal="left" vertical="center" wrapText="1"/>
    </xf>
    <xf numFmtId="0" fontId="38" fillId="0" borderId="23" xfId="4" applyFill="1" applyBorder="1" applyAlignment="1">
      <alignment horizontal="left" vertical="center" wrapText="1"/>
    </xf>
    <xf numFmtId="0" fontId="38" fillId="0" borderId="24" xfId="4" applyFill="1" applyBorder="1" applyAlignment="1">
      <alignment horizontal="left" vertical="center" wrapText="1"/>
    </xf>
    <xf numFmtId="0" fontId="38" fillId="0" borderId="10" xfId="4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0" fillId="0" borderId="0" xfId="0" applyFont="1" applyAlignment="1">
      <alignment vertical="center"/>
    </xf>
    <xf numFmtId="0" fontId="3" fillId="3" borderId="0" xfId="0" applyFont="1" applyFill="1"/>
    <xf numFmtId="0" fontId="3" fillId="0" borderId="0" xfId="0" applyFont="1"/>
    <xf numFmtId="0" fontId="3" fillId="2" borderId="0" xfId="0" applyFont="1" applyFill="1"/>
    <xf numFmtId="0" fontId="41" fillId="3" borderId="0" xfId="0" applyFont="1" applyFill="1"/>
    <xf numFmtId="0" fontId="3" fillId="3" borderId="0" xfId="0" applyFont="1" applyFill="1" applyAlignment="1">
      <alignment horizontal="left"/>
    </xf>
    <xf numFmtId="0" fontId="40" fillId="3" borderId="0" xfId="0" applyFont="1" applyFill="1" applyAlignment="1">
      <alignment vertical="center" wrapText="1"/>
    </xf>
    <xf numFmtId="0" fontId="11" fillId="5" borderId="11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44" fontId="11" fillId="0" borderId="1" xfId="2" applyFont="1" applyBorder="1" applyAlignment="1" applyProtection="1">
      <alignment horizontal="center" vertical="center" wrapText="1"/>
      <protection locked="0"/>
    </xf>
    <xf numFmtId="44" fontId="11" fillId="0" borderId="1" xfId="2" applyFont="1" applyBorder="1" applyAlignment="1" applyProtection="1">
      <alignment horizontal="center" wrapText="1"/>
      <protection locked="0"/>
    </xf>
    <xf numFmtId="44" fontId="7" fillId="0" borderId="0" xfId="2" applyFont="1" applyBorder="1" applyAlignment="1" applyProtection="1">
      <alignment horizontal="left" vertical="center" wrapText="1"/>
    </xf>
    <xf numFmtId="1" fontId="11" fillId="0" borderId="5" xfId="2" applyNumberFormat="1" applyFont="1" applyBorder="1" applyAlignment="1" applyProtection="1">
      <alignment horizontal="center" vertical="center" wrapText="1"/>
      <protection locked="0"/>
    </xf>
    <xf numFmtId="1" fontId="11" fillId="0" borderId="7" xfId="2" applyNumberFormat="1" applyFont="1" applyBorder="1" applyAlignment="1" applyProtection="1">
      <alignment horizontal="center" vertical="center" wrapText="1"/>
      <protection locked="0"/>
    </xf>
    <xf numFmtId="2" fontId="11" fillId="0" borderId="5" xfId="2" applyNumberFormat="1" applyFont="1" applyBorder="1" applyAlignment="1" applyProtection="1">
      <alignment horizontal="center" vertical="center" wrapText="1"/>
      <protection locked="0"/>
    </xf>
    <xf numFmtId="44" fontId="5" fillId="0" borderId="0" xfId="2" applyFont="1" applyBorder="1" applyAlignment="1" applyProtection="1">
      <alignment horizontal="left" vertical="center" wrapText="1"/>
    </xf>
    <xf numFmtId="1" fontId="11" fillId="0" borderId="0" xfId="2" applyNumberFormat="1" applyFont="1" applyBorder="1" applyAlignment="1" applyProtection="1">
      <alignment horizontal="center" vertical="center" wrapText="1"/>
      <protection locked="0"/>
    </xf>
    <xf numFmtId="1" fontId="11" fillId="0" borderId="8" xfId="2" applyNumberFormat="1" applyFont="1" applyBorder="1" applyAlignment="1" applyProtection="1">
      <alignment horizontal="center" vertical="center" wrapText="1"/>
      <protection locked="0"/>
    </xf>
    <xf numFmtId="2" fontId="11" fillId="0" borderId="0" xfId="2" applyNumberFormat="1" applyFont="1" applyBorder="1" applyAlignment="1" applyProtection="1">
      <alignment horizontal="center" vertical="center" wrapText="1"/>
      <protection locked="0"/>
    </xf>
    <xf numFmtId="44" fontId="11" fillId="0" borderId="1" xfId="2" applyFont="1" applyBorder="1" applyAlignment="1" applyProtection="1">
      <alignment horizontal="left" vertical="center" wrapText="1"/>
      <protection locked="0"/>
    </xf>
    <xf numFmtId="0" fontId="29" fillId="0" borderId="6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18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10" fontId="11" fillId="2" borderId="1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4" fontId="9" fillId="0" borderId="0" xfId="0" applyNumberFormat="1" applyFont="1" applyAlignment="1" applyProtection="1">
      <alignment horizontal="center"/>
      <protection locked="0"/>
    </xf>
    <xf numFmtId="0" fontId="26" fillId="4" borderId="0" xfId="0" applyFont="1" applyFill="1" applyAlignment="1" applyProtection="1">
      <alignment horizontal="center" vertical="top" wrapText="1"/>
      <protection locked="0"/>
    </xf>
    <xf numFmtId="164" fontId="11" fillId="0" borderId="1" xfId="1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left" vertical="center" wrapText="1"/>
    </xf>
    <xf numFmtId="0" fontId="27" fillId="0" borderId="2" xfId="0" applyFont="1" applyBorder="1" applyAlignment="1">
      <alignment horizontal="right" wrapText="1"/>
    </xf>
    <xf numFmtId="0" fontId="27" fillId="0" borderId="3" xfId="0" applyFont="1" applyBorder="1" applyAlignment="1">
      <alignment horizontal="right" wrapText="1"/>
    </xf>
    <xf numFmtId="0" fontId="27" fillId="0" borderId="4" xfId="0" applyFont="1" applyBorder="1" applyAlignment="1">
      <alignment horizontal="right" wrapText="1"/>
    </xf>
    <xf numFmtId="49" fontId="11" fillId="0" borderId="1" xfId="1" applyNumberFormat="1" applyFont="1" applyBorder="1" applyAlignment="1" applyProtection="1">
      <alignment horizontal="center" vertical="center" wrapText="1"/>
      <protection locked="0"/>
    </xf>
    <xf numFmtId="44" fontId="11" fillId="2" borderId="1" xfId="2" applyFont="1" applyFill="1" applyBorder="1" applyAlignment="1" applyProtection="1">
      <alignment horizontal="center" wrapText="1"/>
    </xf>
    <xf numFmtId="44" fontId="11" fillId="2" borderId="1" xfId="2" applyFont="1" applyFill="1" applyBorder="1" applyAlignment="1" applyProtection="1">
      <alignment horizontal="center" vertical="center" wrapText="1"/>
    </xf>
    <xf numFmtId="10" fontId="11" fillId="2" borderId="1" xfId="1" applyNumberFormat="1" applyFont="1" applyFill="1" applyBorder="1" applyAlignment="1" applyProtection="1">
      <alignment horizontal="center" wrapText="1"/>
      <protection locked="0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0" xfId="2" applyNumberFormat="1" applyFont="1" applyBorder="1" applyAlignment="1" applyProtection="1">
      <alignment horizontal="center" vertical="center" wrapText="1"/>
      <protection locked="0"/>
    </xf>
    <xf numFmtId="164" fontId="11" fillId="0" borderId="2" xfId="1" applyNumberFormat="1" applyFont="1" applyBorder="1" applyAlignment="1" applyProtection="1">
      <alignment horizontal="center" vertical="center" wrapText="1"/>
      <protection locked="0"/>
    </xf>
    <xf numFmtId="164" fontId="11" fillId="0" borderId="3" xfId="1" applyNumberFormat="1" applyFont="1" applyBorder="1" applyAlignment="1" applyProtection="1">
      <alignment horizontal="center" vertical="center" wrapText="1"/>
      <protection locked="0"/>
    </xf>
    <xf numFmtId="164" fontId="11" fillId="0" borderId="4" xfId="1" applyNumberFormat="1" applyFont="1" applyBorder="1" applyAlignment="1" applyProtection="1">
      <alignment horizontal="center" vertical="center" wrapText="1"/>
      <protection locked="0"/>
    </xf>
    <xf numFmtId="44" fontId="11" fillId="0" borderId="0" xfId="2" applyFont="1" applyBorder="1" applyAlignment="1" applyProtection="1">
      <alignment horizontal="center" vertical="center" wrapText="1"/>
      <protection locked="0"/>
    </xf>
    <xf numFmtId="44" fontId="11" fillId="0" borderId="0" xfId="2" applyFont="1" applyBorder="1" applyAlignment="1" applyProtection="1">
      <alignment horizontal="center" wrapText="1"/>
      <protection locked="0"/>
    </xf>
    <xf numFmtId="10" fontId="11" fillId="2" borderId="0" xfId="1" applyNumberFormat="1" applyFont="1" applyFill="1" applyBorder="1" applyAlignment="1" applyProtection="1">
      <alignment horizontal="center" wrapText="1"/>
      <protection locked="0"/>
    </xf>
    <xf numFmtId="44" fontId="11" fillId="2" borderId="0" xfId="2" applyFont="1" applyFill="1" applyBorder="1" applyAlignment="1" applyProtection="1">
      <alignment horizontal="center" wrapText="1"/>
    </xf>
    <xf numFmtId="44" fontId="11" fillId="2" borderId="0" xfId="2" applyFont="1" applyFill="1" applyBorder="1" applyAlignment="1" applyProtection="1">
      <alignment horizontal="center" vertical="center" wrapText="1"/>
    </xf>
    <xf numFmtId="10" fontId="11" fillId="2" borderId="0" xfId="1" applyNumberFormat="1" applyFont="1" applyFill="1" applyBorder="1" applyAlignment="1" applyProtection="1">
      <alignment horizontal="center" vertical="center" wrapText="1"/>
    </xf>
    <xf numFmtId="49" fontId="11" fillId="0" borderId="0" xfId="1" applyNumberFormat="1" applyFont="1" applyBorder="1" applyAlignment="1" applyProtection="1">
      <alignment horizontal="center" vertical="center" wrapText="1"/>
      <protection locked="0"/>
    </xf>
    <xf numFmtId="10" fontId="11" fillId="0" borderId="0" xfId="1" applyNumberFormat="1" applyFont="1" applyBorder="1" applyAlignment="1" applyProtection="1">
      <alignment horizontal="center" wrapText="1"/>
      <protection locked="0"/>
    </xf>
    <xf numFmtId="0" fontId="2" fillId="0" borderId="0" xfId="0" applyFont="1" applyAlignment="1">
      <alignment horizontal="center" vertical="center" wrapText="1"/>
    </xf>
    <xf numFmtId="1" fontId="11" fillId="0" borderId="5" xfId="2" applyNumberFormat="1" applyFont="1" applyBorder="1" applyAlignment="1" applyProtection="1">
      <alignment horizontal="left" vertical="center" wrapText="1"/>
      <protection locked="0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" fontId="11" fillId="0" borderId="2" xfId="2" applyNumberFormat="1" applyFont="1" applyBorder="1" applyAlignment="1" applyProtection="1">
      <alignment horizontal="center" vertical="center" wrapText="1"/>
      <protection locked="0"/>
    </xf>
    <xf numFmtId="1" fontId="11" fillId="0" borderId="3" xfId="2" applyNumberFormat="1" applyFont="1" applyBorder="1" applyAlignment="1" applyProtection="1">
      <alignment horizontal="center" vertical="center" wrapText="1"/>
      <protection locked="0"/>
    </xf>
    <xf numFmtId="2" fontId="11" fillId="0" borderId="2" xfId="2" applyNumberFormat="1" applyFont="1" applyBorder="1" applyAlignment="1" applyProtection="1">
      <alignment horizontal="center" vertical="center" wrapText="1"/>
      <protection locked="0"/>
    </xf>
    <xf numFmtId="2" fontId="11" fillId="0" borderId="3" xfId="2" applyNumberFormat="1" applyFont="1" applyBorder="1" applyAlignment="1" applyProtection="1">
      <alignment horizontal="center" vertical="center" wrapText="1"/>
      <protection locked="0"/>
    </xf>
    <xf numFmtId="164" fontId="11" fillId="0" borderId="0" xfId="1" applyNumberFormat="1" applyFont="1" applyBorder="1" applyAlignment="1" applyProtection="1">
      <alignment horizontal="center" vertical="center" wrapText="1"/>
      <protection locked="0"/>
    </xf>
    <xf numFmtId="10" fontId="11" fillId="0" borderId="0" xfId="1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 wrapText="1"/>
    </xf>
    <xf numFmtId="44" fontId="6" fillId="0" borderId="0" xfId="2" applyFont="1" applyBorder="1" applyAlignment="1" applyProtection="1">
      <alignment horizontal="left" vertical="center" wrapText="1"/>
    </xf>
  </cellXfs>
  <cellStyles count="5">
    <cellStyle name="Hiperłącze" xfId="4" builtinId="8"/>
    <cellStyle name="Normalny" xfId="0" builtinId="0"/>
    <cellStyle name="Normalny 2" xfId="3" xr:uid="{00000000-0005-0000-0000-000002000000}"/>
    <cellStyle name="Procentowy" xfId="1" builtinId="5"/>
    <cellStyle name="Walutowy" xfId="2" builtinId="4"/>
  </cellStyles>
  <dxfs count="47"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  <dxf>
      <fill>
        <patternFill patternType="lightTrellis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114300</xdr:colOff>
      <xdr:row>3</xdr:row>
      <xdr:rowOff>6350</xdr:rowOff>
    </xdr:from>
    <xdr:to>
      <xdr:col>37</xdr:col>
      <xdr:colOff>372529</xdr:colOff>
      <xdr:row>7</xdr:row>
      <xdr:rowOff>151434</xdr:rowOff>
    </xdr:to>
    <xdr:pic>
      <xdr:nvPicPr>
        <xdr:cNvPr id="2" name="Obraz 1" descr="http://intranet/dokumenty/Documents/BGK_Logo_RGB-BMP.bmp">
          <a:extLst>
            <a:ext uri="{FF2B5EF4-FFF2-40B4-BE49-F238E27FC236}">
              <a16:creationId xmlns:a16="http://schemas.microsoft.com/office/drawing/2014/main" id="{93608059-CE50-4008-86B8-166C5404C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9500" y="539750"/>
          <a:ext cx="1182154" cy="88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107950</xdr:colOff>
      <xdr:row>3</xdr:row>
      <xdr:rowOff>12700</xdr:rowOff>
    </xdr:from>
    <xdr:to>
      <xdr:col>37</xdr:col>
      <xdr:colOff>372529</xdr:colOff>
      <xdr:row>7</xdr:row>
      <xdr:rowOff>160959</xdr:rowOff>
    </xdr:to>
    <xdr:pic>
      <xdr:nvPicPr>
        <xdr:cNvPr id="3" name="Obraz 2" descr="http://intranet/dokumenty/Documents/BGK_Logo_RGB-BMP.bmp">
          <a:extLst>
            <a:ext uri="{FF2B5EF4-FFF2-40B4-BE49-F238E27FC236}">
              <a16:creationId xmlns:a16="http://schemas.microsoft.com/office/drawing/2014/main" id="{00324927-002D-46C9-BE95-D97B2094B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3150" y="546100"/>
          <a:ext cx="1182154" cy="88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127000</xdr:colOff>
      <xdr:row>3</xdr:row>
      <xdr:rowOff>12700</xdr:rowOff>
    </xdr:from>
    <xdr:to>
      <xdr:col>37</xdr:col>
      <xdr:colOff>391579</xdr:colOff>
      <xdr:row>7</xdr:row>
      <xdr:rowOff>160959</xdr:rowOff>
    </xdr:to>
    <xdr:pic>
      <xdr:nvPicPr>
        <xdr:cNvPr id="3" name="Obraz 2" descr="http://intranet/dokumenty/Documents/BGK_Logo_RGB-BMP.bmp">
          <a:extLst>
            <a:ext uri="{FF2B5EF4-FFF2-40B4-BE49-F238E27FC236}">
              <a16:creationId xmlns:a16="http://schemas.microsoft.com/office/drawing/2014/main" id="{0BD10ECA-83BC-4E4F-BE00-825C30C04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200" y="546100"/>
          <a:ext cx="1182154" cy="88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127000</xdr:colOff>
      <xdr:row>3</xdr:row>
      <xdr:rowOff>12700</xdr:rowOff>
    </xdr:from>
    <xdr:to>
      <xdr:col>38</xdr:col>
      <xdr:colOff>48679</xdr:colOff>
      <xdr:row>7</xdr:row>
      <xdr:rowOff>160959</xdr:rowOff>
    </xdr:to>
    <xdr:pic>
      <xdr:nvPicPr>
        <xdr:cNvPr id="2" name="Obraz 1" descr="http://intranet/dokumenty/Documents/BGK_Logo_RGB-BMP.bmp">
          <a:extLst>
            <a:ext uri="{FF2B5EF4-FFF2-40B4-BE49-F238E27FC236}">
              <a16:creationId xmlns:a16="http://schemas.microsoft.com/office/drawing/2014/main" id="{D5451360-11E7-45A7-B68D-4E80829A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2200" y="546100"/>
          <a:ext cx="1182154" cy="88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114300</xdr:colOff>
      <xdr:row>3</xdr:row>
      <xdr:rowOff>6350</xdr:rowOff>
    </xdr:from>
    <xdr:to>
      <xdr:col>37</xdr:col>
      <xdr:colOff>369354</xdr:colOff>
      <xdr:row>7</xdr:row>
      <xdr:rowOff>151434</xdr:rowOff>
    </xdr:to>
    <xdr:pic>
      <xdr:nvPicPr>
        <xdr:cNvPr id="2" name="Obraz 1" descr="http://intranet/dokumenty/Documents/BGK_Logo_RGB-BMP.bmp">
          <a:extLst>
            <a:ext uri="{FF2B5EF4-FFF2-40B4-BE49-F238E27FC236}">
              <a16:creationId xmlns:a16="http://schemas.microsoft.com/office/drawing/2014/main" id="{6370B93D-CA3C-43A3-93DB-3BD765BA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552450"/>
          <a:ext cx="1172629" cy="865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136073</xdr:rowOff>
    </xdr:from>
    <xdr:to>
      <xdr:col>37</xdr:col>
      <xdr:colOff>309699</xdr:colOff>
      <xdr:row>6</xdr:row>
      <xdr:rowOff>170908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48100" y="669473"/>
          <a:ext cx="2157549" cy="5872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kemp\Downloads\Wniosek%20BSK%20FD_od%2015_03_2024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k\Public\DFM\BSK\OPTYMALIZACJA\Wnioski%20elktroniczne\Wniosek%20BSK%20FD_od%2015_03_2024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ybór"/>
      <sheetName val="Wniosek art 3 budowa"/>
      <sheetName val="Wniosek art 3 remontlubprzebudo"/>
      <sheetName val="Wniosek inne "/>
      <sheetName val="Wniosek lm dla powodzian"/>
      <sheetName val="Wniosek kupno"/>
      <sheetName val="Wniosek art 5 budowa"/>
      <sheetName val="Wniosek art 5a budowa"/>
      <sheetName val="Wnioski art 5 inne"/>
      <sheetName val="Wnioski art 5a inne"/>
      <sheetName val="Wniosek SAN"/>
      <sheetName val="Noclegownia"/>
      <sheetName val="Schronisko"/>
      <sheetName val="Ogrzewalnia"/>
      <sheetName val="Budowa_Ogrzewalni_mieszane"/>
      <sheetName val="Przedsięwzięcia infrast powiat"/>
      <sheetName val="Przedsięwzięcia infrast gzm"/>
      <sheetName val="Słowniki"/>
      <sheetName val="Słownik N_S_O"/>
      <sheetName val="Słownik Infrasr"/>
      <sheetName val="Słownik woj_powia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łowniki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46"/>
  <sheetViews>
    <sheetView workbookViewId="0">
      <selection activeCell="B1" sqref="B1"/>
    </sheetView>
  </sheetViews>
  <sheetFormatPr defaultColWidth="9.1796875" defaultRowHeight="14.5" x14ac:dyDescent="0.35"/>
  <cols>
    <col min="1" max="1" width="68.54296875" style="52" customWidth="1"/>
    <col min="2" max="2" width="76.7265625" style="52" customWidth="1"/>
    <col min="3" max="37" width="9.1796875" style="51"/>
    <col min="38" max="16384" width="9.1796875" style="52"/>
  </cols>
  <sheetData>
    <row r="1" spans="1:2" s="51" customFormat="1" ht="21.5" thickBot="1" x14ac:dyDescent="0.4">
      <c r="A1" s="29" t="s">
        <v>134</v>
      </c>
      <c r="B1" s="30"/>
    </row>
    <row r="2" spans="1:2" s="51" customFormat="1" ht="21.5" thickBot="1" x14ac:dyDescent="0.4">
      <c r="A2" s="31" t="s">
        <v>135</v>
      </c>
      <c r="B2" s="30"/>
    </row>
    <row r="3" spans="1:2" s="51" customFormat="1" ht="21.5" thickBot="1" x14ac:dyDescent="0.4">
      <c r="A3" s="31" t="s">
        <v>136</v>
      </c>
      <c r="B3" s="32"/>
    </row>
    <row r="4" spans="1:2" x14ac:dyDescent="0.35">
      <c r="A4" s="57" t="s">
        <v>37</v>
      </c>
      <c r="B4" s="60" t="s">
        <v>137</v>
      </c>
    </row>
    <row r="5" spans="1:2" x14ac:dyDescent="0.35">
      <c r="A5" s="58"/>
      <c r="B5" s="61"/>
    </row>
    <row r="6" spans="1:2" ht="15" thickBot="1" x14ac:dyDescent="0.4">
      <c r="A6" s="59"/>
      <c r="B6" s="62"/>
    </row>
    <row r="7" spans="1:2" x14ac:dyDescent="0.35">
      <c r="A7" s="63" t="s">
        <v>172</v>
      </c>
      <c r="B7" s="33" t="s">
        <v>138</v>
      </c>
    </row>
    <row r="8" spans="1:2" x14ac:dyDescent="0.35">
      <c r="A8" s="64"/>
      <c r="B8" s="33" t="s">
        <v>139</v>
      </c>
    </row>
    <row r="9" spans="1:2" ht="15" thickBot="1" x14ac:dyDescent="0.4">
      <c r="A9" s="65"/>
      <c r="B9" s="33" t="s">
        <v>140</v>
      </c>
    </row>
    <row r="10" spans="1:2" ht="15" customHeight="1" x14ac:dyDescent="0.35">
      <c r="A10" s="66" t="s">
        <v>141</v>
      </c>
      <c r="B10" s="33" t="s">
        <v>138</v>
      </c>
    </row>
    <row r="11" spans="1:2" x14ac:dyDescent="0.35">
      <c r="A11" s="67"/>
      <c r="B11" s="34" t="s">
        <v>142</v>
      </c>
    </row>
    <row r="12" spans="1:2" ht="16.5" customHeight="1" x14ac:dyDescent="0.35">
      <c r="A12" s="67"/>
      <c r="B12" s="34" t="s">
        <v>143</v>
      </c>
    </row>
    <row r="13" spans="1:2" ht="16.5" customHeight="1" x14ac:dyDescent="0.35">
      <c r="A13" s="67"/>
      <c r="B13" s="35" t="s">
        <v>144</v>
      </c>
    </row>
    <row r="14" spans="1:2" ht="16.5" customHeight="1" x14ac:dyDescent="0.35">
      <c r="A14" s="67"/>
      <c r="B14" s="33" t="s">
        <v>145</v>
      </c>
    </row>
    <row r="15" spans="1:2" ht="16.5" customHeight="1" thickBot="1" x14ac:dyDescent="0.4">
      <c r="A15" s="68"/>
      <c r="B15" s="33" t="s">
        <v>146</v>
      </c>
    </row>
    <row r="16" spans="1:2" ht="15" customHeight="1" x14ac:dyDescent="0.35">
      <c r="A16" s="66" t="s">
        <v>171</v>
      </c>
      <c r="B16" s="33" t="s">
        <v>138</v>
      </c>
    </row>
    <row r="17" spans="1:78" ht="15" customHeight="1" thickBot="1" x14ac:dyDescent="0.4">
      <c r="A17" s="68"/>
      <c r="B17" s="33" t="s">
        <v>139</v>
      </c>
    </row>
    <row r="18" spans="1:78" x14ac:dyDescent="0.35">
      <c r="A18" s="71" t="s">
        <v>147</v>
      </c>
      <c r="B18" s="33" t="s">
        <v>138</v>
      </c>
    </row>
    <row r="19" spans="1:78" x14ac:dyDescent="0.35">
      <c r="A19" s="72"/>
      <c r="B19" s="34" t="s">
        <v>142</v>
      </c>
    </row>
    <row r="20" spans="1:78" x14ac:dyDescent="0.35">
      <c r="A20" s="72"/>
      <c r="B20" s="34" t="s">
        <v>143</v>
      </c>
    </row>
    <row r="21" spans="1:78" x14ac:dyDescent="0.35">
      <c r="A21" s="72"/>
      <c r="B21" s="34" t="s">
        <v>144</v>
      </c>
    </row>
    <row r="22" spans="1:78" x14ac:dyDescent="0.35">
      <c r="A22" s="72"/>
      <c r="B22" s="33" t="s">
        <v>145</v>
      </c>
    </row>
    <row r="23" spans="1:78" ht="15" thickBot="1" x14ac:dyDescent="0.4">
      <c r="A23" s="73"/>
      <c r="B23" s="33" t="s">
        <v>146</v>
      </c>
    </row>
    <row r="24" spans="1:78" ht="15" customHeight="1" x14ac:dyDescent="0.35">
      <c r="A24" s="63" t="s">
        <v>148</v>
      </c>
      <c r="B24" s="33" t="s">
        <v>138</v>
      </c>
    </row>
    <row r="25" spans="1:78" ht="15" thickBot="1" x14ac:dyDescent="0.4">
      <c r="A25" s="64"/>
      <c r="B25" s="33" t="s">
        <v>149</v>
      </c>
    </row>
    <row r="26" spans="1:78" x14ac:dyDescent="0.35">
      <c r="A26" s="71" t="s">
        <v>150</v>
      </c>
      <c r="B26" s="33" t="s">
        <v>138</v>
      </c>
    </row>
    <row r="27" spans="1:78" x14ac:dyDescent="0.35">
      <c r="A27" s="72"/>
      <c r="B27" s="34" t="s">
        <v>142</v>
      </c>
    </row>
    <row r="28" spans="1:78" x14ac:dyDescent="0.35">
      <c r="A28" s="72"/>
      <c r="B28" s="34" t="s">
        <v>149</v>
      </c>
    </row>
    <row r="29" spans="1:78" x14ac:dyDescent="0.35">
      <c r="A29" s="72"/>
      <c r="B29" s="33" t="s">
        <v>145</v>
      </c>
    </row>
    <row r="30" spans="1:78" ht="15" thickBot="1" x14ac:dyDescent="0.4">
      <c r="A30" s="73"/>
      <c r="B30" s="33" t="s">
        <v>151</v>
      </c>
    </row>
    <row r="31" spans="1:78" s="53" customFormat="1" x14ac:dyDescent="0.35">
      <c r="A31" s="63" t="s">
        <v>152</v>
      </c>
      <c r="B31" s="36" t="s">
        <v>149</v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</row>
    <row r="32" spans="1:78" s="53" customFormat="1" x14ac:dyDescent="0.35">
      <c r="A32" s="64"/>
      <c r="B32" s="34" t="s">
        <v>145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</row>
    <row r="33" spans="1:78" s="53" customFormat="1" ht="15" thickBot="1" x14ac:dyDescent="0.4">
      <c r="A33" s="65"/>
      <c r="B33" s="37" t="s">
        <v>153</v>
      </c>
      <c r="C33" s="5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</row>
    <row r="34" spans="1:78" ht="15" thickBot="1" x14ac:dyDescent="0.4">
      <c r="A34" s="38" t="s">
        <v>154</v>
      </c>
      <c r="B34" s="39" t="s">
        <v>145</v>
      </c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</row>
    <row r="35" spans="1:78" ht="15" thickBot="1" x14ac:dyDescent="0.4">
      <c r="A35" s="38" t="s">
        <v>155</v>
      </c>
      <c r="B35" s="39" t="s">
        <v>142</v>
      </c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</row>
    <row r="36" spans="1:78" s="53" customFormat="1" ht="15" thickBot="1" x14ac:dyDescent="0.4">
      <c r="A36" s="40" t="s">
        <v>156</v>
      </c>
      <c r="B36" s="39" t="s">
        <v>157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</row>
    <row r="37" spans="1:78" s="53" customFormat="1" ht="15" thickBot="1" x14ac:dyDescent="0.4">
      <c r="A37" s="40" t="s">
        <v>158</v>
      </c>
      <c r="B37" s="39" t="s">
        <v>159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</row>
    <row r="38" spans="1:78" s="53" customFormat="1" ht="15" thickBot="1" x14ac:dyDescent="0.4">
      <c r="A38" s="40" t="s">
        <v>160</v>
      </c>
      <c r="B38" s="39" t="s">
        <v>161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</row>
    <row r="39" spans="1:78" s="53" customFormat="1" x14ac:dyDescent="0.35">
      <c r="A39" s="63" t="s">
        <v>162</v>
      </c>
      <c r="B39" s="36" t="s">
        <v>138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</row>
    <row r="40" spans="1:78" s="53" customFormat="1" x14ac:dyDescent="0.35">
      <c r="A40" s="64"/>
      <c r="B40" s="34" t="s">
        <v>149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</row>
    <row r="41" spans="1:78" s="53" customFormat="1" ht="15" thickBot="1" x14ac:dyDescent="0.4">
      <c r="A41" s="65"/>
      <c r="B41" s="41" t="s">
        <v>145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</row>
    <row r="42" spans="1:78" s="53" customFormat="1" x14ac:dyDescent="0.35">
      <c r="A42" s="63" t="s">
        <v>163</v>
      </c>
      <c r="B42" s="42" t="s">
        <v>138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</row>
    <row r="43" spans="1:78" s="53" customFormat="1" x14ac:dyDescent="0.35">
      <c r="A43" s="64"/>
      <c r="B43" s="43" t="s">
        <v>149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</row>
    <row r="44" spans="1:78" s="53" customFormat="1" ht="15" thickBot="1" x14ac:dyDescent="0.4">
      <c r="A44" s="65"/>
      <c r="B44" s="44" t="s">
        <v>145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</row>
    <row r="45" spans="1:78" s="53" customFormat="1" ht="15" thickBot="1" x14ac:dyDescent="0.4">
      <c r="A45" s="40" t="s">
        <v>164</v>
      </c>
      <c r="B45" s="45" t="s">
        <v>165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</row>
    <row r="46" spans="1:78" s="53" customFormat="1" ht="15" thickBot="1" x14ac:dyDescent="0.4">
      <c r="A46" s="40" t="s">
        <v>164</v>
      </c>
      <c r="B46" s="45" t="s">
        <v>165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</row>
    <row r="47" spans="1:78" x14ac:dyDescent="0.35">
      <c r="A47" s="46"/>
      <c r="B47" s="47"/>
    </row>
    <row r="48" spans="1:78" x14ac:dyDescent="0.35">
      <c r="A48" s="48" t="s">
        <v>166</v>
      </c>
      <c r="B48" s="49"/>
      <c r="C48" s="55"/>
      <c r="D48" s="55"/>
      <c r="E48" s="55"/>
      <c r="F48" s="55"/>
      <c r="G48" s="55"/>
      <c r="H48" s="55"/>
      <c r="I48" s="55"/>
      <c r="J48" s="55"/>
      <c r="K48" s="55"/>
    </row>
    <row r="49" spans="1:11" ht="34.5" customHeight="1" x14ac:dyDescent="0.35">
      <c r="A49" s="69" t="s">
        <v>167</v>
      </c>
      <c r="B49" s="69"/>
      <c r="C49" s="56"/>
      <c r="D49" s="56"/>
      <c r="E49" s="56"/>
      <c r="F49" s="56"/>
      <c r="G49" s="56"/>
      <c r="H49" s="56"/>
      <c r="I49" s="56"/>
      <c r="J49" s="56"/>
      <c r="K49" s="56"/>
    </row>
    <row r="50" spans="1:11" x14ac:dyDescent="0.35">
      <c r="A50" s="70" t="s">
        <v>168</v>
      </c>
      <c r="B50" s="70"/>
      <c r="C50" s="55"/>
      <c r="D50" s="55"/>
      <c r="E50" s="55"/>
      <c r="F50" s="55"/>
      <c r="G50" s="55"/>
      <c r="H50" s="55"/>
      <c r="I50" s="55"/>
      <c r="J50" s="55"/>
      <c r="K50" s="55"/>
    </row>
    <row r="51" spans="1:11" x14ac:dyDescent="0.35">
      <c r="A51" s="50" t="s">
        <v>169</v>
      </c>
      <c r="B51" s="50"/>
      <c r="C51" s="55"/>
      <c r="D51" s="55"/>
      <c r="E51" s="55"/>
      <c r="F51" s="55"/>
      <c r="G51" s="55"/>
      <c r="H51" s="55"/>
      <c r="I51" s="55"/>
      <c r="J51" s="55"/>
      <c r="K51" s="55"/>
    </row>
    <row r="52" spans="1:11" x14ac:dyDescent="0.35">
      <c r="A52" s="50" t="s">
        <v>170</v>
      </c>
      <c r="B52" s="50"/>
      <c r="C52" s="55"/>
      <c r="D52" s="55"/>
      <c r="E52" s="55"/>
      <c r="F52" s="55"/>
      <c r="G52" s="55"/>
      <c r="H52" s="55"/>
      <c r="I52" s="55"/>
      <c r="J52" s="55"/>
      <c r="K52" s="55"/>
    </row>
    <row r="53" spans="1:11" s="51" customFormat="1" x14ac:dyDescent="0.35"/>
    <row r="54" spans="1:11" s="51" customFormat="1" x14ac:dyDescent="0.35"/>
    <row r="55" spans="1:11" s="51" customFormat="1" x14ac:dyDescent="0.35"/>
    <row r="56" spans="1:11" s="51" customFormat="1" x14ac:dyDescent="0.35"/>
    <row r="57" spans="1:11" s="51" customFormat="1" x14ac:dyDescent="0.35"/>
    <row r="58" spans="1:11" s="51" customFormat="1" x14ac:dyDescent="0.35"/>
    <row r="59" spans="1:11" s="51" customFormat="1" x14ac:dyDescent="0.35"/>
    <row r="60" spans="1:11" s="51" customFormat="1" x14ac:dyDescent="0.35"/>
    <row r="61" spans="1:11" s="51" customFormat="1" x14ac:dyDescent="0.35"/>
    <row r="62" spans="1:11" s="51" customFormat="1" x14ac:dyDescent="0.35"/>
    <row r="63" spans="1:11" s="51" customFormat="1" x14ac:dyDescent="0.35"/>
    <row r="64" spans="1:11" s="51" customFormat="1" x14ac:dyDescent="0.35"/>
    <row r="65" s="51" customFormat="1" x14ac:dyDescent="0.35"/>
    <row r="66" s="51" customFormat="1" x14ac:dyDescent="0.35"/>
    <row r="67" s="51" customFormat="1" x14ac:dyDescent="0.35"/>
    <row r="68" s="51" customFormat="1" x14ac:dyDescent="0.35"/>
    <row r="69" s="51" customFormat="1" x14ac:dyDescent="0.35"/>
    <row r="70" s="51" customFormat="1" x14ac:dyDescent="0.35"/>
    <row r="71" s="51" customFormat="1" x14ac:dyDescent="0.35"/>
    <row r="72" s="51" customFormat="1" x14ac:dyDescent="0.35"/>
    <row r="73" s="51" customFormat="1" x14ac:dyDescent="0.35"/>
    <row r="74" s="51" customFormat="1" x14ac:dyDescent="0.35"/>
    <row r="75" s="51" customFormat="1" x14ac:dyDescent="0.35"/>
    <row r="76" s="51" customFormat="1" x14ac:dyDescent="0.35"/>
    <row r="77" s="51" customFormat="1" x14ac:dyDescent="0.35"/>
    <row r="78" s="51" customFormat="1" x14ac:dyDescent="0.35"/>
    <row r="79" s="51" customFormat="1" x14ac:dyDescent="0.35"/>
    <row r="80" s="51" customFormat="1" x14ac:dyDescent="0.35"/>
    <row r="81" s="51" customFormat="1" x14ac:dyDescent="0.35"/>
    <row r="82" s="51" customFormat="1" x14ac:dyDescent="0.35"/>
    <row r="83" s="51" customFormat="1" x14ac:dyDescent="0.35"/>
    <row r="84" s="51" customFormat="1" x14ac:dyDescent="0.35"/>
    <row r="85" s="51" customFormat="1" x14ac:dyDescent="0.35"/>
    <row r="86" s="51" customFormat="1" x14ac:dyDescent="0.35"/>
    <row r="87" s="51" customFormat="1" x14ac:dyDescent="0.35"/>
    <row r="88" s="51" customFormat="1" x14ac:dyDescent="0.35"/>
    <row r="89" s="51" customFormat="1" x14ac:dyDescent="0.35"/>
    <row r="90" s="51" customFormat="1" x14ac:dyDescent="0.35"/>
    <row r="91" s="51" customFormat="1" x14ac:dyDescent="0.35"/>
    <row r="92" s="51" customFormat="1" x14ac:dyDescent="0.35"/>
    <row r="93" s="51" customFormat="1" x14ac:dyDescent="0.35"/>
    <row r="94" s="51" customFormat="1" x14ac:dyDescent="0.35"/>
    <row r="95" s="51" customFormat="1" x14ac:dyDescent="0.35"/>
    <row r="96" s="51" customFormat="1" x14ac:dyDescent="0.35"/>
    <row r="97" s="51" customFormat="1" x14ac:dyDescent="0.35"/>
    <row r="98" s="51" customFormat="1" x14ac:dyDescent="0.35"/>
    <row r="99" s="51" customFormat="1" x14ac:dyDescent="0.35"/>
    <row r="100" s="51" customFormat="1" x14ac:dyDescent="0.35"/>
    <row r="101" s="51" customFormat="1" x14ac:dyDescent="0.35"/>
    <row r="102" s="51" customFormat="1" x14ac:dyDescent="0.35"/>
    <row r="103" s="51" customFormat="1" x14ac:dyDescent="0.35"/>
    <row r="104" s="51" customFormat="1" x14ac:dyDescent="0.35"/>
    <row r="105" s="51" customFormat="1" x14ac:dyDescent="0.35"/>
    <row r="106" s="51" customFormat="1" x14ac:dyDescent="0.35"/>
    <row r="107" s="51" customFormat="1" x14ac:dyDescent="0.35"/>
    <row r="108" s="51" customFormat="1" x14ac:dyDescent="0.35"/>
    <row r="109" s="51" customFormat="1" x14ac:dyDescent="0.35"/>
    <row r="110" s="51" customFormat="1" x14ac:dyDescent="0.35"/>
    <row r="111" s="51" customFormat="1" x14ac:dyDescent="0.35"/>
    <row r="112" s="51" customFormat="1" x14ac:dyDescent="0.35"/>
    <row r="113" s="51" customFormat="1" x14ac:dyDescent="0.35"/>
    <row r="114" s="51" customFormat="1" x14ac:dyDescent="0.35"/>
    <row r="115" s="51" customFormat="1" x14ac:dyDescent="0.35"/>
    <row r="116" s="51" customFormat="1" x14ac:dyDescent="0.35"/>
    <row r="117" s="51" customFormat="1" x14ac:dyDescent="0.35"/>
    <row r="118" s="51" customFormat="1" x14ac:dyDescent="0.35"/>
    <row r="119" s="51" customFormat="1" x14ac:dyDescent="0.35"/>
    <row r="120" s="51" customFormat="1" x14ac:dyDescent="0.35"/>
    <row r="121" s="51" customFormat="1" x14ac:dyDescent="0.35"/>
    <row r="122" s="51" customFormat="1" x14ac:dyDescent="0.35"/>
    <row r="123" s="51" customFormat="1" x14ac:dyDescent="0.35"/>
    <row r="124" s="51" customFormat="1" x14ac:dyDescent="0.35"/>
    <row r="125" s="51" customFormat="1" x14ac:dyDescent="0.35"/>
    <row r="126" s="51" customFormat="1" x14ac:dyDescent="0.35"/>
    <row r="127" s="51" customFormat="1" x14ac:dyDescent="0.35"/>
    <row r="128" s="51" customFormat="1" x14ac:dyDescent="0.35"/>
    <row r="129" s="51" customFormat="1" x14ac:dyDescent="0.35"/>
    <row r="130" s="51" customFormat="1" x14ac:dyDescent="0.35"/>
    <row r="131" s="51" customFormat="1" x14ac:dyDescent="0.35"/>
    <row r="132" s="51" customFormat="1" x14ac:dyDescent="0.35"/>
    <row r="133" s="51" customFormat="1" x14ac:dyDescent="0.35"/>
    <row r="134" s="51" customFormat="1" x14ac:dyDescent="0.35"/>
    <row r="135" s="51" customFormat="1" x14ac:dyDescent="0.35"/>
    <row r="136" s="51" customFormat="1" x14ac:dyDescent="0.35"/>
    <row r="137" s="51" customFormat="1" x14ac:dyDescent="0.35"/>
    <row r="138" s="51" customFormat="1" x14ac:dyDescent="0.35"/>
    <row r="139" s="51" customFormat="1" x14ac:dyDescent="0.35"/>
    <row r="140" s="51" customFormat="1" x14ac:dyDescent="0.35"/>
    <row r="141" s="51" customFormat="1" x14ac:dyDescent="0.35"/>
    <row r="142" s="51" customFormat="1" x14ac:dyDescent="0.35"/>
    <row r="143" s="51" customFormat="1" x14ac:dyDescent="0.35"/>
    <row r="144" s="51" customFormat="1" x14ac:dyDescent="0.35"/>
    <row r="145" s="51" customFormat="1" x14ac:dyDescent="0.35"/>
    <row r="146" s="51" customFormat="1" x14ac:dyDescent="0.35"/>
    <row r="147" s="51" customFormat="1" x14ac:dyDescent="0.35"/>
    <row r="148" s="51" customFormat="1" x14ac:dyDescent="0.35"/>
    <row r="149" s="51" customFormat="1" x14ac:dyDescent="0.35"/>
    <row r="150" s="51" customFormat="1" x14ac:dyDescent="0.35"/>
    <row r="151" s="51" customFormat="1" x14ac:dyDescent="0.35"/>
    <row r="152" s="51" customFormat="1" x14ac:dyDescent="0.35"/>
    <row r="153" s="51" customFormat="1" x14ac:dyDescent="0.35"/>
    <row r="154" s="51" customFormat="1" x14ac:dyDescent="0.35"/>
    <row r="155" s="51" customFormat="1" x14ac:dyDescent="0.35"/>
    <row r="156" s="51" customFormat="1" x14ac:dyDescent="0.35"/>
    <row r="157" s="51" customFormat="1" x14ac:dyDescent="0.35"/>
    <row r="158" s="51" customFormat="1" x14ac:dyDescent="0.35"/>
    <row r="159" s="51" customFormat="1" x14ac:dyDescent="0.35"/>
    <row r="160" s="51" customFormat="1" x14ac:dyDescent="0.35"/>
    <row r="161" s="51" customFormat="1" x14ac:dyDescent="0.35"/>
    <row r="162" s="51" customFormat="1" x14ac:dyDescent="0.35"/>
    <row r="163" s="51" customFormat="1" x14ac:dyDescent="0.35"/>
    <row r="164" s="51" customFormat="1" x14ac:dyDescent="0.35"/>
    <row r="165" s="51" customFormat="1" x14ac:dyDescent="0.35"/>
    <row r="166" s="51" customFormat="1" x14ac:dyDescent="0.35"/>
    <row r="167" s="51" customFormat="1" x14ac:dyDescent="0.35"/>
    <row r="168" s="51" customFormat="1" x14ac:dyDescent="0.35"/>
    <row r="169" s="51" customFormat="1" x14ac:dyDescent="0.35"/>
    <row r="170" s="51" customFormat="1" x14ac:dyDescent="0.35"/>
    <row r="171" s="51" customFormat="1" x14ac:dyDescent="0.35"/>
    <row r="172" s="51" customFormat="1" x14ac:dyDescent="0.35"/>
    <row r="173" s="51" customFormat="1" x14ac:dyDescent="0.35"/>
    <row r="174" s="51" customFormat="1" x14ac:dyDescent="0.35"/>
    <row r="175" s="51" customFormat="1" x14ac:dyDescent="0.35"/>
    <row r="176" s="51" customFormat="1" x14ac:dyDescent="0.35"/>
    <row r="177" s="51" customFormat="1" x14ac:dyDescent="0.35"/>
    <row r="178" s="51" customFormat="1" x14ac:dyDescent="0.35"/>
    <row r="179" s="51" customFormat="1" x14ac:dyDescent="0.35"/>
    <row r="180" s="51" customFormat="1" x14ac:dyDescent="0.35"/>
    <row r="181" s="51" customFormat="1" x14ac:dyDescent="0.35"/>
    <row r="182" s="51" customFormat="1" x14ac:dyDescent="0.35"/>
    <row r="183" s="51" customFormat="1" x14ac:dyDescent="0.35"/>
    <row r="184" s="51" customFormat="1" x14ac:dyDescent="0.35"/>
    <row r="185" s="51" customFormat="1" x14ac:dyDescent="0.35"/>
    <row r="186" s="51" customFormat="1" x14ac:dyDescent="0.35"/>
    <row r="187" s="51" customFormat="1" x14ac:dyDescent="0.35"/>
    <row r="188" s="51" customFormat="1" x14ac:dyDescent="0.35"/>
    <row r="189" s="51" customFormat="1" x14ac:dyDescent="0.35"/>
    <row r="190" s="51" customFormat="1" x14ac:dyDescent="0.35"/>
    <row r="191" s="51" customFormat="1" x14ac:dyDescent="0.35"/>
    <row r="192" s="51" customFormat="1" x14ac:dyDescent="0.35"/>
    <row r="193" s="51" customFormat="1" x14ac:dyDescent="0.35"/>
    <row r="194" s="51" customFormat="1" x14ac:dyDescent="0.35"/>
    <row r="195" s="51" customFormat="1" x14ac:dyDescent="0.35"/>
    <row r="196" s="51" customFormat="1" x14ac:dyDescent="0.35"/>
    <row r="197" s="51" customFormat="1" x14ac:dyDescent="0.35"/>
    <row r="198" s="51" customFormat="1" x14ac:dyDescent="0.35"/>
    <row r="199" s="51" customFormat="1" x14ac:dyDescent="0.35"/>
    <row r="200" s="51" customFormat="1" x14ac:dyDescent="0.35"/>
    <row r="201" s="51" customFormat="1" x14ac:dyDescent="0.35"/>
    <row r="202" s="51" customFormat="1" x14ac:dyDescent="0.35"/>
    <row r="203" s="51" customFormat="1" x14ac:dyDescent="0.35"/>
    <row r="204" s="51" customFormat="1" x14ac:dyDescent="0.35"/>
    <row r="205" s="51" customFormat="1" x14ac:dyDescent="0.35"/>
    <row r="206" s="51" customFormat="1" x14ac:dyDescent="0.35"/>
    <row r="207" s="51" customFormat="1" x14ac:dyDescent="0.35"/>
    <row r="208" s="51" customFormat="1" x14ac:dyDescent="0.35"/>
    <row r="209" s="51" customFormat="1" x14ac:dyDescent="0.35"/>
    <row r="210" s="51" customFormat="1" x14ac:dyDescent="0.35"/>
    <row r="211" s="51" customFormat="1" x14ac:dyDescent="0.35"/>
    <row r="212" s="51" customFormat="1" x14ac:dyDescent="0.35"/>
    <row r="213" s="51" customFormat="1" x14ac:dyDescent="0.35"/>
    <row r="214" s="51" customFormat="1" x14ac:dyDescent="0.35"/>
    <row r="215" s="51" customFormat="1" x14ac:dyDescent="0.35"/>
    <row r="216" s="51" customFormat="1" x14ac:dyDescent="0.35"/>
    <row r="217" s="51" customFormat="1" x14ac:dyDescent="0.35"/>
    <row r="218" s="51" customFormat="1" x14ac:dyDescent="0.35"/>
    <row r="219" s="51" customFormat="1" x14ac:dyDescent="0.35"/>
    <row r="220" s="51" customFormat="1" x14ac:dyDescent="0.35"/>
    <row r="221" s="51" customFormat="1" x14ac:dyDescent="0.35"/>
    <row r="222" s="51" customFormat="1" x14ac:dyDescent="0.35"/>
    <row r="223" s="51" customFormat="1" x14ac:dyDescent="0.35"/>
    <row r="224" s="51" customFormat="1" x14ac:dyDescent="0.35"/>
    <row r="225" s="51" customFormat="1" x14ac:dyDescent="0.35"/>
    <row r="226" s="51" customFormat="1" x14ac:dyDescent="0.35"/>
    <row r="227" s="51" customFormat="1" x14ac:dyDescent="0.35"/>
    <row r="228" s="51" customFormat="1" x14ac:dyDescent="0.35"/>
    <row r="229" s="51" customFormat="1" x14ac:dyDescent="0.35"/>
    <row r="230" s="51" customFormat="1" x14ac:dyDescent="0.35"/>
    <row r="231" s="51" customFormat="1" x14ac:dyDescent="0.35"/>
    <row r="232" s="51" customFormat="1" x14ac:dyDescent="0.35"/>
    <row r="233" s="51" customFormat="1" x14ac:dyDescent="0.35"/>
    <row r="234" s="51" customFormat="1" x14ac:dyDescent="0.35"/>
    <row r="235" s="51" customFormat="1" x14ac:dyDescent="0.35"/>
    <row r="236" s="51" customFormat="1" x14ac:dyDescent="0.35"/>
    <row r="237" s="51" customFormat="1" x14ac:dyDescent="0.35"/>
    <row r="238" s="51" customFormat="1" x14ac:dyDescent="0.35"/>
    <row r="239" s="51" customFormat="1" x14ac:dyDescent="0.35"/>
    <row r="240" s="51" customFormat="1" x14ac:dyDescent="0.35"/>
    <row r="241" s="51" customFormat="1" x14ac:dyDescent="0.35"/>
    <row r="242" s="51" customFormat="1" x14ac:dyDescent="0.35"/>
    <row r="243" s="51" customFormat="1" x14ac:dyDescent="0.35"/>
    <row r="244" s="51" customFormat="1" x14ac:dyDescent="0.35"/>
    <row r="245" s="51" customFormat="1" x14ac:dyDescent="0.35"/>
    <row r="246" s="51" customFormat="1" x14ac:dyDescent="0.35"/>
    <row r="247" s="51" customFormat="1" x14ac:dyDescent="0.35"/>
    <row r="248" s="51" customFormat="1" x14ac:dyDescent="0.35"/>
    <row r="249" s="51" customFormat="1" x14ac:dyDescent="0.35"/>
    <row r="250" s="51" customFormat="1" x14ac:dyDescent="0.35"/>
    <row r="251" s="51" customFormat="1" x14ac:dyDescent="0.35"/>
    <row r="252" s="51" customFormat="1" x14ac:dyDescent="0.35"/>
    <row r="253" s="51" customFormat="1" x14ac:dyDescent="0.35"/>
    <row r="254" s="51" customFormat="1" x14ac:dyDescent="0.35"/>
    <row r="255" s="51" customFormat="1" x14ac:dyDescent="0.35"/>
    <row r="256" s="51" customFormat="1" x14ac:dyDescent="0.35"/>
    <row r="257" s="51" customFormat="1" x14ac:dyDescent="0.35"/>
    <row r="258" s="51" customFormat="1" x14ac:dyDescent="0.35"/>
    <row r="259" s="51" customFormat="1" x14ac:dyDescent="0.35"/>
    <row r="260" s="51" customFormat="1" x14ac:dyDescent="0.35"/>
    <row r="261" s="51" customFormat="1" x14ac:dyDescent="0.35"/>
    <row r="262" s="51" customFormat="1" x14ac:dyDescent="0.35"/>
    <row r="263" s="51" customFormat="1" x14ac:dyDescent="0.35"/>
    <row r="264" s="51" customFormat="1" x14ac:dyDescent="0.35"/>
    <row r="265" s="51" customFormat="1" x14ac:dyDescent="0.35"/>
    <row r="266" s="51" customFormat="1" x14ac:dyDescent="0.35"/>
    <row r="267" s="51" customFormat="1" x14ac:dyDescent="0.35"/>
    <row r="268" s="51" customFormat="1" x14ac:dyDescent="0.35"/>
    <row r="269" s="51" customFormat="1" x14ac:dyDescent="0.35"/>
    <row r="270" s="51" customFormat="1" x14ac:dyDescent="0.35"/>
    <row r="271" s="51" customFormat="1" x14ac:dyDescent="0.35"/>
    <row r="272" s="51" customFormat="1" x14ac:dyDescent="0.35"/>
    <row r="273" s="51" customFormat="1" x14ac:dyDescent="0.35"/>
    <row r="274" s="51" customFormat="1" x14ac:dyDescent="0.35"/>
    <row r="275" s="51" customFormat="1" x14ac:dyDescent="0.35"/>
    <row r="276" s="51" customFormat="1" x14ac:dyDescent="0.35"/>
    <row r="277" s="51" customFormat="1" x14ac:dyDescent="0.35"/>
    <row r="278" s="51" customFormat="1" x14ac:dyDescent="0.35"/>
    <row r="279" s="51" customFormat="1" x14ac:dyDescent="0.35"/>
    <row r="280" s="51" customFormat="1" x14ac:dyDescent="0.35"/>
    <row r="281" s="51" customFormat="1" x14ac:dyDescent="0.35"/>
    <row r="282" s="51" customFormat="1" x14ac:dyDescent="0.35"/>
    <row r="283" s="51" customFormat="1" x14ac:dyDescent="0.35"/>
    <row r="284" s="51" customFormat="1" x14ac:dyDescent="0.35"/>
    <row r="285" s="51" customFormat="1" x14ac:dyDescent="0.35"/>
    <row r="286" s="51" customFormat="1" x14ac:dyDescent="0.35"/>
    <row r="287" s="51" customFormat="1" x14ac:dyDescent="0.35"/>
    <row r="288" s="51" customFormat="1" x14ac:dyDescent="0.35"/>
    <row r="289" s="51" customFormat="1" x14ac:dyDescent="0.35"/>
    <row r="290" s="51" customFormat="1" x14ac:dyDescent="0.35"/>
    <row r="291" s="51" customFormat="1" x14ac:dyDescent="0.35"/>
    <row r="292" s="51" customFormat="1" x14ac:dyDescent="0.35"/>
    <row r="293" s="51" customFormat="1" x14ac:dyDescent="0.35"/>
    <row r="294" s="51" customFormat="1" x14ac:dyDescent="0.35"/>
    <row r="295" s="51" customFormat="1" x14ac:dyDescent="0.35"/>
    <row r="296" s="51" customFormat="1" x14ac:dyDescent="0.35"/>
    <row r="297" s="51" customFormat="1" x14ac:dyDescent="0.35"/>
    <row r="298" s="51" customFormat="1" x14ac:dyDescent="0.35"/>
    <row r="299" s="51" customFormat="1" x14ac:dyDescent="0.35"/>
    <row r="300" s="51" customFormat="1" x14ac:dyDescent="0.35"/>
    <row r="301" s="51" customFormat="1" x14ac:dyDescent="0.35"/>
    <row r="302" s="51" customFormat="1" x14ac:dyDescent="0.35"/>
    <row r="303" s="51" customFormat="1" x14ac:dyDescent="0.35"/>
    <row r="304" s="51" customFormat="1" x14ac:dyDescent="0.35"/>
    <row r="305" s="51" customFormat="1" x14ac:dyDescent="0.35"/>
    <row r="306" s="51" customFormat="1" x14ac:dyDescent="0.35"/>
    <row r="307" s="51" customFormat="1" x14ac:dyDescent="0.35"/>
    <row r="308" s="51" customFormat="1" x14ac:dyDescent="0.35"/>
    <row r="309" s="51" customFormat="1" x14ac:dyDescent="0.35"/>
    <row r="310" s="51" customFormat="1" x14ac:dyDescent="0.35"/>
    <row r="311" s="51" customFormat="1" x14ac:dyDescent="0.35"/>
    <row r="312" s="51" customFormat="1" x14ac:dyDescent="0.35"/>
    <row r="313" s="51" customFormat="1" x14ac:dyDescent="0.35"/>
    <row r="314" s="51" customFormat="1" x14ac:dyDescent="0.35"/>
    <row r="315" s="51" customFormat="1" x14ac:dyDescent="0.35"/>
    <row r="316" s="51" customFormat="1" x14ac:dyDescent="0.35"/>
    <row r="317" s="51" customFormat="1" x14ac:dyDescent="0.35"/>
    <row r="318" s="51" customFormat="1" x14ac:dyDescent="0.35"/>
    <row r="319" s="51" customFormat="1" x14ac:dyDescent="0.35"/>
    <row r="320" s="51" customFormat="1" x14ac:dyDescent="0.35"/>
    <row r="321" s="51" customFormat="1" x14ac:dyDescent="0.35"/>
    <row r="322" s="51" customFormat="1" x14ac:dyDescent="0.35"/>
    <row r="323" s="51" customFormat="1" x14ac:dyDescent="0.35"/>
    <row r="324" s="51" customFormat="1" x14ac:dyDescent="0.35"/>
    <row r="325" s="51" customFormat="1" x14ac:dyDescent="0.35"/>
    <row r="326" s="51" customFormat="1" x14ac:dyDescent="0.35"/>
    <row r="327" s="51" customFormat="1" x14ac:dyDescent="0.35"/>
    <row r="328" s="51" customFormat="1" x14ac:dyDescent="0.35"/>
    <row r="329" s="51" customFormat="1" x14ac:dyDescent="0.35"/>
    <row r="330" s="51" customFormat="1" x14ac:dyDescent="0.35"/>
    <row r="331" s="51" customFormat="1" x14ac:dyDescent="0.35"/>
    <row r="332" s="51" customFormat="1" x14ac:dyDescent="0.35"/>
    <row r="333" s="51" customFormat="1" x14ac:dyDescent="0.35"/>
    <row r="334" s="51" customFormat="1" x14ac:dyDescent="0.35"/>
    <row r="335" s="51" customFormat="1" x14ac:dyDescent="0.35"/>
    <row r="336" s="51" customFormat="1" x14ac:dyDescent="0.35"/>
    <row r="337" s="51" customFormat="1" x14ac:dyDescent="0.35"/>
    <row r="338" s="51" customFormat="1" x14ac:dyDescent="0.35"/>
    <row r="339" s="51" customFormat="1" x14ac:dyDescent="0.35"/>
    <row r="340" s="51" customFormat="1" x14ac:dyDescent="0.35"/>
    <row r="341" s="51" customFormat="1" x14ac:dyDescent="0.35"/>
    <row r="342" s="51" customFormat="1" x14ac:dyDescent="0.35"/>
    <row r="343" s="51" customFormat="1" x14ac:dyDescent="0.35"/>
    <row r="344" s="51" customFormat="1" x14ac:dyDescent="0.35"/>
    <row r="345" s="51" customFormat="1" x14ac:dyDescent="0.35"/>
    <row r="346" s="51" customFormat="1" x14ac:dyDescent="0.35"/>
  </sheetData>
  <mergeCells count="13">
    <mergeCell ref="A49:B49"/>
    <mergeCell ref="A50:B50"/>
    <mergeCell ref="A16:A17"/>
    <mergeCell ref="A18:A23"/>
    <mergeCell ref="A24:A25"/>
    <mergeCell ref="A26:A30"/>
    <mergeCell ref="A31:A33"/>
    <mergeCell ref="A39:A41"/>
    <mergeCell ref="A4:A6"/>
    <mergeCell ref="B4:B6"/>
    <mergeCell ref="A7:A9"/>
    <mergeCell ref="A10:A15"/>
    <mergeCell ref="A42:A44"/>
  </mergeCells>
  <conditionalFormatting sqref="A7:B7 B8:B9 A10:B46">
    <cfRule type="expression" dxfId="45" priority="114">
      <formula>IF($B$1=#REF!,1,0)</formula>
    </cfRule>
  </conditionalFormatting>
  <conditionalFormatting sqref="B23">
    <cfRule type="expression" dxfId="40" priority="123">
      <formula>IF($B$1=#REF!,1,0)</formula>
    </cfRule>
  </conditionalFormatting>
  <dataValidations count="1">
    <dataValidation type="list" allowBlank="1" showInputMessage="1" showErrorMessage="1" promptTitle="Wybierz" prompt="beneficjenta wsparcia" sqref="B1" xr:uid="{00000000-0002-0000-0000-000000000000}">
      <formula1>#REF!</formula1>
    </dataValidation>
  </dataValidations>
  <hyperlinks>
    <hyperlink ref="B11" location="'Wniosek kupno'!A5" display="Kupno lub kupno połączone z remontem" xr:uid="{00000000-0004-0000-0000-000000000000}"/>
    <hyperlink ref="B12" location="'Wniosek art 3 remontlubprzebudo'!Obszar_wydruku" display="Remont lub przebudowa budynku mieszkalnego" xr:uid="{00000000-0004-0000-0000-000001000000}"/>
    <hyperlink ref="B17" location="'Wnioski art 5a inne'!A1" display="Remont lub przebudowa budynku niemieszkalnego" xr:uid="{00000000-0004-0000-0000-000002000000}"/>
    <hyperlink ref="B20" location="'Wniosek art 3 remont'!A5" display="Remont lub przebudowa budynku niemieszkalnego lub mieszkalnego" xr:uid="{00000000-0004-0000-0000-000003000000}"/>
    <hyperlink ref="B27" location="'Wniosek kupno'!A5" display="Kupno lub kupno połączone z remontem" xr:uid="{00000000-0004-0000-0000-000004000000}"/>
    <hyperlink ref="B28" location="'Wniosek lm dla powodzian'!A5" display="Remont lub przebudowa budynku niemieszkalnego lub mieszkalnego" xr:uid="{00000000-0004-0000-0000-000005000000}"/>
    <hyperlink ref="B31" location="Ogrzewalnia!A5" display="Remont lub przebudowa budynku niemieszkalnego lub mieszkalnego z decyzją PINB (art. 66 ust. 2 lub art. 68 pkt 1 Prawa budowlanego)" xr:uid="{00000000-0004-0000-0000-000006000000}"/>
    <hyperlink ref="B32" location="Ogrzewalnia!A5" display="Zmiana sposobu użytkowania budynku" xr:uid="{00000000-0004-0000-0000-000007000000}"/>
    <hyperlink ref="B34" location="'Wniosek inne '!A5" display="Zmiana sposobu użytkowania budynku" xr:uid="{00000000-0004-0000-0000-000008000000}"/>
    <hyperlink ref="B35" location="'Wniosek kupno'!A5" display="Kupno lub kupno połączone z remontem" xr:uid="{00000000-0004-0000-0000-000009000000}"/>
    <hyperlink ref="B36" location="Noclegownia!A5" display="Remont lub przebudowa budynku niemieszkalnego lub mieszkalnego z decyzją PINB (art. 66 ust. 2 lub art. 68 pkt 1 Prawa budowlanego)" xr:uid="{00000000-0004-0000-0000-00000A000000}"/>
    <hyperlink ref="B37" location="Schronisko!A5" display="Remont lub przebudowa budynku niemieszkalnego lub mieszkalnego z decyzją PINB (art. 66 ust. 2 lub art. 68 pkt 1 Prawa budowlanego)" xr:uid="{00000000-0004-0000-0000-00000B000000}"/>
    <hyperlink ref="B38" location="Ogrzewalnia!A5" display="Remont lub przebudowa budynku niemieszkalnego lub mieszkalnego z decyzją PINB (art. 66 ust. 2 lub art. 68 pkt 1 Prawa budowlanego)" xr:uid="{00000000-0004-0000-0000-00000C000000}"/>
    <hyperlink ref="B39" location="Noclegownia!A5" display="Budowa budynku" xr:uid="{00000000-0004-0000-0000-00000D000000}"/>
    <hyperlink ref="B40" location="Noclegownia!A5" display="Remont lub przebudowa budynku niemieszkalnego lub mieszkalnego z decyzją PINB (art. 66 ust. 2 lub art. 68 pkt 1 Prawa budowlanego)" xr:uid="{00000000-0004-0000-0000-00000E000000}"/>
    <hyperlink ref="B41" location="Noclegownia!A5" display="Zmiana sposobu użytkowania budynku" xr:uid="{00000000-0004-0000-0000-00000F000000}"/>
    <hyperlink ref="B42" location="Schronisko!A5" display="Budowa budynku" xr:uid="{00000000-0004-0000-0000-000010000000}"/>
    <hyperlink ref="B43" location="Schronisko!A5" display="Remont lub przebudowa budynku niemieszkalnego lub mieszkalnego z decyzją PINB (art. 66 ust. 2 lub art. 68 pkt 1 Prawa budowlanego)" xr:uid="{00000000-0004-0000-0000-000011000000}"/>
    <hyperlink ref="B44" location="Schronisko!A5" display="Zmiana sposobu użytkowania budynku" xr:uid="{00000000-0004-0000-0000-000012000000}"/>
    <hyperlink ref="B33" location="Budowa_Ogrzewalni_mieszane!A5" display="Budowa budynku **" xr:uid="{00000000-0004-0000-0000-000013000000}"/>
    <hyperlink ref="B7" location="'Wniosek art 5 budowa'!A5" display="Budowa budynku" xr:uid="{00000000-0004-0000-0000-000014000000}"/>
    <hyperlink ref="B8" location="'Wnioski art 5 inne'!A1" display="Remont lub przebudowa budynku niemieszkalnego" xr:uid="{00000000-0004-0000-0000-000015000000}"/>
    <hyperlink ref="B24" location="'Wniosek art 5a budowa'!A5" display="Budowa budynku" xr:uid="{00000000-0004-0000-0000-000016000000}"/>
    <hyperlink ref="B25" location="'Wnioski art 5a inne'!A1" display="Remont lub przebudowa budynku niemieszkalnego lub mieszkalnego" xr:uid="{00000000-0004-0000-0000-000017000000}"/>
    <hyperlink ref="B10" location="'Wniosek art 3 budowa'!A5" display="Budowa budynku" xr:uid="{00000000-0004-0000-0000-000018000000}"/>
    <hyperlink ref="B16" location="'Wniosek art 5a budowa'!A5" display="Budowa budynku" xr:uid="{00000000-0004-0000-0000-000019000000}"/>
    <hyperlink ref="B26" location="'Wniosek lm dla powodzian'!A5" display="Budowa budynku" xr:uid="{00000000-0004-0000-0000-00001A000000}"/>
    <hyperlink ref="B14" location="'Wniosek inne '!A1" display="Zmiana sposobu użytkowania budynku" xr:uid="{00000000-0004-0000-0000-00001B000000}"/>
    <hyperlink ref="B22" location="'Wniosek inne '!A1" display="Zmiana sposobu użytkowania budynku" xr:uid="{00000000-0004-0000-0000-00001C000000}"/>
    <hyperlink ref="B29" location="'Wniosek lm dla powodzian'!A5" display="Zmiana sposobu użytkowania budynku" xr:uid="{00000000-0004-0000-0000-00001D000000}"/>
    <hyperlink ref="B15" location="'Wniosek inne '!Obszar_wydruku" display="Remont lub przebudowa lokalu mieszkalnego - premia remontowa" xr:uid="{00000000-0004-0000-0000-00001E000000}"/>
    <hyperlink ref="B23" location="'Wniosek inne '!A1" display="Remont lub przebudowa lokalu mieszkalnego " xr:uid="{00000000-0004-0000-0000-00001F000000}"/>
    <hyperlink ref="B30" location="'Wniosek lm dla powodzian'!A5" display="Remont lub przebudowa lokalu mieszkalnego - premia remontowa" xr:uid="{00000000-0004-0000-0000-000020000000}"/>
    <hyperlink ref="B45" location="'Przedsięwzięcia infrast gzm'!B5" display="budowa lub przebudowa" xr:uid="{00000000-0004-0000-0000-000021000000}"/>
    <hyperlink ref="B46" location="'Przedsięwzięcia infrast powiat'!B5" display="budowa lub przebudowa" xr:uid="{00000000-0004-0000-0000-000022000000}"/>
    <hyperlink ref="B13" location="'Wniosek inne '!A1" display="Remont lub przebudowa budynku niemieszkalnego" xr:uid="{00000000-0004-0000-0000-000023000000}"/>
    <hyperlink ref="B21" location="'Wniosek inne '!A5" display="Remont lub przebudowa budynku niemieszkalnego" xr:uid="{00000000-0004-0000-0000-000024000000}"/>
    <hyperlink ref="B9" location="'Wniosek SAN'!Obszar_wydruku" display="Remont lub przebudowa budynku SAN" xr:uid="{00000000-0004-0000-0000-000025000000}"/>
  </hyperlink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8" id="{446477FC-94E8-424B-9720-1B85140A703C}">
            <xm:f>IF($B$2='C:\Users\mkemp\Downloads\[Wniosek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A7:B7 B7:B33 A16:B17 A24:B25</xm:sqref>
        </x14:conditionalFormatting>
        <x14:conditionalFormatting xmlns:xm="http://schemas.microsoft.com/office/excel/2006/main">
          <x14:cfRule type="expression" priority="36" id="{11CCCEA3-4590-42DF-A266-40162743223D}">
            <xm:f>IF($B$3='C:\Users\mkemp\Downloads\[Wniosek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A7:B7 B8:B9</xm:sqref>
        </x14:conditionalFormatting>
        <x14:conditionalFormatting xmlns:xm="http://schemas.microsoft.com/office/excel/2006/main">
          <x14:cfRule type="expression" priority="29" id="{0BD9C4B5-EF34-4E27-A37F-3174991455A6}">
            <xm:f>IF($B$3='C:\Users\mkemp\Downloads\[Wniosek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A10:B46</xm:sqref>
        </x14:conditionalFormatting>
        <x14:conditionalFormatting xmlns:xm="http://schemas.microsoft.com/office/excel/2006/main">
          <x14:cfRule type="expression" priority="30" id="{31DE6BFA-31CF-4073-831B-714E2BA574F2}">
            <xm:f>IF($B$2='C:\Users\mkemp\Downloads\[Wniosek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A31:B46</xm:sqref>
        </x14:conditionalFormatting>
        <x14:conditionalFormatting xmlns:xm="http://schemas.microsoft.com/office/excel/2006/main">
          <x14:cfRule type="expression" priority="2" id="{0434489D-9895-4309-9CA1-5F68F224AD0E}">
            <xm:f>IF($B$3='C:\Users\mkemp\Downloads\[Wniosek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39" id="{154E910B-B71E-4859-946D-758876E257B6}">
            <xm:f>IF($B$2='C:\Users\mkemp\Downloads\[Wniosek BSK FD_od 15_03_2024v2.xlsx]Słowniki'!#REF!,1,0)</xm:f>
            <x14:dxf>
              <fill>
                <patternFill patternType="lightTrellis"/>
              </fill>
            </x14:dxf>
          </x14:cfRule>
          <xm:sqref>B39:B44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Wybierz" prompt="rodzaj realizowanego przedsięwzięcia" xr:uid="{00000000-0002-0000-0000-000001000000}">
          <x14:formula1>
            <xm:f>'\\bank\Public\DFM\BSK\OPTYMALIZACJA\Wnioski elktroniczne\[Wniosek BSK FD_od 15_03_2024v2.xlsx]Słowniki'!#REF!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5"/>
  <sheetViews>
    <sheetView showGridLines="0" tabSelected="1" zoomScaleNormal="100" workbookViewId="0">
      <selection activeCell="A37" sqref="A37:AL37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 customWidth="1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A5" s="95"/>
      <c r="B5" s="96"/>
      <c r="C5" s="96"/>
      <c r="D5" s="96"/>
      <c r="E5" s="96"/>
      <c r="F5" s="96"/>
      <c r="G5" s="12"/>
      <c r="H5" s="97">
        <f ca="1">TODAY()</f>
        <v>46058</v>
      </c>
      <c r="I5" s="97"/>
      <c r="J5" s="97"/>
      <c r="K5" s="97"/>
      <c r="L5" s="97"/>
      <c r="M5" s="13"/>
      <c r="N5"/>
      <c r="O5"/>
      <c r="P5"/>
      <c r="Q5"/>
      <c r="R5"/>
      <c r="S5"/>
      <c r="T5"/>
      <c r="U5"/>
      <c r="V5"/>
      <c r="W5"/>
      <c r="X5"/>
      <c r="Y5"/>
      <c r="Z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54" ht="14.5" x14ac:dyDescent="0.35">
      <c r="A6" s="98" t="s">
        <v>3</v>
      </c>
      <c r="B6" s="98"/>
      <c r="C6" s="98"/>
      <c r="D6" s="98"/>
      <c r="E6" s="98"/>
      <c r="F6" s="98"/>
      <c r="G6" s="14"/>
      <c r="H6" s="98" t="s">
        <v>91</v>
      </c>
      <c r="I6" s="98"/>
      <c r="J6" s="98"/>
      <c r="K6" s="98"/>
      <c r="L6" s="98"/>
      <c r="M6" s="13"/>
      <c r="N6"/>
      <c r="O6"/>
      <c r="P6"/>
      <c r="Q6"/>
      <c r="R6"/>
      <c r="S6"/>
      <c r="T6"/>
      <c r="U6"/>
      <c r="V6"/>
      <c r="W6"/>
      <c r="X6"/>
      <c r="Y6"/>
      <c r="Z6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88"/>
      <c r="AN6" s="88"/>
      <c r="AO6" s="88"/>
      <c r="AP6" s="88"/>
      <c r="AQ6" s="88"/>
      <c r="AR6" s="88"/>
    </row>
    <row r="7" spans="1:54" ht="14.5" x14ac:dyDescent="0.35">
      <c r="A7" s="20"/>
      <c r="B7" s="20"/>
      <c r="C7" s="20"/>
      <c r="D7" s="20"/>
      <c r="E7" s="20"/>
      <c r="F7" s="20"/>
      <c r="G7" s="14"/>
      <c r="H7" s="13"/>
      <c r="I7" s="13"/>
      <c r="J7" s="13"/>
      <c r="K7" s="13"/>
      <c r="L7" s="13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54" ht="62.5" customHeight="1" x14ac:dyDescent="0.3">
      <c r="A9" s="89" t="s">
        <v>130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</row>
    <row r="10" spans="1:54" ht="14.5" customHeight="1" x14ac:dyDescent="0.3">
      <c r="A10" s="91" t="s">
        <v>9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54" ht="14.5" customHeight="1" x14ac:dyDescent="0.3">
      <c r="A11" s="91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54" ht="39.5" customHeight="1" x14ac:dyDescent="0.3">
      <c r="A12" s="74" t="s">
        <v>11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54" ht="39.5" customHeight="1" x14ac:dyDescent="0.3">
      <c r="A13" s="74" t="s">
        <v>33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26" t="s">
        <v>85</v>
      </c>
    </row>
    <row r="14" spans="1:54" ht="39.5" customHeight="1" x14ac:dyDescent="0.3">
      <c r="A14" s="74" t="s">
        <v>34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26" t="s">
        <v>86</v>
      </c>
    </row>
    <row r="15" spans="1:54" ht="63.5" customHeight="1" x14ac:dyDescent="0.3">
      <c r="A15" s="74" t="s">
        <v>22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24"/>
    </row>
    <row r="16" spans="1:54" ht="39.5" customHeight="1" x14ac:dyDescent="0.3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</row>
    <row r="17" spans="1:39" ht="55" customHeight="1" x14ac:dyDescent="0.35">
      <c r="A17" s="74" t="s">
        <v>56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25" t="s">
        <v>90</v>
      </c>
    </row>
    <row r="18" spans="1:39" ht="73.5" customHeight="1" x14ac:dyDescent="0.3">
      <c r="A18" s="100" t="s">
        <v>43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</row>
    <row r="19" spans="1:39" ht="39.5" customHeight="1" x14ac:dyDescent="0.3">
      <c r="A19" s="108" t="s">
        <v>37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0"/>
      <c r="N19" s="74" t="s">
        <v>44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 t="s">
        <v>45</v>
      </c>
      <c r="AE19" s="74"/>
      <c r="AF19" s="74"/>
      <c r="AG19" s="74"/>
      <c r="AH19" s="74"/>
      <c r="AI19" s="74"/>
      <c r="AJ19" s="74"/>
      <c r="AK19" s="74"/>
      <c r="AL19" s="74"/>
    </row>
    <row r="20" spans="1:39" ht="39.5" customHeight="1" x14ac:dyDescent="0.3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9"/>
      <c r="AD20" s="80"/>
      <c r="AE20" s="80"/>
      <c r="AF20" s="80"/>
      <c r="AG20" s="80"/>
      <c r="AH20" s="80"/>
      <c r="AI20" s="80"/>
      <c r="AJ20" s="80"/>
      <c r="AK20" s="80"/>
      <c r="AL20" s="80"/>
      <c r="AM20" s="10" t="s">
        <v>87</v>
      </c>
    </row>
    <row r="21" spans="1:39" ht="39.5" customHeight="1" x14ac:dyDescent="0.3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9"/>
      <c r="AD21" s="80"/>
      <c r="AE21" s="80"/>
      <c r="AF21" s="80"/>
      <c r="AG21" s="80"/>
      <c r="AH21" s="80"/>
      <c r="AI21" s="80"/>
      <c r="AJ21" s="80"/>
      <c r="AK21" s="80"/>
      <c r="AL21" s="80"/>
      <c r="AM21" s="10" t="s">
        <v>51</v>
      </c>
    </row>
    <row r="22" spans="1:39" ht="39.5" customHeight="1" x14ac:dyDescent="0.3">
      <c r="A22" s="77" t="s">
        <v>47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9"/>
      <c r="AD22" s="80"/>
      <c r="AE22" s="80"/>
      <c r="AF22" s="80"/>
      <c r="AG22" s="80"/>
      <c r="AH22" s="80"/>
      <c r="AI22" s="80"/>
      <c r="AJ22" s="80"/>
      <c r="AK22" s="80"/>
      <c r="AL22" s="80"/>
    </row>
    <row r="23" spans="1:39" ht="39.5" customHeight="1" x14ac:dyDescent="0.3">
      <c r="A23" s="81" t="s">
        <v>48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82">
        <f>IF(U17=Słownik!D3,"",0)</f>
        <v>0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3"/>
      <c r="AD23" s="84">
        <f>IF(U17=Słownik!D3,"",0)</f>
        <v>0</v>
      </c>
      <c r="AE23" s="84"/>
      <c r="AF23" s="84"/>
      <c r="AG23" s="84"/>
      <c r="AH23" s="84"/>
      <c r="AI23" s="84"/>
      <c r="AJ23" s="84"/>
      <c r="AK23" s="84"/>
      <c r="AL23" s="84"/>
    </row>
    <row r="24" spans="1:39" ht="25.5" customHeight="1" x14ac:dyDescent="0.35">
      <c r="A24" s="74" t="s">
        <v>24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25">
        <f>IF(U24&lt;&gt;U31+U29+U30,"Czerwony kolor komórki (U24) oznacza, że wartość w nią wprowadzona nie jest równa sumie należnego finansowego wsparcia (U31), środków własnych (U29) i środków innych (U30). Prosimy o korektę celem doprowadzenie do zgodności wprowadzonych wartości.",)</f>
        <v>0</v>
      </c>
    </row>
    <row r="25" spans="1:39" ht="27.5" customHeight="1" x14ac:dyDescent="0.35">
      <c r="A25" s="74" t="s">
        <v>175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25" t="s">
        <v>133</v>
      </c>
    </row>
    <row r="26" spans="1:39" ht="14.5" customHeight="1" x14ac:dyDescent="0.35">
      <c r="A26" s="74" t="s">
        <v>55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107">
        <f>IF(A20=Słownik!C9,Słownik!H1,IF(U15=Słownik!D6,,IF(OR(U15=Słownik!A5,U15=Słownik!A6,U15=Słownik!A7,U15=Słownik!A8,U15=Słownik!A14),Słownik!D1,Słownik!D2)+IF(U17=Słownik!D3,Słownik!E1,Słownik!E2)))</f>
        <v>0</v>
      </c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25" t="s">
        <v>88</v>
      </c>
    </row>
    <row r="27" spans="1:39" ht="14.5" customHeight="1" x14ac:dyDescent="0.35">
      <c r="A27" s="74" t="s">
        <v>26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</row>
    <row r="28" spans="1:39" ht="14.5" customHeight="1" x14ac:dyDescent="0.3">
      <c r="A28" s="74" t="s">
        <v>30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</row>
    <row r="29" spans="1:39" ht="14.5" customHeight="1" x14ac:dyDescent="0.3">
      <c r="A29" s="74" t="s">
        <v>31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5">
        <f>U24-U31</f>
        <v>0</v>
      </c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</row>
    <row r="30" spans="1:39" ht="14.5" customHeight="1" x14ac:dyDescent="0.3">
      <c r="A30" s="74" t="s">
        <v>32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5">
        <v>0</v>
      </c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</row>
    <row r="31" spans="1:39" ht="29.5" customHeight="1" x14ac:dyDescent="0.35">
      <c r="A31" s="74" t="s">
        <v>25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105">
        <f>IF(ROUNDDOWN(U24*U26,2)&gt;=U25,U25,ROUNDDOWN(U24*U26,2))</f>
        <v>0</v>
      </c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25" t="s">
        <v>125</v>
      </c>
    </row>
    <row r="32" spans="1:39" ht="29.5" customHeight="1" x14ac:dyDescent="0.35">
      <c r="A32" s="74" t="s">
        <v>92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105">
        <f>IF(U31&lt;=U27,0,U31-U27)</f>
        <v>0</v>
      </c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25" t="s">
        <v>126</v>
      </c>
    </row>
    <row r="33" spans="1:54" ht="29.5" customHeight="1" x14ac:dyDescent="0.3">
      <c r="A33" s="74" t="s">
        <v>93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106">
        <f>IF(U27&gt;=U31,U27-U31,0)</f>
        <v>0</v>
      </c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25" t="s">
        <v>127</v>
      </c>
    </row>
    <row r="34" spans="1:54" ht="29.5" customHeight="1" x14ac:dyDescent="0.3">
      <c r="A34" s="74" t="s">
        <v>94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93" t="e">
        <f>U31/U24</f>
        <v>#DIV/0!</v>
      </c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25" t="s">
        <v>128</v>
      </c>
    </row>
    <row r="35" spans="1:54" ht="39.5" customHeight="1" x14ac:dyDescent="0.3">
      <c r="A35" s="74" t="s">
        <v>35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</row>
    <row r="36" spans="1:54" ht="39.5" customHeight="1" x14ac:dyDescent="0.3">
      <c r="A36" s="74" t="s">
        <v>176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</row>
    <row r="37" spans="1:54" ht="45" customHeight="1" x14ac:dyDescent="0.3">
      <c r="A37" s="108" t="s">
        <v>187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10"/>
    </row>
    <row r="38" spans="1:54" ht="70" customHeight="1" x14ac:dyDescent="0.3">
      <c r="A38" s="74" t="s">
        <v>177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</row>
    <row r="39" spans="1:54" ht="45" customHeight="1" x14ac:dyDescent="0.35">
      <c r="A39" s="101" t="s">
        <v>7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3"/>
      <c r="AM39" s="16"/>
      <c r="AN39" s="17"/>
    </row>
    <row r="40" spans="1:54" x14ac:dyDescent="0.3">
      <c r="A40" s="86" t="s">
        <v>89</v>
      </c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</row>
    <row r="41" spans="1:54" x14ac:dyDescent="0.3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</row>
    <row r="42" spans="1:54" x14ac:dyDescent="0.3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</row>
    <row r="43" spans="1:54" x14ac:dyDescent="0.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</row>
    <row r="44" spans="1:54" ht="153" customHeight="1" x14ac:dyDescent="0.35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</row>
    <row r="45" spans="1:54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</row>
  </sheetData>
  <sheetProtection algorithmName="SHA-512" hashValue="bixI9No1KqKTB7LJULLR3lO1uvweJliie78SBS4Q1aM/7Ka5Kk0P31bWviyd6GVLwGKFVsXK8vdlBxYTU57xRQ==" saltValue="oJvnwIAYcTZZj8ccVtx4Ug==" spinCount="100000" sheet="1" formatCells="0" formatRows="0" insertRows="0"/>
  <mergeCells count="65">
    <mergeCell ref="A37:AL37"/>
    <mergeCell ref="A36:AL36"/>
    <mergeCell ref="A39:AL39"/>
    <mergeCell ref="U35:AL35"/>
    <mergeCell ref="A38:AL38"/>
    <mergeCell ref="U17:AL17"/>
    <mergeCell ref="A17:T17"/>
    <mergeCell ref="U25:AL25"/>
    <mergeCell ref="A32:T32"/>
    <mergeCell ref="U32:AL32"/>
    <mergeCell ref="A33:T33"/>
    <mergeCell ref="U33:AL33"/>
    <mergeCell ref="A26:T26"/>
    <mergeCell ref="A31:T31"/>
    <mergeCell ref="U31:AL31"/>
    <mergeCell ref="U26:AL26"/>
    <mergeCell ref="A19:M19"/>
    <mergeCell ref="N19:AC19"/>
    <mergeCell ref="A5:F5"/>
    <mergeCell ref="H5:L5"/>
    <mergeCell ref="A6:F6"/>
    <mergeCell ref="H6:L6"/>
    <mergeCell ref="A12:T12"/>
    <mergeCell ref="A10:T10"/>
    <mergeCell ref="A13:T13"/>
    <mergeCell ref="U13:AL13"/>
    <mergeCell ref="A14:T14"/>
    <mergeCell ref="U14:AL14"/>
    <mergeCell ref="A18:AL18"/>
    <mergeCell ref="AD19:AL19"/>
    <mergeCell ref="A40:AL44"/>
    <mergeCell ref="AM6:AR6"/>
    <mergeCell ref="A9:AL9"/>
    <mergeCell ref="A11:T11"/>
    <mergeCell ref="U11:AL11"/>
    <mergeCell ref="U12:AL12"/>
    <mergeCell ref="A35:T35"/>
    <mergeCell ref="A34:T34"/>
    <mergeCell ref="U34:AL34"/>
    <mergeCell ref="U10:AL10"/>
    <mergeCell ref="U15:AL15"/>
    <mergeCell ref="A15:T16"/>
    <mergeCell ref="U16:AL16"/>
    <mergeCell ref="A24:T24"/>
    <mergeCell ref="U24:AL24"/>
    <mergeCell ref="A25:T25"/>
    <mergeCell ref="A20:M20"/>
    <mergeCell ref="N20:AC20"/>
    <mergeCell ref="AD20:AL20"/>
    <mergeCell ref="A21:M21"/>
    <mergeCell ref="N21:AC21"/>
    <mergeCell ref="AD21:AL21"/>
    <mergeCell ref="A22:M22"/>
    <mergeCell ref="N22:AC22"/>
    <mergeCell ref="AD22:AL22"/>
    <mergeCell ref="A23:M23"/>
    <mergeCell ref="N23:AC23"/>
    <mergeCell ref="AD23:AL23"/>
    <mergeCell ref="A29:T29"/>
    <mergeCell ref="U29:AL29"/>
    <mergeCell ref="A30:T30"/>
    <mergeCell ref="U30:AL30"/>
    <mergeCell ref="A27:T27"/>
    <mergeCell ref="U27:AL27"/>
    <mergeCell ref="A28:AL28"/>
  </mergeCells>
  <conditionalFormatting sqref="A5 H5">
    <cfRule type="expression" dxfId="38" priority="100">
      <formula>IF(A5="",1,0)</formula>
    </cfRule>
  </conditionalFormatting>
  <conditionalFormatting sqref="A20:A23">
    <cfRule type="expression" dxfId="37" priority="10">
      <formula>IF(A20="",1,0)</formula>
    </cfRule>
  </conditionalFormatting>
  <conditionalFormatting sqref="A39">
    <cfRule type="expression" dxfId="36" priority="93">
      <formula>IF(A39="",1,0)</formula>
    </cfRule>
  </conditionalFormatting>
  <conditionalFormatting sqref="N20:N23">
    <cfRule type="expression" dxfId="35" priority="9">
      <formula>IF(N20="",1,0)</formula>
    </cfRule>
  </conditionalFormatting>
  <conditionalFormatting sqref="U10:U17">
    <cfRule type="expression" dxfId="34" priority="2">
      <formula>IF(U10="",1,0)</formula>
    </cfRule>
  </conditionalFormatting>
  <conditionalFormatting sqref="U24:U27">
    <cfRule type="expression" dxfId="33" priority="6">
      <formula>IF(U24="",1,0)</formula>
    </cfRule>
  </conditionalFormatting>
  <conditionalFormatting sqref="U29:U35">
    <cfRule type="expression" dxfId="32" priority="4">
      <formula>IF(U29="",1,0)</formula>
    </cfRule>
  </conditionalFormatting>
  <conditionalFormatting sqref="U24:AL24">
    <cfRule type="expression" dxfId="31" priority="1">
      <formula>IF($U$24&lt;&gt;$U$31+$U$29+$U$30,1,0)</formula>
    </cfRule>
  </conditionalFormatting>
  <conditionalFormatting sqref="AD20:AD23">
    <cfRule type="expression" dxfId="30" priority="8">
      <formula>IF(AD20="",1,0)</formula>
    </cfRule>
  </conditionalFormatting>
  <dataValidations count="9">
    <dataValidation allowBlank="1" showErrorMessage="1" promptTitle="Wybierz" prompt="właściwe" sqref="A39:AL39" xr:uid="{00000000-0002-0000-0100-000000000000}"/>
    <dataValidation type="decimal" allowBlank="1" showInputMessage="1" showErrorMessage="1" sqref="U31:AL31" xr:uid="{00000000-0002-0000-0100-000001000000}">
      <formula1>0.01</formula1>
      <formula2>1.11111111111111E+64</formula2>
    </dataValidation>
    <dataValidation type="decimal" allowBlank="1" showInputMessage="1" showErrorMessage="1" sqref="U27:AL27 U29:AL30 U32:AL33" xr:uid="{00000000-0002-0000-0100-000002000000}">
      <formula1>0</formula1>
      <formula2>1.11111111111111E+64</formula2>
    </dataValidation>
    <dataValidation allowBlank="1" showInputMessage="1" showErrorMessage="1" promptTitle="Wprowadź" prompt="datę w formacie rrrr-mm-dd" sqref="U13:AL14" xr:uid="{00000000-0002-0000-0100-000003000000}"/>
    <dataValidation type="whole" allowBlank="1" showInputMessage="1" showErrorMessage="1" promptTitle="Wprowadź" prompt="liczbę" sqref="N20" xr:uid="{00000000-0002-0000-0100-000004000000}">
      <formula1>1</formula1>
      <formula2>1111111111111110</formula2>
    </dataValidation>
    <dataValidation allowBlank="1" showInputMessage="1" showErrorMessage="1" promptTitle="Wprowadź" prompt="powierzchnię użytkową" sqref="AD20:AL23" xr:uid="{00000000-0002-0000-0100-000005000000}"/>
    <dataValidation type="whole" allowBlank="1" showInputMessage="1" showErrorMessage="1" promptTitle="Wprowadź" prompt="liczbę" sqref="N21:AC23" xr:uid="{00000000-0002-0000-0100-000006000000}">
      <formula1>0</formula1>
      <formula2>1111111111111110</formula2>
    </dataValidation>
    <dataValidation type="decimal" allowBlank="1" showInputMessage="1" showErrorMessage="1" promptTitle="Wprowadź" prompt="kwotę faktycznego kosztu przedsięwzięcia" sqref="U24:AL24" xr:uid="{00000000-0002-0000-0100-000007000000}">
      <formula1>0.01</formula1>
      <formula2>1.11111111111111E+64</formula2>
    </dataValidation>
    <dataValidation type="decimal" allowBlank="1" showInputMessage="1" showErrorMessage="1" promptTitle="Wprowadź" prompt="kwotę finansowego wsparcia wynikającą z umowy" sqref="U25:AL25" xr:uid="{00000000-0002-0000-0100-000008000000}">
      <formula1>0.01</formula1>
      <formula2>1.11111111111111E+64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&amp;L&amp;F&amp;CStrona &amp;P z &amp;N&amp;R&amp;A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Wybierz" prompt="właściwy rodzaj przedsięwzięcia" xr:uid="{00000000-0002-0000-0100-000009000000}">
          <x14:formula1>
            <xm:f>Słownik!$A$5:$A$10</xm:f>
          </x14:formula1>
          <xm:sqref>U15:AL15</xm:sqref>
        </x14:dataValidation>
        <x14:dataValidation type="list" allowBlank="1" showInputMessage="1" showErrorMessage="1" promptTitle="Wybierz" prompt="właściwe lub nie dotyczy w przypadku gdy dotyczy jednego rodzaju przedsięwzięcia" xr:uid="{00000000-0002-0000-0100-00000A000000}">
          <x14:formula1>
            <xm:f>Słownik!$A$5:$A$11</xm:f>
          </x14:formula1>
          <xm:sqref>U16:AL16</xm:sqref>
        </x14:dataValidation>
        <x14:dataValidation type="list" allowBlank="1" showInputMessage="1" showErrorMessage="1" promptTitle="Wybierz" prompt="właściwy zasób" xr:uid="{00000000-0002-0000-0100-00000B000000}">
          <x14:formula1>
            <xm:f>Słownik!$C$2:$C$9</xm:f>
          </x14:formula1>
          <xm:sqref>A20:M20</xm:sqref>
        </x14:dataValidation>
        <x14:dataValidation type="list" allowBlank="1" showInputMessage="1" showErrorMessage="1" promptTitle="Wybierz" prompt="właściwy zasób" xr:uid="{00000000-0002-0000-0100-00000C000000}">
          <x14:formula1>
            <xm:f>Słownik!$C$12</xm:f>
          </x14:formula1>
          <xm:sqref>A22:M22</xm:sqref>
        </x14:dataValidation>
        <x14:dataValidation type="list" allowBlank="1" showInputMessage="1" showErrorMessage="1" promptTitle="Wybierz" prompt="właściwy zasób" xr:uid="{00000000-0002-0000-0100-00000D000000}">
          <x14:formula1>
            <xm:f>Słownik!$C$13</xm:f>
          </x14:formula1>
          <xm:sqref>A23:M23</xm:sqref>
        </x14:dataValidation>
        <x14:dataValidation type="list" allowBlank="1" showInputMessage="1" showErrorMessage="1" promptTitle="Wybierz" prompt="właściwe" xr:uid="{00000000-0002-0000-0100-00000F000000}">
          <x14:formula1>
            <xm:f>Słownik!$D$3:$D$4</xm:f>
          </x14:formula1>
          <xm:sqref>U17:AL17</xm:sqref>
        </x14:dataValidation>
        <x14:dataValidation type="list" allowBlank="1" showInputMessage="1" showErrorMessage="1" promptTitle="Wybierz" prompt="właściwy zasób w przypadku gdy utworzono więcej niż jeden zasób lub wybierz nie dotyczy" xr:uid="{00000000-0002-0000-0100-00000E000000}">
          <x14:formula1>
            <xm:f>Słownik!$C$2:$C$10</xm:f>
          </x14:formula1>
          <xm:sqref>A21:M21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"/>
  <sheetViews>
    <sheetView showGridLines="0" workbookViewId="0">
      <selection activeCell="A43" sqref="A43:AL43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 customWidth="1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A5" s="95"/>
      <c r="B5" s="96"/>
      <c r="C5" s="96"/>
      <c r="D5" s="96"/>
      <c r="E5" s="96"/>
      <c r="F5" s="96"/>
      <c r="G5" s="12"/>
      <c r="H5" s="97">
        <f ca="1">TODAY()</f>
        <v>46058</v>
      </c>
      <c r="I5" s="97"/>
      <c r="J5" s="97"/>
      <c r="K5" s="97"/>
      <c r="L5" s="97"/>
      <c r="M5" s="13"/>
      <c r="N5"/>
      <c r="O5"/>
      <c r="P5"/>
      <c r="Q5"/>
      <c r="R5"/>
      <c r="S5"/>
      <c r="T5"/>
      <c r="U5"/>
      <c r="V5"/>
      <c r="W5"/>
      <c r="X5"/>
      <c r="Y5"/>
      <c r="Z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54" ht="14.5" x14ac:dyDescent="0.35">
      <c r="A6" s="98" t="s">
        <v>3</v>
      </c>
      <c r="B6" s="98"/>
      <c r="C6" s="98"/>
      <c r="D6" s="98"/>
      <c r="E6" s="98"/>
      <c r="F6" s="98"/>
      <c r="G6" s="14"/>
      <c r="H6" s="98" t="s">
        <v>91</v>
      </c>
      <c r="I6" s="98"/>
      <c r="J6" s="98"/>
      <c r="K6" s="98"/>
      <c r="L6" s="98"/>
      <c r="M6" s="13"/>
      <c r="N6"/>
      <c r="O6"/>
      <c r="P6"/>
      <c r="Q6"/>
      <c r="R6"/>
      <c r="S6"/>
      <c r="T6"/>
      <c r="U6"/>
      <c r="V6"/>
      <c r="W6"/>
      <c r="X6"/>
      <c r="Y6"/>
      <c r="Z6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88"/>
      <c r="AN6" s="88"/>
      <c r="AO6" s="88"/>
      <c r="AP6" s="88"/>
      <c r="AQ6" s="88"/>
      <c r="AR6" s="88"/>
    </row>
    <row r="7" spans="1:54" ht="14.5" x14ac:dyDescent="0.35">
      <c r="A7" s="20"/>
      <c r="B7" s="20"/>
      <c r="C7" s="20"/>
      <c r="D7" s="20"/>
      <c r="E7" s="20"/>
      <c r="F7" s="20"/>
      <c r="G7" s="14"/>
      <c r="H7" s="13"/>
      <c r="I7" s="13"/>
      <c r="J7" s="13"/>
      <c r="K7" s="13"/>
      <c r="L7" s="13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54" ht="62.5" customHeight="1" x14ac:dyDescent="0.3">
      <c r="A9" s="89" t="s">
        <v>130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</row>
    <row r="10" spans="1:54" ht="14.5" customHeight="1" x14ac:dyDescent="0.3">
      <c r="A10" s="91" t="s">
        <v>9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54" ht="14.5" customHeight="1" x14ac:dyDescent="0.3">
      <c r="A11" s="91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54" ht="39.5" customHeight="1" x14ac:dyDescent="0.3">
      <c r="A12" s="74" t="s">
        <v>11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54" ht="39.5" customHeight="1" x14ac:dyDescent="0.3">
      <c r="A13" s="74" t="s">
        <v>33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26" t="s">
        <v>95</v>
      </c>
    </row>
    <row r="14" spans="1:54" ht="39.5" customHeight="1" x14ac:dyDescent="0.3">
      <c r="A14" s="74" t="s">
        <v>34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26" t="s">
        <v>86</v>
      </c>
    </row>
    <row r="15" spans="1:54" ht="39.5" customHeight="1" x14ac:dyDescent="0.3">
      <c r="A15" s="108" t="s">
        <v>99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/>
      <c r="U15" s="112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4"/>
      <c r="AM15" s="26" t="s">
        <v>100</v>
      </c>
    </row>
    <row r="16" spans="1:54" ht="31.5" customHeight="1" x14ac:dyDescent="0.3">
      <c r="A16" s="74" t="s">
        <v>22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24"/>
    </row>
    <row r="17" spans="1:39" ht="33.5" customHeight="1" x14ac:dyDescent="0.3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</row>
    <row r="18" spans="1:39" ht="55" customHeight="1" x14ac:dyDescent="0.35">
      <c r="A18" s="74" t="s">
        <v>56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25" t="s">
        <v>90</v>
      </c>
    </row>
    <row r="19" spans="1:39" ht="45" customHeight="1" x14ac:dyDescent="0.3">
      <c r="A19" s="100" t="s">
        <v>96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</row>
    <row r="20" spans="1:39" ht="39.5" customHeight="1" x14ac:dyDescent="0.3">
      <c r="A20" s="108" t="s">
        <v>37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0"/>
      <c r="N20" s="74" t="s">
        <v>44</v>
      </c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 t="s">
        <v>45</v>
      </c>
      <c r="AE20" s="74"/>
      <c r="AF20" s="74"/>
      <c r="AG20" s="74"/>
      <c r="AH20" s="74"/>
      <c r="AI20" s="74"/>
      <c r="AJ20" s="74"/>
      <c r="AK20" s="74"/>
      <c r="AL20" s="74"/>
    </row>
    <row r="21" spans="1:39" ht="39.5" customHeight="1" x14ac:dyDescent="0.3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9"/>
      <c r="AD21" s="80"/>
      <c r="AE21" s="80"/>
      <c r="AF21" s="80"/>
      <c r="AG21" s="80"/>
      <c r="AH21" s="80"/>
      <c r="AI21" s="80"/>
      <c r="AJ21" s="80"/>
      <c r="AK21" s="80"/>
      <c r="AL21" s="80"/>
      <c r="AM21" s="10" t="s">
        <v>87</v>
      </c>
    </row>
    <row r="22" spans="1:39" ht="39.5" customHeight="1" x14ac:dyDescent="0.3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9"/>
      <c r="AD22" s="80"/>
      <c r="AE22" s="80"/>
      <c r="AF22" s="80"/>
      <c r="AG22" s="80"/>
      <c r="AH22" s="80"/>
      <c r="AI22" s="80"/>
      <c r="AJ22" s="80"/>
      <c r="AK22" s="80"/>
      <c r="AL22" s="80"/>
      <c r="AM22" s="10" t="s">
        <v>51</v>
      </c>
    </row>
    <row r="23" spans="1:39" ht="39.5" customHeight="1" x14ac:dyDescent="0.3">
      <c r="A23" s="77" t="s">
        <v>47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9"/>
      <c r="AD23" s="80"/>
      <c r="AE23" s="80"/>
      <c r="AF23" s="80"/>
      <c r="AG23" s="80"/>
      <c r="AH23" s="80"/>
      <c r="AI23" s="80"/>
      <c r="AJ23" s="80"/>
      <c r="AK23" s="80"/>
      <c r="AL23" s="80"/>
    </row>
    <row r="24" spans="1:39" ht="39.5" customHeight="1" x14ac:dyDescent="0.3">
      <c r="A24" s="81" t="s">
        <v>48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82">
        <f>IF(U18=Słownik!D3,"",0)</f>
        <v>0</v>
      </c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3"/>
      <c r="AD24" s="84">
        <f>IF(U18=Słownik!D3,"",0)</f>
        <v>0</v>
      </c>
      <c r="AE24" s="84"/>
      <c r="AF24" s="84"/>
      <c r="AG24" s="84"/>
      <c r="AH24" s="84"/>
      <c r="AI24" s="84"/>
      <c r="AJ24" s="84"/>
      <c r="AK24" s="84"/>
      <c r="AL24" s="84"/>
    </row>
    <row r="25" spans="1:39" ht="61" customHeight="1" x14ac:dyDescent="0.35">
      <c r="A25" s="100" t="s">
        <v>109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25">
        <f>IF(U25&lt;&gt;U37+U32+U33+U34+U35,"Czerwony kolor komórki (U23) oznacza, że wartość w nią wprowadzona nie jest równa sumie należnego finansowego wsparcia (U31), środków własnych (U29), środkom RFRM (U31), środkom finansowania zwrotnego (U32) i środków innych (U33). Uzupełnij lub skoryguj.",)</f>
        <v>0</v>
      </c>
    </row>
    <row r="26" spans="1:39" ht="30" customHeight="1" x14ac:dyDescent="0.3">
      <c r="A26" s="74" t="s">
        <v>60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25" t="s">
        <v>116</v>
      </c>
    </row>
    <row r="27" spans="1:39" ht="71.5" customHeight="1" x14ac:dyDescent="0.3">
      <c r="A27" s="74" t="s">
        <v>110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28" t="s">
        <v>129</v>
      </c>
    </row>
    <row r="28" spans="1:39" ht="27.5" customHeight="1" x14ac:dyDescent="0.35">
      <c r="A28" s="74" t="s">
        <v>111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25" t="s">
        <v>133</v>
      </c>
    </row>
    <row r="29" spans="1:39" ht="14.5" customHeight="1" x14ac:dyDescent="0.35">
      <c r="A29" s="100" t="s">
        <v>55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17">
        <f>IF(U16=Słownik!D6,,IF(OR(U16=Słownik!A17,U16=Słownik!A18,U16=Słownik!A19,U16=Słownik!A20),Słownik!F1,Słownik!F2)+IF(U18=Słownik!D3,Słownik!E1,Słownik!E2)+IF(OR(U16=Słownik!A17,U16=Słownik!A18,U16=Słownik!A19,U16=Słownik!A20),IF(U26/U25&lt;=10%,U26/U25,10%),0))</f>
        <v>0</v>
      </c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25" t="s">
        <v>88</v>
      </c>
    </row>
    <row r="30" spans="1:39" ht="14.5" customHeight="1" x14ac:dyDescent="0.35">
      <c r="A30" s="100" t="s">
        <v>26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</row>
    <row r="31" spans="1:39" ht="14.5" customHeight="1" x14ac:dyDescent="0.3">
      <c r="A31" s="100" t="s">
        <v>30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</row>
    <row r="32" spans="1:39" ht="14.5" customHeight="1" x14ac:dyDescent="0.3">
      <c r="A32" s="100" t="s">
        <v>31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</row>
    <row r="33" spans="1:40" ht="25" customHeight="1" x14ac:dyDescent="0.3">
      <c r="A33" s="100" t="s">
        <v>61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25" t="s">
        <v>98</v>
      </c>
    </row>
    <row r="34" spans="1:40" ht="14.5" customHeight="1" x14ac:dyDescent="0.3">
      <c r="A34" s="100" t="s">
        <v>62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0" t="s">
        <v>97</v>
      </c>
    </row>
    <row r="35" spans="1:40" ht="14.5" customHeight="1" x14ac:dyDescent="0.3">
      <c r="A35" s="100" t="s">
        <v>32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</row>
    <row r="36" spans="1:40" ht="28" customHeight="1" x14ac:dyDescent="0.3">
      <c r="A36" s="100" t="s">
        <v>120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</row>
    <row r="37" spans="1:40" ht="29.5" customHeight="1" x14ac:dyDescent="0.35">
      <c r="A37" s="100" t="s">
        <v>25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18">
        <f>IF(ROUNDDOWN(U25*U29,2)&gt;=U28,IF(U28&gt;U27,U27,U28),ROUNDDOWN(U25*U29,2))</f>
        <v>0</v>
      </c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25" t="s">
        <v>115</v>
      </c>
    </row>
    <row r="38" spans="1:40" ht="29.5" customHeight="1" x14ac:dyDescent="0.35">
      <c r="A38" s="100" t="s">
        <v>92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18">
        <f>IF(U37&lt;=U30,0,U37-U30)</f>
        <v>0</v>
      </c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25" t="s">
        <v>114</v>
      </c>
    </row>
    <row r="39" spans="1:40" ht="29.5" customHeight="1" x14ac:dyDescent="0.3">
      <c r="A39" s="100" t="s">
        <v>93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19">
        <f>IF(U30&gt;=U37,U30-U37,0)</f>
        <v>0</v>
      </c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25" t="s">
        <v>113</v>
      </c>
    </row>
    <row r="40" spans="1:40" ht="29.5" customHeight="1" x14ac:dyDescent="0.3">
      <c r="A40" s="100" t="s">
        <v>94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20" t="e">
        <f>U37/U25</f>
        <v>#DIV/0!</v>
      </c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25" t="s">
        <v>112</v>
      </c>
    </row>
    <row r="41" spans="1:40" ht="39.5" customHeight="1" x14ac:dyDescent="0.3">
      <c r="A41" s="100" t="s">
        <v>35</v>
      </c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</row>
    <row r="42" spans="1:40" ht="39.5" customHeight="1" x14ac:dyDescent="0.3">
      <c r="A42" s="74" t="s">
        <v>176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</row>
    <row r="43" spans="1:40" ht="42" customHeight="1" x14ac:dyDescent="0.3">
      <c r="A43" s="108" t="s">
        <v>187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10"/>
    </row>
    <row r="44" spans="1:40" ht="73" customHeight="1" x14ac:dyDescent="0.3">
      <c r="A44" s="74" t="s">
        <v>179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</row>
    <row r="45" spans="1:40" ht="45" customHeight="1" x14ac:dyDescent="0.35">
      <c r="A45" s="101" t="s">
        <v>7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3"/>
      <c r="AM45" s="16"/>
      <c r="AN45" s="17"/>
    </row>
    <row r="46" spans="1:40" x14ac:dyDescent="0.3">
      <c r="A46" s="86" t="s">
        <v>89</v>
      </c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</row>
    <row r="47" spans="1:40" x14ac:dyDescent="0.3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</row>
    <row r="48" spans="1:40" x14ac:dyDescent="0.3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</row>
    <row r="49" spans="1:54" x14ac:dyDescent="0.3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54" ht="153" customHeight="1" x14ac:dyDescent="0.35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</row>
    <row r="51" spans="1:54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</row>
  </sheetData>
  <sheetProtection algorithmName="SHA-512" hashValue="L5W9I8OFMem83fE8svG51Q8hIi/o4E+kQ/QgTisiLaMMVnxB11sCcTOhpGo+HJC/aAFb5F+aNYBbfjYHAs5aZw==" saltValue="il0ros4H/2Ppqo0OhXCYew==" spinCount="100000" sheet="1" formatCells="0" insertRows="0"/>
  <mergeCells count="77">
    <mergeCell ref="A43:AL43"/>
    <mergeCell ref="A42:AL42"/>
    <mergeCell ref="A46:AL50"/>
    <mergeCell ref="A26:T26"/>
    <mergeCell ref="U26:AL26"/>
    <mergeCell ref="A27:T27"/>
    <mergeCell ref="U27:AL27"/>
    <mergeCell ref="A33:T33"/>
    <mergeCell ref="U33:AL33"/>
    <mergeCell ref="A34:T34"/>
    <mergeCell ref="U34:AL34"/>
    <mergeCell ref="A40:T40"/>
    <mergeCell ref="U40:AL40"/>
    <mergeCell ref="A41:T41"/>
    <mergeCell ref="U41:AL41"/>
    <mergeCell ref="A44:AL44"/>
    <mergeCell ref="A45:AL45"/>
    <mergeCell ref="A37:T37"/>
    <mergeCell ref="U37:AL37"/>
    <mergeCell ref="A38:T38"/>
    <mergeCell ref="U38:AL38"/>
    <mergeCell ref="A39:T39"/>
    <mergeCell ref="U39:AL39"/>
    <mergeCell ref="A35:T35"/>
    <mergeCell ref="U35:AL35"/>
    <mergeCell ref="A25:T25"/>
    <mergeCell ref="U25:AL25"/>
    <mergeCell ref="A28:T28"/>
    <mergeCell ref="U28:AL28"/>
    <mergeCell ref="A29:T29"/>
    <mergeCell ref="U29:AL29"/>
    <mergeCell ref="A30:T30"/>
    <mergeCell ref="U30:AL30"/>
    <mergeCell ref="A31:AL31"/>
    <mergeCell ref="A32:T32"/>
    <mergeCell ref="U32:AL32"/>
    <mergeCell ref="A23:M23"/>
    <mergeCell ref="N23:AC23"/>
    <mergeCell ref="AD23:AL23"/>
    <mergeCell ref="A24:M24"/>
    <mergeCell ref="N24:AC24"/>
    <mergeCell ref="AD24:AL24"/>
    <mergeCell ref="A21:M21"/>
    <mergeCell ref="N21:AC21"/>
    <mergeCell ref="AD21:AL21"/>
    <mergeCell ref="A22:M22"/>
    <mergeCell ref="N22:AC22"/>
    <mergeCell ref="AD22:AL22"/>
    <mergeCell ref="U15:AL15"/>
    <mergeCell ref="A18:T18"/>
    <mergeCell ref="U18:AL18"/>
    <mergeCell ref="A19:AL19"/>
    <mergeCell ref="A20:M20"/>
    <mergeCell ref="N20:AC20"/>
    <mergeCell ref="AD20:AL20"/>
    <mergeCell ref="AM6:AR6"/>
    <mergeCell ref="A10:T10"/>
    <mergeCell ref="U10:AL10"/>
    <mergeCell ref="A11:T11"/>
    <mergeCell ref="U11:AL11"/>
    <mergeCell ref="A9:AL9"/>
    <mergeCell ref="U36:AL36"/>
    <mergeCell ref="A36:T36"/>
    <mergeCell ref="A5:F5"/>
    <mergeCell ref="H5:L5"/>
    <mergeCell ref="A6:F6"/>
    <mergeCell ref="H6:L6"/>
    <mergeCell ref="A12:T12"/>
    <mergeCell ref="U12:AL12"/>
    <mergeCell ref="A13:T13"/>
    <mergeCell ref="U13:AL13"/>
    <mergeCell ref="A14:T14"/>
    <mergeCell ref="U14:AL14"/>
    <mergeCell ref="A16:T17"/>
    <mergeCell ref="U16:AL16"/>
    <mergeCell ref="U17:AL17"/>
    <mergeCell ref="A15:T15"/>
  </mergeCells>
  <conditionalFormatting sqref="A5 H5">
    <cfRule type="expression" dxfId="29" priority="35">
      <formula>IF(A5="",1,0)</formula>
    </cfRule>
  </conditionalFormatting>
  <conditionalFormatting sqref="A21:A24">
    <cfRule type="expression" dxfId="28" priority="12">
      <formula>IF(A21="",1,0)</formula>
    </cfRule>
  </conditionalFormatting>
  <conditionalFormatting sqref="A45">
    <cfRule type="expression" dxfId="27" priority="34">
      <formula>IF(A45="",1,0)</formula>
    </cfRule>
  </conditionalFormatting>
  <conditionalFormatting sqref="N21:N24">
    <cfRule type="expression" dxfId="26" priority="11">
      <formula>IF(N21="",1,0)</formula>
    </cfRule>
  </conditionalFormatting>
  <conditionalFormatting sqref="U10:U18">
    <cfRule type="expression" dxfId="25" priority="4">
      <formula>IF(U10="",1,0)</formula>
    </cfRule>
  </conditionalFormatting>
  <conditionalFormatting sqref="U25">
    <cfRule type="expression" dxfId="24" priority="28">
      <formula>IF(U25="",1,0)</formula>
    </cfRule>
  </conditionalFormatting>
  <conditionalFormatting sqref="U26:U30">
    <cfRule type="expression" dxfId="23" priority="3">
      <formula>IF(U26="",1,0)</formula>
    </cfRule>
  </conditionalFormatting>
  <conditionalFormatting sqref="U32:U41">
    <cfRule type="expression" dxfId="22" priority="1">
      <formula>IF(U32="",1,0)</formula>
    </cfRule>
  </conditionalFormatting>
  <conditionalFormatting sqref="U25:AL25">
    <cfRule type="expression" dxfId="21" priority="5">
      <formula>IF($U$25&lt;&gt;$U$37+$U$32+$U$33+$U$34+$U$35,1,0)</formula>
    </cfRule>
  </conditionalFormatting>
  <conditionalFormatting sqref="AD21:AD24">
    <cfRule type="expression" dxfId="20" priority="10">
      <formula>IF(AD21="",1,0)</formula>
    </cfRule>
  </conditionalFormatting>
  <dataValidations count="11">
    <dataValidation type="decimal" allowBlank="1" showInputMessage="1" showErrorMessage="1" promptTitle="Wprowadź" prompt="kwotę finansowego wsparcia wynikającą z umowy" sqref="U28:AL28" xr:uid="{00000000-0002-0000-0200-000000000000}">
      <formula1>0.01</formula1>
      <formula2>1.11111111111111E+64</formula2>
    </dataValidation>
    <dataValidation type="decimal" allowBlank="1" showInputMessage="1" showErrorMessage="1" promptTitle="Wprowadź" prompt="kwotę faktycznego kosztu przedsięwzięcia" sqref="U25:AL25" xr:uid="{00000000-0002-0000-0200-000001000000}">
      <formula1>0.01</formula1>
      <formula2>1.11111111111111E+64</formula2>
    </dataValidation>
    <dataValidation type="whole" allowBlank="1" showInputMessage="1" showErrorMessage="1" promptTitle="Wprowadź" prompt="liczbę" sqref="N23:AC24" xr:uid="{00000000-0002-0000-0200-000002000000}">
      <formula1>0</formula1>
      <formula2>1111111111111110</formula2>
    </dataValidation>
    <dataValidation allowBlank="1" showInputMessage="1" showErrorMessage="1" promptTitle="Wprowadź" prompt="powierzchnię użytkową" sqref="AD21:AL24" xr:uid="{00000000-0002-0000-0200-000003000000}"/>
    <dataValidation type="whole" allowBlank="1" showInputMessage="1" showErrorMessage="1" promptTitle="Wprowadź" prompt="liczbę" sqref="N21:N22" xr:uid="{00000000-0002-0000-0200-000004000000}">
      <formula1>1</formula1>
      <formula2>1111111111111110</formula2>
    </dataValidation>
    <dataValidation allowBlank="1" showInputMessage="1" showErrorMessage="1" promptTitle="Wprowadź" prompt="datę w formacie rrrr-mm-dd" sqref="U13:U15 V13:AL14" xr:uid="{00000000-0002-0000-0200-000005000000}"/>
    <dataValidation type="decimal" allowBlank="1" showInputMessage="1" showErrorMessage="1" sqref="U30:AL30 U38:AL39 U32:AL35" xr:uid="{00000000-0002-0000-0200-000006000000}">
      <formula1>0</formula1>
      <formula2>1.11111111111111E+64</formula2>
    </dataValidation>
    <dataValidation type="decimal" allowBlank="1" showInputMessage="1" showErrorMessage="1" sqref="U37:AL37" xr:uid="{00000000-0002-0000-0200-000007000000}">
      <formula1>0.01</formula1>
      <formula2>1.11111111111111E+64</formula2>
    </dataValidation>
    <dataValidation allowBlank="1" showErrorMessage="1" promptTitle="Wybierz" prompt="właściwe" sqref="A45:AL45" xr:uid="{00000000-0002-0000-0200-000008000000}"/>
    <dataValidation type="decimal" allowBlank="1" showInputMessage="1" showErrorMessage="1" promptTitle="Wprowadź" prompt="kwotowy udział wnioskodawcy w faktycznym koszcie przedsięwzięcia" sqref="U27:AL27" xr:uid="{00000000-0002-0000-0200-000009000000}">
      <formula1>0</formula1>
      <formula2>1.11111111111111E+64</formula2>
    </dataValidation>
    <dataValidation type="decimal" allowBlank="1" showInputMessage="1" showErrorMessage="1" promptTitle="Wprowadź" prompt="wartość gruntu w przypadku tworzenia mieszkań na wynajem" sqref="U26:AL26" xr:uid="{00000000-0002-0000-0200-00000A000000}">
      <formula1>0</formula1>
      <formula2>1.11111111111111E+64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&amp;L&amp;D&amp;F&amp;CStrona &amp;P z &amp;N&amp;R&amp;A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Wybierz" prompt="właściwe" xr:uid="{00000000-0002-0000-0200-00000B000000}">
          <x14:formula1>
            <xm:f>Słownik!$D$3:$D$4</xm:f>
          </x14:formula1>
          <xm:sqref>U18:AL18</xm:sqref>
        </x14:dataValidation>
        <x14:dataValidation type="list" allowBlank="1" showInputMessage="1" showErrorMessage="1" promptTitle="Wybierz" prompt="właściwy zasób w przypadku gdy utworzono więcej niż jeden zasób lub wybierz nie dotyczy" xr:uid="{00000000-0002-0000-0200-00000C000000}">
          <x14:formula1>
            <xm:f>Słownik!$C$17:$C$20</xm:f>
          </x14:formula1>
          <xm:sqref>A22:M22</xm:sqref>
        </x14:dataValidation>
        <x14:dataValidation type="list" allowBlank="1" showInputMessage="1" showErrorMessage="1" promptTitle="Wybierz" prompt="właściwy zasób" xr:uid="{00000000-0002-0000-0200-00000D000000}">
          <x14:formula1>
            <xm:f>Słownik!$C$13</xm:f>
          </x14:formula1>
          <xm:sqref>A24:M24</xm:sqref>
        </x14:dataValidation>
        <x14:dataValidation type="list" allowBlank="1" showInputMessage="1" showErrorMessage="1" promptTitle="Wybierz" prompt="właściwy zasób" xr:uid="{00000000-0002-0000-0200-00000E000000}">
          <x14:formula1>
            <xm:f>Słownik!$C$12</xm:f>
          </x14:formula1>
          <xm:sqref>A23:M23</xm:sqref>
        </x14:dataValidation>
        <x14:dataValidation type="list" allowBlank="1" showInputMessage="1" showErrorMessage="1" promptTitle="Wybierz" prompt="właściwy zasób" xr:uid="{00000000-0002-0000-0200-00000F000000}">
          <x14:formula1>
            <xm:f>Słownik!$C$2:$C$4</xm:f>
          </x14:formula1>
          <xm:sqref>A21:M21</xm:sqref>
        </x14:dataValidation>
        <x14:dataValidation type="list" allowBlank="1" showInputMessage="1" showErrorMessage="1" promptTitle="Wybierz" prompt="właściwy rodzaj przedsięwzięcia" xr:uid="{00000000-0002-0000-0200-000010000000}">
          <x14:formula1>
            <xm:f>Słownik!$A$17:$A$24</xm:f>
          </x14:formula1>
          <xm:sqref>U16:AL16</xm:sqref>
        </x14:dataValidation>
        <x14:dataValidation type="list" allowBlank="1" showInputMessage="1" showErrorMessage="1" promptTitle="Wybierz" prompt="właściwe lub nie dotyczy w przypadku gdy dotyczy jednego rodzaju przedsięwzięcia" xr:uid="{00000000-0002-0000-0200-000011000000}">
          <x14:formula1>
            <xm:f>Słownik!$A$26:$A$34</xm:f>
          </x14:formula1>
          <xm:sqref>U17:AL17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40"/>
  <sheetViews>
    <sheetView showGridLines="0" workbookViewId="0">
      <selection activeCell="A32" sqref="A32:AL32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 customWidth="1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A5" s="95"/>
      <c r="B5" s="96"/>
      <c r="C5" s="96"/>
      <c r="D5" s="96"/>
      <c r="E5" s="96"/>
      <c r="F5" s="96"/>
      <c r="G5" s="12"/>
      <c r="H5" s="97">
        <f ca="1">TODAY()</f>
        <v>46058</v>
      </c>
      <c r="I5" s="97"/>
      <c r="J5" s="97"/>
      <c r="K5" s="97"/>
      <c r="L5" s="97"/>
      <c r="M5" s="13"/>
      <c r="N5"/>
      <c r="O5"/>
      <c r="P5"/>
      <c r="Q5"/>
      <c r="R5"/>
      <c r="S5"/>
      <c r="T5"/>
      <c r="U5"/>
      <c r="V5"/>
      <c r="W5"/>
      <c r="X5"/>
      <c r="Y5"/>
      <c r="Z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54" ht="14.5" x14ac:dyDescent="0.35">
      <c r="A6" s="98" t="s">
        <v>3</v>
      </c>
      <c r="B6" s="98"/>
      <c r="C6" s="98"/>
      <c r="D6" s="98"/>
      <c r="E6" s="98"/>
      <c r="F6" s="98"/>
      <c r="G6" s="14"/>
      <c r="H6" s="98" t="s">
        <v>91</v>
      </c>
      <c r="I6" s="98"/>
      <c r="J6" s="98"/>
      <c r="K6" s="98"/>
      <c r="L6" s="98"/>
      <c r="M6" s="13"/>
      <c r="N6"/>
      <c r="O6"/>
      <c r="P6"/>
      <c r="Q6"/>
      <c r="R6"/>
      <c r="S6"/>
      <c r="T6"/>
      <c r="U6"/>
      <c r="V6"/>
      <c r="W6"/>
      <c r="X6"/>
      <c r="Y6"/>
      <c r="Z6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88"/>
      <c r="AN6" s="88"/>
      <c r="AO6" s="88"/>
      <c r="AP6" s="88"/>
      <c r="AQ6" s="88"/>
      <c r="AR6" s="88"/>
    </row>
    <row r="7" spans="1:54" ht="14.5" x14ac:dyDescent="0.35">
      <c r="A7" s="20"/>
      <c r="B7" s="20"/>
      <c r="C7" s="20"/>
      <c r="D7" s="20"/>
      <c r="E7" s="20"/>
      <c r="F7" s="20"/>
      <c r="G7" s="14"/>
      <c r="H7" s="13"/>
      <c r="I7" s="13"/>
      <c r="J7" s="13"/>
      <c r="K7" s="13"/>
      <c r="L7" s="13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54" ht="62.5" customHeight="1" x14ac:dyDescent="0.3">
      <c r="A9" s="123" t="s">
        <v>180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</row>
    <row r="10" spans="1:54" ht="14.5" customHeight="1" x14ac:dyDescent="0.3">
      <c r="A10" s="91" t="s">
        <v>9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54" ht="14.5" customHeight="1" x14ac:dyDescent="0.3">
      <c r="A11" s="91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54" ht="39.5" customHeight="1" x14ac:dyDescent="0.3">
      <c r="A12" s="74" t="s">
        <v>11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54" ht="39.5" customHeight="1" x14ac:dyDescent="0.3">
      <c r="A13" s="74" t="s">
        <v>33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26" t="s">
        <v>95</v>
      </c>
    </row>
    <row r="14" spans="1:54" ht="39.5" customHeight="1" x14ac:dyDescent="0.3">
      <c r="A14" s="74" t="s">
        <v>34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26" t="s">
        <v>86</v>
      </c>
    </row>
    <row r="15" spans="1:54" ht="31.5" customHeight="1" x14ac:dyDescent="0.3">
      <c r="A15" s="74" t="s">
        <v>22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24"/>
    </row>
    <row r="16" spans="1:54" ht="57.5" customHeight="1" x14ac:dyDescent="0.3">
      <c r="A16" s="100" t="s">
        <v>118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2"/>
    </row>
    <row r="17" spans="1:39" ht="58.5" customHeight="1" x14ac:dyDescent="0.3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25" t="s">
        <v>119</v>
      </c>
    </row>
    <row r="18" spans="1:39" ht="39.5" customHeight="1" x14ac:dyDescent="0.3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</row>
    <row r="19" spans="1:39" ht="61" customHeight="1" x14ac:dyDescent="0.35">
      <c r="A19" s="100" t="s">
        <v>109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25">
        <f>IF(U19&lt;&gt;U26+U24+U25,"Czerwony kolor komórki (U19) oznacza, że wartość w nią wprowadzona nie jest równa sumie należnego finansowego wsparcia (U28), środków własnych (U26) i środków innych (U27). Prosimy o korektę.",)</f>
        <v>0</v>
      </c>
    </row>
    <row r="20" spans="1:39" ht="27.5" customHeight="1" x14ac:dyDescent="0.35">
      <c r="A20" s="74" t="s">
        <v>111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25" t="s">
        <v>133</v>
      </c>
    </row>
    <row r="21" spans="1:39" ht="14.5" customHeight="1" x14ac:dyDescent="0.35">
      <c r="A21" s="100" t="s">
        <v>55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25" t="s">
        <v>88</v>
      </c>
    </row>
    <row r="22" spans="1:39" ht="14.5" customHeight="1" x14ac:dyDescent="0.35">
      <c r="A22" s="100" t="s">
        <v>26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</row>
    <row r="23" spans="1:39" ht="14.5" customHeight="1" x14ac:dyDescent="0.3">
      <c r="A23" s="100" t="s">
        <v>30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</row>
    <row r="24" spans="1:39" ht="14.5" customHeight="1" x14ac:dyDescent="0.3">
      <c r="A24" s="100" t="s">
        <v>31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</row>
    <row r="25" spans="1:39" ht="14.5" customHeight="1" x14ac:dyDescent="0.3">
      <c r="A25" s="100" t="s">
        <v>32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15">
        <v>0</v>
      </c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</row>
    <row r="26" spans="1:39" ht="29.5" customHeight="1" x14ac:dyDescent="0.35">
      <c r="A26" s="100" t="s">
        <v>25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18">
        <f>IF(ROUNDDOWN(U19*U21,2)&gt;=U20,U20,ROUNDDOWN(U19*U21,2))</f>
        <v>0</v>
      </c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25" t="s">
        <v>125</v>
      </c>
    </row>
    <row r="27" spans="1:39" ht="29.5" customHeight="1" x14ac:dyDescent="0.35">
      <c r="A27" s="100" t="s">
        <v>92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18">
        <f>IF(U26&lt;=U22,0,U26-U22)</f>
        <v>0</v>
      </c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25" t="s">
        <v>126</v>
      </c>
    </row>
    <row r="28" spans="1:39" ht="29.5" customHeight="1" x14ac:dyDescent="0.3">
      <c r="A28" s="100" t="s">
        <v>93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19">
        <f>IF(U22&gt;=U26,U22-U26,0)</f>
        <v>0</v>
      </c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25" t="s">
        <v>127</v>
      </c>
    </row>
    <row r="29" spans="1:39" ht="29.5" customHeight="1" x14ac:dyDescent="0.3">
      <c r="A29" s="100" t="s">
        <v>94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20" t="e">
        <f>U26/U19</f>
        <v>#DIV/0!</v>
      </c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25" t="s">
        <v>128</v>
      </c>
    </row>
    <row r="30" spans="1:39" ht="39.5" customHeight="1" x14ac:dyDescent="0.3">
      <c r="A30" s="100" t="s">
        <v>35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</row>
    <row r="31" spans="1:39" ht="39.5" customHeight="1" x14ac:dyDescent="0.3">
      <c r="A31" s="74" t="s">
        <v>176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</row>
    <row r="32" spans="1:39" ht="45" customHeight="1" x14ac:dyDescent="0.3">
      <c r="A32" s="108" t="s">
        <v>187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10"/>
    </row>
    <row r="33" spans="1:54" ht="71.5" customHeight="1" x14ac:dyDescent="0.3">
      <c r="A33" s="74" t="s">
        <v>178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</row>
    <row r="34" spans="1:54" ht="45" customHeight="1" x14ac:dyDescent="0.35">
      <c r="A34" s="101" t="s">
        <v>7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3"/>
      <c r="AM34" s="16"/>
      <c r="AN34" s="17"/>
    </row>
    <row r="35" spans="1:54" x14ac:dyDescent="0.3">
      <c r="A35" s="86" t="s">
        <v>89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</row>
    <row r="36" spans="1:54" x14ac:dyDescent="0.3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</row>
    <row r="37" spans="1:54" x14ac:dyDescent="0.3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</row>
    <row r="38" spans="1:54" x14ac:dyDescent="0.3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</row>
    <row r="39" spans="1:54" ht="153" customHeight="1" x14ac:dyDescent="0.35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</row>
  </sheetData>
  <sheetProtection algorithmName="SHA-512" hashValue="TnDhAoveGIjjhzRDZmmdulxGigQLbEqXk+L3cHKXgTmFKJnzoBqRM4FDDAft5sukPOWaVTG1/xX4DhM4jsGroA==" saltValue="zTP5C1Am7trK5ai7pYrlGg==" spinCount="100000" sheet="1" formatCells="0" insertRows="0"/>
  <mergeCells count="49">
    <mergeCell ref="A32:AL32"/>
    <mergeCell ref="A31:AL31"/>
    <mergeCell ref="A33:AL33"/>
    <mergeCell ref="A34:AL34"/>
    <mergeCell ref="A35:AL39"/>
    <mergeCell ref="A17:AL17"/>
    <mergeCell ref="A18:AL18"/>
    <mergeCell ref="A28:T28"/>
    <mergeCell ref="U28:AL28"/>
    <mergeCell ref="A29:T29"/>
    <mergeCell ref="U29:AL29"/>
    <mergeCell ref="A30:T30"/>
    <mergeCell ref="U30:AL30"/>
    <mergeCell ref="A25:T25"/>
    <mergeCell ref="U25:AL25"/>
    <mergeCell ref="A26:T26"/>
    <mergeCell ref="U26:AL26"/>
    <mergeCell ref="A27:T27"/>
    <mergeCell ref="U27:AL27"/>
    <mergeCell ref="A23:AL23"/>
    <mergeCell ref="A16:AL16"/>
    <mergeCell ref="AM6:AR6"/>
    <mergeCell ref="A9:AL9"/>
    <mergeCell ref="A10:T10"/>
    <mergeCell ref="A12:T12"/>
    <mergeCell ref="U12:AL12"/>
    <mergeCell ref="U10:AL10"/>
    <mergeCell ref="U11:AL11"/>
    <mergeCell ref="U13:AL13"/>
    <mergeCell ref="A22:T22"/>
    <mergeCell ref="U22:AL22"/>
    <mergeCell ref="A24:T24"/>
    <mergeCell ref="U24:AL24"/>
    <mergeCell ref="A20:T20"/>
    <mergeCell ref="U20:AL20"/>
    <mergeCell ref="A21:T21"/>
    <mergeCell ref="U21:AL21"/>
    <mergeCell ref="A19:T19"/>
    <mergeCell ref="U19:AL19"/>
    <mergeCell ref="A15:T15"/>
    <mergeCell ref="U15:AL15"/>
    <mergeCell ref="U14:AL14"/>
    <mergeCell ref="A5:F5"/>
    <mergeCell ref="H5:L5"/>
    <mergeCell ref="A6:F6"/>
    <mergeCell ref="H6:L6"/>
    <mergeCell ref="A14:T14"/>
    <mergeCell ref="A11:T11"/>
    <mergeCell ref="A13:T13"/>
  </mergeCells>
  <conditionalFormatting sqref="A5 H5 U10:U15 U19:U22">
    <cfRule type="expression" dxfId="19" priority="39">
      <formula>IF(A5="",1,0)</formula>
    </cfRule>
  </conditionalFormatting>
  <conditionalFormatting sqref="A17:A18">
    <cfRule type="expression" dxfId="18" priority="1">
      <formula>IF(A17="",1,0)</formula>
    </cfRule>
  </conditionalFormatting>
  <conditionalFormatting sqref="A34">
    <cfRule type="expression" dxfId="17" priority="38">
      <formula>IF(A34="",1,0)</formula>
    </cfRule>
  </conditionalFormatting>
  <conditionalFormatting sqref="U24:U30">
    <cfRule type="expression" dxfId="16" priority="11">
      <formula>IF(U24="",1,0)</formula>
    </cfRule>
  </conditionalFormatting>
  <conditionalFormatting sqref="U19:AL19">
    <cfRule type="expression" dxfId="15" priority="131">
      <formula>IF($U$19&lt;&gt;$U$26+$U$24+#REF!+#REF!+$U$25,1,0)</formula>
    </cfRule>
  </conditionalFormatting>
  <dataValidations count="6">
    <dataValidation allowBlank="1" showErrorMessage="1" promptTitle="Wybierz" prompt="właściwe" sqref="A34:AL34" xr:uid="{00000000-0002-0000-0300-000001000000}"/>
    <dataValidation type="decimal" allowBlank="1" showInputMessage="1" showErrorMessage="1" sqref="U26:AL26" xr:uid="{00000000-0002-0000-0300-000002000000}">
      <formula1>0.01</formula1>
      <formula2>1.11111111111111E+64</formula2>
    </dataValidation>
    <dataValidation type="decimal" allowBlank="1" showInputMessage="1" showErrorMessage="1" sqref="U22:AL22 U27:AL28 U24:AL25" xr:uid="{00000000-0002-0000-0300-000003000000}">
      <formula1>0</formula1>
      <formula2>1.11111111111111E+64</formula2>
    </dataValidation>
    <dataValidation allowBlank="1" showInputMessage="1" showErrorMessage="1" promptTitle="Wprowadź" prompt="datę w formacie rrrr-mm-dd" sqref="U13:AL14" xr:uid="{00000000-0002-0000-0300-000004000000}"/>
    <dataValidation type="decimal" allowBlank="1" showInputMessage="1" showErrorMessage="1" promptTitle="Wprowadź" prompt="kwotę faktycznego kosztu przedsięwzięcia" sqref="U19:AL19" xr:uid="{00000000-0002-0000-0300-000005000000}">
      <formula1>0.01</formula1>
      <formula2>1.11111111111111E+64</formula2>
    </dataValidation>
    <dataValidation type="decimal" allowBlank="1" showInputMessage="1" showErrorMessage="1" promptTitle="Wprowadź" prompt="kwotę finansowego wsparcia wynikającą z umowy" sqref="U20:AL20" xr:uid="{00000000-0002-0000-0300-000006000000}">
      <formula1>0.01</formula1>
      <formula2>1.11111111111111E+64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&amp;L&amp;D&amp;F&amp;CStrona &amp;P z &amp;N&amp;R&amp;A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Wybierz" prompt="właściwy rodzaj przedsięwzięcia" xr:uid="{00000000-0002-0000-0300-000007000000}">
          <x14:formula1>
            <xm:f>Słownik!$A$12:$A$13</xm:f>
          </x14:formula1>
          <xm:sqref>U15:AL15</xm:sqref>
        </x14:dataValidation>
        <x14:dataValidation type="list" allowBlank="1" showInputMessage="1" showErrorMessage="1" xr:uid="{00000000-0002-0000-0300-000008000000}">
          <x14:formula1>
            <xm:f>Słownik!$A$35:$A$50</xm:f>
          </x14:formula1>
          <xm:sqref>A17:AL17</xm:sqref>
        </x14:dataValidation>
        <x14:dataValidation type="list" allowBlank="1" showInputMessage="1" showErrorMessage="1" xr:uid="{00000000-0002-0000-0300-000009000000}">
          <x14:formula1>
            <xm:f>Słownik!$A$35:$A$51</xm:f>
          </x14:formula1>
          <xm:sqref>A18:AL18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936E-747F-431D-886B-B864454343AC}">
  <dimension ref="A1:BB42"/>
  <sheetViews>
    <sheetView showGridLines="0" workbookViewId="0">
      <selection activeCell="A34" sqref="A34:AL34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A5" s="95"/>
      <c r="B5" s="96"/>
      <c r="C5" s="96"/>
      <c r="D5" s="96"/>
      <c r="E5" s="96"/>
      <c r="F5" s="96"/>
      <c r="G5" s="12"/>
      <c r="H5" s="97">
        <f ca="1">TODAY()</f>
        <v>46058</v>
      </c>
      <c r="I5" s="97"/>
      <c r="J5" s="97"/>
      <c r="K5" s="97"/>
      <c r="L5" s="97"/>
      <c r="M5" s="13"/>
      <c r="N5"/>
      <c r="O5"/>
      <c r="P5"/>
      <c r="Q5"/>
      <c r="R5"/>
      <c r="S5"/>
      <c r="T5"/>
      <c r="U5"/>
      <c r="V5"/>
      <c r="W5"/>
      <c r="X5"/>
      <c r="Y5"/>
      <c r="Z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54" ht="14.5" x14ac:dyDescent="0.35">
      <c r="A6" s="98" t="s">
        <v>3</v>
      </c>
      <c r="B6" s="98"/>
      <c r="C6" s="98"/>
      <c r="D6" s="98"/>
      <c r="E6" s="98"/>
      <c r="F6" s="98"/>
      <c r="G6" s="14"/>
      <c r="H6" s="98" t="s">
        <v>91</v>
      </c>
      <c r="I6" s="98"/>
      <c r="J6" s="98"/>
      <c r="K6" s="98"/>
      <c r="L6" s="98"/>
      <c r="M6" s="13"/>
      <c r="N6"/>
      <c r="O6"/>
      <c r="P6"/>
      <c r="Q6"/>
      <c r="R6"/>
      <c r="S6"/>
      <c r="T6"/>
      <c r="U6"/>
      <c r="V6"/>
      <c r="W6"/>
      <c r="X6"/>
      <c r="Y6"/>
      <c r="Z6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88"/>
      <c r="AN6" s="88"/>
      <c r="AO6" s="88"/>
      <c r="AP6" s="88"/>
      <c r="AQ6" s="88"/>
      <c r="AR6" s="88"/>
    </row>
    <row r="7" spans="1:54" ht="14.5" x14ac:dyDescent="0.35">
      <c r="A7" s="20"/>
      <c r="B7" s="20"/>
      <c r="C7" s="20"/>
      <c r="D7" s="20"/>
      <c r="E7" s="20"/>
      <c r="F7" s="20"/>
      <c r="G7" s="14"/>
      <c r="H7" s="13"/>
      <c r="I7" s="13"/>
      <c r="J7" s="13"/>
      <c r="K7" s="13"/>
      <c r="L7" s="13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54" ht="62.5" customHeight="1" x14ac:dyDescent="0.3">
      <c r="A9" s="123" t="s">
        <v>180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</row>
    <row r="10" spans="1:54" ht="14.5" customHeight="1" x14ac:dyDescent="0.3">
      <c r="A10" s="91" t="s">
        <v>9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54" ht="14.5" customHeight="1" x14ac:dyDescent="0.3">
      <c r="A11" s="91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54" ht="39.5" customHeight="1" x14ac:dyDescent="0.3">
      <c r="A12" s="74" t="s">
        <v>11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54" ht="39.5" customHeight="1" x14ac:dyDescent="0.3">
      <c r="A13" s="74" t="s">
        <v>33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26" t="s">
        <v>95</v>
      </c>
    </row>
    <row r="14" spans="1:54" ht="39.5" customHeight="1" x14ac:dyDescent="0.3">
      <c r="A14" s="74" t="s">
        <v>34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26" t="s">
        <v>86</v>
      </c>
    </row>
    <row r="15" spans="1:54" ht="39.5" customHeight="1" x14ac:dyDescent="0.3">
      <c r="A15" s="108" t="s">
        <v>99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26" t="s">
        <v>117</v>
      </c>
    </row>
    <row r="16" spans="1:54" ht="31.5" customHeight="1" x14ac:dyDescent="0.3">
      <c r="A16" s="74" t="s">
        <v>22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24"/>
    </row>
    <row r="17" spans="1:39" ht="57.5" customHeight="1" x14ac:dyDescent="0.3">
      <c r="A17" s="100" t="s">
        <v>118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2"/>
    </row>
    <row r="18" spans="1:39" ht="58.5" customHeight="1" x14ac:dyDescent="0.3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25" t="s">
        <v>119</v>
      </c>
    </row>
    <row r="19" spans="1:39" ht="39.5" customHeight="1" x14ac:dyDescent="0.3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</row>
    <row r="20" spans="1:39" ht="61" customHeight="1" x14ac:dyDescent="0.35">
      <c r="A20" s="100" t="s">
        <v>109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25">
        <f>IF(U20&lt;&gt;U28+U26+U27,"Czerwony kolor komórki (U19) oznacza, że wartość w nią wprowadzona nie jest równa sumie należnego finansowego wsparcia (U28), środków własnych (U26) i środków innych (U27). Prosimy o korektę.",)</f>
        <v>0</v>
      </c>
    </row>
    <row r="21" spans="1:39" ht="71.5" customHeight="1" x14ac:dyDescent="0.3">
      <c r="A21" s="74" t="s">
        <v>110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27"/>
    </row>
    <row r="22" spans="1:39" ht="27.5" customHeight="1" x14ac:dyDescent="0.35">
      <c r="A22" s="74" t="s">
        <v>111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25" t="s">
        <v>133</v>
      </c>
    </row>
    <row r="23" spans="1:39" ht="14.5" customHeight="1" x14ac:dyDescent="0.35">
      <c r="A23" s="100" t="s">
        <v>55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25" t="s">
        <v>88</v>
      </c>
    </row>
    <row r="24" spans="1:39" ht="14.5" customHeight="1" x14ac:dyDescent="0.35">
      <c r="A24" s="100" t="s">
        <v>26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</row>
    <row r="25" spans="1:39" ht="14.5" customHeight="1" x14ac:dyDescent="0.3">
      <c r="A25" s="100" t="s">
        <v>30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</row>
    <row r="26" spans="1:39" ht="14.5" customHeight="1" x14ac:dyDescent="0.3">
      <c r="A26" s="100" t="s">
        <v>31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</row>
    <row r="27" spans="1:39" ht="14.5" customHeight="1" x14ac:dyDescent="0.3">
      <c r="A27" s="100" t="s">
        <v>32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15">
        <v>0</v>
      </c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</row>
    <row r="28" spans="1:39" ht="29.5" customHeight="1" x14ac:dyDescent="0.35">
      <c r="A28" s="100" t="s">
        <v>25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18">
        <f>IF(ROUNDDOWN(U20*U23,2)&gt;=U22,IF(U22&gt;U21,U21,U22),ROUNDDOWN(U20*U23,2))</f>
        <v>0</v>
      </c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25" t="s">
        <v>125</v>
      </c>
    </row>
    <row r="29" spans="1:39" ht="29.5" customHeight="1" x14ac:dyDescent="0.35">
      <c r="A29" s="100" t="s">
        <v>92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18">
        <f>IF(U28&lt;=U24,0,U28-U24)</f>
        <v>0</v>
      </c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25" t="s">
        <v>126</v>
      </c>
    </row>
    <row r="30" spans="1:39" ht="29.5" customHeight="1" x14ac:dyDescent="0.3">
      <c r="A30" s="100" t="s">
        <v>93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19">
        <f>IF(U24&gt;=U28,U24-U28,0)</f>
        <v>0</v>
      </c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25" t="s">
        <v>127</v>
      </c>
    </row>
    <row r="31" spans="1:39" ht="29.5" customHeight="1" x14ac:dyDescent="0.3">
      <c r="A31" s="100" t="s">
        <v>94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20" t="e">
        <f>U28/U20</f>
        <v>#DIV/0!</v>
      </c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25" t="s">
        <v>128</v>
      </c>
    </row>
    <row r="32" spans="1:39" ht="39.5" customHeight="1" x14ac:dyDescent="0.3">
      <c r="A32" s="100" t="s">
        <v>35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</row>
    <row r="33" spans="1:54" ht="39.5" customHeight="1" x14ac:dyDescent="0.3">
      <c r="A33" s="74" t="s">
        <v>176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</row>
    <row r="34" spans="1:54" ht="45.5" customHeight="1" x14ac:dyDescent="0.3">
      <c r="A34" s="108" t="s">
        <v>187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10"/>
    </row>
    <row r="35" spans="1:54" ht="71.5" customHeight="1" x14ac:dyDescent="0.3">
      <c r="A35" s="74" t="s">
        <v>178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</row>
    <row r="36" spans="1:54" ht="45" customHeight="1" x14ac:dyDescent="0.35">
      <c r="A36" s="101" t="s">
        <v>7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3"/>
      <c r="AM36" s="16"/>
      <c r="AN36" s="17"/>
    </row>
    <row r="37" spans="1:54" x14ac:dyDescent="0.3">
      <c r="A37" s="86" t="s">
        <v>89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</row>
    <row r="38" spans="1:54" x14ac:dyDescent="0.3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</row>
    <row r="39" spans="1:54" x14ac:dyDescent="0.3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</row>
    <row r="40" spans="1:54" x14ac:dyDescent="0.3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</row>
    <row r="41" spans="1:54" ht="153" customHeight="1" x14ac:dyDescent="0.35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  <row r="42" spans="1:54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</row>
  </sheetData>
  <sheetProtection algorithmName="SHA-512" hashValue="UatoqNfNdpwSa5P3wC548jgt4D8Eblz5mBCQ+neghZDJxRZc230dTEMUaUHUWZIUfKDZ6YiSXQtoOYX024zcYA==" saltValue="HN0fSSRIfQBMnpIXdjWLyw==" spinCount="100000" sheet="1" objects="1" scenarios="1"/>
  <mergeCells count="53">
    <mergeCell ref="A5:F5"/>
    <mergeCell ref="H5:L5"/>
    <mergeCell ref="A6:F6"/>
    <mergeCell ref="H6:L6"/>
    <mergeCell ref="AM6:AR6"/>
    <mergeCell ref="A10:T10"/>
    <mergeCell ref="U10:AL10"/>
    <mergeCell ref="A11:T11"/>
    <mergeCell ref="U11:AL11"/>
    <mergeCell ref="A9:AL9"/>
    <mergeCell ref="A12:T12"/>
    <mergeCell ref="U12:AL12"/>
    <mergeCell ref="A20:T20"/>
    <mergeCell ref="U20:AL20"/>
    <mergeCell ref="A13:T13"/>
    <mergeCell ref="U13:AL13"/>
    <mergeCell ref="A14:T14"/>
    <mergeCell ref="U14:AL14"/>
    <mergeCell ref="A15:T15"/>
    <mergeCell ref="U15:AL15"/>
    <mergeCell ref="A16:T16"/>
    <mergeCell ref="U16:AL16"/>
    <mergeCell ref="A17:AL17"/>
    <mergeCell ref="A18:AL18"/>
    <mergeCell ref="A19:AL19"/>
    <mergeCell ref="A27:T27"/>
    <mergeCell ref="U27:AL27"/>
    <mergeCell ref="A21:T21"/>
    <mergeCell ref="U21:AL21"/>
    <mergeCell ref="A22:T22"/>
    <mergeCell ref="U22:AL22"/>
    <mergeCell ref="A23:T23"/>
    <mergeCell ref="U23:AL23"/>
    <mergeCell ref="A24:T24"/>
    <mergeCell ref="U24:AL24"/>
    <mergeCell ref="A25:AL25"/>
    <mergeCell ref="A26:T26"/>
    <mergeCell ref="U26:AL26"/>
    <mergeCell ref="A28:T28"/>
    <mergeCell ref="U28:AL28"/>
    <mergeCell ref="A29:T29"/>
    <mergeCell ref="U29:AL29"/>
    <mergeCell ref="A30:T30"/>
    <mergeCell ref="U30:AL30"/>
    <mergeCell ref="A36:AL36"/>
    <mergeCell ref="A37:AL41"/>
    <mergeCell ref="A31:T31"/>
    <mergeCell ref="U31:AL31"/>
    <mergeCell ref="A32:T32"/>
    <mergeCell ref="U32:AL32"/>
    <mergeCell ref="A33:AL33"/>
    <mergeCell ref="A35:AL35"/>
    <mergeCell ref="A34:AL34"/>
  </mergeCells>
  <conditionalFormatting sqref="A5 H5">
    <cfRule type="expression" dxfId="14" priority="5">
      <formula>IF(A5="",1,0)</formula>
    </cfRule>
  </conditionalFormatting>
  <conditionalFormatting sqref="A18:A19">
    <cfRule type="expression" dxfId="13" priority="1">
      <formula>IF(A18="",1,0)</formula>
    </cfRule>
  </conditionalFormatting>
  <conditionalFormatting sqref="A36">
    <cfRule type="expression" dxfId="12" priority="4">
      <formula>IF(A36="",1,0)</formula>
    </cfRule>
  </conditionalFormatting>
  <conditionalFormatting sqref="U10:U16 U20:U24">
    <cfRule type="expression" dxfId="11" priority="2">
      <formula>IF(U10="",1,0)</formula>
    </cfRule>
  </conditionalFormatting>
  <conditionalFormatting sqref="U26:U32">
    <cfRule type="expression" dxfId="10" priority="3">
      <formula>IF(U26="",1,0)</formula>
    </cfRule>
  </conditionalFormatting>
  <conditionalFormatting sqref="U20:AL20">
    <cfRule type="expression" dxfId="9" priority="6">
      <formula>IF($U$20&lt;&gt;$U$28+$U$26+#REF!+#REF!+$U$27,1,0)</formula>
    </cfRule>
  </conditionalFormatting>
  <dataValidations count="7">
    <dataValidation type="decimal" allowBlank="1" showInputMessage="1" showErrorMessage="1" promptTitle="Wprowadź" prompt="kwotę finansowego wsparcia wynikającą z umowy" sqref="U22:AL22" xr:uid="{92DE920C-A246-4111-94AF-025BB2CCE18E}">
      <formula1>0.01</formula1>
      <formula2>1.11111111111111E+64</formula2>
    </dataValidation>
    <dataValidation type="decimal" allowBlank="1" showInputMessage="1" showErrorMessage="1" promptTitle="Wprowadź" prompt="kwotę faktycznego kosztu przedsięwzięcia" sqref="U20:AL20" xr:uid="{C3264A36-89D0-4D99-8989-E8F99B7CD7F5}">
      <formula1>0.01</formula1>
      <formula2>1.11111111111111E+64</formula2>
    </dataValidation>
    <dataValidation allowBlank="1" showInputMessage="1" showErrorMessage="1" promptTitle="Wprowadź" prompt="datę w formacie rrrr-mm-dd" sqref="U13:AL15" xr:uid="{B105E158-4C26-4179-818B-7D13BAA499FC}"/>
    <dataValidation type="decimal" allowBlank="1" showInputMessage="1" showErrorMessage="1" sqref="U24:AL24 U29:AL30 U26:AL27" xr:uid="{5645CDE6-3491-4E64-B0B3-6E8A06EF5E1F}">
      <formula1>0</formula1>
      <formula2>1.11111111111111E+64</formula2>
    </dataValidation>
    <dataValidation type="decimal" allowBlank="1" showInputMessage="1" showErrorMessage="1" sqref="U28:AL28" xr:uid="{1A54D6D2-4F4E-43B9-A870-5E66F4FD891B}">
      <formula1>0.01</formula1>
      <formula2>1.11111111111111E+64</formula2>
    </dataValidation>
    <dataValidation allowBlank="1" showErrorMessage="1" promptTitle="Wybierz" prompt="właściwe" sqref="A36:AL36" xr:uid="{EFD056BA-48AD-4394-80EC-BB0359063006}"/>
    <dataValidation type="decimal" allowBlank="1" showInputMessage="1" showErrorMessage="1" promptTitle="Wprowadź" prompt="kwotowy udział wnioskodawcy w faktycznym koszcie przedsięwzięcia" sqref="U21:AL21" xr:uid="{06EFF3ED-0D45-4EB0-89BD-C03AC73C6875}">
      <formula1>0</formula1>
      <formula2>1.11111111111111E+64</formula2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7ADA9B-3B9F-4A58-B0DB-45F6ABEC497F}">
          <x14:formula1>
            <xm:f>Słownik!$A$35:$A$51</xm:f>
          </x14:formula1>
          <xm:sqref>A19:AL19</xm:sqref>
        </x14:dataValidation>
        <x14:dataValidation type="list" allowBlank="1" showInputMessage="1" showErrorMessage="1" xr:uid="{D1B6D512-51B0-4637-A939-1D29B2A3455E}">
          <x14:formula1>
            <xm:f>Słownik!$A$35:$A$50</xm:f>
          </x14:formula1>
          <xm:sqref>A18:AL18</xm:sqref>
        </x14:dataValidation>
        <x14:dataValidation type="list" allowBlank="1" showInputMessage="1" showErrorMessage="1" promptTitle="Wybierz" prompt="właściwy rodzaj przedsięwzięcia" xr:uid="{3CC3A3D7-831C-41FC-866A-6047C99A66E1}">
          <x14:formula1>
            <xm:f>Słownik!$A$12:$A$13</xm:f>
          </x14:formula1>
          <xm:sqref>U16:AL16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1594-1AAA-4158-B9B6-75C185A3DD20}">
  <dimension ref="A1:BB41"/>
  <sheetViews>
    <sheetView showGridLines="0" zoomScaleNormal="100" workbookViewId="0">
      <selection activeCell="A33" sqref="A33:AL33"/>
    </sheetView>
  </sheetViews>
  <sheetFormatPr defaultColWidth="9.1796875" defaultRowHeight="14" x14ac:dyDescent="0.3"/>
  <cols>
    <col min="1" max="1" width="3.26953125" style="2" customWidth="1"/>
    <col min="2" max="2" width="4" style="2" customWidth="1"/>
    <col min="3" max="3" width="2.1796875" style="2" customWidth="1"/>
    <col min="4" max="4" width="2.54296875" style="2" customWidth="1"/>
    <col min="5" max="5" width="2" style="2" customWidth="1"/>
    <col min="6" max="6" width="1.7265625" style="2" customWidth="1"/>
    <col min="7" max="7" width="1.453125" style="2" customWidth="1"/>
    <col min="8" max="8" width="2.26953125" style="2" customWidth="1"/>
    <col min="9" max="9" width="2.453125" style="2" customWidth="1"/>
    <col min="10" max="10" width="1.54296875" style="2" customWidth="1"/>
    <col min="11" max="11" width="1.7265625" style="2" customWidth="1"/>
    <col min="12" max="12" width="5.26953125" style="2" customWidth="1"/>
    <col min="13" max="13" width="0.81640625" style="2" customWidth="1"/>
    <col min="14" max="14" width="3.453125" style="2" customWidth="1"/>
    <col min="15" max="15" width="2.54296875" style="2" customWidth="1"/>
    <col min="16" max="17" width="1.54296875" style="2" customWidth="1"/>
    <col min="18" max="18" width="1.26953125" style="2" customWidth="1"/>
    <col min="19" max="19" width="2.1796875" style="2" customWidth="1"/>
    <col min="20" max="20" width="1.26953125" style="2" customWidth="1"/>
    <col min="21" max="21" width="1" style="2" customWidth="1"/>
    <col min="22" max="22" width="0.81640625" style="2" customWidth="1"/>
    <col min="23" max="23" width="3" style="2" customWidth="1"/>
    <col min="24" max="24" width="1.26953125" style="2" customWidth="1"/>
    <col min="25" max="25" width="1.453125" style="2" customWidth="1"/>
    <col min="26" max="26" width="1.26953125" style="2" customWidth="1"/>
    <col min="27" max="27" width="1.1796875" style="2" customWidth="1"/>
    <col min="28" max="28" width="2" style="2" customWidth="1"/>
    <col min="29" max="29" width="1" style="2" customWidth="1"/>
    <col min="30" max="30" width="1.81640625" style="2" customWidth="1"/>
    <col min="31" max="31" width="1.7265625" style="2" customWidth="1"/>
    <col min="32" max="32" width="1.1796875" style="2" customWidth="1"/>
    <col min="33" max="33" width="1.81640625" style="2" customWidth="1"/>
    <col min="34" max="34" width="2.26953125" style="2" customWidth="1"/>
    <col min="35" max="35" width="1.453125" style="2" customWidth="1"/>
    <col min="36" max="36" width="4" style="2" customWidth="1"/>
    <col min="37" max="37" width="9.1796875" style="2" customWidth="1"/>
    <col min="38" max="38" width="5.7265625" style="2" customWidth="1"/>
    <col min="39" max="39" width="114.1796875" style="10" customWidth="1"/>
    <col min="40" max="41" width="13.6328125" style="3" bestFit="1" customWidth="1"/>
    <col min="42" max="42" width="15.6328125" style="2" bestFit="1" customWidth="1"/>
    <col min="43" max="16384" width="9.1796875" style="2"/>
  </cols>
  <sheetData>
    <row r="1" spans="1:54" x14ac:dyDescent="0.3">
      <c r="A1" s="4" t="s">
        <v>173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9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</row>
    <row r="2" spans="1:54" x14ac:dyDescent="0.3">
      <c r="A2" s="4" t="s">
        <v>132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11" t="s">
        <v>84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spans="1:54" x14ac:dyDescent="0.3">
      <c r="A3" s="4" t="s">
        <v>131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11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ht="14.5" x14ac:dyDescent="0.35">
      <c r="N4"/>
      <c r="O4"/>
      <c r="P4"/>
      <c r="Q4"/>
      <c r="R4"/>
      <c r="S4"/>
      <c r="T4"/>
      <c r="U4"/>
      <c r="V4"/>
      <c r="W4"/>
      <c r="X4"/>
      <c r="Y4"/>
      <c r="Z4"/>
    </row>
    <row r="5" spans="1:54" ht="14.5" x14ac:dyDescent="0.35">
      <c r="A5" s="95"/>
      <c r="B5" s="96"/>
      <c r="C5" s="96"/>
      <c r="D5" s="96"/>
      <c r="E5" s="96"/>
      <c r="F5" s="96"/>
      <c r="G5" s="12"/>
      <c r="H5" s="97">
        <f ca="1">TODAY()</f>
        <v>46058</v>
      </c>
      <c r="I5" s="97"/>
      <c r="J5" s="97"/>
      <c r="K5" s="97"/>
      <c r="L5" s="97"/>
      <c r="M5" s="13"/>
      <c r="N5"/>
      <c r="O5"/>
      <c r="P5"/>
      <c r="Q5"/>
      <c r="R5"/>
      <c r="S5"/>
      <c r="T5"/>
      <c r="U5"/>
      <c r="V5"/>
      <c r="W5"/>
      <c r="X5"/>
      <c r="Y5"/>
      <c r="Z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54" ht="14.5" x14ac:dyDescent="0.35">
      <c r="A6" s="98" t="s">
        <v>3</v>
      </c>
      <c r="B6" s="98"/>
      <c r="C6" s="98"/>
      <c r="D6" s="98"/>
      <c r="E6" s="98"/>
      <c r="F6" s="98"/>
      <c r="G6" s="14"/>
      <c r="H6" s="98" t="s">
        <v>91</v>
      </c>
      <c r="I6" s="98"/>
      <c r="J6" s="98"/>
      <c r="K6" s="98"/>
      <c r="L6" s="98"/>
      <c r="M6" s="13"/>
      <c r="N6"/>
      <c r="O6"/>
      <c r="P6"/>
      <c r="Q6"/>
      <c r="R6"/>
      <c r="S6"/>
      <c r="T6"/>
      <c r="U6"/>
      <c r="V6"/>
      <c r="W6"/>
      <c r="X6"/>
      <c r="Y6"/>
      <c r="Z6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88"/>
      <c r="AN6" s="88"/>
      <c r="AO6" s="88"/>
      <c r="AP6" s="88"/>
      <c r="AQ6" s="88"/>
      <c r="AR6" s="88"/>
    </row>
    <row r="7" spans="1:54" ht="14.5" x14ac:dyDescent="0.35">
      <c r="A7" s="20"/>
      <c r="B7" s="20"/>
      <c r="C7" s="20"/>
      <c r="D7" s="20"/>
      <c r="E7" s="20"/>
      <c r="F7" s="20"/>
      <c r="G7" s="14"/>
      <c r="H7" s="13"/>
      <c r="I7" s="13"/>
      <c r="J7" s="13"/>
      <c r="K7" s="13"/>
      <c r="L7" s="13"/>
      <c r="M7" s="13"/>
      <c r="N7"/>
      <c r="O7"/>
      <c r="P7"/>
      <c r="Q7"/>
      <c r="R7"/>
      <c r="S7"/>
      <c r="T7"/>
      <c r="U7"/>
      <c r="V7"/>
      <c r="W7"/>
      <c r="X7"/>
      <c r="Y7"/>
      <c r="Z7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</row>
    <row r="8" spans="1:54" ht="14.5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</row>
    <row r="9" spans="1:54" ht="62.5" customHeight="1" x14ac:dyDescent="0.3">
      <c r="A9" s="89" t="s">
        <v>130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</row>
    <row r="10" spans="1:54" ht="14.5" customHeight="1" x14ac:dyDescent="0.3">
      <c r="A10" s="91" t="s">
        <v>9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</row>
    <row r="11" spans="1:54" ht="14.5" customHeight="1" x14ac:dyDescent="0.3">
      <c r="A11" s="91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</row>
    <row r="12" spans="1:54" ht="39.5" customHeight="1" x14ac:dyDescent="0.3">
      <c r="A12" s="74" t="s">
        <v>11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</row>
    <row r="13" spans="1:54" ht="39.5" customHeight="1" x14ac:dyDescent="0.3">
      <c r="A13" s="74" t="s">
        <v>33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26" t="s">
        <v>85</v>
      </c>
    </row>
    <row r="14" spans="1:54" ht="39.5" customHeight="1" x14ac:dyDescent="0.3">
      <c r="A14" s="74" t="s">
        <v>34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26" t="s">
        <v>86</v>
      </c>
    </row>
    <row r="15" spans="1:54" ht="63.5" customHeight="1" x14ac:dyDescent="0.3">
      <c r="A15" s="74" t="s">
        <v>22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94" t="s">
        <v>14</v>
      </c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24"/>
    </row>
    <row r="16" spans="1:54" ht="39.5" customHeight="1" x14ac:dyDescent="0.3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</row>
    <row r="17" spans="1:54" s="3" customFormat="1" ht="73.5" customHeight="1" x14ac:dyDescent="0.3">
      <c r="A17" s="100" t="s">
        <v>183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s="3" customFormat="1" ht="39.5" customHeight="1" x14ac:dyDescent="0.3">
      <c r="A18" s="108" t="s">
        <v>37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  <c r="N18" s="125" t="s">
        <v>184</v>
      </c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6"/>
      <c r="AB18" s="125" t="s">
        <v>185</v>
      </c>
      <c r="AC18" s="127"/>
      <c r="AD18" s="127"/>
      <c r="AE18" s="127"/>
      <c r="AF18" s="127"/>
      <c r="AG18" s="127"/>
      <c r="AH18" s="127"/>
      <c r="AI18" s="127"/>
      <c r="AJ18" s="126"/>
      <c r="AK18" s="125" t="s">
        <v>45</v>
      </c>
      <c r="AL18" s="126"/>
      <c r="AM18" s="10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s="3" customFormat="1" ht="39.5" customHeight="1" x14ac:dyDescent="0.3">
      <c r="A19" s="85" t="s">
        <v>186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128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8"/>
      <c r="AC19" s="129"/>
      <c r="AD19" s="129"/>
      <c r="AE19" s="129"/>
      <c r="AF19" s="129"/>
      <c r="AG19" s="129"/>
      <c r="AH19" s="129"/>
      <c r="AI19" s="129"/>
      <c r="AJ19" s="129"/>
      <c r="AK19" s="130"/>
      <c r="AL19" s="131"/>
      <c r="AM19" s="10" t="s">
        <v>87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s="3" customFormat="1" ht="25.5" customHeight="1" x14ac:dyDescent="0.35">
      <c r="A20" s="74" t="s">
        <v>24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25">
        <f>IF(U20&lt;&gt;U27+U25+U26,"Czerwony kolor komórki (U24) oznacza, że wartość w nią wprowadzona nie jest równa sumie należnego finansowego wsparcia (U31), środków własnych (U29) i środków innych (U30). Prosimy o korektę celem doprowadzenie do zgodności wprowadzonych wartości.",)</f>
        <v>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s="3" customFormat="1" ht="27.5" customHeight="1" x14ac:dyDescent="0.35">
      <c r="A21" s="74" t="s">
        <v>175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25" t="s">
        <v>133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s="3" customFormat="1" ht="14.5" customHeight="1" x14ac:dyDescent="0.35">
      <c r="A22" s="74" t="s">
        <v>55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107">
        <f>IF(OR(U15=Słownik!A55,U15=Słownik!A56,U15=Słownik!A57,U15=Słownik!A58),Słownik!D1,Słownik!D1)</f>
        <v>0.8</v>
      </c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25" t="s">
        <v>88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s="3" customFormat="1" ht="14.5" customHeight="1" x14ac:dyDescent="0.35">
      <c r="A23" s="74" t="s">
        <v>26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10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s="3" customFormat="1" ht="14.5" customHeight="1" x14ac:dyDescent="0.3">
      <c r="A24" s="74" t="s">
        <v>30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10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s="3" customFormat="1" ht="14.5" customHeight="1" x14ac:dyDescent="0.3">
      <c r="A25" s="74" t="s">
        <v>31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5">
        <f>U20-U27</f>
        <v>0</v>
      </c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10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s="3" customFormat="1" ht="14.5" customHeight="1" x14ac:dyDescent="0.3">
      <c r="A26" s="74" t="s">
        <v>32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5">
        <v>0</v>
      </c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10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s="3" customFormat="1" ht="29.5" customHeight="1" x14ac:dyDescent="0.35">
      <c r="A27" s="74" t="s">
        <v>25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105">
        <f>IF(ROUNDDOWN(U20*U22,2)&gt;=U21,U21,ROUNDDOWN(U20*U22,2))</f>
        <v>0</v>
      </c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25" t="s">
        <v>125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s="3" customFormat="1" ht="29.5" customHeight="1" x14ac:dyDescent="0.35">
      <c r="A28" s="74" t="s">
        <v>92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105">
        <f>IF(U27&lt;=U23,0,U27-U23)</f>
        <v>0</v>
      </c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25" t="s">
        <v>126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29.5" customHeight="1" x14ac:dyDescent="0.3">
      <c r="A29" s="74" t="s">
        <v>93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106">
        <f>IF(U23&gt;=U27,U23-U27,0)</f>
        <v>0</v>
      </c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25" t="s">
        <v>127</v>
      </c>
    </row>
    <row r="30" spans="1:54" ht="29.5" customHeight="1" x14ac:dyDescent="0.3">
      <c r="A30" s="74" t="s">
        <v>94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93" t="e">
        <f>U27/U20</f>
        <v>#DIV/0!</v>
      </c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25" t="s">
        <v>128</v>
      </c>
    </row>
    <row r="31" spans="1:54" ht="39.5" customHeight="1" x14ac:dyDescent="0.3">
      <c r="A31" s="74" t="s">
        <v>35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</row>
    <row r="32" spans="1:54" ht="39.5" customHeight="1" x14ac:dyDescent="0.3">
      <c r="A32" s="74" t="s">
        <v>176</v>
      </c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</row>
    <row r="33" spans="1:54" ht="59" customHeight="1" x14ac:dyDescent="0.3">
      <c r="A33" s="108" t="s">
        <v>187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10"/>
    </row>
    <row r="34" spans="1:54" ht="49.5" customHeight="1" x14ac:dyDescent="0.3">
      <c r="A34" s="74" t="s">
        <v>181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</row>
    <row r="35" spans="1:54" ht="45" customHeight="1" x14ac:dyDescent="0.35">
      <c r="A35" s="101" t="s">
        <v>7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3"/>
      <c r="AM35" s="16"/>
      <c r="AN35" s="17"/>
    </row>
    <row r="36" spans="1:54" x14ac:dyDescent="0.3">
      <c r="A36" s="86" t="s">
        <v>89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</row>
    <row r="37" spans="1:54" x14ac:dyDescent="0.3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</row>
    <row r="38" spans="1:54" x14ac:dyDescent="0.3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</row>
    <row r="39" spans="1:54" x14ac:dyDescent="0.3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</row>
    <row r="40" spans="1:54" ht="153" customHeight="1" x14ac:dyDescent="0.3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</row>
  </sheetData>
  <sheetProtection algorithmName="SHA-512" hashValue="F3ImPz9AR1gVnuqW8fWkdCKHi5TFpqxxY6rN/OseS1cSrlG1Zs1qvaGNXMFgOmjN5mFR1sAbUGWC+yXY0R3a1A==" saltValue="31slI/Y7MdfUSct9mCbrUA==" spinCount="100000" sheet="1" formatCells="0" formatRows="0" insertRows="0"/>
  <mergeCells count="56">
    <mergeCell ref="A33:AL33"/>
    <mergeCell ref="A35:AL35"/>
    <mergeCell ref="A36:AL40"/>
    <mergeCell ref="AK18:AL18"/>
    <mergeCell ref="N18:AA18"/>
    <mergeCell ref="N19:AA19"/>
    <mergeCell ref="AK19:AL19"/>
    <mergeCell ref="AB19:AJ19"/>
    <mergeCell ref="AB18:AJ18"/>
    <mergeCell ref="A30:T30"/>
    <mergeCell ref="U30:AL30"/>
    <mergeCell ref="A31:T31"/>
    <mergeCell ref="U31:AL31"/>
    <mergeCell ref="A32:AL32"/>
    <mergeCell ref="A34:AL34"/>
    <mergeCell ref="A27:T27"/>
    <mergeCell ref="U27:AL27"/>
    <mergeCell ref="A28:T28"/>
    <mergeCell ref="U28:AL28"/>
    <mergeCell ref="A29:T29"/>
    <mergeCell ref="U29:AL29"/>
    <mergeCell ref="A23:T23"/>
    <mergeCell ref="U23:AL23"/>
    <mergeCell ref="A24:AL24"/>
    <mergeCell ref="A25:T25"/>
    <mergeCell ref="U25:AL25"/>
    <mergeCell ref="A26:T26"/>
    <mergeCell ref="U26:AL26"/>
    <mergeCell ref="A20:T20"/>
    <mergeCell ref="U20:AL20"/>
    <mergeCell ref="A21:T21"/>
    <mergeCell ref="U21:AL21"/>
    <mergeCell ref="A22:T22"/>
    <mergeCell ref="U22:AL22"/>
    <mergeCell ref="A12:T12"/>
    <mergeCell ref="U12:AL12"/>
    <mergeCell ref="A19:M19"/>
    <mergeCell ref="A17:AL17"/>
    <mergeCell ref="A18:M18"/>
    <mergeCell ref="A13:T13"/>
    <mergeCell ref="U13:AL13"/>
    <mergeCell ref="A14:T14"/>
    <mergeCell ref="U14:AL14"/>
    <mergeCell ref="A15:T16"/>
    <mergeCell ref="U15:AL15"/>
    <mergeCell ref="U16:AL16"/>
    <mergeCell ref="AM6:AR6"/>
    <mergeCell ref="A10:T10"/>
    <mergeCell ref="U10:AL10"/>
    <mergeCell ref="A11:T11"/>
    <mergeCell ref="U11:AL11"/>
    <mergeCell ref="A9:AL9"/>
    <mergeCell ref="A5:F5"/>
    <mergeCell ref="H5:L5"/>
    <mergeCell ref="A6:F6"/>
    <mergeCell ref="H6:L6"/>
  </mergeCells>
  <conditionalFormatting sqref="A5 H5 A19 N19">
    <cfRule type="expression" dxfId="8" priority="11">
      <formula>IF(A5="",1,0)</formula>
    </cfRule>
  </conditionalFormatting>
  <conditionalFormatting sqref="A35">
    <cfRule type="expression" dxfId="7" priority="10">
      <formula>IF(A35="",1,0)</formula>
    </cfRule>
  </conditionalFormatting>
  <conditionalFormatting sqref="U10:U16">
    <cfRule type="expression" dxfId="6" priority="4">
      <formula>IF(U10="",1,0)</formula>
    </cfRule>
  </conditionalFormatting>
  <conditionalFormatting sqref="U20:U23">
    <cfRule type="expression" dxfId="5" priority="6">
      <formula>IF(U20="",1,0)</formula>
    </cfRule>
  </conditionalFormatting>
  <conditionalFormatting sqref="U25:U31">
    <cfRule type="expression" dxfId="4" priority="5">
      <formula>IF(U25="",1,0)</formula>
    </cfRule>
  </conditionalFormatting>
  <conditionalFormatting sqref="U20:AL20">
    <cfRule type="expression" dxfId="3" priority="3">
      <formula>IF($U$20&lt;&gt;$U$27+$U$25+$U$26,1,0)</formula>
    </cfRule>
  </conditionalFormatting>
  <conditionalFormatting sqref="AB19">
    <cfRule type="expression" dxfId="2" priority="2">
      <formula>IF(AB19="",1,0)</formula>
    </cfRule>
  </conditionalFormatting>
  <conditionalFormatting sqref="AK19">
    <cfRule type="expression" dxfId="1" priority="1">
      <formula>IF(AK19="",1,0)</formula>
    </cfRule>
  </conditionalFormatting>
  <dataValidations count="9">
    <dataValidation type="decimal" allowBlank="1" showInputMessage="1" showErrorMessage="1" promptTitle="Wprowadź" prompt="kwotę finansowego wsparcia wynikającą z umowy" sqref="U21:AL21" xr:uid="{CE52E8FF-5F81-4E9A-A351-CB0221E4B6C1}">
      <formula1>0.01</formula1>
      <formula2>1.11111111111111E+64</formula2>
    </dataValidation>
    <dataValidation type="decimal" allowBlank="1" showInputMessage="1" showErrorMessage="1" promptTitle="Wprowadź" prompt="kwotę faktycznego kosztu przedsięwzięcia" sqref="U20:AL20" xr:uid="{C1C08B2D-31FC-4D10-B171-2FB8C93E06CA}">
      <formula1>0.01</formula1>
      <formula2>1.11111111111111E+64</formula2>
    </dataValidation>
    <dataValidation type="whole" allowBlank="1" showInputMessage="1" showErrorMessage="1" promptTitle="Wprowadź" prompt="liczbę" sqref="N19" xr:uid="{4577125D-ED95-42D7-B56D-1F463DDE6983}">
      <formula1>1</formula1>
      <formula2>1111111111111110</formula2>
    </dataValidation>
    <dataValidation allowBlank="1" showInputMessage="1" showErrorMessage="1" promptTitle="Wprowadź" prompt="datę w formacie rrrr-mm-dd" sqref="U13:AL14" xr:uid="{261EB0A1-D422-46C9-82BE-9C3F24796EDF}"/>
    <dataValidation type="decimal" allowBlank="1" showInputMessage="1" showErrorMessage="1" sqref="U23:AL23 U25:AL26 U28:AL29" xr:uid="{8EAEA4C2-5406-4351-A620-6B6BAD3BCD28}">
      <formula1>0</formula1>
      <formula2>1.11111111111111E+64</formula2>
    </dataValidation>
    <dataValidation type="decimal" allowBlank="1" showInputMessage="1" showErrorMessage="1" sqref="U27:AL27" xr:uid="{DF6C6568-62DF-407A-A6E2-18E74C2B0504}">
      <formula1>0.01</formula1>
      <formula2>1.11111111111111E+64</formula2>
    </dataValidation>
    <dataValidation allowBlank="1" showErrorMessage="1" promptTitle="Wybierz" prompt="właściwe" sqref="A35:AL35" xr:uid="{62552962-96B1-4CB1-9B4A-55119941DC02}"/>
    <dataValidation allowBlank="1" showInputMessage="1" showErrorMessage="1" promptTitle="Wprowadź" prompt="powierzchnię użytkową" sqref="AK19" xr:uid="{8E481010-0EC6-4B9F-ABFA-5D17E81C0B55}"/>
    <dataValidation allowBlank="1" showInputMessage="1" showErrorMessage="1" promptTitle="Wprowadź" prompt="liczbe miejsc" sqref="AB19:AJ19" xr:uid="{68F672EA-6CC5-4026-BB2D-9F232AEE6439}"/>
  </dataValidation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&amp;L&amp;F&amp;CStrona &amp;P z &amp;N&amp;R&amp;A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Wybierz" prompt="właściwy zasób" xr:uid="{D07BA35D-DE34-481B-8653-42EBFEF255FC}">
          <x14:formula1>
            <xm:f>Słownik!$C$24</xm:f>
          </x14:formula1>
          <xm:sqref>A19:M19</xm:sqref>
        </x14:dataValidation>
        <x14:dataValidation type="list" allowBlank="1" showInputMessage="1" showErrorMessage="1" promptTitle="Wybierz" prompt="właściwe lub nie dotyczy w przypadku gdy dotyczy jednego rodzaju przedsięwzięcia" xr:uid="{61B8F30B-CDE1-49CC-B7B6-20474A59E0B3}">
          <x14:formula1>
            <xm:f>Słownik!$A$55:$A$59</xm:f>
          </x14:formula1>
          <xm:sqref>U16:AL16</xm:sqref>
        </x14:dataValidation>
        <x14:dataValidation type="list" allowBlank="1" showInputMessage="1" showErrorMessage="1" promptTitle="Wybierz" prompt="właściwy rodzaj przedsięwzięcia" xr:uid="{C9A3C091-2878-4594-BE4A-F5586ED116E0}">
          <x14:formula1>
            <xm:f>Słownik!$A$55:$A$58</xm:f>
          </x14:formula1>
          <xm:sqref>U15:AL15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zoomScale="70" zoomScaleNormal="70" workbookViewId="0">
      <selection activeCell="E36" sqref="E36"/>
    </sheetView>
  </sheetViews>
  <sheetFormatPr defaultRowHeight="14.5" x14ac:dyDescent="0.35"/>
  <cols>
    <col min="1" max="1" width="65.54296875" customWidth="1"/>
    <col min="2" max="2" width="57" bestFit="1" customWidth="1"/>
    <col min="3" max="3" width="69.453125" bestFit="1" customWidth="1"/>
  </cols>
  <sheetData>
    <row r="1" spans="1:8" x14ac:dyDescent="0.35">
      <c r="A1" t="s">
        <v>12</v>
      </c>
      <c r="C1" t="s">
        <v>37</v>
      </c>
      <c r="D1" s="15">
        <v>0.8</v>
      </c>
      <c r="E1" s="15">
        <v>0.05</v>
      </c>
      <c r="F1" s="15">
        <v>0.25</v>
      </c>
      <c r="G1" s="15">
        <v>0.15</v>
      </c>
      <c r="H1" s="15">
        <v>0.95</v>
      </c>
    </row>
    <row r="2" spans="1:8" x14ac:dyDescent="0.35">
      <c r="A2" t="s">
        <v>13</v>
      </c>
      <c r="C2" t="s">
        <v>38</v>
      </c>
      <c r="D2" s="15">
        <v>0.5</v>
      </c>
      <c r="E2" s="15">
        <v>0</v>
      </c>
      <c r="F2" s="15">
        <v>0.8</v>
      </c>
      <c r="G2" s="15">
        <v>0.25</v>
      </c>
    </row>
    <row r="3" spans="1:8" x14ac:dyDescent="0.35">
      <c r="C3" t="s">
        <v>49</v>
      </c>
      <c r="D3" t="s">
        <v>57</v>
      </c>
    </row>
    <row r="4" spans="1:8" x14ac:dyDescent="0.35">
      <c r="C4" t="s">
        <v>50</v>
      </c>
      <c r="D4" t="s">
        <v>58</v>
      </c>
    </row>
    <row r="5" spans="1:8" x14ac:dyDescent="0.35">
      <c r="A5" t="s">
        <v>14</v>
      </c>
      <c r="C5" t="s">
        <v>39</v>
      </c>
    </row>
    <row r="6" spans="1:8" ht="29" x14ac:dyDescent="0.35">
      <c r="A6" t="s">
        <v>15</v>
      </c>
      <c r="C6" s="1" t="s">
        <v>40</v>
      </c>
    </row>
    <row r="7" spans="1:8" ht="29" x14ac:dyDescent="0.35">
      <c r="A7" t="s">
        <v>16</v>
      </c>
      <c r="C7" s="1" t="s">
        <v>41</v>
      </c>
    </row>
    <row r="8" spans="1:8" x14ac:dyDescent="0.35">
      <c r="A8" t="s">
        <v>17</v>
      </c>
      <c r="C8" s="1" t="s">
        <v>42</v>
      </c>
    </row>
    <row r="9" spans="1:8" x14ac:dyDescent="0.35">
      <c r="A9" t="s">
        <v>18</v>
      </c>
      <c r="C9" t="s">
        <v>174</v>
      </c>
    </row>
    <row r="10" spans="1:8" x14ac:dyDescent="0.35">
      <c r="A10" t="s">
        <v>19</v>
      </c>
      <c r="C10" s="1" t="s">
        <v>23</v>
      </c>
    </row>
    <row r="11" spans="1:8" x14ac:dyDescent="0.35">
      <c r="A11" t="s">
        <v>23</v>
      </c>
    </row>
    <row r="12" spans="1:8" x14ac:dyDescent="0.35">
      <c r="A12" t="s">
        <v>20</v>
      </c>
      <c r="C12" t="s">
        <v>47</v>
      </c>
    </row>
    <row r="13" spans="1:8" x14ac:dyDescent="0.35">
      <c r="A13" t="s">
        <v>21</v>
      </c>
      <c r="C13" t="s">
        <v>48</v>
      </c>
    </row>
    <row r="17" spans="1:3" x14ac:dyDescent="0.35">
      <c r="A17" t="s">
        <v>101</v>
      </c>
      <c r="B17" t="s">
        <v>101</v>
      </c>
      <c r="C17" t="s">
        <v>38</v>
      </c>
    </row>
    <row r="18" spans="1:3" x14ac:dyDescent="0.35">
      <c r="A18" t="s">
        <v>102</v>
      </c>
      <c r="B18" t="s">
        <v>102</v>
      </c>
      <c r="C18" t="s">
        <v>49</v>
      </c>
    </row>
    <row r="19" spans="1:3" x14ac:dyDescent="0.35">
      <c r="A19" t="s">
        <v>103</v>
      </c>
      <c r="B19" t="s">
        <v>103</v>
      </c>
      <c r="C19" t="s">
        <v>50</v>
      </c>
    </row>
    <row r="20" spans="1:3" x14ac:dyDescent="0.35">
      <c r="A20" t="s">
        <v>104</v>
      </c>
      <c r="B20" t="s">
        <v>104</v>
      </c>
      <c r="C20" s="1" t="s">
        <v>23</v>
      </c>
    </row>
    <row r="21" spans="1:3" x14ac:dyDescent="0.35">
      <c r="A21" t="s">
        <v>105</v>
      </c>
      <c r="B21" t="s">
        <v>105</v>
      </c>
    </row>
    <row r="22" spans="1:3" x14ac:dyDescent="0.35">
      <c r="A22" t="s">
        <v>106</v>
      </c>
      <c r="B22" t="s">
        <v>106</v>
      </c>
    </row>
    <row r="23" spans="1:3" x14ac:dyDescent="0.35">
      <c r="A23" t="s">
        <v>107</v>
      </c>
      <c r="B23" t="s">
        <v>107</v>
      </c>
    </row>
    <row r="24" spans="1:3" x14ac:dyDescent="0.35">
      <c r="A24" t="s">
        <v>108</v>
      </c>
      <c r="B24" t="s">
        <v>108</v>
      </c>
      <c r="C24" t="s">
        <v>186</v>
      </c>
    </row>
    <row r="26" spans="1:3" x14ac:dyDescent="0.35">
      <c r="A26" t="s">
        <v>101</v>
      </c>
      <c r="B26" t="s">
        <v>101</v>
      </c>
    </row>
    <row r="27" spans="1:3" x14ac:dyDescent="0.35">
      <c r="A27" t="s">
        <v>102</v>
      </c>
      <c r="B27" t="s">
        <v>102</v>
      </c>
    </row>
    <row r="28" spans="1:3" x14ac:dyDescent="0.35">
      <c r="A28" t="s">
        <v>103</v>
      </c>
      <c r="B28" t="s">
        <v>103</v>
      </c>
    </row>
    <row r="29" spans="1:3" x14ac:dyDescent="0.35">
      <c r="A29" t="s">
        <v>104</v>
      </c>
      <c r="B29" t="s">
        <v>104</v>
      </c>
    </row>
    <row r="30" spans="1:3" x14ac:dyDescent="0.35">
      <c r="A30" t="s">
        <v>105</v>
      </c>
      <c r="B30" t="s">
        <v>121</v>
      </c>
    </row>
    <row r="31" spans="1:3" x14ac:dyDescent="0.35">
      <c r="A31" t="s">
        <v>106</v>
      </c>
      <c r="B31" t="s">
        <v>122</v>
      </c>
    </row>
    <row r="32" spans="1:3" x14ac:dyDescent="0.35">
      <c r="A32" t="s">
        <v>107</v>
      </c>
      <c r="B32" t="s">
        <v>123</v>
      </c>
    </row>
    <row r="33" spans="1:2" x14ac:dyDescent="0.35">
      <c r="A33" t="s">
        <v>108</v>
      </c>
      <c r="B33" t="s">
        <v>124</v>
      </c>
    </row>
    <row r="34" spans="1:2" x14ac:dyDescent="0.35">
      <c r="A34" t="s">
        <v>23</v>
      </c>
      <c r="B34" t="s">
        <v>23</v>
      </c>
    </row>
    <row r="35" spans="1:2" x14ac:dyDescent="0.35">
      <c r="A35" t="s">
        <v>67</v>
      </c>
    </row>
    <row r="36" spans="1:2" ht="72.5" x14ac:dyDescent="0.35">
      <c r="A36" s="1" t="s">
        <v>68</v>
      </c>
    </row>
    <row r="37" spans="1:2" x14ac:dyDescent="0.35">
      <c r="A37" t="s">
        <v>70</v>
      </c>
    </row>
    <row r="38" spans="1:2" x14ac:dyDescent="0.35">
      <c r="A38" t="s">
        <v>72</v>
      </c>
    </row>
    <row r="39" spans="1:2" x14ac:dyDescent="0.35">
      <c r="A39" t="s">
        <v>74</v>
      </c>
    </row>
    <row r="40" spans="1:2" x14ac:dyDescent="0.35">
      <c r="A40" t="s">
        <v>76</v>
      </c>
    </row>
    <row r="41" spans="1:2" ht="43.5" x14ac:dyDescent="0.35">
      <c r="A41" s="1" t="s">
        <v>78</v>
      </c>
    </row>
    <row r="42" spans="1:2" x14ac:dyDescent="0.35">
      <c r="A42" t="s">
        <v>80</v>
      </c>
    </row>
    <row r="43" spans="1:2" x14ac:dyDescent="0.35">
      <c r="A43" t="s">
        <v>82</v>
      </c>
    </row>
    <row r="44" spans="1:2" x14ac:dyDescent="0.35">
      <c r="A44" t="s">
        <v>69</v>
      </c>
    </row>
    <row r="45" spans="1:2" x14ac:dyDescent="0.35">
      <c r="A45" t="s">
        <v>71</v>
      </c>
    </row>
    <row r="46" spans="1:2" x14ac:dyDescent="0.35">
      <c r="A46" t="s">
        <v>73</v>
      </c>
    </row>
    <row r="47" spans="1:2" x14ac:dyDescent="0.35">
      <c r="A47" t="s">
        <v>75</v>
      </c>
    </row>
    <row r="48" spans="1:2" x14ac:dyDescent="0.35">
      <c r="A48" t="s">
        <v>77</v>
      </c>
    </row>
    <row r="49" spans="1:1" x14ac:dyDescent="0.35">
      <c r="A49" t="s">
        <v>79</v>
      </c>
    </row>
    <row r="50" spans="1:1" x14ac:dyDescent="0.35">
      <c r="A50" t="s">
        <v>81</v>
      </c>
    </row>
    <row r="51" spans="1:1" x14ac:dyDescent="0.35">
      <c r="A51" t="s">
        <v>83</v>
      </c>
    </row>
    <row r="55" spans="1:1" x14ac:dyDescent="0.35">
      <c r="A55" t="s">
        <v>14</v>
      </c>
    </row>
    <row r="56" spans="1:1" x14ac:dyDescent="0.35">
      <c r="A56" t="s">
        <v>15</v>
      </c>
    </row>
    <row r="57" spans="1:1" x14ac:dyDescent="0.35">
      <c r="A57" t="s">
        <v>16</v>
      </c>
    </row>
    <row r="58" spans="1:1" ht="43.5" x14ac:dyDescent="0.35">
      <c r="A58" s="1" t="s">
        <v>182</v>
      </c>
    </row>
    <row r="59" spans="1:1" x14ac:dyDescent="0.35">
      <c r="A59" t="s">
        <v>23</v>
      </c>
    </row>
  </sheetData>
  <sheetProtection algorithmName="SHA-512" hashValue="P+1hK2lcYlhxInUQN+BV1XNp+g0x4T2I5diM7NhFrBeBVV7quhqGIzw0IyUkP1iSNFm9mKHw8CqYR+txWGfW0g==" saltValue="0PUvA38LgJGJZI+uChCLng==" spinCount="100000" sheet="1" objects="1" scenarios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6"/>
  <sheetViews>
    <sheetView topLeftCell="A7" workbookViewId="0">
      <selection activeCell="AM16" sqref="AM16"/>
    </sheetView>
  </sheetViews>
  <sheetFormatPr defaultRowHeight="14.5" x14ac:dyDescent="0.35"/>
  <cols>
    <col min="1" max="1" width="3.26953125" customWidth="1"/>
    <col min="2" max="2" width="4" customWidth="1"/>
    <col min="3" max="3" width="2.1796875" customWidth="1"/>
    <col min="4" max="4" width="2.54296875" customWidth="1"/>
    <col min="5" max="5" width="2" customWidth="1"/>
    <col min="6" max="6" width="1.7265625" customWidth="1"/>
    <col min="7" max="7" width="1.453125" customWidth="1"/>
    <col min="8" max="8" width="2.26953125" customWidth="1"/>
    <col min="9" max="9" width="2.453125" customWidth="1"/>
    <col min="10" max="10" width="1.54296875" customWidth="1"/>
    <col min="11" max="11" width="1.7265625" customWidth="1"/>
    <col min="12" max="12" width="5.26953125" customWidth="1"/>
    <col min="13" max="13" width="0.81640625" customWidth="1"/>
    <col min="14" max="14" width="3.453125" customWidth="1"/>
    <col min="15" max="15" width="2.54296875" customWidth="1"/>
    <col min="16" max="17" width="1.54296875" customWidth="1"/>
    <col min="18" max="18" width="1.26953125" customWidth="1"/>
    <col min="19" max="19" width="2.1796875" customWidth="1"/>
    <col min="20" max="20" width="1.26953125" customWidth="1"/>
    <col min="21" max="21" width="1" customWidth="1"/>
    <col min="22" max="22" width="0.81640625" customWidth="1"/>
    <col min="23" max="23" width="3" customWidth="1"/>
    <col min="24" max="24" width="1.26953125" customWidth="1"/>
    <col min="25" max="25" width="1.453125" customWidth="1"/>
    <col min="26" max="26" width="1.26953125" customWidth="1"/>
    <col min="27" max="27" width="1.1796875" customWidth="1"/>
    <col min="28" max="28" width="2" customWidth="1"/>
    <col min="29" max="29" width="1" customWidth="1"/>
    <col min="30" max="30" width="1.81640625" customWidth="1"/>
    <col min="31" max="31" width="1.7265625" customWidth="1"/>
    <col min="32" max="32" width="1.1796875" customWidth="1"/>
    <col min="33" max="33" width="1.81640625" customWidth="1"/>
    <col min="34" max="34" width="2.26953125" customWidth="1"/>
    <col min="35" max="35" width="1.453125" customWidth="1"/>
    <col min="36" max="36" width="4" customWidth="1"/>
    <col min="37" max="37" width="9.1796875" customWidth="1"/>
    <col min="38" max="38" width="5.7265625" customWidth="1"/>
    <col min="39" max="39" width="114.1796875" customWidth="1"/>
    <col min="40" max="41" width="13.6328125" bestFit="1" customWidth="1"/>
    <col min="42" max="42" width="15.6328125" bestFit="1" customWidth="1"/>
  </cols>
  <sheetData>
    <row r="1" spans="1:44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9"/>
      <c r="AN1" s="5"/>
      <c r="AO1" s="5"/>
      <c r="AP1" s="5"/>
      <c r="AQ1" s="5"/>
      <c r="AR1" s="5"/>
    </row>
    <row r="2" spans="1:44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6"/>
      <c r="V2" s="6"/>
      <c r="W2" s="6"/>
      <c r="X2" s="6"/>
      <c r="Y2" s="7"/>
      <c r="Z2" s="6"/>
      <c r="AA2" s="2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9"/>
      <c r="AN2" s="5"/>
      <c r="AO2" s="5"/>
      <c r="AP2" s="5"/>
      <c r="AQ2" s="5"/>
      <c r="AR2" s="5"/>
    </row>
    <row r="3" spans="1:44" x14ac:dyDescent="0.35">
      <c r="A3" s="4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11" t="s">
        <v>5</v>
      </c>
      <c r="AN3" s="8"/>
      <c r="AO3" s="8"/>
      <c r="AP3" s="5"/>
      <c r="AQ3" s="5"/>
      <c r="AR3" s="5"/>
    </row>
    <row r="4" spans="1:44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10"/>
      <c r="AN4" s="3"/>
      <c r="AO4" s="3"/>
      <c r="AP4" s="2"/>
      <c r="AQ4" s="2"/>
      <c r="AR4" s="2"/>
    </row>
    <row r="5" spans="1:44" x14ac:dyDescent="0.35">
      <c r="A5" s="95"/>
      <c r="B5" s="96"/>
      <c r="C5" s="96"/>
      <c r="D5" s="96"/>
      <c r="E5" s="96"/>
      <c r="F5" s="96"/>
      <c r="G5" s="12"/>
      <c r="H5" s="97">
        <f ca="1">TODAY()</f>
        <v>46058</v>
      </c>
      <c r="I5" s="97"/>
      <c r="J5" s="97"/>
      <c r="K5" s="97"/>
      <c r="L5" s="97"/>
      <c r="M5" s="13"/>
      <c r="AA5" s="13">
        <v>1</v>
      </c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0"/>
      <c r="AN5" s="3"/>
      <c r="AO5" s="3"/>
      <c r="AP5" s="2"/>
      <c r="AQ5" s="2"/>
      <c r="AR5" s="2"/>
    </row>
    <row r="6" spans="1:44" x14ac:dyDescent="0.35">
      <c r="A6" s="98" t="s">
        <v>3</v>
      </c>
      <c r="B6" s="98"/>
      <c r="C6" s="98"/>
      <c r="D6" s="98"/>
      <c r="E6" s="98"/>
      <c r="F6" s="98"/>
      <c r="G6" s="14"/>
      <c r="H6" s="98" t="s">
        <v>2</v>
      </c>
      <c r="I6" s="98"/>
      <c r="J6" s="98"/>
      <c r="K6" s="98"/>
      <c r="L6" s="98"/>
      <c r="M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88"/>
      <c r="AN6" s="88"/>
      <c r="AO6" s="88"/>
      <c r="AP6" s="88"/>
      <c r="AQ6" s="88"/>
      <c r="AR6" s="88"/>
    </row>
    <row r="7" spans="1:44" x14ac:dyDescent="0.35">
      <c r="A7" s="20"/>
      <c r="B7" s="20"/>
      <c r="C7" s="20"/>
      <c r="D7" s="20"/>
      <c r="E7" s="20"/>
      <c r="F7" s="20"/>
      <c r="G7" s="14"/>
      <c r="H7" s="13"/>
      <c r="I7" s="13"/>
      <c r="J7" s="13"/>
      <c r="K7" s="13"/>
      <c r="L7" s="13"/>
      <c r="M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0"/>
      <c r="AN7" s="3"/>
      <c r="AO7" s="3"/>
      <c r="AP7" s="2"/>
      <c r="AQ7" s="2"/>
      <c r="AR7" s="2"/>
    </row>
    <row r="8" spans="1:44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0"/>
      <c r="AN8" s="3"/>
      <c r="AO8" s="3"/>
      <c r="AP8" s="2"/>
      <c r="AQ8" s="2"/>
      <c r="AR8" s="2"/>
    </row>
    <row r="9" spans="1:44" x14ac:dyDescent="0.35">
      <c r="A9" s="134" t="s">
        <v>8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10"/>
      <c r="AN9" s="3"/>
      <c r="AO9" s="3"/>
      <c r="AP9" s="2"/>
      <c r="AQ9" s="2"/>
      <c r="AR9" s="2"/>
    </row>
    <row r="10" spans="1:44" x14ac:dyDescent="0.35">
      <c r="A10" s="91" t="s">
        <v>9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10"/>
      <c r="AN10" s="3"/>
      <c r="AO10" s="3"/>
      <c r="AP10" s="2"/>
      <c r="AQ10" s="2"/>
      <c r="AR10" s="2"/>
    </row>
    <row r="11" spans="1:44" x14ac:dyDescent="0.35">
      <c r="A11" s="91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10"/>
      <c r="AN11" s="3"/>
      <c r="AO11" s="3"/>
      <c r="AP11" s="2"/>
      <c r="AQ11" s="2"/>
      <c r="AR11" s="2"/>
    </row>
    <row r="12" spans="1:44" x14ac:dyDescent="0.35">
      <c r="A12" s="74" t="s">
        <v>11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10"/>
      <c r="AN12" s="3"/>
      <c r="AO12" s="3"/>
      <c r="AP12" s="2"/>
      <c r="AQ12" s="2"/>
      <c r="AR12" s="2"/>
    </row>
    <row r="13" spans="1:44" x14ac:dyDescent="0.35">
      <c r="A13" s="74" t="s">
        <v>22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24"/>
      <c r="AN13" s="3"/>
      <c r="AO13" s="3"/>
      <c r="AP13" s="2"/>
      <c r="AQ13" s="2"/>
      <c r="AR13" s="2"/>
    </row>
    <row r="14" spans="1:44" x14ac:dyDescent="0.35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10"/>
      <c r="AN14" s="3"/>
      <c r="AO14" s="3"/>
      <c r="AP14" s="2"/>
      <c r="AQ14" s="2"/>
      <c r="AR14" s="2"/>
    </row>
    <row r="15" spans="1:44" x14ac:dyDescent="0.35">
      <c r="A15" s="100" t="s">
        <v>59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15">
        <v>103</v>
      </c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0" t="s">
        <v>66</v>
      </c>
      <c r="AN15" s="3"/>
      <c r="AO15" s="3"/>
      <c r="AP15" s="2"/>
      <c r="AQ15" s="2"/>
      <c r="AR15" s="2"/>
    </row>
    <row r="16" spans="1:44" x14ac:dyDescent="0.35">
      <c r="A16" s="100" t="s">
        <v>60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0"/>
      <c r="AN16" s="3"/>
      <c r="AO16" s="3"/>
      <c r="AP16" s="2"/>
      <c r="AQ16" s="2"/>
      <c r="AR16" s="2"/>
    </row>
    <row r="17" spans="1:44" x14ac:dyDescent="0.35">
      <c r="A17" s="100" t="s">
        <v>65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0"/>
      <c r="AN17" s="3"/>
      <c r="AO17" s="3"/>
      <c r="AP17" s="2"/>
      <c r="AQ17" s="2"/>
      <c r="AR17" s="2"/>
    </row>
    <row r="18" spans="1:44" x14ac:dyDescent="0.35">
      <c r="A18" s="100" t="s">
        <v>54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16">
        <v>80</v>
      </c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0"/>
      <c r="AN18" s="3"/>
      <c r="AO18" s="3"/>
      <c r="AP18" s="2"/>
      <c r="AQ18" s="2"/>
      <c r="AR18" s="2"/>
    </row>
    <row r="19" spans="1:44" x14ac:dyDescent="0.35">
      <c r="A19" s="100" t="s">
        <v>56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16" t="s">
        <v>57</v>
      </c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0"/>
      <c r="AN19" s="3"/>
      <c r="AO19" s="3"/>
      <c r="AP19" s="2"/>
      <c r="AQ19" s="2"/>
      <c r="AR19" s="2"/>
    </row>
    <row r="20" spans="1:44" x14ac:dyDescent="0.35">
      <c r="A20" s="100" t="s">
        <v>55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22">
        <f>IF(OR(U13=Słownik!A5,U13=Słownik!A6,U13=Słownik!A7,U13=Słownik!A8,U13=Słownik!A14),Słownik!D1,Słownik!D2)+IF(U19=Słownik!D3,Słownik!E1,Słownik!E2)</f>
        <v>0.85000000000000009</v>
      </c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0" t="s">
        <v>53</v>
      </c>
      <c r="AN20" s="3"/>
      <c r="AO20" s="3"/>
      <c r="AP20" s="2"/>
      <c r="AQ20" s="2"/>
      <c r="AR20" s="2"/>
    </row>
    <row r="21" spans="1:44" x14ac:dyDescent="0.35">
      <c r="A21" s="100" t="s">
        <v>25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18">
        <f>IF(U15*U20&gt;=U18,U18,U15*U20)</f>
        <v>80</v>
      </c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0"/>
      <c r="AN21" s="3"/>
      <c r="AO21" s="3"/>
      <c r="AP21" s="2"/>
      <c r="AQ21" s="2"/>
      <c r="AR21" s="2"/>
    </row>
    <row r="22" spans="1:44" x14ac:dyDescent="0.35">
      <c r="A22" s="100" t="s">
        <v>26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16">
        <v>67</v>
      </c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0"/>
      <c r="AN22" s="3"/>
      <c r="AO22" s="3"/>
      <c r="AP22" s="2"/>
      <c r="AQ22" s="2"/>
      <c r="AR22" s="2"/>
    </row>
    <row r="23" spans="1:44" x14ac:dyDescent="0.35">
      <c r="A23" s="100" t="s">
        <v>27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18">
        <f>IF(U21&lt;=U22,0,U21-U22)</f>
        <v>13</v>
      </c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0"/>
      <c r="AN23" s="3"/>
      <c r="AO23" s="3"/>
      <c r="AP23" s="2"/>
      <c r="AQ23" s="2"/>
      <c r="AR23" s="2"/>
    </row>
    <row r="24" spans="1:44" x14ac:dyDescent="0.35">
      <c r="A24" s="100" t="s">
        <v>28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19">
        <f>IF(U22&gt;=U21,U22-U21,0)</f>
        <v>0</v>
      </c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0"/>
      <c r="AN24" s="3"/>
      <c r="AO24" s="3"/>
      <c r="AP24" s="2"/>
      <c r="AQ24" s="2"/>
      <c r="AR24" s="2"/>
    </row>
    <row r="25" spans="1:44" x14ac:dyDescent="0.35">
      <c r="A25" s="100" t="s">
        <v>29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20">
        <f>U21/U15</f>
        <v>0.77669902912621358</v>
      </c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0"/>
      <c r="AN25" s="3"/>
      <c r="AO25" s="3"/>
      <c r="AP25" s="2"/>
      <c r="AQ25" s="2"/>
      <c r="AR25" s="2"/>
    </row>
    <row r="26" spans="1:44" x14ac:dyDescent="0.35">
      <c r="A26" s="100" t="s">
        <v>43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"/>
      <c r="AN26" s="3"/>
      <c r="AO26" s="3"/>
      <c r="AP26" s="2"/>
      <c r="AQ26" s="2"/>
      <c r="AR26" s="2"/>
    </row>
    <row r="27" spans="1:44" x14ac:dyDescent="0.35">
      <c r="A27" s="108" t="s">
        <v>37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10"/>
      <c r="N27" s="74" t="s">
        <v>44</v>
      </c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 t="s">
        <v>45</v>
      </c>
      <c r="AE27" s="74"/>
      <c r="AF27" s="74"/>
      <c r="AG27" s="74"/>
      <c r="AH27" s="74"/>
      <c r="AI27" s="74"/>
      <c r="AJ27" s="74"/>
      <c r="AK27" s="74"/>
      <c r="AL27" s="74"/>
      <c r="AM27" s="10"/>
      <c r="AN27" s="3"/>
      <c r="AO27" s="3"/>
      <c r="AP27" s="2"/>
      <c r="AQ27" s="2"/>
      <c r="AR27" s="2"/>
    </row>
    <row r="28" spans="1:44" x14ac:dyDescent="0.35">
      <c r="A28" s="85" t="s">
        <v>38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9"/>
      <c r="AD28" s="80"/>
      <c r="AE28" s="80"/>
      <c r="AF28" s="80"/>
      <c r="AG28" s="80"/>
      <c r="AH28" s="80"/>
      <c r="AI28" s="80"/>
      <c r="AJ28" s="80"/>
      <c r="AK28" s="80"/>
      <c r="AL28" s="80"/>
      <c r="AM28" s="10" t="s">
        <v>52</v>
      </c>
      <c r="AN28" s="3"/>
      <c r="AO28" s="3"/>
      <c r="AP28" s="2"/>
      <c r="AQ28" s="2"/>
      <c r="AR28" s="2"/>
    </row>
    <row r="29" spans="1:44" x14ac:dyDescent="0.3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9"/>
      <c r="AD29" s="80"/>
      <c r="AE29" s="80"/>
      <c r="AF29" s="80"/>
      <c r="AG29" s="80"/>
      <c r="AH29" s="80"/>
      <c r="AI29" s="80"/>
      <c r="AJ29" s="80"/>
      <c r="AK29" s="80"/>
      <c r="AL29" s="80"/>
      <c r="AM29" s="10" t="s">
        <v>51</v>
      </c>
      <c r="AN29" s="3"/>
      <c r="AO29" s="3"/>
      <c r="AP29" s="2"/>
      <c r="AQ29" s="2"/>
      <c r="AR29" s="2"/>
    </row>
    <row r="30" spans="1:44" x14ac:dyDescent="0.35">
      <c r="A30" s="77" t="s">
        <v>47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9"/>
      <c r="AD30" s="80"/>
      <c r="AE30" s="80"/>
      <c r="AF30" s="80"/>
      <c r="AG30" s="80"/>
      <c r="AH30" s="80"/>
      <c r="AI30" s="80"/>
      <c r="AJ30" s="80"/>
      <c r="AK30" s="80"/>
      <c r="AL30" s="80"/>
      <c r="AM30" s="10"/>
      <c r="AN30" s="3"/>
      <c r="AO30" s="3"/>
      <c r="AP30" s="2"/>
      <c r="AQ30" s="2"/>
      <c r="AR30" s="2"/>
    </row>
    <row r="31" spans="1:44" x14ac:dyDescent="0.35">
      <c r="A31" s="135" t="s">
        <v>46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9"/>
      <c r="AD31" s="80"/>
      <c r="AE31" s="80"/>
      <c r="AF31" s="80"/>
      <c r="AG31" s="80"/>
      <c r="AH31" s="80"/>
      <c r="AI31" s="80"/>
      <c r="AJ31" s="80"/>
      <c r="AK31" s="80"/>
      <c r="AL31" s="80"/>
      <c r="AM31" s="10"/>
      <c r="AN31" s="3"/>
      <c r="AO31" s="3"/>
      <c r="AP31" s="2"/>
      <c r="AQ31" s="2"/>
      <c r="AR31" s="2"/>
    </row>
    <row r="32" spans="1:44" x14ac:dyDescent="0.35">
      <c r="A32" s="100" t="s">
        <v>30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21"/>
      <c r="AN32" s="22"/>
      <c r="AO32" s="22"/>
      <c r="AP32" s="23"/>
      <c r="AQ32" s="23"/>
      <c r="AR32" s="23"/>
    </row>
    <row r="33" spans="1:44" x14ac:dyDescent="0.35">
      <c r="A33" s="100" t="s">
        <v>31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0"/>
      <c r="AN33" s="3"/>
      <c r="AO33" s="3"/>
      <c r="AP33" s="2"/>
      <c r="AQ33" s="2"/>
      <c r="AR33" s="2"/>
    </row>
    <row r="34" spans="1:44" ht="25" x14ac:dyDescent="0.35">
      <c r="A34" s="100" t="s">
        <v>61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25" t="s">
        <v>63</v>
      </c>
      <c r="AN34" s="3"/>
      <c r="AO34" s="3"/>
      <c r="AP34" s="2"/>
      <c r="AQ34" s="2"/>
      <c r="AR34" s="2"/>
    </row>
    <row r="35" spans="1:44" x14ac:dyDescent="0.35">
      <c r="A35" s="100" t="s">
        <v>62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0" t="s">
        <v>64</v>
      </c>
      <c r="AN35" s="3"/>
      <c r="AO35" s="3"/>
      <c r="AP35" s="2"/>
      <c r="AQ35" s="2"/>
      <c r="AR35" s="2"/>
    </row>
    <row r="36" spans="1:44" x14ac:dyDescent="0.35">
      <c r="A36" s="100" t="s">
        <v>32</v>
      </c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0"/>
      <c r="AN36" s="3"/>
      <c r="AO36" s="3"/>
      <c r="AP36" s="2"/>
      <c r="AQ36" s="2"/>
      <c r="AR36" s="2"/>
    </row>
    <row r="37" spans="1:44" x14ac:dyDescent="0.35">
      <c r="A37" s="100" t="s">
        <v>33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0"/>
      <c r="AN37" s="3"/>
      <c r="AO37" s="3"/>
      <c r="AP37" s="2"/>
      <c r="AQ37" s="2"/>
      <c r="AR37" s="2"/>
    </row>
    <row r="38" spans="1:44" x14ac:dyDescent="0.35">
      <c r="A38" s="100" t="s">
        <v>34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0"/>
      <c r="AN38" s="3"/>
      <c r="AO38" s="3"/>
      <c r="AP38" s="2"/>
      <c r="AQ38" s="2"/>
      <c r="AR38" s="2"/>
    </row>
    <row r="39" spans="1:44" x14ac:dyDescent="0.35">
      <c r="A39" s="100" t="s">
        <v>35</v>
      </c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0"/>
      <c r="AN39" s="3"/>
      <c r="AO39" s="3"/>
      <c r="AP39" s="2"/>
      <c r="AQ39" s="2"/>
      <c r="AR39" s="2"/>
    </row>
    <row r="40" spans="1:44" x14ac:dyDescent="0.35">
      <c r="A40" s="100" t="s">
        <v>36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"/>
      <c r="AN40" s="3"/>
      <c r="AO40" s="3"/>
      <c r="AP40" s="2"/>
      <c r="AQ40" s="2"/>
      <c r="AR40" s="2"/>
    </row>
    <row r="41" spans="1:44" x14ac:dyDescent="0.35">
      <c r="A41" s="101" t="s">
        <v>7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3"/>
      <c r="AM41" s="16"/>
      <c r="AN41" s="17"/>
      <c r="AO41" s="3"/>
      <c r="AP41" s="2"/>
      <c r="AQ41" s="2"/>
      <c r="AR41" s="2"/>
    </row>
    <row r="42" spans="1:44" x14ac:dyDescent="0.35">
      <c r="A42" s="86" t="s">
        <v>6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10"/>
      <c r="AN42" s="3"/>
      <c r="AO42" s="3"/>
      <c r="AP42" s="2"/>
      <c r="AQ42" s="2"/>
      <c r="AR42" s="2"/>
    </row>
    <row r="43" spans="1:44" x14ac:dyDescent="0.35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10"/>
      <c r="AN43" s="3"/>
      <c r="AO43" s="3"/>
      <c r="AP43" s="2"/>
      <c r="AQ43" s="2"/>
      <c r="AR43" s="2"/>
    </row>
    <row r="44" spans="1:44" x14ac:dyDescent="0.35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10"/>
      <c r="AN44" s="3"/>
      <c r="AO44" s="3"/>
      <c r="AP44" s="2"/>
      <c r="AQ44" s="2"/>
      <c r="AR44" s="2"/>
    </row>
    <row r="45" spans="1:44" x14ac:dyDescent="0.3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10"/>
      <c r="AN45" s="3"/>
      <c r="AO45" s="3"/>
      <c r="AP45" s="2"/>
      <c r="AQ45" s="2"/>
      <c r="AR45" s="2"/>
    </row>
    <row r="46" spans="1:44" x14ac:dyDescent="0.35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18"/>
      <c r="AN46" s="18"/>
      <c r="AO46" s="18"/>
      <c r="AP46" s="18"/>
      <c r="AQ46" s="18"/>
      <c r="AR46" s="18"/>
    </row>
  </sheetData>
  <mergeCells count="71">
    <mergeCell ref="U21:AL21"/>
    <mergeCell ref="A22:T22"/>
    <mergeCell ref="U22:AL22"/>
    <mergeCell ref="A15:T15"/>
    <mergeCell ref="U15:AL15"/>
    <mergeCell ref="A16:T16"/>
    <mergeCell ref="U16:AL16"/>
    <mergeCell ref="A17:T17"/>
    <mergeCell ref="U17:AL17"/>
    <mergeCell ref="A19:T19"/>
    <mergeCell ref="U19:AL19"/>
    <mergeCell ref="N27:AC27"/>
    <mergeCell ref="AD27:AL27"/>
    <mergeCell ref="A25:T25"/>
    <mergeCell ref="U25:AL25"/>
    <mergeCell ref="A23:T23"/>
    <mergeCell ref="U23:AL23"/>
    <mergeCell ref="A24:T24"/>
    <mergeCell ref="U24:AL24"/>
    <mergeCell ref="A32:AL32"/>
    <mergeCell ref="A5:F5"/>
    <mergeCell ref="H5:L5"/>
    <mergeCell ref="A6:F6"/>
    <mergeCell ref="H6:L6"/>
    <mergeCell ref="A20:T20"/>
    <mergeCell ref="U20:AL20"/>
    <mergeCell ref="A21:T21"/>
    <mergeCell ref="A30:M30"/>
    <mergeCell ref="N30:AC30"/>
    <mergeCell ref="AD30:AL30"/>
    <mergeCell ref="A31:M31"/>
    <mergeCell ref="A26:AL26"/>
    <mergeCell ref="A27:M27"/>
    <mergeCell ref="A28:M28"/>
    <mergeCell ref="N28:AC28"/>
    <mergeCell ref="AM6:AR6"/>
    <mergeCell ref="A9:AL9"/>
    <mergeCell ref="A13:T14"/>
    <mergeCell ref="A18:T18"/>
    <mergeCell ref="U18:AL18"/>
    <mergeCell ref="A12:T12"/>
    <mergeCell ref="U12:AL12"/>
    <mergeCell ref="U13:AL13"/>
    <mergeCell ref="U14:AL14"/>
    <mergeCell ref="A10:T10"/>
    <mergeCell ref="U10:AL10"/>
    <mergeCell ref="A11:T11"/>
    <mergeCell ref="U11:AL11"/>
    <mergeCell ref="AD28:AL28"/>
    <mergeCell ref="A29:M29"/>
    <mergeCell ref="N29:AC29"/>
    <mergeCell ref="AD29:AL29"/>
    <mergeCell ref="N31:AC31"/>
    <mergeCell ref="AD31:AL31"/>
    <mergeCell ref="A33:T33"/>
    <mergeCell ref="U33:AL33"/>
    <mergeCell ref="A34:T34"/>
    <mergeCell ref="U34:AL34"/>
    <mergeCell ref="A35:T35"/>
    <mergeCell ref="U35:AL35"/>
    <mergeCell ref="A36:T36"/>
    <mergeCell ref="U36:AL36"/>
    <mergeCell ref="A37:T37"/>
    <mergeCell ref="U37:AL37"/>
    <mergeCell ref="A42:AL46"/>
    <mergeCell ref="A38:T38"/>
    <mergeCell ref="U38:AL38"/>
    <mergeCell ref="A39:T39"/>
    <mergeCell ref="U39:AL39"/>
    <mergeCell ref="A40:AL40"/>
    <mergeCell ref="A41:AL41"/>
  </mergeCells>
  <conditionalFormatting sqref="A5 H5 U10:U25 A28:A31 N28:N31 AD28:AD31 U33:U39 A41">
    <cfRule type="expression" dxfId="0" priority="31">
      <formula>IF(#REF!="",1,0)</formula>
    </cfRule>
  </conditionalFormatting>
  <dataValidations count="11">
    <dataValidation type="decimal" allowBlank="1" showInputMessage="1" showErrorMessage="1" promptTitle="Wprowadź" prompt="udział wnioskodawcy w faktycznym koszcie przedsięwzięcia" sqref="U17:AL17" xr:uid="{00000000-0002-0000-0500-000000000000}">
      <formula1>0</formula1>
      <formula2>1.11111111111111E+64</formula2>
    </dataValidation>
    <dataValidation type="decimal" allowBlank="1" showInputMessage="1" showErrorMessage="1" promptTitle="Wprowadź" prompt="wartość gruntu w przypadku tworzenia mieszkań na wynajem" sqref="U16:AL16" xr:uid="{00000000-0002-0000-0500-000001000000}">
      <formula1>0</formula1>
      <formula2>1.11111111111111E+64</formula2>
    </dataValidation>
    <dataValidation allowBlank="1" showErrorMessage="1" promptTitle="Wybierz" prompt="właściwe" sqref="A41:AL41" xr:uid="{00000000-0002-0000-0500-000002000000}"/>
    <dataValidation type="decimal" allowBlank="1" showInputMessage="1" showErrorMessage="1" sqref="U21:AL21" xr:uid="{00000000-0002-0000-0500-000003000000}">
      <formula1>0.01</formula1>
      <formula2>1.11111111111111E+64</formula2>
    </dataValidation>
    <dataValidation type="decimal" allowBlank="1" showInputMessage="1" showErrorMessage="1" sqref="U33:AL36 U22:AL24" xr:uid="{00000000-0002-0000-0500-000004000000}">
      <formula1>0</formula1>
      <formula2>1.11111111111111E+64</formula2>
    </dataValidation>
    <dataValidation allowBlank="1" showInputMessage="1" showErrorMessage="1" promptTitle="Wprowadź" prompt="datę w formacie rrrr-mm-dd" sqref="U37:AL38" xr:uid="{00000000-0002-0000-0500-000005000000}"/>
    <dataValidation type="whole" allowBlank="1" showInputMessage="1" showErrorMessage="1" promptTitle="Wprowadź" prompt="liczbę" sqref="N28:N29" xr:uid="{00000000-0002-0000-0500-000006000000}">
      <formula1>1</formula1>
      <formula2>1111111111111110</formula2>
    </dataValidation>
    <dataValidation allowBlank="1" showInputMessage="1" showErrorMessage="1" promptTitle="Wprowadź" prompt="powierzchnię użytkową" sqref="AD28:AL31" xr:uid="{00000000-0002-0000-0500-000007000000}"/>
    <dataValidation type="whole" allowBlank="1" showInputMessage="1" showErrorMessage="1" promptTitle="Wprowadź" prompt="liczbę" sqref="N30:AC31" xr:uid="{00000000-0002-0000-0500-000008000000}">
      <formula1>0</formula1>
      <formula2>1111111111111110</formula2>
    </dataValidation>
    <dataValidation type="decimal" allowBlank="1" showInputMessage="1" showErrorMessage="1" promptTitle="Wprowadź" prompt="kwotę faktycznego kosztu przedsięwzięcia" sqref="U15:AL15" xr:uid="{00000000-0002-0000-0500-000009000000}">
      <formula1>0.01</formula1>
      <formula2>1.11111111111111E+64</formula2>
    </dataValidation>
    <dataValidation type="decimal" allowBlank="1" showInputMessage="1" showErrorMessage="1" promptTitle="Wprowadź" prompt="kwotę finansowego wsparcia wynikającą z umowy" sqref="U18:AL18" xr:uid="{00000000-0002-0000-0500-00000A000000}">
      <formula1>0.01</formula1>
      <formula2>1.11111111111111E+64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promptTitle="Wybierz" prompt="właściwy rodzaj przedsięwzięcia" xr:uid="{00000000-0002-0000-0500-00000B000000}">
          <x14:formula1>
            <xm:f>Słownik!$A$5:$A$8</xm:f>
          </x14:formula1>
          <xm:sqref>U13:AL13</xm:sqref>
        </x14:dataValidation>
        <x14:dataValidation type="list" allowBlank="1" showInputMessage="1" showErrorMessage="1" promptTitle="Wybierz" prompt="właściwe lub nie dotyczy w przypadku gdy dotyczy jednego rodzaju przedsięwzięcia" xr:uid="{00000000-0002-0000-0500-00000C000000}">
          <x14:formula1>
            <xm:f>Słownik!$A$17:$A$21</xm:f>
          </x14:formula1>
          <xm:sqref>U14:AL14</xm:sqref>
        </x14:dataValidation>
        <x14:dataValidation type="list" allowBlank="1" showInputMessage="1" showErrorMessage="1" promptTitle="Wybierz" prompt="właściwy zasób" xr:uid="{00000000-0002-0000-0500-00000D000000}">
          <x14:formula1>
            <xm:f>Słownik!$C$2:$C$4</xm:f>
          </x14:formula1>
          <xm:sqref>A28:M28</xm:sqref>
        </x14:dataValidation>
        <x14:dataValidation type="list" allowBlank="1" showInputMessage="1" showErrorMessage="1" promptTitle="Wybierz" prompt="właściwy zasób" xr:uid="{00000000-0002-0000-0500-00000E000000}">
          <x14:formula1>
            <xm:f>Słownik!$C$12</xm:f>
          </x14:formula1>
          <xm:sqref>A30:M30</xm:sqref>
        </x14:dataValidation>
        <x14:dataValidation type="list" allowBlank="1" showInputMessage="1" showErrorMessage="1" promptTitle="Wybierz" prompt="właściwy zasób" xr:uid="{00000000-0002-0000-0500-00000F000000}">
          <x14:formula1>
            <xm:f>Słownik!$C$13</xm:f>
          </x14:formula1>
          <xm:sqref>A31:M31</xm:sqref>
        </x14:dataValidation>
        <x14:dataValidation type="list" allowBlank="1" showInputMessage="1" showErrorMessage="1" promptTitle="Wybierz" prompt="właściwy zasób w przypadku gdy utworzono więcej niż jeden zasób lub wybierz nie dotyczy" xr:uid="{00000000-0002-0000-0500-000010000000}">
          <x14:formula1>
            <xm:f>Słownik!$C$17:$C$20</xm:f>
          </x14:formula1>
          <xm:sqref>A29:M29</xm:sqref>
        </x14:dataValidation>
        <x14:dataValidation type="list" allowBlank="1" showInputMessage="1" showErrorMessage="1" promptTitle="Wybierz" prompt="właściwe" xr:uid="{00000000-0002-0000-0500-000011000000}">
          <x14:formula1>
            <xm:f>Słownik!$D$3:$D$4</xm:f>
          </x14:formula1>
          <xm:sqref>U19:AL19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Nazwane zakresy</vt:lpstr>
      </vt:variant>
      <vt:variant>
        <vt:i4>4</vt:i4>
      </vt:variant>
    </vt:vector>
  </HeadingPairs>
  <TitlesOfParts>
    <vt:vector size="12" baseType="lpstr">
      <vt:lpstr>Wybór</vt:lpstr>
      <vt:lpstr>Rozliczenie art. 3 i art. 4</vt:lpstr>
      <vt:lpstr>Rozliczenie art. 5 i art. 5a</vt:lpstr>
      <vt:lpstr>Rozliczenie art. 5c beneficjent</vt:lpstr>
      <vt:lpstr>Rozliczenie art. 5c inwestor</vt:lpstr>
      <vt:lpstr>Rozliczenie art. 4a akademiki</vt:lpstr>
      <vt:lpstr>Słownik</vt:lpstr>
      <vt:lpstr>pierwowzór</vt:lpstr>
      <vt:lpstr>'Rozliczenie art. 3 i art. 4'!Obszar_wydruku</vt:lpstr>
      <vt:lpstr>'Rozliczenie art. 4a akademiki'!Obszar_wydruku</vt:lpstr>
      <vt:lpstr>'Rozliczenie art. 5 i art. 5a'!Obszar_wydruku</vt:lpstr>
      <vt:lpstr>'Rozliczenie art. 5c beneficjent'!Obszar_wydruku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d642cb-f5ac-4f9c-8f91-3377ed972e0d_Enabled">
    <vt:lpwstr>True</vt:lpwstr>
  </property>
  <property fmtid="{D5CDD505-2E9C-101B-9397-08002B2CF9AE}" pid="3" name="MSIP_Label_ffd642cb-f5ac-4f9c-8f91-3377ed972e0d_SiteId">
    <vt:lpwstr>29bb5b9c-200a-4906-89ef-c651c86ab301</vt:lpwstr>
  </property>
  <property fmtid="{D5CDD505-2E9C-101B-9397-08002B2CF9AE}" pid="4" name="MSIP_Label_ffd642cb-f5ac-4f9c-8f91-3377ed972e0d_Owner">
    <vt:lpwstr>Mariusz.Kempka@bgk.pl</vt:lpwstr>
  </property>
  <property fmtid="{D5CDD505-2E9C-101B-9397-08002B2CF9AE}" pid="5" name="MSIP_Label_ffd642cb-f5ac-4f9c-8f91-3377ed972e0d_SetDate">
    <vt:lpwstr>2019-05-23T06:26:59.3698495Z</vt:lpwstr>
  </property>
  <property fmtid="{D5CDD505-2E9C-101B-9397-08002B2CF9AE}" pid="6" name="MSIP_Label_ffd642cb-f5ac-4f9c-8f91-3377ed972e0d_Name">
    <vt:lpwstr>Wewnętrzne</vt:lpwstr>
  </property>
  <property fmtid="{D5CDD505-2E9C-101B-9397-08002B2CF9AE}" pid="7" name="MSIP_Label_ffd642cb-f5ac-4f9c-8f91-3377ed972e0d_Application">
    <vt:lpwstr>Microsoft Azure Information Protection</vt:lpwstr>
  </property>
  <property fmtid="{D5CDD505-2E9C-101B-9397-08002B2CF9AE}" pid="8" name="MSIP_Label_ffd642cb-f5ac-4f9c-8f91-3377ed972e0d_Extended_MSFT_Method">
    <vt:lpwstr>Manual</vt:lpwstr>
  </property>
  <property fmtid="{D5CDD505-2E9C-101B-9397-08002B2CF9AE}" pid="9" name="MSIP_Label_c668bcff-e2d1-47e2-adc1-b3354af02961_Enabled">
    <vt:lpwstr>true</vt:lpwstr>
  </property>
  <property fmtid="{D5CDD505-2E9C-101B-9397-08002B2CF9AE}" pid="10" name="MSIP_Label_c668bcff-e2d1-47e2-adc1-b3354af02961_SetDate">
    <vt:lpwstr>2022-08-09T07:00:47Z</vt:lpwstr>
  </property>
  <property fmtid="{D5CDD505-2E9C-101B-9397-08002B2CF9AE}" pid="11" name="MSIP_Label_c668bcff-e2d1-47e2-adc1-b3354af02961_Method">
    <vt:lpwstr>Privileged</vt:lpwstr>
  </property>
  <property fmtid="{D5CDD505-2E9C-101B-9397-08002B2CF9AE}" pid="12" name="MSIP_Label_c668bcff-e2d1-47e2-adc1-b3354af02961_Name">
    <vt:lpwstr>c668bcff-e2d1-47e2-adc1-b3354af02961</vt:lpwstr>
  </property>
  <property fmtid="{D5CDD505-2E9C-101B-9397-08002B2CF9AE}" pid="13" name="MSIP_Label_c668bcff-e2d1-47e2-adc1-b3354af02961_SiteId">
    <vt:lpwstr>29bb5b9c-200a-4906-89ef-c651c86ab301</vt:lpwstr>
  </property>
  <property fmtid="{D5CDD505-2E9C-101B-9397-08002B2CF9AE}" pid="14" name="MSIP_Label_c668bcff-e2d1-47e2-adc1-b3354af02961_ContentBits">
    <vt:lpwstr>0</vt:lpwstr>
  </property>
</Properties>
</file>