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en_skoroszyt"/>
  <xr:revisionPtr revIDLastSave="0" documentId="13_ncr:1_{CF828F2F-608A-41EB-A188-662467780A5F}" xr6:coauthVersionLast="47" xr6:coauthVersionMax="47" xr10:uidLastSave="{00000000-0000-0000-0000-000000000000}"/>
  <bookViews>
    <workbookView xWindow="-28920" yWindow="-120" windowWidth="29040" windowHeight="15720" xr2:uid="{00000000-000D-0000-FFFF-FFFF00000000}"/>
  </bookViews>
  <sheets>
    <sheet name="Wniosek - Aneks" sheetId="32" r:id="rId1"/>
    <sheet name="Arkusz1" sheetId="29" state="hidden" r:id="rId2"/>
    <sheet name="Słowniki" sheetId="3" state="hidden" r:id="rId3"/>
    <sheet name="Słownik N_S_O" sheetId="13" state="hidden" r:id="rId4"/>
    <sheet name="Słownik Infrasr" sheetId="28" state="hidden" r:id="rId5"/>
    <sheet name="Słownik woj_powiaty" sheetId="26" state="hidden" r:id="rId6"/>
  </sheets>
  <definedNames>
    <definedName name="_edn1" localSheetId="2">Słowniki!$H$5</definedName>
    <definedName name="_edn10" localSheetId="2">Słowniki!$J$43</definedName>
    <definedName name="_edn11" localSheetId="2">Słowniki!$J$44</definedName>
    <definedName name="_edn12" localSheetId="2">Słowniki!$J$45</definedName>
    <definedName name="_edn2" localSheetId="2">Słowniki!$J$35</definedName>
    <definedName name="_edn3" localSheetId="2">Słowniki!$J$36</definedName>
    <definedName name="_edn4" localSheetId="2">Słowniki!$J$37</definedName>
    <definedName name="_edn5" localSheetId="2">Słowniki!$J$38</definedName>
    <definedName name="_edn6" localSheetId="2">Słowniki!$J$39</definedName>
    <definedName name="_edn7" localSheetId="2">Słowniki!$J$40</definedName>
    <definedName name="_edn8" localSheetId="2">Słowniki!$J$41</definedName>
    <definedName name="_edn9" localSheetId="2">Słowniki!$J$42</definedName>
    <definedName name="_ednref1" localSheetId="2">Słowniki!$H$2</definedName>
    <definedName name="_ednref10" localSheetId="2">Słowniki!$P$7</definedName>
    <definedName name="_ednref11" localSheetId="2">Słowniki!$P$8</definedName>
    <definedName name="_ednref12" localSheetId="2">Słowniki!$P$9</definedName>
    <definedName name="_ednref2" localSheetId="2">Słowniki!$L$5</definedName>
    <definedName name="_ednref3" localSheetId="2">Słowniki!$L$6</definedName>
    <definedName name="_ednref4" localSheetId="2">Słowniki!$L$7</definedName>
    <definedName name="_ednref5" localSheetId="2">Słowniki!$N$5</definedName>
    <definedName name="_ednref6" localSheetId="2">Słowniki!$N$6</definedName>
    <definedName name="_ednref7" localSheetId="2">Słowniki!$N$7</definedName>
    <definedName name="_ednref8" localSheetId="2">Słowniki!$N$8</definedName>
    <definedName name="_ednref9" localSheetId="2">Słowniki!$P$6</definedName>
    <definedName name="_Hlk53499634" localSheetId="2">Słowniki!$D$22</definedName>
    <definedName name="_Hlk59545887" localSheetId="2">Słowniki!$D$18</definedName>
    <definedName name="_Hlk63413254" localSheetId="2">Słowniki!$D$5</definedName>
    <definedName name="ListaRob">'Słownik woj_powiaty'!$E$3:$F$381</definedName>
    <definedName name="_xlnm.Print_Area" localSheetId="0">'Wniosek - Aneks'!$A$4:$AL$78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7" i="32" l="1"/>
  <c r="T49" i="32" l="1" a="1"/>
  <c r="T49" i="32" s="1"/>
  <c r="B57" i="32"/>
  <c r="X69" i="32" s="1"/>
  <c r="Y57" i="32"/>
  <c r="AN67" i="32" s="1"/>
  <c r="AM77" i="32"/>
  <c r="X68" i="32"/>
  <c r="H5" i="32"/>
  <c r="AM68" i="32"/>
  <c r="Y61" i="32"/>
  <c r="AM69" i="32"/>
  <c r="A70" i="3"/>
  <c r="X72" i="32" l="1"/>
  <c r="AK71" i="32" s="1"/>
  <c r="AM67" i="32"/>
  <c r="B64" i="32"/>
  <c r="AK68" i="32" l="1"/>
  <c r="AK66" i="32"/>
  <c r="AK67" i="32"/>
  <c r="AK70" i="32"/>
  <c r="AK72" i="3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<sst xmlns="http://schemas.openxmlformats.org/spreadsheetml/2006/main" count="1197" uniqueCount="717">
  <si>
    <t xml:space="preserve">V. B.  Charakterystyka przedsięwzięcia określonego w art. 4 ustawy </t>
  </si>
  <si>
    <t>A.</t>
  </si>
  <si>
    <r>
      <t xml:space="preserve"> 1) </t>
    </r>
    <r>
      <rPr>
        <sz val="9"/>
        <color rgb="FF000000"/>
        <rFont val="Arial"/>
        <family val="2"/>
        <charset val="238"/>
      </rPr>
      <t xml:space="preserve"> adres nieruchomości;</t>
    </r>
  </si>
  <si>
    <r>
      <t xml:space="preserve"> 1) </t>
    </r>
    <r>
      <rPr>
        <sz val="9"/>
        <color rgb="FF000000"/>
        <rFont val="Arial"/>
        <family val="2"/>
        <charset val="238"/>
      </rPr>
      <t xml:space="preserve"> adresy nabywanych lokali lub budynków;</t>
    </r>
  </si>
  <si>
    <r>
      <t xml:space="preserve"> A. </t>
    </r>
    <r>
      <rPr>
        <sz val="9"/>
        <color rgb="FF000000"/>
        <rFont val="Arial"/>
        <family val="2"/>
        <charset val="238"/>
      </rPr>
      <t xml:space="preserve"> Budowa budynku:</t>
    </r>
  </si>
  <si>
    <r>
      <t xml:space="preserve"> B. </t>
    </r>
    <r>
      <rPr>
        <sz val="9"/>
        <color rgb="FF000000"/>
        <rFont val="Arial"/>
        <family val="2"/>
        <charset val="238"/>
      </rPr>
      <t xml:space="preserve"> Liczba mieszkań chronionych.</t>
    </r>
  </si>
  <si>
    <t>B.</t>
  </si>
  <si>
    <t xml:space="preserve"> 2)  łączna powierzchnia użytkowa tworzonych w ramach przedsięwzięcia lokali wchodzących w skład mieszkaniowego zasobu gminy, mieszkań chronionych oraz tymczasowych pomieszczeń, wraz z pomieszczeniami przynależnymi6) ;</t>
  </si>
  <si>
    <r>
      <t xml:space="preserve"> 2) </t>
    </r>
    <r>
      <rPr>
        <sz val="9"/>
        <color rgb="FF000000"/>
        <rFont val="Arial"/>
        <family val="2"/>
        <charset val="238"/>
      </rPr>
      <t xml:space="preserve"> liczba nabywanych lokali mieszkalnych;</t>
    </r>
  </si>
  <si>
    <r>
      <t xml:space="preserve"> 2) </t>
    </r>
    <r>
      <rPr>
        <sz val="9"/>
        <color rgb="FF000000"/>
        <rFont val="Arial"/>
        <family val="2"/>
        <charset val="238"/>
      </rPr>
      <t xml:space="preserve"> liczba tworzonych w budynku mieszkań z udziałem gminy i związku międzygminnego lokali mieszkalnych na wynajem;</t>
    </r>
  </si>
  <si>
    <r>
      <t xml:space="preserve"> 1. </t>
    </r>
    <r>
      <rPr>
        <sz val="9"/>
        <color rgb="FF000000"/>
        <rFont val="Arial"/>
        <family val="2"/>
        <charset val="238"/>
      </rPr>
      <t xml:space="preserve"> Noclegownia:</t>
    </r>
  </si>
  <si>
    <r>
      <t xml:space="preserve"> C. </t>
    </r>
    <r>
      <rPr>
        <sz val="9"/>
        <color rgb="FF000000"/>
        <rFont val="Arial"/>
        <family val="2"/>
        <charset val="238"/>
      </rPr>
      <t xml:space="preserve"> Liczba tymczasowych pomieszczeń.</t>
    </r>
  </si>
  <si>
    <t>C.</t>
  </si>
  <si>
    <r>
      <t xml:space="preserve"> 3) </t>
    </r>
    <r>
      <rPr>
        <sz val="9"/>
        <color rgb="FF000000"/>
        <rFont val="Arial"/>
        <family val="2"/>
        <charset val="238"/>
      </rPr>
      <t xml:space="preserve"> łączna powierzchnia użytkowa lokali wraz z pomieszczeniami do nich przynależnymi oraz innych pomieszczeń znajdujących się lub powstających w budynku, nieobjętych finansowym wsparciem;</t>
    </r>
  </si>
  <si>
    <r>
      <t xml:space="preserve"> 3) </t>
    </r>
    <r>
      <rPr>
        <sz val="9"/>
        <color rgb="FF000000"/>
        <rFont val="Arial"/>
        <family val="2"/>
        <charset val="238"/>
      </rPr>
      <t xml:space="preserve"> liczba wszystkich lokali mieszkalnych;</t>
    </r>
  </si>
  <si>
    <r>
      <t xml:space="preserve"> 3) </t>
    </r>
    <r>
      <rPr>
        <sz val="9"/>
        <color rgb="FF000000"/>
        <rFont val="Arial"/>
        <family val="2"/>
        <charset val="238"/>
      </rPr>
      <t xml:space="preserve"> liczba tworzonych mieszkań chronionych w budynku;</t>
    </r>
  </si>
  <si>
    <t>D.</t>
  </si>
  <si>
    <t xml:space="preserve"> 4)  łączna powierzchnia użytkowa tworzonych w ramach przedsięwzięcia lokali wchodzących w skład mieszkaniowego zasobu gminy, mieszkań chronionych oraz tymczasowych pomieszczeń, bez pomieszczeń przynależnych6) ;</t>
  </si>
  <si>
    <t xml:space="preserve"> 4)  łączna powierzchnia użytkowa lokali mieszkalnych, nabywanych w ramach przedsięwzięcia, bez pomieszczeń przynależnych6) ;</t>
  </si>
  <si>
    <r>
      <t xml:space="preserve"> 4) </t>
    </r>
    <r>
      <rPr>
        <sz val="9"/>
        <color rgb="FF000000"/>
        <rFont val="Arial"/>
        <family val="2"/>
        <charset val="238"/>
      </rPr>
      <t xml:space="preserve"> liczba wszystkich lokali mieszkalnych w budynku;</t>
    </r>
  </si>
  <si>
    <r>
      <t xml:space="preserve"> 2) </t>
    </r>
    <r>
      <rPr>
        <sz val="9"/>
        <color rgb="FF000000"/>
        <rFont val="Arial"/>
        <family val="2"/>
        <charset val="238"/>
      </rPr>
      <t xml:space="preserve"> nowa powierzchnia użytkowa noclegowni w m</t>
    </r>
    <r>
      <rPr>
        <vertAlign val="superscript"/>
        <sz val="9"/>
        <color rgb="FF000000"/>
        <rFont val="Arial"/>
        <family val="2"/>
        <charset val="238"/>
      </rPr>
      <t>2</t>
    </r>
    <r>
      <rPr>
        <sz val="9"/>
        <color rgb="FF000000"/>
        <rFont val="Arial"/>
        <family val="2"/>
        <charset val="238"/>
      </rPr>
      <t>, w tym w sypialniach w m</t>
    </r>
    <r>
      <rPr>
        <vertAlign val="superscript"/>
        <sz val="9"/>
        <color rgb="FF000000"/>
        <rFont val="Arial"/>
        <family val="2"/>
        <charset val="238"/>
      </rPr>
      <t>2</t>
    </r>
    <r>
      <rPr>
        <sz val="9"/>
        <color rgb="FF000000"/>
        <rFont val="Arial"/>
        <family val="2"/>
        <charset val="238"/>
      </rPr>
      <t>;</t>
    </r>
  </si>
  <si>
    <r>
      <t xml:space="preserve"> E. </t>
    </r>
    <r>
      <rPr>
        <sz val="9"/>
        <color rgb="FF000000"/>
        <rFont val="Arial"/>
        <family val="2"/>
        <charset val="238"/>
      </rPr>
      <t xml:space="preserve"> Liczba lokali mieszkalnych na wynajem tworzonych z udziałem gminy albo związku międzygminnego w wyniku realizacji inwestycji przez inwestora, w przypadku gdy z realizacją przedsięwzięcia jest związane zawarcie umowy, o której mowa w art. 5 ust. 2 ustawy.</t>
    </r>
  </si>
  <si>
    <t>E.</t>
  </si>
  <si>
    <t xml:space="preserve"> 5)  przeciętna powierzchnia użytkowa tworzonych w ramach przedsięwzięcia lokali wchodzących w skład mieszkaniowego zasobu gminy, mieszkań chronionych oraz tymczasowych pomieszczeń, bez pomieszczeń przynależnych6) ;</t>
  </si>
  <si>
    <t xml:space="preserve"> 5)  przeciętna powierzchnia użytkowa lokali mieszkalnych, nabywanych w ramach przedsięwzięcia, bez pomieszczeń przynależnych6) ;</t>
  </si>
  <si>
    <t xml:space="preserve"> 5)  łączna powierzchnia użytkowa lokali mieszkalnych, tworzonych w ramach przedsięwzięcia, bez pomieszczeń przynależnych6) ;</t>
  </si>
  <si>
    <r>
      <t xml:space="preserve"> 3) </t>
    </r>
    <r>
      <rPr>
        <sz val="9"/>
        <color rgb="FF000000"/>
        <rFont val="Arial"/>
        <family val="2"/>
        <charset val="238"/>
      </rPr>
      <t xml:space="preserve"> nowa powierzchnia użytkowa niestanowiąca noclegowni;</t>
    </r>
  </si>
  <si>
    <r>
      <t xml:space="preserve"> F. </t>
    </r>
    <r>
      <rPr>
        <sz val="9"/>
        <color rgb="FF000000"/>
        <rFont val="Arial"/>
        <family val="2"/>
        <charset val="238"/>
      </rPr>
      <t xml:space="preserve"> Liczba miejsc w noclegowniach.</t>
    </r>
  </si>
  <si>
    <t>F.</t>
  </si>
  <si>
    <t xml:space="preserve"> 6)  przewidywany koszt przedsięwzięcia7) .</t>
  </si>
  <si>
    <t xml:space="preserve"> 6)  łączna powierzchnia użytkowa lokali mieszkalnych, nabywanych w ramach przedsięwzięcia, wraz z pomieszczeniami przynależnymi6) ;</t>
  </si>
  <si>
    <t xml:space="preserve"> 6)  przeciętna powierzchnia użytkowa lokali mieszkalnych, tworzonych w ramach przedsięwzięcia, bez pomieszczeń przynależnych6) ;</t>
  </si>
  <si>
    <r>
      <t xml:space="preserve"> 4) </t>
    </r>
    <r>
      <rPr>
        <sz val="9"/>
        <color rgb="FF000000"/>
        <rFont val="Arial"/>
        <family val="2"/>
        <charset val="238"/>
      </rPr>
      <t xml:space="preserve"> nowa liczba miejsc w sypialniach;</t>
    </r>
  </si>
  <si>
    <r>
      <t xml:space="preserve"> G. </t>
    </r>
    <r>
      <rPr>
        <sz val="9"/>
        <color rgb="FF000000"/>
        <rFont val="Arial"/>
        <family val="2"/>
        <charset val="238"/>
      </rPr>
      <t xml:space="preserve"> Liczba miejsc w schroniskach dla bezdomnych.</t>
    </r>
  </si>
  <si>
    <t xml:space="preserve"> 7)  koszt przedsięwzięcia lub przewidywany koszt przedsięwzięcia8) .</t>
  </si>
  <si>
    <t xml:space="preserve"> 7)  łączna powierzchnia użytkowa lokali mieszkalnych, tworzonych w ramach przedsięwzięcia, wraz z pomieszczeniami przynależnymi6) ;</t>
  </si>
  <si>
    <r>
      <t xml:space="preserve"> 5) </t>
    </r>
    <r>
      <rPr>
        <sz val="9"/>
        <color rgb="FF000000"/>
        <rFont val="Arial"/>
        <family val="2"/>
        <charset val="238"/>
      </rPr>
      <t xml:space="preserve"> dotychczasowa powierzchnia użytkowa noclegowni w m</t>
    </r>
    <r>
      <rPr>
        <vertAlign val="superscript"/>
        <sz val="9"/>
        <color rgb="FF000000"/>
        <rFont val="Arial"/>
        <family val="2"/>
        <charset val="238"/>
      </rPr>
      <t>2</t>
    </r>
    <r>
      <rPr>
        <sz val="9"/>
        <color rgb="FF000000"/>
        <rFont val="Arial"/>
        <family val="2"/>
        <charset val="238"/>
      </rPr>
      <t>, w tym w sypialniach w m</t>
    </r>
    <r>
      <rPr>
        <vertAlign val="superscript"/>
        <sz val="9"/>
        <color rgb="FF000000"/>
        <rFont val="Arial"/>
        <family val="2"/>
        <charset val="238"/>
      </rPr>
      <t>2</t>
    </r>
    <r>
      <rPr>
        <sz val="9"/>
        <color rgb="FF000000"/>
        <rFont val="Arial"/>
        <family val="2"/>
        <charset val="238"/>
      </rPr>
      <t>;</t>
    </r>
  </si>
  <si>
    <r>
      <t xml:space="preserve"> H. </t>
    </r>
    <r>
      <rPr>
        <sz val="9"/>
        <color rgb="FF000000"/>
        <rFont val="Arial"/>
        <family val="2"/>
        <charset val="238"/>
      </rPr>
      <t xml:space="preserve"> Liczba miejsc w ogrzewalniach.</t>
    </r>
  </si>
  <si>
    <t xml:space="preserve"> 8)  przewidywany koszt przedsięwzięcia7) ;</t>
  </si>
  <si>
    <r>
      <t xml:space="preserve"> 6) </t>
    </r>
    <r>
      <rPr>
        <sz val="9"/>
        <color rgb="FF000000"/>
        <rFont val="Arial"/>
        <family val="2"/>
        <charset val="238"/>
      </rPr>
      <t xml:space="preserve"> całkowita liczba miejsc w sypialniach, po zakończeniu realizacji przedsięwzięcia, w podziale na poszczególne sypialnie;</t>
    </r>
  </si>
  <si>
    <r>
      <t xml:space="preserve"> 9) </t>
    </r>
    <r>
      <rPr>
        <sz val="9"/>
        <color rgb="FF000000"/>
        <rFont val="Arial"/>
        <family val="2"/>
        <charset val="238"/>
      </rPr>
      <t xml:space="preserve"> udział wnioskodawcy w kosztach przedsięwzięcia (w procentach);</t>
    </r>
  </si>
  <si>
    <r>
      <t xml:space="preserve"> 7) </t>
    </r>
    <r>
      <rPr>
        <sz val="9"/>
        <color rgb="FF000000"/>
        <rFont val="Arial"/>
        <family val="2"/>
        <charset val="238"/>
      </rPr>
      <t xml:space="preserve"> całkowita liczba natrysków, kabin WC, pisuarów i umywalek po zakończeniu realizacji przedsięwzięcia.</t>
    </r>
  </si>
  <si>
    <r>
      <t xml:space="preserve"> 10) </t>
    </r>
    <r>
      <rPr>
        <sz val="9"/>
        <color rgb="FF000000"/>
        <rFont val="Arial"/>
        <family val="2"/>
        <charset val="238"/>
      </rPr>
      <t xml:space="preserve"> łączna powierzchnia użytkowa lokali wraz z pomieszczeniami do nich przynależnymi oraz innych pomieszczeń znajdujących się lub powstających w budynku, nieobjętych finansowym wsparciem.</t>
    </r>
  </si>
  <si>
    <r>
      <t xml:space="preserve"> 2. </t>
    </r>
    <r>
      <rPr>
        <sz val="9"/>
        <color rgb="FF000000"/>
        <rFont val="Arial"/>
        <family val="2"/>
        <charset val="238"/>
      </rPr>
      <t xml:space="preserve"> Schronisko dla bezdomnych:</t>
    </r>
  </si>
  <si>
    <r>
      <t xml:space="preserve"> 2) </t>
    </r>
    <r>
      <rPr>
        <sz val="9"/>
        <color rgb="FF000000"/>
        <rFont val="Arial"/>
        <family val="2"/>
        <charset val="238"/>
      </rPr>
      <t xml:space="preserve"> nowa powierzchnia użytkowa schroniska dla bezdomnych w m</t>
    </r>
    <r>
      <rPr>
        <vertAlign val="superscript"/>
        <sz val="9"/>
        <color rgb="FF000000"/>
        <rFont val="Arial"/>
        <family val="2"/>
        <charset val="238"/>
      </rPr>
      <t>2</t>
    </r>
    <r>
      <rPr>
        <sz val="9"/>
        <color rgb="FF000000"/>
        <rFont val="Arial"/>
        <family val="2"/>
        <charset val="238"/>
      </rPr>
      <t>, w tym powierzchnia mieszkalna w m</t>
    </r>
    <r>
      <rPr>
        <vertAlign val="superscript"/>
        <sz val="9"/>
        <color rgb="FF000000"/>
        <rFont val="Arial"/>
        <family val="2"/>
        <charset val="238"/>
      </rPr>
      <t>2</t>
    </r>
    <r>
      <rPr>
        <sz val="9"/>
        <color rgb="FF000000"/>
        <rFont val="Arial"/>
        <family val="2"/>
        <charset val="238"/>
      </rPr>
      <t>, w tym w pomieszczeniach mieszkalnych w m</t>
    </r>
    <r>
      <rPr>
        <vertAlign val="superscript"/>
        <sz val="9"/>
        <color rgb="FF000000"/>
        <rFont val="Arial"/>
        <family val="2"/>
        <charset val="238"/>
      </rPr>
      <t>2</t>
    </r>
    <r>
      <rPr>
        <sz val="9"/>
        <color rgb="FF000000"/>
        <rFont val="Arial"/>
        <family val="2"/>
        <charset val="238"/>
      </rPr>
      <t>;</t>
    </r>
  </si>
  <si>
    <r>
      <t xml:space="preserve"> 3) </t>
    </r>
    <r>
      <rPr>
        <sz val="9"/>
        <color rgb="FF000000"/>
        <rFont val="Arial"/>
        <family val="2"/>
        <charset val="238"/>
      </rPr>
      <t xml:space="preserve"> nowa powierzchnia użytkowa niestanowiąca schroniska dla bezdomnych;</t>
    </r>
  </si>
  <si>
    <r>
      <t xml:space="preserve"> 4) </t>
    </r>
    <r>
      <rPr>
        <sz val="9"/>
        <color rgb="FF000000"/>
        <rFont val="Arial"/>
        <family val="2"/>
        <charset val="238"/>
      </rPr>
      <t xml:space="preserve"> nowa liczba miejsc w pomieszczeniach mieszkalnych;</t>
    </r>
  </si>
  <si>
    <r>
      <t xml:space="preserve"> 5) </t>
    </r>
    <r>
      <rPr>
        <sz val="9"/>
        <color rgb="FF000000"/>
        <rFont val="Arial"/>
        <family val="2"/>
        <charset val="238"/>
      </rPr>
      <t xml:space="preserve"> dotychczasowa powierzchnia użytkowa schroniska dla bezdomnych w m</t>
    </r>
    <r>
      <rPr>
        <vertAlign val="superscript"/>
        <sz val="9"/>
        <color rgb="FF000000"/>
        <rFont val="Arial"/>
        <family val="2"/>
        <charset val="238"/>
      </rPr>
      <t>2</t>
    </r>
    <r>
      <rPr>
        <sz val="9"/>
        <color rgb="FF000000"/>
        <rFont val="Arial"/>
        <family val="2"/>
        <charset val="238"/>
      </rPr>
      <t>, w tym powierzchnia mieszkalna w m</t>
    </r>
    <r>
      <rPr>
        <vertAlign val="superscript"/>
        <sz val="9"/>
        <color rgb="FF000000"/>
        <rFont val="Arial"/>
        <family val="2"/>
        <charset val="238"/>
      </rPr>
      <t>2</t>
    </r>
    <r>
      <rPr>
        <sz val="9"/>
        <color rgb="FF000000"/>
        <rFont val="Arial"/>
        <family val="2"/>
        <charset val="238"/>
      </rPr>
      <t>, w tym w pomieszczeniach mieszkalnych w m</t>
    </r>
    <r>
      <rPr>
        <vertAlign val="superscript"/>
        <sz val="9"/>
        <color rgb="FF000000"/>
        <rFont val="Arial"/>
        <family val="2"/>
        <charset val="238"/>
      </rPr>
      <t>2</t>
    </r>
    <r>
      <rPr>
        <sz val="9"/>
        <color rgb="FF000000"/>
        <rFont val="Arial"/>
        <family val="2"/>
        <charset val="238"/>
      </rPr>
      <t>;</t>
    </r>
  </si>
  <si>
    <r>
      <t xml:space="preserve"> 6) </t>
    </r>
    <r>
      <rPr>
        <sz val="9"/>
        <color rgb="FF000000"/>
        <rFont val="Arial"/>
        <family val="2"/>
        <charset val="238"/>
      </rPr>
      <t xml:space="preserve"> całkowita liczba miejsc w pomieszczeniach mieszkalnych, po zakończeniu realizacji przedsięwzięcia, w podziale na poszczególne pomieszczenia mieszkalne;</t>
    </r>
  </si>
  <si>
    <r>
      <t xml:space="preserve"> 3. </t>
    </r>
    <r>
      <rPr>
        <sz val="9"/>
        <color rgb="FF000000"/>
        <rFont val="Arial"/>
        <family val="2"/>
        <charset val="238"/>
      </rPr>
      <t xml:space="preserve"> Ogrzewalnia:</t>
    </r>
  </si>
  <si>
    <r>
      <t xml:space="preserve"> 2) </t>
    </r>
    <r>
      <rPr>
        <sz val="9"/>
        <color rgb="FF000000"/>
        <rFont val="Arial"/>
        <family val="2"/>
        <charset val="238"/>
      </rPr>
      <t xml:space="preserve"> nowa powierzchnia użytkowa ogrzewalni w m</t>
    </r>
    <r>
      <rPr>
        <vertAlign val="superscript"/>
        <sz val="9"/>
        <color rgb="FF000000"/>
        <rFont val="Arial"/>
        <family val="2"/>
        <charset val="238"/>
      </rPr>
      <t>2</t>
    </r>
    <r>
      <rPr>
        <sz val="9"/>
        <color rgb="FF000000"/>
        <rFont val="Arial"/>
        <family val="2"/>
        <charset val="238"/>
      </rPr>
      <t>;</t>
    </r>
  </si>
  <si>
    <r>
      <t xml:space="preserve"> 3) </t>
    </r>
    <r>
      <rPr>
        <sz val="9"/>
        <color rgb="FF000000"/>
        <rFont val="Arial"/>
        <family val="2"/>
        <charset val="238"/>
      </rPr>
      <t xml:space="preserve"> nowa powierzchnia użytkowa niestanowiąca ogrzewalni;</t>
    </r>
  </si>
  <si>
    <r>
      <t xml:space="preserve"> 4) </t>
    </r>
    <r>
      <rPr>
        <sz val="9"/>
        <color rgb="FF000000"/>
        <rFont val="Arial"/>
        <family val="2"/>
        <charset val="238"/>
      </rPr>
      <t xml:space="preserve"> nowa liczba miejsc w ogrzewalni;</t>
    </r>
  </si>
  <si>
    <t xml:space="preserve"> 6)   Obliczona zgodnie z art. 2 ust. 2 ustawy z dnia 21 czerwca 2001 r. o ochronie praw lokatorów, mieszkaniowym zasobie gminy i o zmianie Kodeksu cywilnego (Dz. U. z 2016 r. poz. 1610, z 2017 r. poz. 1442 i 1529 oraz z 2018 r. poz. 374 i 756).</t>
  </si>
  <si>
    <r>
      <t xml:space="preserve"> 5) </t>
    </r>
    <r>
      <rPr>
        <sz val="9"/>
        <color rgb="FF000000"/>
        <rFont val="Arial"/>
        <family val="2"/>
        <charset val="238"/>
      </rPr>
      <t xml:space="preserve"> dotychczasowa powierzchnia użytkowa ogrzewalni w m</t>
    </r>
    <r>
      <rPr>
        <vertAlign val="superscript"/>
        <sz val="9"/>
        <color rgb="FF000000"/>
        <rFont val="Arial"/>
        <family val="2"/>
        <charset val="238"/>
      </rPr>
      <t>2</t>
    </r>
    <r>
      <rPr>
        <sz val="9"/>
        <color rgb="FF000000"/>
        <rFont val="Arial"/>
        <family val="2"/>
        <charset val="238"/>
      </rPr>
      <t>;</t>
    </r>
  </si>
  <si>
    <t xml:space="preserve"> 7)   Nie wlicza się wartości lub kosztu nabycia gruntu. Wlicza się koszt wyposażenia lokalu, o którym mowa w art. 6b ustawy.</t>
  </si>
  <si>
    <r>
      <t xml:space="preserve"> 4. </t>
    </r>
    <r>
      <rPr>
        <sz val="9"/>
        <color rgb="FF000000"/>
        <rFont val="Arial"/>
        <family val="2"/>
        <charset val="238"/>
      </rPr>
      <t xml:space="preserve"> Charakterystyka noclegowni (czy dana cecha występuje):</t>
    </r>
  </si>
  <si>
    <r>
      <t xml:space="preserve"> 1) </t>
    </r>
    <r>
      <rPr>
        <sz val="9"/>
        <color rgb="FF000000"/>
        <rFont val="Arial"/>
        <family val="2"/>
        <charset val="238"/>
      </rPr>
      <t xml:space="preserve"> liczba miejsc nie większa niż 100;</t>
    </r>
  </si>
  <si>
    <r>
      <t xml:space="preserve"> 2) </t>
    </r>
    <r>
      <rPr>
        <sz val="9"/>
        <color rgb="FF000000"/>
        <rFont val="Arial"/>
        <family val="2"/>
        <charset val="238"/>
      </rPr>
      <t xml:space="preserve"> nie więcej niż 20 osób w jednej sypialni;</t>
    </r>
  </si>
  <si>
    <r>
      <t xml:space="preserve"> 3) </t>
    </r>
    <r>
      <rPr>
        <sz val="9"/>
        <color rgb="FF000000"/>
        <rFont val="Arial"/>
        <family val="2"/>
        <charset val="238"/>
      </rPr>
      <t xml:space="preserve"> powierzchnia przypadająca na osobę w sypialni - nie mniej niż 3 m</t>
    </r>
    <r>
      <rPr>
        <vertAlign val="superscript"/>
        <sz val="9"/>
        <color rgb="FF000000"/>
        <rFont val="Arial"/>
        <family val="2"/>
        <charset val="238"/>
      </rPr>
      <t>2</t>
    </r>
    <r>
      <rPr>
        <sz val="9"/>
        <color rgb="FF000000"/>
        <rFont val="Arial"/>
        <family val="2"/>
        <charset val="238"/>
      </rPr>
      <t>/osobę, w pomieszczeniach z łóżkami piętrowymi nie mniej niż 2 m</t>
    </r>
    <r>
      <rPr>
        <vertAlign val="superscript"/>
        <sz val="9"/>
        <color rgb="FF000000"/>
        <rFont val="Arial"/>
        <family val="2"/>
        <charset val="238"/>
      </rPr>
      <t>2</t>
    </r>
    <r>
      <rPr>
        <sz val="9"/>
        <color rgb="FF000000"/>
        <rFont val="Arial"/>
        <family val="2"/>
        <charset val="238"/>
      </rPr>
      <t>/osobę;</t>
    </r>
  </si>
  <si>
    <t xml:space="preserve"> 8)   Wlicza się tylko koszty, o których mowa w art. 14 pkt 2 ustawy.</t>
  </si>
  <si>
    <r>
      <t xml:space="preserve"> 4) </t>
    </r>
    <r>
      <rPr>
        <sz val="9"/>
        <color rgb="FF000000"/>
        <rFont val="Arial"/>
        <family val="2"/>
        <charset val="238"/>
      </rPr>
      <t xml:space="preserve"> sypialnie z co najmniej 1 otwieranym oknem na pomieszczenie lub wentylacją przewidzianą dla pomieszczeń mieszkalnych bez otwieranych okien;</t>
    </r>
  </si>
  <si>
    <r>
      <t xml:space="preserve"> 5) </t>
    </r>
    <r>
      <rPr>
        <sz val="9"/>
        <color rgb="FF000000"/>
        <rFont val="Arial"/>
        <family val="2"/>
        <charset val="238"/>
      </rPr>
      <t xml:space="preserve"> sanitariaty (urządzenie natryskowe - 1 dla 15 osób, miska ustępowa - 1 dla 10 kobiet oraz 1 dla 20 mężczyzn, pisuar - 1 dla 20 mężczyzn, umywalka - 1 dla 5 osób, dostęp do bieżącej ciepłej i zimnej wody oraz możliwość przeprowadzenia zabiegów higienicznych);</t>
    </r>
  </si>
  <si>
    <r>
      <t xml:space="preserve"> 6) </t>
    </r>
    <r>
      <rPr>
        <sz val="9"/>
        <color rgb="FF000000"/>
        <rFont val="Arial"/>
        <family val="2"/>
        <charset val="238"/>
      </rPr>
      <t xml:space="preserve"> jadalnia/świetlica (pomieszczenie do spożywania posiłków, które poza porami posiłków może pełnić funkcję świetlicy lub sali spotkań grupowych);</t>
    </r>
  </si>
  <si>
    <r>
      <t xml:space="preserve"> 7) </t>
    </r>
    <r>
      <rPr>
        <sz val="9"/>
        <color rgb="FF000000"/>
        <rFont val="Arial"/>
        <family val="2"/>
        <charset val="238"/>
      </rPr>
      <t xml:space="preserve"> pomieszczenie biurowe (wydzielone pomieszczenie do prac biurowych oraz indywidualnych rozmów z osobami bezdomnymi);</t>
    </r>
  </si>
  <si>
    <r>
      <t xml:space="preserve"> 8) </t>
    </r>
    <r>
      <rPr>
        <sz val="9"/>
        <color rgb="FF000000"/>
        <rFont val="Arial"/>
        <family val="2"/>
        <charset val="238"/>
      </rPr>
      <t xml:space="preserve"> magazyn odzieży, bielizny, pościeli (pomieszczenia wyposażone w regały, szafy i inne meble umożliwiające wymianę rzeczy brudnych i czystych);</t>
    </r>
  </si>
  <si>
    <r>
      <t xml:space="preserve"> 9) </t>
    </r>
    <r>
      <rPr>
        <sz val="9"/>
        <color rgb="FF000000"/>
        <rFont val="Arial"/>
        <family val="2"/>
        <charset val="238"/>
      </rPr>
      <t xml:space="preserve"> magazyn środków chemicznych (wydzielone pomieszczenie na środki czystości i higieny);</t>
    </r>
  </si>
  <si>
    <r>
      <t xml:space="preserve"> 10) </t>
    </r>
    <r>
      <rPr>
        <sz val="9"/>
        <color rgb="FF000000"/>
        <rFont val="Arial"/>
        <family val="2"/>
        <charset val="238"/>
      </rPr>
      <t xml:space="preserve"> pralnia (wydzielone pomieszczenie wyposażone co najmniej w 1 pralkę dla 30 osób).</t>
    </r>
  </si>
  <si>
    <r>
      <t xml:space="preserve"> 5. </t>
    </r>
    <r>
      <rPr>
        <sz val="9"/>
        <color rgb="FF000000"/>
        <rFont val="Arial"/>
        <family val="2"/>
        <charset val="238"/>
      </rPr>
      <t xml:space="preserve"> Charakterystyka schroniska dla bezdomnych (czy dana cecha występuje):</t>
    </r>
  </si>
  <si>
    <r>
      <t xml:space="preserve"> 1) </t>
    </r>
    <r>
      <rPr>
        <sz val="9"/>
        <color rgb="FF000000"/>
        <rFont val="Arial"/>
        <family val="2"/>
        <charset val="238"/>
      </rPr>
      <t xml:space="preserve"> liczba miejsc nie większa niż 80;</t>
    </r>
  </si>
  <si>
    <r>
      <t xml:space="preserve"> 2) </t>
    </r>
    <r>
      <rPr>
        <sz val="9"/>
        <color rgb="FF000000"/>
        <rFont val="Arial"/>
        <family val="2"/>
        <charset val="238"/>
      </rPr>
      <t xml:space="preserve"> nie więcej niż 10 osób w jednym pomieszczeniu mieszkalnym;</t>
    </r>
  </si>
  <si>
    <r>
      <t xml:space="preserve"> 3) </t>
    </r>
    <r>
      <rPr>
        <sz val="9"/>
        <color rgb="FF000000"/>
        <rFont val="Arial"/>
        <family val="2"/>
        <charset val="238"/>
      </rPr>
      <t xml:space="preserve"> powierzchnia przypadająca na osobę w pomieszczeniu mieszkalnym - nie mniej niż 4 m</t>
    </r>
    <r>
      <rPr>
        <vertAlign val="superscript"/>
        <sz val="9"/>
        <color rgb="FF000000"/>
        <rFont val="Arial"/>
        <family val="2"/>
        <charset val="238"/>
      </rPr>
      <t>2</t>
    </r>
    <r>
      <rPr>
        <sz val="9"/>
        <color rgb="FF000000"/>
        <rFont val="Arial"/>
        <family val="2"/>
        <charset val="238"/>
      </rPr>
      <t>/osobę, w pomieszczeniach z łóżkami piętrowymi nie mniej niż 3 m</t>
    </r>
    <r>
      <rPr>
        <vertAlign val="superscript"/>
        <sz val="9"/>
        <color rgb="FF000000"/>
        <rFont val="Arial"/>
        <family val="2"/>
        <charset val="238"/>
      </rPr>
      <t>2</t>
    </r>
    <r>
      <rPr>
        <sz val="9"/>
        <color rgb="FF000000"/>
        <rFont val="Arial"/>
        <family val="2"/>
        <charset val="238"/>
      </rPr>
      <t>/osobę;</t>
    </r>
  </si>
  <si>
    <r>
      <t xml:space="preserve"> 4) </t>
    </r>
    <r>
      <rPr>
        <sz val="9"/>
        <color rgb="FF000000"/>
        <rFont val="Arial"/>
        <family val="2"/>
        <charset val="238"/>
      </rPr>
      <t xml:space="preserve"> pomieszczenia mieszkalne z co najmniej 1 oknem;</t>
    </r>
  </si>
  <si>
    <r>
      <t xml:space="preserve"> 6) </t>
    </r>
    <r>
      <rPr>
        <sz val="9"/>
        <color rgb="FF000000"/>
        <rFont val="Arial"/>
        <family val="2"/>
        <charset val="238"/>
      </rPr>
      <t xml:space="preserve"> kuchnia do sporządzania indywidualnych posiłków (wydzielone pomieszczenie do samodzielnego przygotowywania posiłków wyposażone w co najmniej jedną kuchenkę i lodówkę oraz szafki kuchenne);</t>
    </r>
  </si>
  <si>
    <r>
      <t xml:space="preserve"> 7) </t>
    </r>
    <r>
      <rPr>
        <sz val="9"/>
        <color rgb="FF000000"/>
        <rFont val="Arial"/>
        <family val="2"/>
        <charset val="238"/>
      </rPr>
      <t xml:space="preserve"> jadalnia/świetlica (pomieszczenie do spożywania posiłków, które poza porami posiłków może pełnić funkcję świetlicy lub sali spotkań grupowych);</t>
    </r>
  </si>
  <si>
    <r>
      <t xml:space="preserve"> 8) </t>
    </r>
    <r>
      <rPr>
        <sz val="9"/>
        <color rgb="FF000000"/>
        <rFont val="Arial"/>
        <family val="2"/>
        <charset val="238"/>
      </rPr>
      <t xml:space="preserve"> pralnia i suszarnia (pomieszczenie na pralnię i suszarnię wyposażone w co najmniej jedną pralkę na 30 osób; w przypadku braku suszarni - dostęp do co najmniej jednej suszarki elektrycznej na 30 osób);</t>
    </r>
  </si>
  <si>
    <r>
      <t xml:space="preserve"> 9) </t>
    </r>
    <r>
      <rPr>
        <sz val="9"/>
        <color rgb="FF000000"/>
        <rFont val="Arial"/>
        <family val="2"/>
        <charset val="238"/>
      </rPr>
      <t xml:space="preserve"> pomieszczenie biurowe (wydzielone pomieszczenie do prac biurowych);</t>
    </r>
  </si>
  <si>
    <r>
      <t xml:space="preserve"> 10) </t>
    </r>
    <r>
      <rPr>
        <sz val="9"/>
        <color rgb="FF000000"/>
        <rFont val="Arial"/>
        <family val="2"/>
        <charset val="238"/>
      </rPr>
      <t xml:space="preserve"> magazyn odzieży, bielizny, pościeli (pomieszczenia wyposażone w regały, szafy i inne meble umożliwiające wymianę rzeczy brudnych i czystych);</t>
    </r>
  </si>
  <si>
    <r>
      <t xml:space="preserve"> 11) </t>
    </r>
    <r>
      <rPr>
        <sz val="9"/>
        <color rgb="FF000000"/>
        <rFont val="Arial"/>
        <family val="2"/>
        <charset val="238"/>
      </rPr>
      <t xml:space="preserve"> magazyn środków chemicznych (wydzielone pomieszczenie na środki czystości i higieny);</t>
    </r>
  </si>
  <si>
    <r>
      <t xml:space="preserve"> 12) </t>
    </r>
    <r>
      <rPr>
        <sz val="9"/>
        <color rgb="FF000000"/>
        <rFont val="Arial"/>
        <family val="2"/>
        <charset val="238"/>
      </rPr>
      <t xml:space="preserve"> pokój spotkań indywidualnych (wydzielone pomieszczenie do spotkań indywidualnych);</t>
    </r>
  </si>
  <si>
    <r>
      <t xml:space="preserve"> 13) </t>
    </r>
    <r>
      <rPr>
        <sz val="9"/>
        <color rgb="FF000000"/>
        <rFont val="Arial"/>
        <family val="2"/>
        <charset val="238"/>
      </rPr>
      <t xml:space="preserve"> pracownia komputerowa (wydzielone pomieszczenie lub jego część, wyposażone w komputer z dostępem do internetu).</t>
    </r>
  </si>
  <si>
    <r>
      <t xml:space="preserve"> 6. </t>
    </r>
    <r>
      <rPr>
        <sz val="9"/>
        <color rgb="FF000000"/>
        <rFont val="Arial"/>
        <family val="2"/>
        <charset val="238"/>
      </rPr>
      <t xml:space="preserve"> Charakterystyka ogrzewalni (czy dana cecha występuje):</t>
    </r>
  </si>
  <si>
    <r>
      <t xml:space="preserve"> 1) </t>
    </r>
    <r>
      <rPr>
        <sz val="9"/>
        <color rgb="FF000000"/>
        <rFont val="Arial"/>
        <family val="2"/>
        <charset val="238"/>
      </rPr>
      <t xml:space="preserve"> liczba miejsc nie większa niż 50;</t>
    </r>
  </si>
  <si>
    <r>
      <t xml:space="preserve"> 2) </t>
    </r>
    <r>
      <rPr>
        <sz val="9"/>
        <color rgb="FF000000"/>
        <rFont val="Arial"/>
        <family val="2"/>
        <charset val="238"/>
      </rPr>
      <t xml:space="preserve"> liczba miejsc siedzących dla nie więcej niż 25 osób w jednym pomieszczeniu pobytowym;</t>
    </r>
  </si>
  <si>
    <r>
      <t xml:space="preserve"> 3) </t>
    </r>
    <r>
      <rPr>
        <sz val="9"/>
        <color rgb="FF000000"/>
        <rFont val="Arial"/>
        <family val="2"/>
        <charset val="238"/>
      </rPr>
      <t xml:space="preserve"> powierzchnia przypadająca na osobę w pomieszczeniu pobytowym - nie mniej niż 2 m</t>
    </r>
    <r>
      <rPr>
        <vertAlign val="superscript"/>
        <sz val="9"/>
        <color rgb="FF000000"/>
        <rFont val="Arial"/>
        <family val="2"/>
        <charset val="238"/>
      </rPr>
      <t>2</t>
    </r>
    <r>
      <rPr>
        <sz val="9"/>
        <color rgb="FF000000"/>
        <rFont val="Arial"/>
        <family val="2"/>
        <charset val="238"/>
      </rPr>
      <t>/osobę;</t>
    </r>
  </si>
  <si>
    <r>
      <t xml:space="preserve"> 4) </t>
    </r>
    <r>
      <rPr>
        <sz val="9"/>
        <color rgb="FF000000"/>
        <rFont val="Arial"/>
        <family val="2"/>
        <charset val="238"/>
      </rPr>
      <t xml:space="preserve"> sanitariaty (miska ustępowa - 1 dla 20 kobiet oraz 1 dla 30 mężczyzn, pisuar - 1 dla 30 mężczyzn, umywalka - 1 dla 20 osób, stały dostęp do bieżącej ciepłej i zimnej wody oraz możliwość przeprowadzenia zabiegów higienicznych);</t>
    </r>
  </si>
  <si>
    <r>
      <t xml:space="preserve"> 5) </t>
    </r>
    <r>
      <rPr>
        <sz val="9"/>
        <color rgb="FF000000"/>
        <rFont val="Arial"/>
        <family val="2"/>
        <charset val="238"/>
      </rPr>
      <t xml:space="preserve"> pomieszczenie biurowe (wydzielone pomieszczenie do prac biurowych oraz indywidualnych rozmów z osobami bezdomnymi).</t>
    </r>
  </si>
  <si>
    <r>
      <t xml:space="preserve"> 7. </t>
    </r>
    <r>
      <rPr>
        <sz val="9"/>
        <color rgb="FF000000"/>
        <rFont val="Arial"/>
        <family val="2"/>
        <charset val="238"/>
      </rPr>
      <t xml:space="preserve"> Dostosowanie do potrzeb osób niepełnosprawnych ruchowo (podjazdy dla wózków inwalidzkich, ciągi komunikacyjne w budynku, winda lub inne rozwiązania architektoniczne).</t>
    </r>
  </si>
  <si>
    <r>
      <t xml:space="preserve"> B. </t>
    </r>
    <r>
      <rPr>
        <sz val="9"/>
        <color rgb="FF000000"/>
        <rFont val="Arial"/>
        <family val="2"/>
        <charset val="238"/>
      </rPr>
      <t xml:space="preserve"> Remont lub przebudowa budynku niemieszkalnego, przeznaczonego na pobyt ludzi, będącego własnością gminy, jednoosobowej spółki gminnej, związku międzygminnego albo organizacji pożytku publicznego, albo części takiego budynku - zakres informacji jak w lit. A.</t>
    </r>
  </si>
  <si>
    <r>
      <t xml:space="preserve"> C. </t>
    </r>
    <r>
      <rPr>
        <sz val="9"/>
        <color rgb="FF000000"/>
        <rFont val="Arial"/>
        <family val="2"/>
        <charset val="238"/>
      </rPr>
      <t xml:space="preserve"> Remont lub przebudowa budynku mieszkalnego, będącego własnością gminy lub jednoosobowej spółki gminnej, albo części takiego budynku, jeżeli budynek mieszkalny albo jego część, ze względu na stan techniczny został wyłączony z użytkowania albo zakazano jego użytkowania na podstawie art. 66 ust. 2 albo art. 68 pkt 1 ustawy z dnia 7 lipca 1994 r. - Prawo budowlane - zakres informacji jak w lit. A.</t>
    </r>
  </si>
  <si>
    <r>
      <t xml:space="preserve"> D. </t>
    </r>
    <r>
      <rPr>
        <sz val="9"/>
        <color rgb="FF000000"/>
        <rFont val="Arial"/>
        <family val="2"/>
        <charset val="238"/>
      </rPr>
      <t xml:space="preserve"> Zmiana sposobu użytkowania budynku będącego własnością gminy, jednoosobowej spółki gminnej, związku międzygminnego albo organizacji pożytku publicznego, albo części takiego budynku, wymagającej dokonania remontu lub przebudowy - zakres informacji jak w lit. A.</t>
    </r>
  </si>
  <si>
    <t>Beneficjent wsparcia</t>
  </si>
  <si>
    <t>Nazwa</t>
  </si>
  <si>
    <t>Adres</t>
  </si>
  <si>
    <t>Numer identyfikacji podatkowej NIP</t>
  </si>
  <si>
    <t>Dane służbowe osoby bezpośrednio prowadzącej sprawę</t>
  </si>
  <si>
    <t>II.</t>
  </si>
  <si>
    <t>Dane dotyczące realizowanego przedsięwzięcia</t>
  </si>
  <si>
    <t>Rodzaj przedsięwzięcia (należy wskazać właściwe)</t>
  </si>
  <si>
    <t>I. Dane Wnioskodawcy</t>
  </si>
  <si>
    <t>Gmina</t>
  </si>
  <si>
    <t>Doprecyzowanie beneficjenta wsparcia</t>
  </si>
  <si>
    <t>Jednoosobowa spółka gminna</t>
  </si>
  <si>
    <t>Powiat</t>
  </si>
  <si>
    <t>Związek międzygminny</t>
  </si>
  <si>
    <t>Organizacja pożytku publicznego</t>
  </si>
  <si>
    <t>Spółka celowa</t>
  </si>
  <si>
    <t>podstawowa jednostka samorządu terytorialnego, o której mowa w art. 1 ust. 2 ustawy z dnia 8 marca 1990 r. o samorządzie gminnym (Dz. U. z 2017 r. poz. 1875 z późn. zm.).</t>
  </si>
  <si>
    <t>spółki z ograniczoną odpowiedzialnością lub spółki akcyjne, niedziałające w formie towarzystwa budownictwa społecznego, których wszystkie udziały albo akcje należą do jednego wspólnika albo akcjonariusza, a tym wspólnikiem albo akcjonariuszem jest gmina i którym gmina powierzyła realizację zadania własnego w zakresie zaspokajania potrzeb mieszkaniowych wspólnoty samorządowej</t>
  </si>
  <si>
    <t>związki międzygminne, o których mowa w art. 64 ustawy z dnia 8 marca 1990 r. o samorządzie gminnym (Dz. U. z 2017 r. poz. 1875 z późn. zm.) Związki międzygminne tworzone są przez gminy w celu wspólnego wykonywania zadań publicznych</t>
  </si>
  <si>
    <t>jednostka samorządu terytorialnego II stopnia, o którejh mowa w art. 1 ust. 2 ustawy z dnia 5 czerwca 1998 r. o samorządzie powiatowym (Dz. U. z 2017 r. poz. 1868 z późn. zm.)</t>
  </si>
  <si>
    <t>podmiot, któremu przysługuje status organizacji pożytku publicznego w rozumieniu ustawy z dnia 24 kwietnia 2003 r. o działalności pożytku publicznego i o wolontariacie (Dz. U. z 2018 r. poz. 450)</t>
  </si>
  <si>
    <t>jak wyżej</t>
  </si>
  <si>
    <t>Przewidywana data rozpoczęcia realizacji przedsięwzięcia (miesiąc słownie i rok)</t>
  </si>
  <si>
    <t>Przewidywana data zakończenia realizacji przedsięwzięcia (miesiąc słownie i rok)</t>
  </si>
  <si>
    <t>Łącznie</t>
  </si>
  <si>
    <r>
      <t xml:space="preserve"> A. </t>
    </r>
    <r>
      <rPr>
        <sz val="9"/>
        <color rgb="FF000000"/>
        <rFont val="Arial"/>
        <family val="2"/>
        <charset val="238"/>
      </rPr>
      <t xml:space="preserve"> Liczba lokali wchodzących w skład mieszkaniowego zasobu gminy, w tym liczba lokali przeznaczonych dla osób, o których mowa w art. 28 ust. 1 ustawy z dnia 16 września 2011 r. o szczególnych rozwiązaniach związanych z usuwaniem skutków powodzi (Dz.U. z 2016 r. poz. 825, z 2017 r. poz. 1566 oraz z 2018 r. poz. 650 i 756).</t>
    </r>
  </si>
  <si>
    <r>
      <t xml:space="preserve"> D. </t>
    </r>
    <r>
      <rPr>
        <sz val="9"/>
        <color rgb="FF000000"/>
        <rFont val="Arial"/>
        <family val="2"/>
        <charset val="238"/>
      </rPr>
      <t xml:space="preserve"> Liczba mieszkań pozyskiwanych w wyniku realizacji inwestycji przez towarzystwo budownictwa społecznego albo spółkę gminną, w przypadku gdy z realizacją przedsięwzięcia jest związane zawarcie umowy, o której mowa w art. 5 ust. 2 ustawy, w przypadku, o którym mowa w art. 5a ust. 1 ustawy:                                                                                                                                                                                                                                                                                                                                                                                                                                                                                        1)  mieszkania przeznaczone do podnajmowania osobom spełniającym warunki otrzymania lokalu wchodzącego w skład mieszkaniowego zasobu gminy;                                                                                                                                                                                                                                      2)  mieszkania chronione.</t>
    </r>
  </si>
  <si>
    <t>IV. Rodzaj i wielkość zasobu powstającego w wyniku przedsięwzięcia</t>
  </si>
  <si>
    <t xml:space="preserve">Inne źródła </t>
  </si>
  <si>
    <t>Podkategorie II</t>
  </si>
  <si>
    <r>
      <t xml:space="preserve"> E. </t>
    </r>
    <r>
      <rPr>
        <sz val="9"/>
        <color rgb="FF000000"/>
        <rFont val="Arial"/>
        <family val="2"/>
        <charset val="238"/>
      </rPr>
      <t xml:space="preserve"> Remont lub przebudowa istniejących noclegowni, schronisk dla bezdomnych lub ogrzewalni, w wyniku którego nastąpi dostosowanie noclegowni, schroniska dla bezdomnych lub ogrzewalni do standardów, o których mowa w przepisach wydanych na podstawie art. 48a ust. 14 ustawy z dnia 12 marca 2004 r. o pomocy społecznej - zakres informacji jak w lit. A. </t>
    </r>
  </si>
  <si>
    <t>A. Charakterystyka przedsięwzięcia określonego w art. 5 ustawy</t>
  </si>
  <si>
    <t>Przedsięwzięcie</t>
  </si>
  <si>
    <t>Rodzaj przedsięwzięcia</t>
  </si>
  <si>
    <t>Dane dla rodzaju przedsięwzięcia</t>
  </si>
  <si>
    <t>A. Charakterystyka przedsięwzięcia określonego w art. 3 ustawy</t>
  </si>
  <si>
    <r>
      <t xml:space="preserve"> 1) </t>
    </r>
    <r>
      <rPr>
        <sz val="9"/>
        <color rgb="FF000000"/>
        <rFont val="Arial"/>
        <family val="2"/>
        <charset val="238"/>
      </rPr>
      <t xml:space="preserve"> w przypadku gminy - wójta (burmistrza, prezydenta miasta);</t>
    </r>
  </si>
  <si>
    <r>
      <t xml:space="preserve"> 2) </t>
    </r>
    <r>
      <rPr>
        <sz val="9"/>
        <color rgb="FF000000"/>
        <rFont val="Arial"/>
        <family val="2"/>
        <charset val="238"/>
      </rPr>
      <t xml:space="preserve"> w przypadku związku międzygminnego - zarząd związku;</t>
    </r>
  </si>
  <si>
    <r>
      <t xml:space="preserve"> 3) </t>
    </r>
    <r>
      <rPr>
        <sz val="9"/>
        <color rgb="FF000000"/>
        <rFont val="Arial"/>
        <family val="2"/>
        <charset val="238"/>
      </rPr>
      <t xml:space="preserve"> w przypadku powiatu - starostę;</t>
    </r>
  </si>
  <si>
    <r>
      <t xml:space="preserve"> 4) </t>
    </r>
    <r>
      <rPr>
        <sz val="9"/>
        <color rgb="FF000000"/>
        <rFont val="Arial"/>
        <family val="2"/>
        <charset val="238"/>
      </rPr>
      <t xml:space="preserve"> w przypadku jednoosobowej spółki gminnej, spółki celowej i organizacji pożytku publicznego - osobę lub osoby uprawnione do składania oświadczeń woli w imieniu spółki i organizacji (należy dołączyć aktualny dokument potwierdzający uprawnienia).</t>
    </r>
  </si>
  <si>
    <t>VII. Oświadczenie o prawdziwości danych zawartych we wniosku, podpisane przez</t>
  </si>
  <si>
    <t>Załącznik nr</t>
  </si>
  <si>
    <t>Nie dotyczy</t>
  </si>
  <si>
    <t>Bank Gospodarstwa Krajowego rządowego programu budownictwa komunalnego</t>
  </si>
  <si>
    <t>BB - budowa budynku</t>
  </si>
  <si>
    <t>BB-TBS - budowa budynku przez TBS lub SG</t>
  </si>
  <si>
    <t>K - kupno lub kupno połączone z remontem</t>
  </si>
  <si>
    <t>RPB - remont lub przebudowa budynku niemieszkalnego lub mieszkalnego z decyzją PINB (art. 66 ust. 2 lub art. 68 pkt 1 Prawa budowlanego)</t>
  </si>
  <si>
    <t>RPBn - remont lub przebudowa budynku niemieszkalnego</t>
  </si>
  <si>
    <t>RPBn/ZSUB –TBS/SG - remont lub przebudowa budynku niemieszkalnego przez TBS lub SG</t>
  </si>
  <si>
    <t>ZSUB - zmiana sposobu użytkowania budynku</t>
  </si>
  <si>
    <t>Proszę wypełnić niebieskie pola.</t>
  </si>
  <si>
    <t>Żółte pola wypełnią się automatycznie.</t>
  </si>
  <si>
    <t>data wniosku</t>
  </si>
  <si>
    <t>data wpływu wniosku</t>
  </si>
  <si>
    <t>nr wniosku</t>
  </si>
  <si>
    <t>miejscowość</t>
  </si>
  <si>
    <t>Zielone pola wypełnia pracownik Banku.</t>
  </si>
  <si>
    <t>NIE</t>
  </si>
  <si>
    <t>TAK</t>
  </si>
  <si>
    <t xml:space="preserve">B.  Charakterystyka przedsięwzięcia określonego w art. 4 ustawy </t>
  </si>
  <si>
    <r>
      <t xml:space="preserve">1. </t>
    </r>
    <r>
      <rPr>
        <sz val="9"/>
        <color rgb="FF000000"/>
        <rFont val="Arial"/>
        <family val="2"/>
        <charset val="238"/>
      </rPr>
      <t xml:space="preserve"> Noclegownia: </t>
    </r>
  </si>
  <si>
    <t>NIE DOTYCZY</t>
  </si>
  <si>
    <t>Budowa budynku</t>
  </si>
  <si>
    <t>Kupno lub kupno połączone z remontem</t>
  </si>
  <si>
    <t>Zmiana sposobu użytkowania budynku</t>
  </si>
  <si>
    <t>Remont lub przebudowa budynku niemieszkalnego</t>
  </si>
  <si>
    <t>Schroniska dla bezdomnych art. 4*</t>
  </si>
  <si>
    <t>Wielkość finansowego wsparcia</t>
  </si>
  <si>
    <t>Uwagi, komentarze przydatne przy wypełnianiu wniosku</t>
  </si>
  <si>
    <t>Nie dotyczy realizowanego przedsięwzięcia</t>
  </si>
  <si>
    <t>Wybierz nie dotyczy jeżeli, sprawę prowadzi jedna osoba</t>
  </si>
  <si>
    <r>
      <t xml:space="preserve"> 2) </t>
    </r>
    <r>
      <rPr>
        <sz val="9"/>
        <color rgb="FF000000"/>
        <rFont val="Arial"/>
        <family val="2"/>
        <charset val="238"/>
      </rPr>
      <t xml:space="preserve"> w przypadku powiatu - starostę;</t>
    </r>
  </si>
  <si>
    <t>styczeń</t>
  </si>
  <si>
    <t>luty</t>
  </si>
  <si>
    <t>marzec</t>
  </si>
  <si>
    <t>kwiecień</t>
  </si>
  <si>
    <t>maj</t>
  </si>
  <si>
    <t>czerwiec</t>
  </si>
  <si>
    <t>lipiec</t>
  </si>
  <si>
    <t>sierpień</t>
  </si>
  <si>
    <t>wrzesień</t>
  </si>
  <si>
    <t>październik</t>
  </si>
  <si>
    <t>listopad</t>
  </si>
  <si>
    <t>grudzień</t>
  </si>
  <si>
    <t>Miesiąc</t>
  </si>
  <si>
    <t>Rok</t>
  </si>
  <si>
    <t>pierwszy kwartał</t>
  </si>
  <si>
    <t>drugi kwartał</t>
  </si>
  <si>
    <t>trzeci kwartał</t>
  </si>
  <si>
    <t>czwarty kwartał</t>
  </si>
  <si>
    <t>Data zakończenia realizacji przedsięwzięcia (miesiąc słownie i rok)</t>
  </si>
  <si>
    <t>Data rozpoczęcia realizacji przedsięwzięcia (miesiąc słownie i rok)</t>
  </si>
  <si>
    <t>Inwestor - TBS albo spółka gmina - art. 5a</t>
  </si>
  <si>
    <r>
      <rPr>
        <b/>
        <sz val="11"/>
        <color rgb="FF000000"/>
        <rFont val="Calibri"/>
        <family val="2"/>
        <charset val="238"/>
        <scheme val="minor"/>
      </rPr>
      <t>W.</t>
    </r>
    <r>
      <rPr>
        <sz val="11"/>
        <color rgb="FF000000"/>
        <rFont val="Calibri"/>
        <family val="2"/>
        <charset val="238"/>
        <scheme val="minor"/>
      </rPr>
      <t xml:space="preserve">  Oświadczam (oświadczenie beneficjenta) o przeznaczeniu części lokali dla rodzin z dziećmi posiadającymi zaświadczenie, o którym mowa w art. 4 ust. 3 ustawy z dnia 4 listopada 2016 r. o wsparciu kobiet w ciąży i rodzin „Za życiem” (Dz.U. poz. 1860).</t>
    </r>
  </si>
  <si>
    <r>
      <rPr>
        <b/>
        <sz val="11"/>
        <color rgb="FF000000"/>
        <rFont val="Calibri"/>
        <family val="2"/>
        <charset val="238"/>
        <scheme val="minor"/>
      </rPr>
      <t>W.</t>
    </r>
    <r>
      <rPr>
        <sz val="11"/>
        <color rgb="FF000000"/>
        <rFont val="Calibri"/>
        <family val="2"/>
        <charset val="238"/>
        <scheme val="minor"/>
      </rPr>
      <t xml:space="preserve">  Oświadczam (oświadczenie beneficjenta) o nie przeznaczeniu części lokali dla rodzin z dziećmi posiadającymi zaświadczenie, o którym mowa w art. 4 ust. 3 ustawy z dnia 4 listopada 2016 r. o wsparciu kobiet w ciąży i rodzin „Za życiem” (Dz.U. poz. 1860).</t>
    </r>
  </si>
  <si>
    <t>Środki własne beneficjenta wsparcia</t>
  </si>
  <si>
    <t>Numer identyfikacyjny REGON</t>
  </si>
  <si>
    <t>Środki własne inwestora</t>
  </si>
  <si>
    <r>
      <t xml:space="preserve"> 4) </t>
    </r>
    <r>
      <rPr>
        <sz val="9"/>
        <color rgb="FF000000"/>
        <rFont val="Arial"/>
        <family val="2"/>
        <charset val="238"/>
      </rPr>
      <t xml:space="preserve"> w przypadku jednoosobowej spółki gminnej, organizacji pozarządowej albo podmiotów, o których mowa w art. 3 ust. 3 ustawy z dnia 24 kwietnia 2003 r. o działalności pożytku publicznego i o wolontariacie- osobę lub osoby uprawnione do składania oświadczeń woli w imieniu spółki i organizacji (należy dołączyć aktualny dokument potwierdzający uprawnienia)</t>
    </r>
  </si>
  <si>
    <r>
      <t xml:space="preserve"> 3) </t>
    </r>
    <r>
      <rPr>
        <sz val="9"/>
        <color rgb="FF000000"/>
        <rFont val="Arial"/>
        <family val="2"/>
        <charset val="238"/>
      </rPr>
      <t xml:space="preserve"> w przypadku jednoosobowej spółki gminnej, organizacji pozarządowej albo podmiotów, o których mowa w art. 3 ust. 3 ustawy z dnia 24 kwietnia 2003 r. o działalności pożytku publicznego i o wolontariacie- osobę lub osoby uprawnione do składania oświadczeń woli w imieniu spółki i organizacji (należy dołączyć aktualny dokument potwierdzający uprawnienia)</t>
    </r>
  </si>
  <si>
    <t>organizację pozarządową, o której mowa w art. 3 ust. 2 ustawy z dnia 24 kwietnia 2003 r. o działalności pożytku publicznego i o wolontariacie (Dz. U. z 2020 r. poz. 1057), zwanej dalej „organizacją pozarządową”,</t>
  </si>
  <si>
    <t>podmioty, o których mowa w art. 3 ust. 3 ustawy z dnia 24 kwietnia 2003 r. o działalności pożytku publicznego i o wolontariacie;”,</t>
  </si>
  <si>
    <t>Remont lub przebudowa budynku niemieszkalnego lub mieszkalnego</t>
  </si>
  <si>
    <t>III.  Rodzaj przedsięwzięcia (należy wskazać właściwe)</t>
  </si>
  <si>
    <t>Organizacja pozarządowa</t>
  </si>
  <si>
    <t>Podmioty, o których mowa w art. 3 ust. 3 ustawy  o działalności pożytku publicznego i wolontariacie</t>
  </si>
  <si>
    <r>
      <rPr>
        <b/>
        <sz val="11"/>
        <color theme="1"/>
        <rFont val="Calibri"/>
        <family val="2"/>
        <charset val="238"/>
        <scheme val="minor"/>
      </rPr>
      <t xml:space="preserve">H. </t>
    </r>
    <r>
      <rPr>
        <sz val="11"/>
        <color theme="1"/>
        <rFont val="Calibri"/>
        <family val="2"/>
        <scheme val="minor"/>
      </rPr>
      <t xml:space="preserve"> Oświadczam, że beneficjentowi  wsparcia przysługuje prawo do obniżenia kwoty podatku należnego o kwotę podatku naliczonego związanego z tym przedsięwzięciem lub zwrotu tego podatku.</t>
    </r>
  </si>
  <si>
    <r>
      <rPr>
        <b/>
        <sz val="11"/>
        <color theme="1"/>
        <rFont val="Calibri"/>
        <family val="2"/>
        <charset val="238"/>
        <scheme val="minor"/>
      </rPr>
      <t xml:space="preserve">H. </t>
    </r>
    <r>
      <rPr>
        <sz val="11"/>
        <color theme="1"/>
        <rFont val="Calibri"/>
        <family val="2"/>
        <scheme val="minor"/>
      </rPr>
      <t xml:space="preserve"> Oświadczam, że beneficjentowi wsparcia nie przysługuje prawo do obniżenia kwoty podatku należnego o kwotę podatku naliczonego związanego z tym przedsięwzięciem lub zwrotu tego podatku.</t>
    </r>
  </si>
  <si>
    <r>
      <t xml:space="preserve">O. </t>
    </r>
    <r>
      <rPr>
        <sz val="11"/>
        <color rgb="FF000000"/>
        <rFont val="Arial"/>
        <family val="2"/>
        <charset val="238"/>
      </rPr>
      <t xml:space="preserve"> Oświadczam, że przedsięwzięcie jest objęte gminnym programem rewitalizacji.</t>
    </r>
  </si>
  <si>
    <r>
      <t xml:space="preserve"> O. </t>
    </r>
    <r>
      <rPr>
        <sz val="11"/>
        <color rgb="FF000000"/>
        <rFont val="Arial"/>
        <family val="2"/>
        <charset val="238"/>
      </rPr>
      <t xml:space="preserve"> Oświadczam, że przedsięwzięcie nie jest objęte gminnym programem rewitalizacji.</t>
    </r>
  </si>
  <si>
    <r>
      <t xml:space="preserve"> D. </t>
    </r>
    <r>
      <rPr>
        <sz val="9"/>
        <color rgb="FF000000"/>
        <rFont val="Arial"/>
        <family val="2"/>
        <charset val="238"/>
      </rPr>
      <t xml:space="preserve"> Liczba mieszkań pozyskiwanych w wyniku realizacji inwestycji przez społeczną inicjatywę mieszkaniową albo spółkę gminną, w przypadku gdy z realizacją przedsięwzięcia jest związane zawarcie umowy, o której mowa w art. 5 ust. 2 ustawy, w przypadku, o którym mowa w art . 5a ust. 1 ustawy:                                                                                                                                                                                                                                                                                                                                                                                                                                                                                        1)  mieszkania przeznaczone do podnajmowania osobom spełniającym warunki otrzymania lokalu wchodzącego w skład mieszkaniowego zasobu gminy;                                                                                                                                                                                                                                      2)  mieszkania chronione.</t>
    </r>
  </si>
  <si>
    <r>
      <t xml:space="preserve"> G. </t>
    </r>
    <r>
      <rPr>
        <sz val="9"/>
        <color rgb="FF000000"/>
        <rFont val="Arial"/>
        <family val="2"/>
        <charset val="238"/>
      </rPr>
      <t xml:space="preserve"> Liczba miejsc w schroniskach dla osób bezdomnych.</t>
    </r>
  </si>
  <si>
    <t>J. Liczba lokali mieszkalnych zrealizowanych w ramach programu „Za życiem”.</t>
  </si>
  <si>
    <t>K. Liczba lokali mieszkalnych dla seniorów, o których mowa w art. 5b ustawy.</t>
  </si>
  <si>
    <t>Pieczęć i podpis beneficjenta wsparcia</t>
  </si>
  <si>
    <t>Pieczęć i podpis inwestora</t>
  </si>
  <si>
    <r>
      <rPr>
        <b/>
        <sz val="11"/>
        <color theme="1"/>
        <rFont val="Calibri"/>
        <family val="2"/>
        <charset val="238"/>
        <scheme val="minor"/>
      </rPr>
      <t>H.</t>
    </r>
    <r>
      <rPr>
        <sz val="11"/>
        <color theme="1"/>
        <rFont val="Calibri"/>
        <family val="2"/>
        <scheme val="minor"/>
      </rPr>
      <t xml:space="preserve">  Oświadczam (oświadczenie inwestora), że inwestorowi przysługuje prawo do obniżenia kwoty podatku należnego o kwotę podatku naliczonego związanego z tym przedsięwzięciem lub zwrotu tego podatku .</t>
    </r>
  </si>
  <si>
    <r>
      <rPr>
        <b/>
        <sz val="11"/>
        <color theme="1"/>
        <rFont val="Calibri"/>
        <family val="2"/>
        <charset val="238"/>
        <scheme val="minor"/>
      </rPr>
      <t xml:space="preserve"> H. </t>
    </r>
    <r>
      <rPr>
        <sz val="11"/>
        <color theme="1"/>
        <rFont val="Calibri"/>
        <family val="2"/>
        <scheme val="minor"/>
      </rPr>
      <t xml:space="preserve"> Oświadczam  (oświadczenie inwestora), że inwestorowi nie przysługuje prawo do obniżenia kwoty podatku należnego o kwotę podatku naliczonego związanego z tym przedsięwzięciem lub zwrotu tego podatku.</t>
    </r>
  </si>
  <si>
    <r>
      <rPr>
        <b/>
        <sz val="11"/>
        <color theme="1"/>
        <rFont val="Calibri"/>
        <family val="2"/>
        <charset val="238"/>
        <scheme val="minor"/>
      </rPr>
      <t xml:space="preserve">S. </t>
    </r>
    <r>
      <rPr>
        <sz val="12"/>
        <color theme="1"/>
        <rFont val="Calibri"/>
        <family val="2"/>
        <charset val="238"/>
        <scheme val="minor"/>
      </rPr>
      <t xml:space="preserve"> Oświadczam (oświadczenie beneficjenta wsparcia), że przedsięwzięcie jest realizowane zgodnie ze standardami określonymi w rozporządzeniu Ministra Inwestycji i Rozwoju z dnia 4 marca 2019 r. w sprawie standardów dotyczących przestrzennego kształtowania budynku i jego otoczenia, technologii wykonania i wyposażenia technicznego budynku oraz lokalizacji przedsięwzięć realizowanych z wykorzystaniem finansowego wsparcia z Funduszu Dopłat (Dz. U. poz. 457).</t>
    </r>
  </si>
  <si>
    <r>
      <rPr>
        <b/>
        <sz val="11"/>
        <color theme="1"/>
        <rFont val="Calibri"/>
        <family val="2"/>
        <charset val="238"/>
        <scheme val="minor"/>
      </rPr>
      <t>S.</t>
    </r>
    <r>
      <rPr>
        <sz val="11"/>
        <color theme="1"/>
        <rFont val="Calibri"/>
        <family val="2"/>
        <charset val="238"/>
        <scheme val="minor"/>
      </rPr>
      <t xml:space="preserve">  Oświadczam (oświadczenie beneficjenta wsparcia), że wobec przedsięwzięcia nie stosuje się standardów określonych w rozporządzeniu Ministra Inwestycji i Rozwoju z dnia 4 marca 2019 r. w sprawie standardów dotyczących przestrzennego kształtowania budynku i jego otoczenia, technologii wykonania i wyposażenia technicznego budynku oraz lokalizacji przedsięwzięć realizowanych z wykorzystaniem finansowego wsparcia z Funduszu Dopłat, zgodnie z § 2 tego rozporządzenia.</t>
    </r>
  </si>
  <si>
    <t>F. Zmiana sposobu użytkowania budynku będącego własnością gminy lub jednoosobowej spółki gminnej, albo części takiego budynku, wymagająca dokonania remontu lub przebudowy (art. 3 ust. 2 ustawy), w wyniku której powstaną tymczasowe pomieszczenia.</t>
  </si>
  <si>
    <r>
      <rPr>
        <b/>
        <sz val="11"/>
        <color theme="1"/>
        <rFont val="Calibri"/>
        <family val="2"/>
        <charset val="238"/>
        <scheme val="minor"/>
      </rPr>
      <t xml:space="preserve">S. </t>
    </r>
    <r>
      <rPr>
        <sz val="12"/>
        <color theme="1"/>
        <rFont val="Calibri"/>
        <family val="2"/>
        <charset val="238"/>
        <scheme val="minor"/>
      </rPr>
      <t xml:space="preserve"> Oświadczam (oświadczenie inwestora), że przedsięwzięcie jest realizowane zgodnie ze standardami określonymi w rozporządzeniu Ministra Inwestycji i Rozwoju z dnia 4 marca 2019 r. w sprawie standardów dotyczących przestrzennego kształtowania budynku i jego otoczenia, technologii wykonania i wyposażenia technicznego budynku oraz lokalizacji przedsięwzięć realizowanych z wykorzystaniem finansowego wsparcia z Funduszu Dopłat (Dz. U. poz. 457).</t>
    </r>
  </si>
  <si>
    <r>
      <rPr>
        <b/>
        <sz val="11"/>
        <color theme="1"/>
        <rFont val="Calibri"/>
        <family val="2"/>
        <charset val="238"/>
        <scheme val="minor"/>
      </rPr>
      <t>S.</t>
    </r>
    <r>
      <rPr>
        <sz val="11"/>
        <color theme="1"/>
        <rFont val="Calibri"/>
        <family val="2"/>
        <charset val="238"/>
        <scheme val="minor"/>
      </rPr>
      <t xml:space="preserve">  Oświadczam (oświadczenie inwestora), że wobec przedsięwzięcia nie stosuje się standardów określonych w rozporządzeniu Ministra Inwestycji i Rozwoju z dnia 4 marca 2019 r. w sprawie standardów dotyczących przestrzennego kształtowania budynku i jego otoczenia, technologii wykonania i wyposażenia technicznego budynku oraz lokalizacji przedsięwzięć realizowanych z wykorzystaniem finansowego wsparcia z Funduszu Dopłat, zgodnie z § 2 tego rozporządzenia.</t>
    </r>
  </si>
  <si>
    <t>DOLNOŚLĄSKIE</t>
  </si>
  <si>
    <t>bolesławiecki</t>
  </si>
  <si>
    <t>dzierżoniowski</t>
  </si>
  <si>
    <t>głogowski</t>
  </si>
  <si>
    <t>górowski</t>
  </si>
  <si>
    <t>jaworski</t>
  </si>
  <si>
    <t>jeleniogórski</t>
  </si>
  <si>
    <t>kamiennogórski</t>
  </si>
  <si>
    <t>kłodzki</t>
  </si>
  <si>
    <t>legnicki</t>
  </si>
  <si>
    <t>lubański</t>
  </si>
  <si>
    <t>lubiński</t>
  </si>
  <si>
    <t>lwówecki</t>
  </si>
  <si>
    <t>milicki</t>
  </si>
  <si>
    <t>oleśnicki</t>
  </si>
  <si>
    <t>oławski</t>
  </si>
  <si>
    <t>polkowicki</t>
  </si>
  <si>
    <t>strzeliński</t>
  </si>
  <si>
    <t>średzki</t>
  </si>
  <si>
    <t>świdnicki</t>
  </si>
  <si>
    <t>trzebnicki</t>
  </si>
  <si>
    <t>wałbrzyski</t>
  </si>
  <si>
    <t>wołowski</t>
  </si>
  <si>
    <t>wrocławski</t>
  </si>
  <si>
    <t>ząbkowicki</t>
  </si>
  <si>
    <t>zgorzelecki</t>
  </si>
  <si>
    <t>złotoryjski</t>
  </si>
  <si>
    <t>Jelenia Góra</t>
  </si>
  <si>
    <t>Legnica</t>
  </si>
  <si>
    <t>Wrocław</t>
  </si>
  <si>
    <t>Wałbrzych</t>
  </si>
  <si>
    <t>KUJAWSKO-POMORSKIE</t>
  </si>
  <si>
    <t>aleksandrowski</t>
  </si>
  <si>
    <t>brodnicki</t>
  </si>
  <si>
    <t>bydgoski</t>
  </si>
  <si>
    <t>chełmiński</t>
  </si>
  <si>
    <t>golubsko-dobrzyński</t>
  </si>
  <si>
    <t>grudziądzki</t>
  </si>
  <si>
    <t>inowrocławski</t>
  </si>
  <si>
    <t>lipnowski</t>
  </si>
  <si>
    <t>mogileński</t>
  </si>
  <si>
    <t>nakielski</t>
  </si>
  <si>
    <t>radziejowski</t>
  </si>
  <si>
    <t>rypiński</t>
  </si>
  <si>
    <t>sępoleński</t>
  </si>
  <si>
    <t>świecki</t>
  </si>
  <si>
    <t>toruński</t>
  </si>
  <si>
    <t>tucholski</t>
  </si>
  <si>
    <t>wąbrzeski</t>
  </si>
  <si>
    <t>włocławski</t>
  </si>
  <si>
    <t>żniński</t>
  </si>
  <si>
    <t>Bydgoszcz</t>
  </si>
  <si>
    <t>Grudziądz</t>
  </si>
  <si>
    <t>Toruń</t>
  </si>
  <si>
    <t>Włocławek</t>
  </si>
  <si>
    <t>LUBELSKIE</t>
  </si>
  <si>
    <t>bialski</t>
  </si>
  <si>
    <t>biłgorajski</t>
  </si>
  <si>
    <t>chełmski</t>
  </si>
  <si>
    <t>hrubieszowski</t>
  </si>
  <si>
    <t>janowski</t>
  </si>
  <si>
    <t>krasnostawski</t>
  </si>
  <si>
    <t>kraśnicki</t>
  </si>
  <si>
    <t>lubartowski</t>
  </si>
  <si>
    <t>lubelski</t>
  </si>
  <si>
    <t>łęczyński</t>
  </si>
  <si>
    <t>łukowski</t>
  </si>
  <si>
    <t>opolski</t>
  </si>
  <si>
    <t>parczewski</t>
  </si>
  <si>
    <t>puławski</t>
  </si>
  <si>
    <t>radzyński</t>
  </si>
  <si>
    <t>rycki</t>
  </si>
  <si>
    <t>tomaszowski</t>
  </si>
  <si>
    <t>włodawski</t>
  </si>
  <si>
    <t>zamojski</t>
  </si>
  <si>
    <t>Biała Podlaska</t>
  </si>
  <si>
    <t>Chełm</t>
  </si>
  <si>
    <t>Lublin</t>
  </si>
  <si>
    <t>Zamość</t>
  </si>
  <si>
    <t>LUBUSKIE</t>
  </si>
  <si>
    <t>gorzowski</t>
  </si>
  <si>
    <t>krośnieński</t>
  </si>
  <si>
    <t>międzyrzecki</t>
  </si>
  <si>
    <t>nowosolski</t>
  </si>
  <si>
    <t>słubicki</t>
  </si>
  <si>
    <t>strzelecko-drezdenecki</t>
  </si>
  <si>
    <t>sulęciński</t>
  </si>
  <si>
    <t>świebodziński</t>
  </si>
  <si>
    <t>zielonogórski</t>
  </si>
  <si>
    <t>żagański</t>
  </si>
  <si>
    <t>żarski</t>
  </si>
  <si>
    <t>wschowski</t>
  </si>
  <si>
    <t>Gorzów Wielkopolski</t>
  </si>
  <si>
    <t>Zielona Góra</t>
  </si>
  <si>
    <t>ŁÓDZKIE</t>
  </si>
  <si>
    <t>bełchatowski</t>
  </si>
  <si>
    <t>kutnowski</t>
  </si>
  <si>
    <t>łaski</t>
  </si>
  <si>
    <t>łęczycki</t>
  </si>
  <si>
    <t>łowicki</t>
  </si>
  <si>
    <t>łódzki wschodni</t>
  </si>
  <si>
    <t>opoczyński</t>
  </si>
  <si>
    <t>pabianicki</t>
  </si>
  <si>
    <t>pajęczański</t>
  </si>
  <si>
    <t>piotrkowski</t>
  </si>
  <si>
    <t>poddębicki</t>
  </si>
  <si>
    <t>radomszczański</t>
  </si>
  <si>
    <t>rawski</t>
  </si>
  <si>
    <t>sieradzki</t>
  </si>
  <si>
    <t>skierniewicki</t>
  </si>
  <si>
    <t>wieluński</t>
  </si>
  <si>
    <t>wieruszowski</t>
  </si>
  <si>
    <t>zduńskowolski</t>
  </si>
  <si>
    <t>zgierski</t>
  </si>
  <si>
    <t>brzeziński</t>
  </si>
  <si>
    <t>Łódź</t>
  </si>
  <si>
    <t>Piotrków Trybunalski</t>
  </si>
  <si>
    <t>Skierniewice</t>
  </si>
  <si>
    <t>MAŁOPOLSKIE</t>
  </si>
  <si>
    <t>bocheński</t>
  </si>
  <si>
    <t>brzeski</t>
  </si>
  <si>
    <t>chrzanowski</t>
  </si>
  <si>
    <t>dąbrowski</t>
  </si>
  <si>
    <t>gorlicki</t>
  </si>
  <si>
    <t>krakowski</t>
  </si>
  <si>
    <t>limanowski</t>
  </si>
  <si>
    <t>miechowski</t>
  </si>
  <si>
    <t>myślenicki</t>
  </si>
  <si>
    <t>nowosądecki</t>
  </si>
  <si>
    <t>nowotarski</t>
  </si>
  <si>
    <t>olkuski</t>
  </si>
  <si>
    <t>oświęcimski</t>
  </si>
  <si>
    <t>proszowicki</t>
  </si>
  <si>
    <t>suski</t>
  </si>
  <si>
    <t>tarnowski</t>
  </si>
  <si>
    <t>tatrzański</t>
  </si>
  <si>
    <t>wadowicki</t>
  </si>
  <si>
    <t>wielicki</t>
  </si>
  <si>
    <t>Kraków</t>
  </si>
  <si>
    <t>Nowy Sącz</t>
  </si>
  <si>
    <t>Tarnów</t>
  </si>
  <si>
    <t>MAZOWIECKIE</t>
  </si>
  <si>
    <t>białobrzeski</t>
  </si>
  <si>
    <t>ciechanowski</t>
  </si>
  <si>
    <t>garwoliński</t>
  </si>
  <si>
    <t>gostyniński</t>
  </si>
  <si>
    <t>grodziski</t>
  </si>
  <si>
    <t>grójecki</t>
  </si>
  <si>
    <t>kozienicki</t>
  </si>
  <si>
    <t>legionowski</t>
  </si>
  <si>
    <t>lipski</t>
  </si>
  <si>
    <t>łosicki</t>
  </si>
  <si>
    <t>makowski</t>
  </si>
  <si>
    <t>miński</t>
  </si>
  <si>
    <t>mławski</t>
  </si>
  <si>
    <t>nowodworski</t>
  </si>
  <si>
    <t>ostrołęcki</t>
  </si>
  <si>
    <t>ostrowski</t>
  </si>
  <si>
    <t>otwocki</t>
  </si>
  <si>
    <t>piaseczyński</t>
  </si>
  <si>
    <t>płocki</t>
  </si>
  <si>
    <t>płoński</t>
  </si>
  <si>
    <t>pruszkowski</t>
  </si>
  <si>
    <t>przasnyski</t>
  </si>
  <si>
    <t>przysuski</t>
  </si>
  <si>
    <t>pułtuski</t>
  </si>
  <si>
    <t>radomski</t>
  </si>
  <si>
    <t>siedlecki</t>
  </si>
  <si>
    <t>sierpecki</t>
  </si>
  <si>
    <t>sochaczewski</t>
  </si>
  <si>
    <t>sokołowski</t>
  </si>
  <si>
    <t>szydłowiecki</t>
  </si>
  <si>
    <t>warszawski zachodni</t>
  </si>
  <si>
    <t>węgrowski</t>
  </si>
  <si>
    <t>wołomiński</t>
  </si>
  <si>
    <t>wyszkowski</t>
  </si>
  <si>
    <t>zwoleński</t>
  </si>
  <si>
    <t>żuromiński</t>
  </si>
  <si>
    <t>żyrardowski</t>
  </si>
  <si>
    <t>Ostrołęka</t>
  </si>
  <si>
    <t>Płock</t>
  </si>
  <si>
    <t>Radom</t>
  </si>
  <si>
    <t>Siedlce</t>
  </si>
  <si>
    <t>Warszawa</t>
  </si>
  <si>
    <t>OPOLSKIE</t>
  </si>
  <si>
    <t>głubczycki</t>
  </si>
  <si>
    <t>kędzierzyńsko-kozielski</t>
  </si>
  <si>
    <t>kluczborski</t>
  </si>
  <si>
    <t>krapkowicki</t>
  </si>
  <si>
    <t>namysłowski</t>
  </si>
  <si>
    <t>nyski</t>
  </si>
  <si>
    <t>oleski</t>
  </si>
  <si>
    <t>prudnicki</t>
  </si>
  <si>
    <t>strzelecki</t>
  </si>
  <si>
    <t>Opole</t>
  </si>
  <si>
    <t>PODKARPACKIE</t>
  </si>
  <si>
    <t>bieszczadzki</t>
  </si>
  <si>
    <t>brzozowski</t>
  </si>
  <si>
    <t>dębicki</t>
  </si>
  <si>
    <t>jarosławski</t>
  </si>
  <si>
    <t>jasielski</t>
  </si>
  <si>
    <t>kolbuszowski</t>
  </si>
  <si>
    <t>leżajski</t>
  </si>
  <si>
    <t>lubaczowski</t>
  </si>
  <si>
    <t>łańcucki</t>
  </si>
  <si>
    <t>mielecki</t>
  </si>
  <si>
    <t>niżański</t>
  </si>
  <si>
    <t>przemyski</t>
  </si>
  <si>
    <t>przeworski</t>
  </si>
  <si>
    <t>ropczycko-sędziszowski</t>
  </si>
  <si>
    <t>rzeszowski</t>
  </si>
  <si>
    <t>sanocki</t>
  </si>
  <si>
    <t>stalowowolski</t>
  </si>
  <si>
    <t>strzyżowski</t>
  </si>
  <si>
    <t>tarnobrzeski</t>
  </si>
  <si>
    <t>leski</t>
  </si>
  <si>
    <t>Krosno</t>
  </si>
  <si>
    <t>Przemyśl</t>
  </si>
  <si>
    <t>Rzeszów</t>
  </si>
  <si>
    <t>Tarnobrzeg</t>
  </si>
  <si>
    <t>PODLASKIE</t>
  </si>
  <si>
    <t>augustowski</t>
  </si>
  <si>
    <t>białostocki</t>
  </si>
  <si>
    <t>bielski</t>
  </si>
  <si>
    <t>grajewski</t>
  </si>
  <si>
    <t>hajnowski</t>
  </si>
  <si>
    <t>kolneński</t>
  </si>
  <si>
    <t>łomżyński</t>
  </si>
  <si>
    <t>moniecki</t>
  </si>
  <si>
    <t>sejneński</t>
  </si>
  <si>
    <t>siemiatycki</t>
  </si>
  <si>
    <t>sokólski</t>
  </si>
  <si>
    <t>suwalski</t>
  </si>
  <si>
    <t>wysokomazowiecki</t>
  </si>
  <si>
    <t>zambrowski</t>
  </si>
  <si>
    <t>Białystok</t>
  </si>
  <si>
    <t>Łomża</t>
  </si>
  <si>
    <t>Suwałki</t>
  </si>
  <si>
    <t>POMORSKIE</t>
  </si>
  <si>
    <t>bytowski</t>
  </si>
  <si>
    <t>chojnicki</t>
  </si>
  <si>
    <t>człuchowski</t>
  </si>
  <si>
    <t>gdański</t>
  </si>
  <si>
    <t>kartuski</t>
  </si>
  <si>
    <t>kościerski</t>
  </si>
  <si>
    <t>kwidzyński</t>
  </si>
  <si>
    <t>lęborski</t>
  </si>
  <si>
    <t>malborski</t>
  </si>
  <si>
    <t>pucki</t>
  </si>
  <si>
    <t>słupski</t>
  </si>
  <si>
    <t>starogardzki</t>
  </si>
  <si>
    <t>tczewski</t>
  </si>
  <si>
    <t>wejherowski</t>
  </si>
  <si>
    <t>sztumski</t>
  </si>
  <si>
    <t>Gdańsk</t>
  </si>
  <si>
    <t>Gdynia</t>
  </si>
  <si>
    <t>Słupsk</t>
  </si>
  <si>
    <t>Sopot</t>
  </si>
  <si>
    <t>ŚLĄSKIE</t>
  </si>
  <si>
    <t>będziński</t>
  </si>
  <si>
    <t>cieszyński</t>
  </si>
  <si>
    <t>częstochowski</t>
  </si>
  <si>
    <t>gliwicki</t>
  </si>
  <si>
    <t>kłobucki</t>
  </si>
  <si>
    <t>lubliniecki</t>
  </si>
  <si>
    <t>mikołowski</t>
  </si>
  <si>
    <t>myszkowski</t>
  </si>
  <si>
    <t>pszczyński</t>
  </si>
  <si>
    <t>raciborski</t>
  </si>
  <si>
    <t>rybnicki</t>
  </si>
  <si>
    <t>tarnogórski</t>
  </si>
  <si>
    <t>bieruńsko-lędziński</t>
  </si>
  <si>
    <t>wodzisławski</t>
  </si>
  <si>
    <t>zawierciański</t>
  </si>
  <si>
    <t>żywiecki</t>
  </si>
  <si>
    <t>Bielsko-Biała</t>
  </si>
  <si>
    <t>Bytom</t>
  </si>
  <si>
    <t>Chorzów</t>
  </si>
  <si>
    <t>Częstochowa</t>
  </si>
  <si>
    <t>Dąbrowa Górnicza</t>
  </si>
  <si>
    <t>Gliwice</t>
  </si>
  <si>
    <t>Jastrzębie-Zdrój</t>
  </si>
  <si>
    <t>Jaworzno</t>
  </si>
  <si>
    <t>Katowice</t>
  </si>
  <si>
    <t>Mysłowice</t>
  </si>
  <si>
    <t>Piekary Śląskie</t>
  </si>
  <si>
    <t>Ruda Śląska</t>
  </si>
  <si>
    <t>Rybnik</t>
  </si>
  <si>
    <t>Siemianowice Śląskie</t>
  </si>
  <si>
    <t>Sosnowiec</t>
  </si>
  <si>
    <t>Świętochłowice</t>
  </si>
  <si>
    <t>Tychy</t>
  </si>
  <si>
    <t>Zabrze</t>
  </si>
  <si>
    <t>Żory</t>
  </si>
  <si>
    <t>ŚWIĘTOKRZYSKIE</t>
  </si>
  <si>
    <t>buski</t>
  </si>
  <si>
    <t>jędrzejowski</t>
  </si>
  <si>
    <t>kazimierski</t>
  </si>
  <si>
    <t>kielecki</t>
  </si>
  <si>
    <t>konecki</t>
  </si>
  <si>
    <t>opatowski</t>
  </si>
  <si>
    <t>ostrowiecki</t>
  </si>
  <si>
    <t>pińczowski</t>
  </si>
  <si>
    <t>sandomierski</t>
  </si>
  <si>
    <t>skarżyski</t>
  </si>
  <si>
    <t>starachowicki</t>
  </si>
  <si>
    <t>staszowski</t>
  </si>
  <si>
    <t>włoszczowski</t>
  </si>
  <si>
    <t>Kielce</t>
  </si>
  <si>
    <t>WARMIŃSKO-MAZURSKIE</t>
  </si>
  <si>
    <t>bartoszycki</t>
  </si>
  <si>
    <t>braniewski</t>
  </si>
  <si>
    <t>działdowski</t>
  </si>
  <si>
    <t>elbląski</t>
  </si>
  <si>
    <t>ełcki</t>
  </si>
  <si>
    <t>giżycki</t>
  </si>
  <si>
    <t>iławski</t>
  </si>
  <si>
    <t>kętrzyński</t>
  </si>
  <si>
    <t>lidzbarski</t>
  </si>
  <si>
    <t>mrągowski</t>
  </si>
  <si>
    <t>nidzicki</t>
  </si>
  <si>
    <t>nowomiejski</t>
  </si>
  <si>
    <t>olecki</t>
  </si>
  <si>
    <t>olsztyński</t>
  </si>
  <si>
    <t>ostródzki</t>
  </si>
  <si>
    <t>piski</t>
  </si>
  <si>
    <t>szczycieński</t>
  </si>
  <si>
    <t>gołdapski</t>
  </si>
  <si>
    <t>węgorzewski</t>
  </si>
  <si>
    <t>Elbląg</t>
  </si>
  <si>
    <t>Olsztyn</t>
  </si>
  <si>
    <t>WIELKOPOLSKIE</t>
  </si>
  <si>
    <t>chodzieski</t>
  </si>
  <si>
    <t>czarnkowsko-trzcianecki</t>
  </si>
  <si>
    <t>gnieźnieński</t>
  </si>
  <si>
    <t>gostyński</t>
  </si>
  <si>
    <t>jarociński</t>
  </si>
  <si>
    <t>kaliski</t>
  </si>
  <si>
    <t>kępiński</t>
  </si>
  <si>
    <t>kolski</t>
  </si>
  <si>
    <t>koniński</t>
  </si>
  <si>
    <t>kościański</t>
  </si>
  <si>
    <t>krotoszyński</t>
  </si>
  <si>
    <t>leszczyński</t>
  </si>
  <si>
    <t>międzychodzki</t>
  </si>
  <si>
    <t>nowotomyski</t>
  </si>
  <si>
    <t>obornicki</t>
  </si>
  <si>
    <t>ostrzeszowski</t>
  </si>
  <si>
    <t>pilski</t>
  </si>
  <si>
    <t>pleszewski</t>
  </si>
  <si>
    <t>poznański</t>
  </si>
  <si>
    <t>rawicki</t>
  </si>
  <si>
    <t>słupecki</t>
  </si>
  <si>
    <t>szamotulski</t>
  </si>
  <si>
    <t>śremski</t>
  </si>
  <si>
    <t>turecki</t>
  </si>
  <si>
    <t>wągrowiecki</t>
  </si>
  <si>
    <t>wolsztyński</t>
  </si>
  <si>
    <t>wrzesiński</t>
  </si>
  <si>
    <t>złotowski</t>
  </si>
  <si>
    <t>Kalisz</t>
  </si>
  <si>
    <t>Konin</t>
  </si>
  <si>
    <t>Leszno</t>
  </si>
  <si>
    <t>Poznań</t>
  </si>
  <si>
    <t>ZACHODNIOPOMORSKIE</t>
  </si>
  <si>
    <t>białogardzki</t>
  </si>
  <si>
    <t>choszczeński</t>
  </si>
  <si>
    <t>drawski</t>
  </si>
  <si>
    <t>goleniowski</t>
  </si>
  <si>
    <t>gryficki</t>
  </si>
  <si>
    <t>gryfiński</t>
  </si>
  <si>
    <t>kamieński</t>
  </si>
  <si>
    <t>kołobrzeski</t>
  </si>
  <si>
    <t>koszaliński</t>
  </si>
  <si>
    <t>myśliborski</t>
  </si>
  <si>
    <t>policki</t>
  </si>
  <si>
    <t>pyrzycki</t>
  </si>
  <si>
    <t>sławieński</t>
  </si>
  <si>
    <t>stargardzki</t>
  </si>
  <si>
    <t>szczecinecki</t>
  </si>
  <si>
    <t>świdwiński</t>
  </si>
  <si>
    <t>wałecki</t>
  </si>
  <si>
    <t>łobeski</t>
  </si>
  <si>
    <t>Koszalin</t>
  </si>
  <si>
    <t>Szczecin</t>
  </si>
  <si>
    <t>Świnoujście</t>
  </si>
  <si>
    <t>Kategoria</t>
  </si>
  <si>
    <t>Podkategoria</t>
  </si>
  <si>
    <t>N. Tworzenie lokali mieszkalnych na wynajem, powstających w wyniku realizacji przez inwestora innego niż gmina albo związek międzygminny budowy budynku (art. 5 ust. 1 pkt 1 ustawy), na podstawie umowy, o której mowa w art. 5 ust. 2 ustawy.</t>
  </si>
  <si>
    <t xml:space="preserve">O. Tworzenie lokali mieszkalnych na wynajem, powstających w wyniku realizacji przez inwestora innego niż gmina albo związek międzygminny remontu lub przebudowy budynku niemieszkalnego przeznaczonego na pobyt ludzi albo części takiego budynku (art. 5 ust. 1 pkt 2 ustawy), na podstawie umowy, o której mowa w art. 5 ust. 2 ustawy. </t>
  </si>
  <si>
    <t>R. Tworzenie lokali mieszkalnych powstających w wyniku realizacji przez społeczną inicjatywę mieszkaniową albo spółkę gminną budowy budynku (art. 5 ust. 1 pkt 1 ustawy), na podstawie umowy, o której mowa w art. 5 ust. 2 ustawy, w przypadku, o którym mowa w art. 5a ust. 1 ustawy.</t>
  </si>
  <si>
    <t xml:space="preserve">S. Tworzenie lokali mieszkalnych powstających w wyniku realizacji przez społeczną inicjatywę mieszkaniową albo spółkę gminną remontu lub przebudowy budynku niemieszkalnego przeznaczonego na pobyt ludzi albo części takiego budynku (art. 5 ust. 1 pkt 2 ustawy), na podstawie umowy, o której mowa w art. 5 ust. 2 ustawy, w przypadku, o którym mowa w art. 5a ust. 1 ustawy. </t>
  </si>
  <si>
    <t>T. Tworzenie lokali mieszkalnych powstających w wyniku realizacji przez społeczną inicjatywę mieszkaniową albo spółkę gminną zmiany sposobu użytkowania budynku albo części takiego budynku, wymagającej dokonania remontu lub przebudowy (art. 5 ust. 1 pkt 3 ustawy), na podstawie umowy, o której mowa w art. 5 ust. 2 ustawy, w przypadku, o którym mowa w art. 5a ust. 1 ustawy.</t>
  </si>
  <si>
    <t>Pieczęć i podpis Wójta, Burmistrza, Prezydenta Miasta</t>
  </si>
  <si>
    <r>
      <t> </t>
    </r>
    <r>
      <rPr>
        <sz val="10"/>
        <color theme="1"/>
        <rFont val="Calibri"/>
        <family val="2"/>
        <charset val="238"/>
        <scheme val="minor"/>
      </rPr>
      <t>Utworzone np. w przypadku wydanej decyzji zakazującej użytkowanie</t>
    </r>
  </si>
  <si>
    <t>III. Rodzaj przedsięwzięcia (należy wskazać właściwe)</t>
  </si>
  <si>
    <t>IV. Rodzaj i wielkość zasobu powstającego lub zmodernizowanego w wyniku przedsięwzięcia</t>
  </si>
  <si>
    <t>I. Wskazanie, które z zadań własnych gminy, wymienionych w art. 7 ust. 1 pkt 2, 3, 4-6, 8-10 lub 12 ustawy z dnia 8 marca 1990 r. o samorządzie gminnym, jest realizowane w ramach przedsięwzięcia, o którym mowa w art. 5c ust. 1 lub 2 .</t>
  </si>
  <si>
    <t>Art. 7. 1. pkt 2 ustawy z dnia 8 marca 1990 r. o samorządzie gminnym - gminnych dróg, ulic, mostów, placów oraz organizacji ruchu drogowego.</t>
  </si>
  <si>
    <t>Art. 7. 1. pkt 4 ustawy z dnia 8 marca 1990 r. o samorządzie gminnym - lokalnego transportu zbiorowego.</t>
  </si>
  <si>
    <t>Art. 7. 1. pkt 5 ustawy z dnia 8 marca 1990 r. o samorządzie gminnym - ochrony zdrowia.</t>
  </si>
  <si>
    <t>Art. 7. 1. pkt 6 ustawy z dnia 8 marca 1990 r. o samorządzie gminnym - pomocy społecznej, w tym ośrodków i zakładów opiekuńczych.</t>
  </si>
  <si>
    <t>Art. 7. 1. pkt 8 ustawy z dnia 8 marca 1990 r. o samorządzie gminnym - edukacji publicznej.</t>
  </si>
  <si>
    <t>Art. 7. 1. pkt 9 ustawy z dnia 8 marca 1990 r. o samorządzie gminnym - kultury, w tym bibliotek gminnych i innych instytucji kultury oraz ochrony zabytków i opieki nad zabytkami.</t>
  </si>
  <si>
    <t>Art. 7. 1. pkt 10 ustawy z dnia 8 marca 1990 r. o samorządzie gminnym - kultury fizycznej i turystyki, w tym terenów rekreacyjnych i urządzeń sportowych.</t>
  </si>
  <si>
    <t>Art. 7. 1. pkt 12 ustawy z dnia 8 marca 1990 r. o samorządzie gminnym - zieleni gminnej i zadrzewień.</t>
  </si>
  <si>
    <t>Art. 7. 1. pkt 3 ustawy z dnia 8 marca 1990 r. o samorządzie gminnym - wodociągów i zaopatrzenia w wodę, kanalizacji, usuwania i oczyszczania ścieków komunalnych, utrzymania czystości i porządku oraz urządzeń sanitarnych, wysypisk i unieszkodliwiania odpadów komunalnych, zaopatrzenia w energię elektryczną i cieplną oraz gaz.</t>
  </si>
  <si>
    <r>
      <t xml:space="preserve">W. </t>
    </r>
    <r>
      <rPr>
        <sz val="11"/>
        <color rgb="FF000000"/>
        <rFont val="Calibri"/>
        <family val="2"/>
        <charset val="238"/>
        <scheme val="minor"/>
      </rPr>
      <t>W przypadku przedsięwzięć, o których mowa w art. 5c ustawy, oświadczenie beneficjenta wsparcia, że w ramach przedsięwzięcia występuje bądź nie występuje pomoc publiczna.</t>
    </r>
  </si>
  <si>
    <t>Inwestor inny</t>
  </si>
  <si>
    <t xml:space="preserve">I. Budowa budynku na nieruchomości stanowiącej własność albo będącej w użytkowaniu wieczystym gminy, jednoosobowej spółki gminnej, związku międzygminnego, organizacji pozarządowej albo podmiotów, o których mowa w art. 3 ust. 3 ustawy z dnia 24 kwietnia 2003 r. o działalności pożytku publicznego i o wolontariacie (art. 4 ust. 1 pkt 1 i ust. 3 ustawy), w wyniku której powstaną noclegownie lub schroniska dla osób bezdomnych lub nastąpi zwiększenie powierzchni użytkowej pomieszczeń noclegowych w istniejącej noclegowni lub pomieszczeń mieszkalnych w istniejącym schronisku dla osób bezdomnych, albo powstanie ogrzewalnia, z zastrzeżeniem, że w tym samym budynku powstanie również noclegownia lub schronisko dla osób bezdomnych. </t>
  </si>
  <si>
    <t>P. Tworzenie lokali mieszkalnych na wynajem, powstających w wyniku realizacji przez inwestora innego niż gmina albo związek międzygminny zmiany sposobu użytkowania budynku albo części takiego budynku, wymagającej dokonania remontu lub przebudowy (art. 5 ust. 1 pkt 3 ustawy), na podstawie umowy, o której mowa w art. 5 ust. 2 ustawy.</t>
  </si>
  <si>
    <t>Q. Tworzenie lokali mieszkalnych na wynajem, powstających w wyniku realizacji przez inwestora innego niż gmina albo związek międzygminny remontu lub przebudowy całości albo części budynku mieszkalnego, będącego własnością społecznej inicjatywy mieszkaniowej, której jedynym właścicielem jest gmina, jeżeli ten remont lub ta przebudowa nie dotyczy lokalu mieszkalnego zajmowanego przez lokatora na podstawie obowiązującej umowy najmu (art. 5 ust. 1 pkt 4 ustawy), na podstawie umowy, o której mowa w art. 5 ust. 2 ustawy.</t>
  </si>
  <si>
    <t>W. Budowa lub przebudowa komunalnej infrastruktury technicznej lub infrastruktury społecznej (art. 5c ust. 1 ustawy).</t>
  </si>
  <si>
    <t>G. Kupno lokali mieszkalnych, budynku mieszkalnego albo udziału we współwłasności budynku mieszkalnego, połączone z remontem tych lokali lub budynku mieszkalnego – zakres informacji taki jak w lit. F oraz informacja o łącznej powierzchni użytkowej remontowanych lokali wraz z pomieszczeniami do nich przynależnymi oraz innych pomieszczeń znajdujących się w budynku lub powstających w budynku, nieobjętych finansowym wsparciem.</t>
  </si>
  <si>
    <t>I. Tworzenie lokali mieszkalnych na wynajem, powstających w wyniku realizacji przez inwestora innego niż gmina albo związek międzygminny remontu lub przebudowy budynku niemieszkalnego przeznaczonego na pobyt ludzi albo części takiego budynku – zakres informacji taki jak w lit. H.</t>
  </si>
  <si>
    <t>Podmiot, o którym mowa w art. 3 ust. 3 ustawy z dnia 24 kwietnia 2003 r. o działalności pożytku publicznego i o wolontariacie</t>
  </si>
  <si>
    <t>A. Budowa budynku na nieruchomości stanowiącej własność albo będącej w użytkowaniu wieczystym gminy, jednoosobowej spółki gminnej, powiatu, organizacji pozarządowej posiadającej status organizacji pożytku publicznego albo podmiotu, o którym mowa w art. 3 ust. 3 ustawy z dnia 24 kwietnia 2003 r. o działalności pożytku publicznego i o wolontariacie, posiadającego status organizacji pożytku publicznego, Skarbu Państwa (art. 3 ust. 1 pkt 1 i art. 6 ustawy), w wyniku której zostaną utworzone lokale mieszkalne stanowiące mieszkaniowy zasób gminy lub mieszkania chronione.</t>
  </si>
  <si>
    <t>B. Remont lub przebudowa budynku niemieszkalnego przeznaczonego na pobyt ludzi, będącego własnością gminy, jednoosobowej spółki gminnej, powiatu, organizacji pozarządowej posiadającej status organizacji pożytku publicznego albo podmiotu, o którym mowa w art. 3 ust. 3 ustawy z dnia 24 kwietnia 2003 r. o działalności pożytku publicznego i o wolontariacie, posiadającego status organizacji pożytku publicznego, Skarbu Państwa, albo części takiego budynku (art. 3 ust. 1 pkt 2 i art. 6 ustawy), w wyniku których zostaną utworzone lokale mieszkalne stanowiące mieszkaniowy zasób gminy lub mieszkania chronione.</t>
  </si>
  <si>
    <t>C. Remont lub przebudowa budynku mieszkalnego będącego własnością gminy, jednoosobowej spółki gminnej, powiatu, organizacji pozarządowej posiadającej status organizacji pożytku publicznego albo podmiotu, o którym mowa w art. 3 ust. 3 ustawy z dnia 24 kwietnia 2003 r. o działalności pożytku publicznego i o wolontariacie, posiadającego status organizacji pożytku publicznego, Skarbu Państwa, albo części takiego budynku, jeżeli ten remont lub ta przebudowa nie dotyczy lokalu mieszkalnego zajmowanego przez lokatora na podstawie obowiązującej umowy najmu (art. 3 ust. 1 pkt 3 i art. 6 ustawy), w wyniku których zostaną zmodernizowane lokale mieszkalne stanowiące mieszkaniowy zasób gminy lub mieszkania chronione.</t>
  </si>
  <si>
    <t>E. Zmiana sposobu użytkowania budynku będącego własnością gminy, jednoosobowej spółki gminnej, powiatu, organizacji pozarządowej posiadającej status organizacji pożytku publicznego albo podmiotu, o którym mowa w art. 3 ust. 3 ustawy z dnia 24 kwietnia 2003 r. o działalności pożytku publicznego i o wolontariacie, posiadającego status organizacji pożytku publicznego, Skarbu Państwa, albo części takiego budynku, wymagająca dokonania remontu lub przebudowy (art. 3 ust. 1 pkt 4 i art. 6 ustawy), w wyniku której zostaną utworzone lokale mieszkalne stanowiące mieszkaniowy zasób gminy lub mieszkania chronione.</t>
  </si>
  <si>
    <t>G. Kupno lokali mieszkalnych, budynku mieszkalnego albo udziału we współwłasności budynku mieszkalnego (art. 3 ust. 1 pkt 5 i art. 6 ustawy), w wyniku którego zostaną utworzone lokale mieszkalne stanowiące mieszkaniowy zasób gminy lub mieszkania chronione.</t>
  </si>
  <si>
    <t xml:space="preserve">H. Kupno lokali mieszkalnych, budynku mieszkalnego albo udziału we współwłasności budynku mieszkalnego, połączone z remontem tych lokali lub budynku mieszkalnego (art. 3 ust. 1 pkt 6 i art. 6 ustawy), w wyniku którego zostaną utworzone lokale mieszkalne stanowiące mieszkaniowy zasób gminy lub mieszkania chronione. </t>
  </si>
  <si>
    <t xml:space="preserve">J. Remont lub przebudowa budynku niemieszkalnego przeznaczonego na pobyt ludzi, będącego własnością gminy, jednoosobowej spółki gminnej, związku międzygminnego, organizacji pozarządowej albo podmiotów, o których mowa w art. 3 ust. 3 ustawy z dnia 24 kwietnia 2003 r. o działalności pożytku publicznego i o wolontariacie, albo części takiego budynku (art. 4 ust. 1 pkt 2 i ust. 3 ustawy), w wyniku których powstaną noclegownie, schroniska dla osób bezdomnych lub ogrzewalnia, lub nastąpi zwiększenie powierzchni użytkowej pomieszczeń noclegowych w istniejącej noclegowni lub pomieszczeń mieszkalnych w istniejącym schronisku dla osób bezdomnych. </t>
  </si>
  <si>
    <t xml:space="preserve">K. Remont lub przebudowa budynku mieszkalnego, będącego własnością gminy lub jednoosobowej spółki gminnej, związku międzygminnego, organizacji pozarządowej albo podmiotów, o których mowa w art. 3 ust. 3 ustawy z dnia 24 kwietnia 2003 r. o działalności pożytku publicznego i o wolontariacie, albo części takiego budynku, jeżeli budynek mieszkalny albo jego część nie są zamieszkane (art. 4 ust. 1 pkt 3 i ust. 3 ustawy), w wyniku których powstaną noclegownie, schroniska dla osób bezdomnych lub ogrzewalnia, lub nastąpi zwiększenie powierzchni użytkowej pomieszczeń noclegowych w istniejącej noclegowni lub pomieszczeń mieszkalnych w istniejącym schronisku dla osób bezdomnych. </t>
  </si>
  <si>
    <t xml:space="preserve">L. Zmiana sposobu użytkowania budynku będącego własnością gminy, jednoosobowej spółki gminnej, związku międzygminnego, organizacji pozarządowej albo podmiotów, o których mowa w art. 3 ust. 3 ustawy z dnia 24 kwietnia 2003 r. o działalności pożytku publicznego i o wolontariacie, albo części takiego budynku, wymagająca dokonania remontu lub przebudowy (art. 4 ust. 1 pkt 4 i ust. 3 ustawy), w wyniku której powstaną noclegownie, schroniska dla osób bezdomnych lub ogrzewalnia, lub nastąpi zwiększenie powierzchni użytkowej pomieszczeń noclegowych w istniejącej noclegowni lub pomieszczeń mieszkalnych w istniejącym schronisku dla osób bezdomnych. </t>
  </si>
  <si>
    <t>M. Remont, przebudowa, rozbudowa lub nadbudowa istniejącej noclegowni, istniejącego schroniska dla osób bezdomnych lub istniejącej ogrzewalni, w wyniku których nastąpi dostosowanie noclegowni, schroniska dla osób bezdomnych lub ogrzewalni do standardów, o których mowa w przepisach wydanych na podstawie art. 48a ust. 14 ustawy z dnia 12 marca 2004 r. o pomocy społecznej (Dz. U. z 2020 r. poz. 1876, z późn. zm.) (art. 4 ust. 2 ustawy).</t>
  </si>
  <si>
    <t>U. Tworzenie lokali mieszkalnych na wynajem, powstających w wyniku realizacji przez społeczną inicjatywę mieszkaniową albo spółkę gminną remontu lub przebudowy całości albo części budynku mieszkalnego, będącego własnością społecznej inicjatywy mieszkaniowej, której jedynym właścicielem jest gmina, jeżeli ten remont lub ta przebudowa nie dotyczy lokalu mieszkalnego zajmowanego przez lokatora na podstawie obowiązującej umowy najmu (art. 5 ust. 1 pkt 4 ustawy), na podstawie umowy, o której mowa w art. 5 ust. 2 ustawy, w przypadku, o którym mowa w art. 5a ust. 1 ustawy.</t>
  </si>
  <si>
    <t>X. Budowa lub przebudowa komunalnej infrastruktury technicznej lub infrastruktury społecznej przez inwestora, który realizuje przedsięwzięcie albo inwestycję powiązane z przedsięwzięciem infrastrukturalnym, o których mowa w art. 5c ust. 1 pkt 1–5 ustawy, lub jednoosobową spółkę gminną, której gmina przekazała realizację jednego z zadań własnych, o których mowa w art. 7 ust. 1 pkt 2, 3, 4–6, 8–10 i 12 ustawy z dnia 8 marca 1990 r. o samorządzie gminnym (art. 5c ust. 2 ustawy), na podstawie umowy, o której mowa w art. 5c ust. 3 ustawy.</t>
  </si>
  <si>
    <t xml:space="preserve">A. Liczba lokali wchodzących w skład mieszkaniowego zasobu gminy, w tym liczba lokali, które zostaną utworzone, liczba lokali, które zostaną zmodernizowane i liczba lokali przeznaczonych dla osób, o których mowa w art. 28 ust. 2 ustawy z dnia 16 września 2011 r. o szczególnych rozwiązaniach związanych z usuwaniem skutków powodzi (Dz. U. z 2021 r. poz. 379). </t>
  </si>
  <si>
    <t>A. Budowa budynku na nieruchomości stanowiącej własność albo będącej w użytkowaniu wieczystym gminy, jednoosobowej spółki gminnej, powiatu, organizacji pozarządowej posiadającej status organizacji pożytku publicznego albo podmiotu, o którym mowa w art. 3 ust. 3 ustawy z dnia 24 kwietnia 2003 r. o działalności pożytku publicznego i o wolontariacie, posiadającego status organizacji pożytku publicznego, Skarbu Państwa:</t>
  </si>
  <si>
    <r>
      <t xml:space="preserve">B. Remont lub przebudowa budynku niemieszkalnego przeznaczonego na pobyt ludzi, będącego własnością gminy, jednoosobowej spółki gminnej, powiatu, organizacji pozarządowej posiadającej status organizacji pożytku publicznego albo podmiotu, o którym mowa w art. 3 ust. 3 ustawy z dnia 24 kwietnia 2003 r. o działalności pożytku publicznego i o wolontariacie, posiadającego status organizacji pożytku publicznego, Skarbu Państwa, albo części takiego budynku </t>
    </r>
    <r>
      <rPr>
        <b/>
        <sz val="12"/>
        <color theme="1"/>
        <rFont val="Times New Roman"/>
        <family val="1"/>
        <charset val="238"/>
      </rPr>
      <t>–</t>
    </r>
    <r>
      <rPr>
        <sz val="12"/>
        <color theme="1"/>
        <rFont val="Times New Roman"/>
        <family val="1"/>
        <charset val="238"/>
      </rPr>
      <t xml:space="preserve"> zakres informacji taki jak w lit. A.</t>
    </r>
  </si>
  <si>
    <t>C. Remont lub przebudowa budynku mieszkalnego, będącego własnością gminy, jednoosobowej spółki gminnej, powiatu, organizacji pozarządowej posiadającej status organizacji pożytku publicznego albo podmiotu, o którym mowa w art. 3 ust. 3 ustawy z dnia 24 kwietnia 2003 r. o działalności pożytku publicznego i o wolontariacie, posiadającego status organizacji pożytku publicznego, Skarbu Państwa, albo części takiego budynku, jeżeli ten remont lub ta przebudowa nie dotyczy lokalu mieszkalnego zajmowanego przez lokatora na podstawie obowiązującej umowy najmu – zakres informacji taki jak w lit. A.</t>
  </si>
  <si>
    <r>
      <t xml:space="preserve">E. Zmiana sposobu użytkowania budynku będącego własnością gminy, jednoosobowej spółki gminnej, powiatu, organizacji pozarządowej posiadającej status organizacji pożytku publicznego albo podmiotu, o którym mowa w art. 3 ust. 3 ustawy z dnia 24 kwietnia 2003 r. o działalności pożytku publicznego i o wolontariacie, posiadającego status organizacji pożytku publicznego, Skarbu Państwa, albo części takiego budynku, wymagająca dokonania remontu lub przebudowy </t>
    </r>
    <r>
      <rPr>
        <b/>
        <sz val="12"/>
        <color theme="1"/>
        <rFont val="Times New Roman"/>
        <family val="1"/>
        <charset val="238"/>
      </rPr>
      <t>–</t>
    </r>
    <r>
      <rPr>
        <sz val="12"/>
        <color theme="1"/>
        <rFont val="Times New Roman"/>
        <family val="1"/>
        <charset val="238"/>
      </rPr>
      <t xml:space="preserve"> zakres informacji taki jak w lit. A.</t>
    </r>
  </si>
  <si>
    <t>F. Kupno lokali mieszkalnych, budynku mieszkalnego albo udziału we współwłasności budynku mieszkalnego:</t>
  </si>
  <si>
    <t>H. Tworzenie lokali mieszkalnych na wynajem, powstających w wyniku realizacji przez inwestora innego niż gmina albo związek międzygminny budowy budynku:</t>
  </si>
  <si>
    <t>J. Tworzenie lokali mieszkalnych na wynajem, powstających w wyniku realizacji przez inwestora innego niż gmina albo związek międzygminny zmiany sposobu użytkowania budynku albo części takiego budynku, jeżeli taka zmiana wymaga dokonania remontu lub przebudowy –zakres informacji taki jak w lit. H.</t>
  </si>
  <si>
    <t>K. Tworzenie lokali mieszkalnych na wynajem, powstających w wyniku realizacji przez inwestora innego niż gmina albo związek międzygminny, remontu lub przebudowy całości albo części budynku mieszkalnego, będącego własnością społecznej inicjatywy mieszkaniowej, której jedynym właścicielem jest gmina, jeżeli ten remont lub ta przebudowa nie dotyczy lokalu mieszkalnego zajmowanego przez lokatora na podstawie obowiązującej umowy najmu – zakres informacji taki jak w lit. H.</t>
  </si>
  <si>
    <t xml:space="preserve">A. Budowa budynku na nieruchomości stanowiącej własność albo będącej w użytkowaniu wieczystym gminy, jednoosobowej spółki gminnej, związku międzygminnego, organizacji pozarządowej albo podmiotów, o których mowa w art. 3 ust. 3 ustawy z dnia 24 kwietnia 2003 r. o działalności pożytku publicznego i o wolontariacie: </t>
  </si>
  <si>
    <t>B. Remont lub przebudowa budynku niemieszkalnego przeznaczonego na pobyt ludzi, będącego własnością gminy, jednoosobowej spółki gminnej, związku międzygminnego, organizacji pozarządowej albo podmiotów, o których mowa w art. 3 ust. 3 ustawy z dnia 24 kwietnia 2003 r. o działalności pożytku publicznego i o wolontariacie, albo części takiego budynku – zakres informacji jak w lit. A.</t>
  </si>
  <si>
    <t>C. Remont lub przebudowa budynku mieszkalnego, będącego własnością gminy, jednoosobowej spółki gminnej, związku międzygminnego, organizacji pozarządowej albo podmiotów, o których mowa w art. 3 ust. 3 ustawy z dnia 24 kwietnia 2003 r. o działalności pożytku publicznego i o wolontariacie, albo części takiego budynku, jeżeli budynek mieszkalny albo jego część nie są zamieszkane – zakres informacji jak w lit. A.</t>
  </si>
  <si>
    <t>D. Zmiana sposobu użytkowania budynku będącego własnością gminy, jednoosobowej spółki gminnej, związku międzygminnego, organizacji pozarządowej albo podmiotów, o których mowa w art. 3 ust. 3 ustawy z dnia 24 kwietnia 2003 r. o działalności pożytku publicznego i o wolontariacie, albo części takiego budynku, wymagająca dokonania remontu lub przebudowy – zakres informacji jak w lit. A.</t>
  </si>
  <si>
    <t xml:space="preserve">E. Remont, przebudowa, rozbudowa lub nadbudowa istniejącej noclegowni, istniejącego schroniska dla osób bezdomnych lub istniejącej ogrzewalni, w wyniku których nastąpi dostosowanie noclegowni, schroniska dla osób bezdomnych lub ogrzewalni do standardów, o których mowa w przepisach wydanych na podstawie art. 48a ust. 14 ustawy z dnia 12 marca 2004 r. o pomocy społecznej – zakres informacji jak w lit. A. </t>
  </si>
  <si>
    <t>C.  Oświadczam, że przedsięwzięcie nie jest realizowane przy udziale finansowania zwrotnego, o którym mowa w art. 15a ust. 1 ustawy z dnia 26 października 1995 r. o niektórych formach popierania budownictwa mieszkaniowego, i że wysokość środków publicznych przekazanych inwestorowi na tworzenie lokali mieszkalnych na wynajem z udziałem gminy albo związku międzygminnego z tytułu finansowego wsparcia udzielanego na zasadach określonych w ustawie oraz finansowania zwrotnego nie przekracza dopuszczalnej wysokości rekompensaty, o której mowa w art. 5 ust. 5 ustawy – w przypadku gdy z realizacją przedsięwzięcia jest związane zawarcie umowy, o której mowa w art. 5 ust. 2 ustawy.</t>
  </si>
  <si>
    <t>C.  Oświadczam, że przedsięwzięcie jest realizowane przy udziale finansowania zwrotnego, o którym mowa w art. 15a ust. 1 ustawy z dnia 26 października 1995 r. o niektórych formach popierania budownictwa mieszkaniowego, i że wysokość środków publicznych przekazanych inwestorowi na tworzenie lokali mieszkalnych na wynajem z udziałem gminy albo związku międzygminnego z tytułu finansowego wsparcia udzielanego na zasadach określonych w ustawie oraz finansowania zwrotnego nie przekracza dopuszczalnej wysokości rekompensaty, o której mowa w art. 5 ust. 5 ustawy – w przypadku gdy z realizacją przedsięwzięcia jest związane zawarcie umowy, o której mowa w art. 5 ust. 2 ustawy.</t>
  </si>
  <si>
    <t>W. Oświadczam (oświadczenie beneficjenta wsparcia), że w ramach przedsięwzięcia występuje pomoc publiczna.</t>
  </si>
  <si>
    <t>W. Oświadczam (oświadczenie beneficjenta wsparcia), że w ramach przedsięwzięcia nie występuje pomoc publiczna.</t>
  </si>
  <si>
    <t>D. Remont lub przebudowa budynku mieszkalnego, będącego własnością gminy, jednoosobowej spółki gminnej, powiatu, organizacji pozarządowej posiadającej status organizacji pożytku publicznego albo podmiotu, o którym mowa w art. 3 ust. 3 ustawy z dnia 24 kwietnia 2003 r. o działalności pożytku publicznego i o wolontariacie, posiadającego status organizacji pożytku publicznego, Skarbu Państwa, albo części takiego budynku, gdy remont lub przebudowa dotyczy lokalu mieszkalnego zajmowanego przez lokatora na podstawie obowiązującej umowy najmu, jeżeli beneficjent wsparcia uzyskał prawo do premii remontowej, o której mowa w art. 7 ustawy z dnia 21 listopada 2008 r. o wspieraniu termomodernizacji i remontów oraz o centralnej ewidencji emisyjności budynków, i realizuje przedsięwzięcie remontowe, o którym mowa w art. 2 pkt 3 tej ustawy, w budynku, w którym znajdują się te lokale mieszkalne – zakres informacji taki jak w lit. A.</t>
  </si>
  <si>
    <t>D. Remont lub przebudowa budynku mieszkalnego będącego własnością gminy, jednoosobowej spółki gminnej, powiatu, organizacji pozarządowej posiadającej status organizacji pożytku publicznego albo podmiotu, o którym mowa w art. 3 ust. 3 ustawy z dnia 24 kwietnia 2003 r. o działalności pożytku publicznego i o wolontariacie, posiadającego status organizacji pożytku publicznego, Skarbu Państwa, albo części takiego budynku, gdy remont lub przebudowa dotyczy lokalu mieszkalnego zajmowanego przez lokatora na podstawie obowiązującej umowy najmu, jeżeli beneficjent wsparcia uzyskał prawo do premii remontowej, o której mowa w art. 7 ustawy z dnia 21 listopada 2008 r. o wspieraniu termomodernizacji i remontów oraz o centralnej ewidencji emisyjności budynków (Dz. U. z 2020 r. poz. 22, z późn. zm.), i realizuje przedsięwzięcie remontowe, o którym mowa w art. 2 pkt 3 tej ustawy, w budynku, w którym znajdują się te lokale mieszkalne (art. 3 ust. 4 i art. 6 ustawy), w wyniku których zostaną zmodernizowane lokale mieszkalne stanowiące mieszkaniowy zasób gminy lub mieszkania chronione.</t>
  </si>
  <si>
    <t>D. Remont lub przebudowa budynku mieszkalnego będącego własnością gminy, jednoosobowej spółki gminnej, powiatu, organizacji pozarządowej posiadającej status organizacji pożytku publicznego albo podmiotu, o którym mowa w art. 3 ust. 3 ustawy z dnia 24 kwietnia 2003 r. o działalności pożytku publicznego i o wolontariacie, posiadającego status organizacji pożytku publicznego, Skarbu Państwa, albo części takiego budynku, gdy remont lub przebudowa dotyczy lokalu mieszkalnego zajmowanego przez lokatora na podstawie obowiązującej umowy najmu, jeżeli beneficjent wsparcia uzyskał prawo do premii remontowej, o której mowa w art. 7 ustawy z dnia 21 listopada 2008 r. o wspieraniu termomodernizacji i remontów oraz o centralnej ewidencji emisyjności budynków (Dz. U. z 2021 r. poz. 554), i realizuje przedsięwzięcie remontowe, o którym mowa w art. 2 pkt 3 tej ustawy, w budynku, w którym znajdują się te lokale mieszkalne (art. 3 ust. 4 i art. 6 ustawy), w wyniku których zostaną zmodernizowane lokale mieszkalne stanowiące mieszkaniowy zasób gminy lub mieszkania chronione.</t>
  </si>
  <si>
    <t>Numer KRS dla podmiotów innych niż gmina, powiat, związek międzygminny</t>
  </si>
  <si>
    <t>Adres poczty elektronicznej</t>
  </si>
  <si>
    <t>Adres poczty elektronicznej (opcjonalnie)</t>
  </si>
  <si>
    <t>Imię i nazwisko i nr telefonu</t>
  </si>
  <si>
    <t>Imię i nazwisko i nr telefonu (opcjonalnie)</t>
  </si>
  <si>
    <t>Nazwa inwestora</t>
  </si>
  <si>
    <t>Numer identyfikacyjny REGON - inwestora</t>
  </si>
  <si>
    <t>Numer identyfikacji podatkowej NIP - inwestora</t>
  </si>
  <si>
    <t>Numer KRS - inwestora</t>
  </si>
  <si>
    <t>Znak umowy</t>
  </si>
  <si>
    <t>Data zawarcia umowy</t>
  </si>
  <si>
    <t>Wnioskowana kwota finansowego wsparcia, o której mowa w art. 13 ust. 8 ustawy [zł]</t>
  </si>
  <si>
    <t>Wartość gruntu stanowiąca własność lub prawo użytkowania wieczystego inwestora</t>
  </si>
  <si>
    <t>Informacja o oznakowaniu umowy o finansowe wsparcie, o której mowa w art. 12 ust. 1 ustawy.</t>
  </si>
  <si>
    <t>Adres inwestora</t>
  </si>
  <si>
    <t>III.</t>
  </si>
  <si>
    <t>Zaktualizowana przewidywana struktura finansowania przedsięwzięcia</t>
  </si>
  <si>
    <t>Wsparcie ze środków Rządowego Funduszu  Rozwoju Mieszkalnictwa</t>
  </si>
  <si>
    <t xml:space="preserve">Inne  </t>
  </si>
  <si>
    <t xml:space="preserve">Wniosek o udzielenie wsparcia finansowego z Funduszu Dopłat w zakresie aktualizacji kwoty finansowego wsparcia w ramach realizacji przez </t>
  </si>
  <si>
    <t>Kwota finansowego wsparcia - umowa</t>
  </si>
  <si>
    <t>Przewidywane koszty przedsięwzięcia - umowa</t>
  </si>
  <si>
    <t>Wsparcie finansowe na podstawie ustawy - umowa</t>
  </si>
  <si>
    <t>Wsparcie finansowe na podstawie ustawy - aktualizacja</t>
  </si>
  <si>
    <t>Wysokość finansowego wsparcia</t>
  </si>
  <si>
    <t>Maksymalny poziom aktualizacji kosztów przedsięwzięcia, wynikający z art. 13 ust. 8 ustawy, ustalający maksymalny poziom do ustalenia wysokości finansowego wsparcia po aktualizacji</t>
  </si>
  <si>
    <t>Łącznie powinno zsumować się na całkowity koszt przedsięwzięcia po wzroście, jeżeli jest różnica, przynajmniej jedną z podświetlonych wartości na czerwono należy skorygować.</t>
  </si>
  <si>
    <t>Udział wartości gruntu w koszcie przedsięwzięcia po wzroście kosztów</t>
  </si>
  <si>
    <t>Koszty przedsięwzięcia po wzroście kosztów</t>
  </si>
  <si>
    <r>
      <t xml:space="preserve">Wysokość finansowego wsparcia [%] wynikająca </t>
    </r>
    <r>
      <rPr>
        <sz val="11"/>
        <rFont val="Calibri"/>
        <family val="2"/>
        <charset val="238"/>
        <scheme val="minor"/>
      </rPr>
      <t>z ww. umowy</t>
    </r>
  </si>
  <si>
    <t>Wartość gruntu wynikająca z operatu szacunkowego złożonego wraz z wnioskiem o finansowe wsparcie</t>
  </si>
  <si>
    <t>Numer rachunku bankowego lub rachunku prowadzonego przez spółdzielczą kasę oszczędnościowo - kredytową beneficjenta wsparcia, na który zostanie przekazane finansowe wsparcie.</t>
  </si>
  <si>
    <r>
      <t>Przygotowany wniosek prosimy zapisać do formatu PDF i opatrzeć kwalifikowanym podpisem elektronicznym przez osobę lub osoby upoważnione do składania oświadczeń woli przez wnioskodawcę.                                                                                                                                                                                                 Krótka instrukcja zapisania wniosku do</t>
    </r>
    <r>
      <rPr>
        <b/>
        <sz val="12"/>
        <color theme="1"/>
        <rFont val="Arial"/>
        <family val="2"/>
        <charset val="238"/>
      </rPr>
      <t xml:space="preserve"> pliku PDF</t>
    </r>
    <r>
      <rPr>
        <sz val="12"/>
        <color theme="1"/>
        <rFont val="Arial"/>
        <family val="2"/>
        <charset val="238"/>
      </rPr>
      <t xml:space="preserve">:  Kliknij na górnym pasku  </t>
    </r>
    <r>
      <rPr>
        <b/>
        <sz val="12"/>
        <color theme="1"/>
        <rFont val="Arial"/>
        <family val="2"/>
        <charset val="238"/>
      </rPr>
      <t>Pliki</t>
    </r>
    <r>
      <rPr>
        <sz val="12"/>
        <color theme="1"/>
        <rFont val="Arial"/>
        <family val="2"/>
        <charset val="238"/>
      </rPr>
      <t xml:space="preserve"> -&gt; wybierz </t>
    </r>
    <r>
      <rPr>
        <b/>
        <sz val="12"/>
        <color theme="1"/>
        <rFont val="Arial"/>
        <family val="2"/>
        <charset val="238"/>
      </rPr>
      <t>Zapisz plik</t>
    </r>
    <r>
      <rPr>
        <sz val="12"/>
        <color theme="1"/>
        <rFont val="Arial"/>
        <family val="2"/>
        <charset val="238"/>
      </rPr>
      <t xml:space="preserve"> -&gt; </t>
    </r>
    <r>
      <rPr>
        <b/>
        <sz val="12"/>
        <color theme="1"/>
        <rFont val="Arial"/>
        <family val="2"/>
        <charset val="238"/>
      </rPr>
      <t xml:space="preserve">wybierz folder </t>
    </r>
    <r>
      <rPr>
        <sz val="12"/>
        <color theme="1"/>
        <rFont val="Arial"/>
        <family val="2"/>
        <charset val="238"/>
      </rPr>
      <t xml:space="preserve">docelowy zapisania pliku Wniosku -&gt; </t>
    </r>
    <r>
      <rPr>
        <b/>
        <sz val="12"/>
        <color theme="1"/>
        <rFont val="Arial"/>
        <family val="2"/>
        <charset val="238"/>
      </rPr>
      <t>zmień Zapisz jako typ Skoroszyt programu Excel wybierając z rozwijanej listy plik PDF</t>
    </r>
    <r>
      <rPr>
        <sz val="12"/>
        <color theme="1"/>
        <rFont val="Arial"/>
        <family val="2"/>
        <charset val="238"/>
      </rPr>
      <t xml:space="preserve"> i kliknij </t>
    </r>
    <r>
      <rPr>
        <b/>
        <sz val="12"/>
        <color theme="1"/>
        <rFont val="Arial"/>
        <family val="2"/>
        <charset val="238"/>
      </rPr>
      <t>Zapisz</t>
    </r>
    <r>
      <rPr>
        <sz val="12"/>
        <color theme="1"/>
        <rFont val="Arial"/>
        <family val="2"/>
        <charset val="238"/>
      </rPr>
      <t xml:space="preserve">. Wniosek zapisany w formacie pdf jest gotowy do podpisania. Wniosek podpisany należy wysłać za pomocą środków komunikacji elektronicznej przez elektroniczną skrzynkę podawczą banku ePUAP:  /BGK/DFM. Na potwierdzenie wysłania wniosku należy pobrać dokument Urzędowego Poświadczenia Przedłożenia (UPP). Po pobraniu UPP należy oczekiwać do 14 dni na korespondencję z banku w przedmiotowej sprawie. Przez ten czas nie należy przesyłać wniosku ponownie lub zmian do niego. </t>
    </r>
  </si>
  <si>
    <t>zgodnie z przepisami ustawy z dnia 8 grudnia 2006 r. o finansowym wsparciu niektórych przedsięwzięć mieszkaniowych (t.j. Dz.U. 2024 poz. 304 z późn. zm.)</t>
  </si>
  <si>
    <t>Podpis beneficjenta wsparcia</t>
  </si>
  <si>
    <t>W przypadku przedsięwzięć, o których mowa w art. 5 ust. 1 w przypadku zawarcia umowy o której mowa w art. 5 ust. 2 ustawy z dnia 8 grudnia 2006 r. o finansowym wsparciu niektórych przedsięwzięć mieszkaniowych (t.j. Dz.U. 2024 poz. 304 z późn. zm., zwanej dalej „ustawą”)</t>
  </si>
  <si>
    <t>W przypadku przedsięwzięć, o których mowa w art. 5 ust. 1 i art. 5c ust. 2 ustawy z dnia 8 grudnia 2006 r. o finansowym wsparciu niektórych przedsięwzięć mieszkaniowych (t.j. Dz.U. 2024 poz. 304 z późn. zm., zwanej dalej „ustawą”)</t>
  </si>
  <si>
    <t>Wybierz właściwe</t>
  </si>
  <si>
    <t>Nowy wniosek</t>
  </si>
  <si>
    <t>Korekta wniosku</t>
  </si>
  <si>
    <t>Jeżeli składasz korektę wniosku wpisz numer pisma z wezwania do uzupełnienia</t>
  </si>
  <si>
    <t>Wpisz nie dotyczy jeżeli skałdasz nowy wniosek</t>
  </si>
  <si>
    <t>Szanowni Państwo,
przesyłając nowy wniosek w tytule sprawy (w piśmie przewodnim lub technicznym przesyłanym poprzez ePUAP wraz z wnioskiem) proszę wpisywać treść „nowy wniosek”, a jeśli przesyłana jest korekta wniosku proszę wpisać „korekta wniosku dla sprawy numer (…)”. Numer sprawy to znak pisma – wezwania do uzupełnienia. Przesyłana korespondencja do banku poprzez ePUAP powinna dotyczyć jednej sprawy. Taki sposób oznakowania korespondencji pozwoli nam usprawnić obsługę Państwa wniosków. Dziękujemy za stosowanie się do powyższego.</t>
  </si>
  <si>
    <t>Jednocześnie potwierdzam za zgodność z oryginałem wszystkie przedłożone do wniosku o podwyższenie finansowego wsparcia dokumenty.</t>
  </si>
  <si>
    <t>Informuję o prawdziwości danych zawartych we wniosku</t>
  </si>
  <si>
    <t>Uczelnia publiczna</t>
  </si>
  <si>
    <t>Adres do doręczeń elektronicznych, o których mowa w ustawie z dnia 18 listopada 2020 r. o doręczeniach elektronicznych (Dz. U. z 2024 r. poz. 1045 i 1841). Adres do doręczeń można sprawdzić klikając w link.</t>
  </si>
  <si>
    <t>W przypadku przedsięwzięć, o których mowa w art. 5 ust. 1 i art. 5c ust. 2 ustawy z dnia 8 grudnia 2006 r. o finansowym wsparciu niektórych przedsięwzięć mieszkaniowych (Dz. U. z 2024 r. poz. 304 oraz z 2025 r. poz. 680 i 1077).</t>
  </si>
  <si>
    <t>G.</t>
  </si>
  <si>
    <t>Adres inwestora do doręczeń elektronicznych, o których mowa w ustawie z dnia 18 listopada 2020 r. o doręczeniach elektronicznych.</t>
  </si>
  <si>
    <t>Adres, w tym w tym adres do doręczeń elektronicznych</t>
  </si>
  <si>
    <r>
      <t xml:space="preserve">IV. Informacje o prawdziwości danych zawartych we wniosku, podpisane przez: </t>
    </r>
    <r>
      <rPr>
        <sz val="11"/>
        <color rgb="FF000000"/>
        <rFont val="Calibri"/>
        <family val="2"/>
        <charset val="238"/>
        <scheme val="minor"/>
      </rPr>
      <t>(Jeżeli podpis składa inna osoba niż wójt, burmistrz, prezydent miasta, starosta, rektor, osoba uprawniona do składania oświadczeń woli przez spółkę lub organizację nie wymieniona w Krajowym Rejestrze Sądowym należy dołączyć dokument potwierdzający uprawnienia do składania oświadczeń w imieniu beneficjenta wsparcia dla tej osoby.)</t>
    </r>
  </si>
  <si>
    <t>W imieniu beneficjenta, udzielam pełnomocnictwa osobie wskazanej w pkt I.E. niniejszego wniosku do uzyskiwania informacji oraz wyjaśnień we wszystkich sprawach dotyczących wniosku, w tym w zakresie jego rozpatrywania, uzupełnień, rozstrzygnięć, a w przypadku przyznania finansowego wsparcia– również do uzyskiwania informacji w zakresie zawarcia umowy, jej aneksowania, realizacji przedsięwzięcia, rozliczenia, obowiązków po rozliczeniu oraz kontroli.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</si>
</sst>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zł&quot;_-;\-* #,##0.00\ &quot;zł&quot;_-;_-* &quot;-&quot;??\ &quot;zł&quot;_-;_-@_-"/>
    <numFmt numFmtId="164" formatCode="000\-000\-00\-00"/>
    <numFmt numFmtId="165" formatCode="_-* #,##0.00\ [$zł-415]_-;\-* #,##0.00\ [$zł-415]_-;_-* &quot;-&quot;??\ [$zł-415]_-;_-@_-"/>
    <numFmt numFmtId="166" formatCode="[$-F800]dddd\,\ mmmm\ dd\,\ yyyy"/>
    <numFmt numFmtId="167" formatCode="0.000000000000"/>
  </numFmts>
  <fonts count="57"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scheme val="minor"/>
    </font>
    <font>
      <b/>
      <sz val="11"/>
      <color theme="1"/>
      <name val="Calibri"/>
      <family val="2"/>
      <charset val="238"/>
      <scheme val="minor"/>
    </font>
    <font>
      <b/>
      <sz val="9"/>
      <color rgb="FF000000"/>
      <name val="Arial"/>
      <family val="2"/>
      <charset val="238"/>
    </font>
    <font>
      <u/>
      <sz val="11"/>
      <color theme="10"/>
      <name val="Calibri"/>
      <family val="2"/>
      <scheme val="minor"/>
    </font>
    <font>
      <sz val="9"/>
      <color rgb="FF000000"/>
      <name val="Arial"/>
      <family val="2"/>
      <charset val="238"/>
    </font>
    <font>
      <vertAlign val="superscript"/>
      <sz val="9"/>
      <color rgb="FF000000"/>
      <name val="Arial"/>
      <family val="2"/>
      <charset val="238"/>
    </font>
    <font>
      <sz val="11"/>
      <color rgb="FF000000"/>
      <name val="Arial"/>
      <family val="2"/>
      <charset val="238"/>
    </font>
    <font>
      <sz val="11"/>
      <color theme="1"/>
      <name val="Arial"/>
      <family val="2"/>
      <charset val="238"/>
    </font>
    <font>
      <b/>
      <sz val="11"/>
      <color rgb="FF000000"/>
      <name val="Arial"/>
      <family val="2"/>
      <charset val="238"/>
    </font>
    <font>
      <sz val="11"/>
      <name val="Arial"/>
      <family val="2"/>
      <charset val="238"/>
    </font>
    <font>
      <sz val="11"/>
      <name val="Calibri"/>
      <family val="2"/>
      <charset val="238"/>
      <scheme val="minor"/>
    </font>
    <font>
      <sz val="9"/>
      <color theme="1"/>
      <name val="Arial"/>
      <family val="2"/>
      <charset val="238"/>
    </font>
    <font>
      <sz val="11"/>
      <color rgb="FFFFFF00"/>
      <name val="Arial"/>
      <family val="2"/>
      <charset val="238"/>
    </font>
    <font>
      <vertAlign val="superscript"/>
      <sz val="8"/>
      <color rgb="FF000000"/>
      <name val="Arial"/>
      <family val="2"/>
      <charset val="238"/>
    </font>
    <font>
      <sz val="11"/>
      <color theme="0"/>
      <name val="Arial"/>
      <family val="2"/>
      <charset val="238"/>
    </font>
    <font>
      <sz val="9"/>
      <color rgb="FFFFFF00"/>
      <name val="Arial"/>
      <family val="2"/>
      <charset val="238"/>
    </font>
    <font>
      <sz val="10"/>
      <color theme="1"/>
      <name val="Arial"/>
      <family val="2"/>
      <charset val="238"/>
    </font>
    <font>
      <sz val="10"/>
      <color rgb="FFFFFF00"/>
      <name val="Arial"/>
      <family val="2"/>
      <charset val="238"/>
    </font>
    <font>
      <b/>
      <sz val="10"/>
      <color theme="1"/>
      <name val="Arial"/>
      <family val="2"/>
      <charset val="238"/>
    </font>
    <font>
      <sz val="10"/>
      <name val="Arial"/>
      <family val="2"/>
      <charset val="238"/>
    </font>
    <font>
      <sz val="10"/>
      <color rgb="FFFF0000"/>
      <name val="Arial"/>
      <family val="2"/>
      <charset val="238"/>
    </font>
    <font>
      <sz val="10"/>
      <color theme="1"/>
      <name val="Calibri"/>
      <family val="2"/>
      <charset val="238"/>
      <scheme val="minor"/>
    </font>
    <font>
      <sz val="9"/>
      <color theme="1"/>
      <name val="Calibri"/>
      <family val="2"/>
      <charset val="238"/>
      <scheme val="minor"/>
    </font>
    <font>
      <sz val="6"/>
      <color theme="1"/>
      <name val="Calibri"/>
      <family val="2"/>
      <charset val="238"/>
      <scheme val="minor"/>
    </font>
    <font>
      <sz val="7"/>
      <color theme="1"/>
      <name val="Calibri"/>
      <family val="2"/>
      <charset val="238"/>
      <scheme val="minor"/>
    </font>
    <font>
      <sz val="11"/>
      <color rgb="FF000000"/>
      <name val="Calibri"/>
      <family val="2"/>
      <charset val="238"/>
      <scheme val="minor"/>
    </font>
    <font>
      <b/>
      <sz val="11"/>
      <color rgb="FF000000"/>
      <name val="Calibri"/>
      <family val="2"/>
      <charset val="238"/>
      <scheme val="minor"/>
    </font>
    <font>
      <sz val="4"/>
      <color theme="1"/>
      <name val="Calibri"/>
      <family val="2"/>
      <scheme val="minor"/>
    </font>
    <font>
      <sz val="12"/>
      <color theme="1"/>
      <name val="Calibri"/>
      <family val="2"/>
      <charset val="238"/>
      <scheme val="minor"/>
    </font>
    <font>
      <sz val="12"/>
      <color theme="1"/>
      <name val="Times New Roman"/>
      <family val="1"/>
      <charset val="238"/>
    </font>
    <font>
      <b/>
      <sz val="12"/>
      <color theme="1"/>
      <name val="Times New Roman"/>
      <family val="1"/>
      <charset val="238"/>
    </font>
    <font>
      <sz val="8"/>
      <color theme="1"/>
      <name val="Calibri"/>
      <family val="2"/>
      <charset val="238"/>
      <scheme val="minor"/>
    </font>
    <font>
      <sz val="12"/>
      <color theme="1"/>
      <name val="Arial"/>
      <family val="2"/>
      <charset val="238"/>
    </font>
    <font>
      <b/>
      <sz val="12"/>
      <color theme="1"/>
      <name val="Arial"/>
      <family val="2"/>
      <charset val="238"/>
    </font>
    <font>
      <b/>
      <sz val="7"/>
      <color theme="1"/>
      <name val="Calibri"/>
      <family val="2"/>
      <charset val="238"/>
      <scheme val="minor"/>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bgColor indexed="64"/>
      </patternFill>
    </fill>
    <fill>
      <patternFill patternType="solid">
        <fgColor rgb="FFCCFFCC"/>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style="thin">
        <color indexed="64"/>
      </top>
      <bottom/>
      <diagonal/>
    </border>
  </borders>
  <cellStyleXfs count="5">
    <xf numFmtId="0" fontId="0" fillId="0" borderId="0"/>
    <xf numFmtId="9" fontId="22" fillId="0" borderId="0" applyFont="0" applyFill="0" applyBorder="0" applyAlignment="0" applyProtection="0"/>
    <xf numFmtId="0" fontId="25" fillId="0" borderId="0" applyNumberFormat="0" applyFill="0" applyBorder="0" applyAlignment="0" applyProtection="0"/>
    <xf numFmtId="44" fontId="22" fillId="0" borderId="0" applyFont="0" applyFill="0" applyBorder="0" applyAlignment="0" applyProtection="0"/>
    <xf numFmtId="0" fontId="41" fillId="0" borderId="0"/>
  </cellStyleXfs>
  <cellXfs count="168">
    <xf numFmtId="0" fontId="0" fillId="0" borderId="0" xfId="0"/>
    <xf numFmtId="0" fontId="24" fillId="0" borderId="0" xfId="0" applyFont="1"/>
    <xf numFmtId="0" fontId="25" fillId="0" borderId="0" xfId="2" applyAlignment="1">
      <alignment horizontal="justify" vertical="center"/>
    </xf>
    <xf numFmtId="0" fontId="24" fillId="0" borderId="0" xfId="0" applyFont="1" applyAlignment="1">
      <alignment horizontal="justify" vertical="center"/>
    </xf>
    <xf numFmtId="0" fontId="24" fillId="0" borderId="0" xfId="0" applyFont="1" applyAlignment="1">
      <alignment wrapText="1"/>
    </xf>
    <xf numFmtId="0" fontId="25" fillId="0" borderId="0" xfId="2" applyAlignment="1">
      <alignment horizontal="left" vertical="center"/>
    </xf>
    <xf numFmtId="0" fontId="0" fillId="0" borderId="0" xfId="0" applyAlignment="1">
      <alignment wrapText="1"/>
    </xf>
    <xf numFmtId="0" fontId="24" fillId="0" borderId="0" xfId="0" applyFont="1" applyAlignment="1">
      <alignment horizontal="left" vertical="center" wrapText="1"/>
    </xf>
    <xf numFmtId="0" fontId="0" fillId="0" borderId="0" xfId="0" applyAlignment="1">
      <alignment horizontal="left" vertical="center"/>
    </xf>
    <xf numFmtId="0" fontId="26" fillId="0" borderId="0" xfId="0" applyFont="1" applyAlignment="1">
      <alignment horizontal="left" vertical="center"/>
    </xf>
    <xf numFmtId="0" fontId="24" fillId="2" borderId="0" xfId="0" applyFont="1" applyFill="1" applyAlignment="1">
      <alignment horizontal="justify" vertical="center"/>
    </xf>
    <xf numFmtId="0" fontId="24" fillId="3" borderId="0" xfId="0" applyFont="1" applyFill="1" applyAlignment="1">
      <alignment horizontal="justify" vertical="center"/>
    </xf>
    <xf numFmtId="0" fontId="21" fillId="0" borderId="0" xfId="0" applyFont="1"/>
    <xf numFmtId="0" fontId="32" fillId="0" borderId="0" xfId="0" applyFont="1" applyAlignment="1">
      <alignment vertical="center"/>
    </xf>
    <xf numFmtId="0" fontId="0" fillId="0" borderId="1" xfId="0" applyBorder="1" applyAlignment="1">
      <alignment horizontal="left" vertical="center"/>
    </xf>
    <xf numFmtId="0" fontId="0" fillId="0" borderId="1" xfId="0" applyBorder="1"/>
    <xf numFmtId="0" fontId="32" fillId="0" borderId="1" xfId="0" applyFont="1" applyBorder="1" applyAlignment="1">
      <alignment vertical="center"/>
    </xf>
    <xf numFmtId="0" fontId="32" fillId="0" borderId="1" xfId="0" applyFont="1" applyBorder="1" applyAlignment="1">
      <alignment horizontal="center" vertical="center"/>
    </xf>
    <xf numFmtId="0" fontId="23" fillId="0" borderId="0" xfId="0" applyFont="1"/>
    <xf numFmtId="9" fontId="0" fillId="0" borderId="4" xfId="1" applyFont="1" applyBorder="1" applyAlignment="1">
      <alignment horizontal="center" vertical="center"/>
    </xf>
    <xf numFmtId="9" fontId="0" fillId="0" borderId="9" xfId="1" applyFont="1" applyBorder="1" applyAlignment="1">
      <alignment horizontal="center" vertical="center"/>
    </xf>
    <xf numFmtId="9" fontId="0" fillId="0" borderId="10" xfId="1" applyFont="1" applyBorder="1" applyAlignment="1">
      <alignment horizontal="center" vertical="center"/>
    </xf>
    <xf numFmtId="9" fontId="0" fillId="0" borderId="11" xfId="1" applyFont="1" applyBorder="1" applyAlignment="1">
      <alignment horizontal="center" vertical="center"/>
    </xf>
    <xf numFmtId="9" fontId="0" fillId="0" borderId="12" xfId="1" applyFont="1" applyBorder="1" applyAlignment="1">
      <alignment horizontal="center" vertical="center"/>
    </xf>
    <xf numFmtId="9" fontId="0" fillId="0" borderId="13" xfId="1" applyFont="1" applyBorder="1" applyAlignment="1">
      <alignment horizontal="center" vertical="center"/>
    </xf>
    <xf numFmtId="9" fontId="0" fillId="0" borderId="7" xfId="1" applyFont="1" applyBorder="1" applyAlignment="1">
      <alignment horizontal="center" vertical="center"/>
    </xf>
    <xf numFmtId="0" fontId="29" fillId="0" borderId="0" xfId="0" applyFont="1" applyProtection="1">
      <protection locked="0"/>
    </xf>
    <xf numFmtId="0" fontId="33" fillId="0" borderId="0" xfId="0" applyFont="1" applyProtection="1">
      <protection locked="0"/>
    </xf>
    <xf numFmtId="0" fontId="33" fillId="0" borderId="6" xfId="0" applyFont="1" applyBorder="1" applyProtection="1">
      <protection locked="0"/>
    </xf>
    <xf numFmtId="0" fontId="34" fillId="4" borderId="0" xfId="0" applyFont="1" applyFill="1" applyProtection="1">
      <protection locked="0"/>
    </xf>
    <xf numFmtId="0" fontId="34" fillId="0" borderId="0" xfId="0" applyFont="1" applyProtection="1">
      <protection locked="0"/>
    </xf>
    <xf numFmtId="0" fontId="36" fillId="0" borderId="0" xfId="0" applyFont="1" applyProtection="1">
      <protection locked="0"/>
    </xf>
    <xf numFmtId="0" fontId="31" fillId="0" borderId="0" xfId="0" applyFont="1" applyProtection="1">
      <protection locked="0"/>
    </xf>
    <xf numFmtId="0" fontId="37" fillId="0" borderId="0" xfId="0" applyFont="1" applyProtection="1">
      <protection locked="0"/>
    </xf>
    <xf numFmtId="0" fontId="30" fillId="0" borderId="0" xfId="0" applyFont="1" applyAlignment="1" applyProtection="1">
      <alignment vertical="center" wrapText="1"/>
      <protection locked="0"/>
    </xf>
    <xf numFmtId="0" fontId="28" fillId="0" borderId="0" xfId="0" applyFont="1" applyAlignment="1" applyProtection="1">
      <alignment vertical="center" wrapText="1"/>
      <protection locked="0"/>
    </xf>
    <xf numFmtId="0" fontId="39" fillId="0" borderId="0" xfId="0" applyFont="1" applyProtection="1">
      <protection locked="0"/>
    </xf>
    <xf numFmtId="0" fontId="38" fillId="0" borderId="0" xfId="0" applyFont="1" applyProtection="1">
      <protection locked="0"/>
    </xf>
    <xf numFmtId="0" fontId="40" fillId="0" borderId="0" xfId="0" applyFont="1" applyProtection="1">
      <protection locked="0"/>
    </xf>
    <xf numFmtId="14" fontId="44" fillId="5" borderId="0" xfId="0" applyNumberFormat="1" applyFont="1" applyFill="1" applyAlignment="1" applyProtection="1">
      <alignment vertical="center"/>
      <protection locked="0"/>
    </xf>
    <xf numFmtId="0" fontId="19" fillId="0" borderId="0" xfId="0" applyFont="1" applyProtection="1">
      <protection locked="0"/>
    </xf>
    <xf numFmtId="0" fontId="44" fillId="5" borderId="0" xfId="0" applyFont="1" applyFill="1" applyProtection="1">
      <protection locked="0"/>
    </xf>
    <xf numFmtId="0" fontId="45" fillId="5" borderId="0" xfId="0" applyFont="1" applyFill="1" applyProtection="1">
      <protection locked="0"/>
    </xf>
    <xf numFmtId="0" fontId="19" fillId="5" borderId="0" xfId="0" applyFont="1" applyFill="1" applyProtection="1">
      <protection locked="0"/>
    </xf>
    <xf numFmtId="0" fontId="20" fillId="0" borderId="8" xfId="0" applyFont="1" applyBorder="1" applyAlignment="1">
      <alignment vertical="center" wrapText="1"/>
    </xf>
    <xf numFmtId="9" fontId="0" fillId="0" borderId="0" xfId="0" applyNumberFormat="1"/>
    <xf numFmtId="9" fontId="0" fillId="0" borderId="0" xfId="1" applyFont="1"/>
    <xf numFmtId="0" fontId="38" fillId="0" borderId="0" xfId="0" applyFont="1" applyAlignment="1" applyProtection="1">
      <alignment horizontal="left" vertical="center"/>
      <protection locked="0"/>
    </xf>
    <xf numFmtId="0" fontId="26" fillId="0" borderId="0" xfId="0" applyFont="1"/>
    <xf numFmtId="0" fontId="26" fillId="0" borderId="0" xfId="0" applyFont="1" applyAlignment="1" applyProtection="1">
      <alignment horizontal="left" vertical="center"/>
      <protection locked="0"/>
    </xf>
    <xf numFmtId="0" fontId="24" fillId="0" borderId="0" xfId="0" applyFont="1" applyAlignment="1" applyProtection="1">
      <alignment horizontal="justify" vertical="center"/>
      <protection locked="0"/>
    </xf>
    <xf numFmtId="0" fontId="47" fillId="0" borderId="0" xfId="0" applyFont="1" applyAlignment="1" applyProtection="1">
      <alignment vertical="center" wrapText="1"/>
      <protection locked="0"/>
    </xf>
    <xf numFmtId="0" fontId="23" fillId="7" borderId="14" xfId="0" applyFont="1" applyFill="1" applyBorder="1" applyAlignment="1">
      <alignment horizontal="center" vertical="center"/>
    </xf>
    <xf numFmtId="0" fontId="23" fillId="7" borderId="15" xfId="0" applyFont="1" applyFill="1" applyBorder="1" applyAlignment="1">
      <alignment horizontal="center" vertical="center"/>
    </xf>
    <xf numFmtId="0" fontId="23" fillId="5" borderId="0" xfId="0" applyFont="1" applyFill="1" applyAlignment="1" applyProtection="1">
      <alignment horizontal="left"/>
      <protection locked="0"/>
    </xf>
    <xf numFmtId="0" fontId="49" fillId="5" borderId="0" xfId="0" applyFont="1" applyFill="1" applyProtection="1">
      <protection locked="0"/>
    </xf>
    <xf numFmtId="0" fontId="29" fillId="0" borderId="0" xfId="0" applyFont="1"/>
    <xf numFmtId="0" fontId="19" fillId="0" borderId="0" xfId="0" applyFont="1"/>
    <xf numFmtId="0" fontId="23" fillId="0" borderId="0" xfId="0" applyFont="1" applyAlignment="1">
      <alignment horizontal="center" vertical="center"/>
    </xf>
    <xf numFmtId="0" fontId="24" fillId="0" borderId="0" xfId="0" applyFont="1" applyAlignment="1">
      <alignment horizontal="justify" vertical="center" wrapText="1"/>
    </xf>
    <xf numFmtId="0" fontId="50" fillId="0" borderId="0" xfId="0" applyFont="1" applyAlignment="1">
      <alignment horizontal="justify" vertical="center"/>
    </xf>
    <xf numFmtId="0" fontId="42" fillId="0" borderId="0" xfId="0" applyFont="1" applyProtection="1">
      <protection locked="0"/>
    </xf>
    <xf numFmtId="0" fontId="51" fillId="0" borderId="0" xfId="0" applyFont="1" applyAlignment="1">
      <alignment horizontal="justify" vertical="center"/>
    </xf>
    <xf numFmtId="0" fontId="52" fillId="0" borderId="0" xfId="0" applyFont="1"/>
    <xf numFmtId="0" fontId="51" fillId="0" borderId="0" xfId="0" applyFont="1" applyAlignment="1">
      <alignment wrapText="1"/>
    </xf>
    <xf numFmtId="0" fontId="0" fillId="0" borderId="0" xfId="0" applyAlignment="1">
      <alignment horizontal="center" vertical="center" wrapText="1"/>
    </xf>
    <xf numFmtId="0" fontId="12" fillId="0" borderId="0" xfId="0" applyFont="1" applyAlignment="1">
      <alignment wrapText="1"/>
    </xf>
    <xf numFmtId="0" fontId="12" fillId="0" borderId="0" xfId="0" applyFont="1" applyAlignment="1">
      <alignment horizontal="justify" vertical="center"/>
    </xf>
    <xf numFmtId="0" fontId="11" fillId="0" borderId="0" xfId="0" applyFont="1" applyAlignment="1">
      <alignment horizontal="justify" vertical="center"/>
    </xf>
    <xf numFmtId="0" fontId="53" fillId="0" borderId="0" xfId="0" applyFont="1" applyAlignment="1">
      <alignment vertical="center"/>
    </xf>
    <xf numFmtId="166" fontId="0" fillId="0" borderId="0" xfId="0" applyNumberFormat="1"/>
    <xf numFmtId="0" fontId="52" fillId="0" borderId="0" xfId="0" applyFont="1" applyAlignment="1">
      <alignment vertical="center"/>
    </xf>
    <xf numFmtId="0" fontId="38" fillId="0" borderId="0" xfId="0" applyFont="1" applyAlignment="1" applyProtection="1">
      <alignment horizontal="center"/>
      <protection locked="0"/>
    </xf>
    <xf numFmtId="44" fontId="38" fillId="0" borderId="0" xfId="0" applyNumberFormat="1" applyFont="1" applyProtection="1">
      <protection locked="0"/>
    </xf>
    <xf numFmtId="44" fontId="38" fillId="0" borderId="0" xfId="3" applyFont="1" applyFill="1" applyBorder="1" applyProtection="1">
      <protection hidden="1"/>
    </xf>
    <xf numFmtId="44" fontId="0" fillId="0" borderId="0" xfId="3" applyFont="1"/>
    <xf numFmtId="44" fontId="33" fillId="0" borderId="0" xfId="0" applyNumberFormat="1" applyFont="1" applyProtection="1">
      <protection locked="0"/>
    </xf>
    <xf numFmtId="167" fontId="29" fillId="0" borderId="0" xfId="0" applyNumberFormat="1" applyFont="1" applyProtection="1">
      <protection locked="0"/>
    </xf>
    <xf numFmtId="165" fontId="33" fillId="0" borderId="0" xfId="0" applyNumberFormat="1" applyFont="1" applyProtection="1">
      <protection locked="0"/>
    </xf>
    <xf numFmtId="44" fontId="38" fillId="0" borderId="0" xfId="3" applyFont="1" applyFill="1" applyBorder="1" applyProtection="1"/>
    <xf numFmtId="0" fontId="45" fillId="0" borderId="0" xfId="0" applyFont="1" applyAlignment="1" applyProtection="1">
      <alignment wrapText="1"/>
      <protection locked="0"/>
    </xf>
    <xf numFmtId="0" fontId="40" fillId="0" borderId="0" xfId="0" applyFont="1" applyAlignment="1" applyProtection="1">
      <alignment horizontal="center"/>
      <protection locked="0"/>
    </xf>
    <xf numFmtId="0" fontId="23" fillId="0" borderId="0" xfId="0" applyFont="1" applyAlignment="1">
      <alignment horizontal="left" vertical="center" wrapText="1"/>
    </xf>
    <xf numFmtId="0" fontId="56" fillId="0" borderId="0" xfId="0" applyFont="1" applyAlignment="1">
      <alignment horizontal="left" vertical="center" wrapText="1"/>
    </xf>
    <xf numFmtId="0" fontId="25" fillId="0" borderId="0" xfId="2" applyAlignment="1">
      <alignment horizontal="left" vertical="center" wrapText="1"/>
    </xf>
    <xf numFmtId="0" fontId="2" fillId="0" borderId="0" xfId="0" applyFont="1" applyAlignment="1" applyProtection="1">
      <alignment horizontal="center" vertical="center"/>
      <protection locked="0"/>
    </xf>
    <xf numFmtId="0" fontId="10" fillId="0" borderId="0" xfId="0" applyFont="1" applyAlignment="1" applyProtection="1">
      <alignment horizontal="center" vertical="center"/>
      <protection locked="0"/>
    </xf>
    <xf numFmtId="0" fontId="8" fillId="0" borderId="0" xfId="0" applyFont="1" applyAlignment="1">
      <alignment horizontal="center" vertical="center"/>
    </xf>
    <xf numFmtId="0" fontId="2" fillId="0" borderId="0" xfId="0" applyFont="1" applyAlignment="1">
      <alignment horizontal="center" vertical="center" wrapText="1"/>
    </xf>
    <xf numFmtId="0" fontId="14" fillId="0" borderId="0" xfId="0" applyFont="1" applyAlignment="1" applyProtection="1">
      <alignment horizontal="center" vertical="center"/>
      <protection locked="0"/>
    </xf>
    <xf numFmtId="0" fontId="48" fillId="0" borderId="0" xfId="0" applyFont="1" applyAlignment="1">
      <alignment horizontal="left" vertical="center" wrapText="1"/>
    </xf>
    <xf numFmtId="0" fontId="19" fillId="0" borderId="5" xfId="0" applyFont="1" applyBorder="1" applyAlignment="1">
      <alignment horizontal="left" vertical="center" wrapText="1"/>
    </xf>
    <xf numFmtId="0" fontId="48" fillId="0" borderId="2" xfId="0" applyFont="1" applyBorder="1" applyAlignment="1" applyProtection="1">
      <alignment horizontal="right" wrapText="1"/>
      <protection locked="0"/>
    </xf>
    <xf numFmtId="0" fontId="48" fillId="0" borderId="3" xfId="0" applyFont="1" applyBorder="1" applyAlignment="1" applyProtection="1">
      <alignment horizontal="right" wrapText="1"/>
      <protection locked="0"/>
    </xf>
    <xf numFmtId="0" fontId="48" fillId="0" borderId="4" xfId="0" applyFont="1" applyBorder="1" applyAlignment="1" applyProtection="1">
      <alignment horizontal="right" wrapText="1"/>
      <protection locked="0"/>
    </xf>
    <xf numFmtId="0" fontId="19" fillId="0" borderId="0" xfId="0" applyFont="1" applyAlignment="1">
      <alignment horizontal="left" vertical="center"/>
    </xf>
    <xf numFmtId="165" fontId="19" fillId="0" borderId="0" xfId="0" applyNumberFormat="1" applyFont="1" applyAlignment="1" applyProtection="1">
      <alignment horizontal="center"/>
      <protection locked="0"/>
    </xf>
    <xf numFmtId="10" fontId="19" fillId="2" borderId="0" xfId="1" applyNumberFormat="1" applyFont="1" applyFill="1" applyBorder="1" applyAlignment="1" applyProtection="1">
      <alignment horizontal="center"/>
    </xf>
    <xf numFmtId="165" fontId="19" fillId="2" borderId="0" xfId="0" applyNumberFormat="1" applyFont="1" applyFill="1" applyAlignment="1">
      <alignment horizontal="center"/>
    </xf>
    <xf numFmtId="10" fontId="19" fillId="2" borderId="0" xfId="1" applyNumberFormat="1" applyFont="1" applyFill="1" applyBorder="1" applyAlignment="1" applyProtection="1">
      <alignment horizontal="center" vertical="center"/>
    </xf>
    <xf numFmtId="0" fontId="7" fillId="0" borderId="0" xfId="0" applyFont="1" applyAlignment="1">
      <alignment horizontal="left" vertical="center"/>
    </xf>
    <xf numFmtId="165" fontId="23" fillId="2" borderId="0" xfId="0" applyNumberFormat="1" applyFont="1" applyFill="1" applyAlignment="1">
      <alignment horizontal="center"/>
    </xf>
    <xf numFmtId="0" fontId="8" fillId="0" borderId="0" xfId="0" applyFont="1" applyAlignment="1">
      <alignment horizontal="left" vertical="center" wrapText="1"/>
    </xf>
    <xf numFmtId="0" fontId="19" fillId="0" borderId="0" xfId="0" applyFont="1" applyAlignment="1">
      <alignment horizontal="left" vertical="center" wrapText="1"/>
    </xf>
    <xf numFmtId="0" fontId="8" fillId="0" borderId="0" xfId="0" applyFont="1" applyAlignment="1">
      <alignment horizontal="left" vertical="center"/>
    </xf>
    <xf numFmtId="0" fontId="17" fillId="0" borderId="0" xfId="0" applyFont="1" applyAlignment="1">
      <alignment horizontal="left" vertical="center"/>
    </xf>
    <xf numFmtId="0" fontId="9" fillId="0" borderId="0" xfId="0" applyFont="1" applyAlignment="1">
      <alignment horizontal="left" vertical="center" wrapText="1"/>
    </xf>
    <xf numFmtId="0" fontId="15" fillId="0" borderId="0" xfId="0" applyFont="1" applyAlignment="1">
      <alignment horizontal="left" vertical="center" wrapText="1"/>
    </xf>
    <xf numFmtId="44" fontId="23" fillId="0" borderId="0" xfId="3" applyFont="1" applyBorder="1" applyAlignment="1" applyProtection="1">
      <alignment horizontal="left" vertical="center"/>
      <protection locked="0"/>
    </xf>
    <xf numFmtId="10" fontId="23" fillId="2" borderId="0" xfId="1" applyNumberFormat="1" applyFont="1" applyFill="1" applyBorder="1" applyAlignment="1" applyProtection="1">
      <alignment horizontal="center"/>
    </xf>
    <xf numFmtId="0" fontId="23" fillId="0" borderId="0" xfId="0" applyFont="1" applyAlignment="1">
      <alignment horizontal="left" vertical="center"/>
    </xf>
    <xf numFmtId="0" fontId="19" fillId="0" borderId="0" xfId="0" applyFont="1" applyAlignment="1">
      <alignment horizontal="center" vertical="center"/>
    </xf>
    <xf numFmtId="0" fontId="9" fillId="0" borderId="0" xfId="0" applyFont="1" applyAlignment="1">
      <alignment horizontal="left" vertical="center"/>
    </xf>
    <xf numFmtId="0" fontId="18" fillId="0" borderId="0" xfId="0" applyFont="1" applyAlignment="1">
      <alignment horizontal="left" vertical="center"/>
    </xf>
    <xf numFmtId="165" fontId="25" fillId="2" borderId="0" xfId="2" applyNumberFormat="1" applyFill="1" applyAlignment="1" applyProtection="1">
      <alignment horizontal="center"/>
    </xf>
    <xf numFmtId="44" fontId="14" fillId="2" borderId="0" xfId="3" applyFont="1" applyFill="1" applyBorder="1" applyAlignment="1" applyProtection="1">
      <alignment horizontal="center" vertical="center"/>
    </xf>
    <xf numFmtId="9" fontId="10" fillId="2" borderId="0" xfId="1" applyFont="1" applyFill="1" applyBorder="1" applyAlignment="1" applyProtection="1">
      <alignment horizontal="center" vertical="center"/>
    </xf>
    <xf numFmtId="9" fontId="14" fillId="2" borderId="0" xfId="1" applyFont="1" applyFill="1" applyBorder="1" applyAlignment="1" applyProtection="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wrapText="1"/>
    </xf>
    <xf numFmtId="44" fontId="23" fillId="0" borderId="0" xfId="3" applyFont="1" applyBorder="1" applyAlignment="1" applyProtection="1">
      <alignment horizontal="center"/>
      <protection locked="0"/>
    </xf>
    <xf numFmtId="44" fontId="4" fillId="0" borderId="0" xfId="3" applyFont="1" applyBorder="1" applyAlignment="1" applyProtection="1">
      <alignment horizontal="center" vertical="center" wrapText="1"/>
    </xf>
    <xf numFmtId="44" fontId="7" fillId="0" borderId="0" xfId="3" applyFont="1" applyBorder="1" applyAlignment="1" applyProtection="1">
      <alignment horizontal="center" vertical="center" wrapText="1"/>
    </xf>
    <xf numFmtId="44" fontId="6" fillId="0" borderId="0" xfId="3" applyFont="1" applyBorder="1" applyAlignment="1" applyProtection="1">
      <alignment horizontal="center" vertical="center" wrapText="1"/>
    </xf>
    <xf numFmtId="0" fontId="7" fillId="0" borderId="0" xfId="0" applyFont="1" applyAlignment="1">
      <alignment horizontal="center" vertical="center"/>
    </xf>
    <xf numFmtId="0" fontId="13" fillId="0" borderId="0" xfId="0" applyFont="1" applyAlignment="1">
      <alignment horizontal="center" vertical="center"/>
    </xf>
    <xf numFmtId="44" fontId="23" fillId="0" borderId="0" xfId="3" applyFont="1" applyBorder="1" applyAlignment="1" applyProtection="1">
      <alignment horizontal="center" vertical="center"/>
      <protection locked="0"/>
    </xf>
    <xf numFmtId="0" fontId="5" fillId="0" borderId="0" xfId="0" applyFont="1" applyAlignment="1">
      <alignment horizontal="center" vertical="center" wrapText="1"/>
    </xf>
    <xf numFmtId="0" fontId="9" fillId="0" borderId="0" xfId="0" applyFont="1" applyAlignment="1">
      <alignment horizontal="center" vertical="center"/>
    </xf>
    <xf numFmtId="164" fontId="23" fillId="0" borderId="0" xfId="0" applyNumberFormat="1" applyFont="1" applyAlignment="1" applyProtection="1">
      <alignment horizontal="center"/>
      <protection locked="0"/>
    </xf>
    <xf numFmtId="49" fontId="23" fillId="0" borderId="0" xfId="0" applyNumberFormat="1" applyFont="1" applyAlignment="1" applyProtection="1">
      <alignment horizontal="center"/>
      <protection locked="0"/>
    </xf>
    <xf numFmtId="1" fontId="23" fillId="0" borderId="0" xfId="0" applyNumberFormat="1" applyFont="1" applyAlignment="1" applyProtection="1">
      <alignment horizontal="center"/>
      <protection locked="0"/>
    </xf>
    <xf numFmtId="0" fontId="2" fillId="0" borderId="0" xfId="0" applyFont="1" applyAlignment="1">
      <alignment horizontal="center" vertical="center"/>
    </xf>
    <xf numFmtId="0" fontId="0" fillId="0" borderId="0" xfId="0" applyAlignment="1">
      <alignment horizontal="left" vertical="center" wrapText="1"/>
    </xf>
    <xf numFmtId="0" fontId="3" fillId="0" borderId="0" xfId="0" applyFont="1" applyAlignment="1">
      <alignment horizontal="center" vertical="center"/>
    </xf>
    <xf numFmtId="0" fontId="19" fillId="0" borderId="0" xfId="0" applyFont="1" applyAlignment="1" applyProtection="1">
      <alignment horizontal="center" vertical="center"/>
      <protection locked="0"/>
    </xf>
    <xf numFmtId="0" fontId="2" fillId="0" borderId="0" xfId="0" applyFont="1" applyAlignment="1">
      <alignment horizontal="left" vertical="center"/>
    </xf>
    <xf numFmtId="49" fontId="23" fillId="0" borderId="1" xfId="0" applyNumberFormat="1" applyFont="1" applyBorder="1" applyAlignment="1" applyProtection="1">
      <alignment horizontal="center"/>
      <protection locked="0"/>
    </xf>
    <xf numFmtId="2" fontId="23" fillId="2" borderId="1" xfId="0" applyNumberFormat="1" applyFont="1" applyFill="1" applyBorder="1" applyAlignment="1" applyProtection="1">
      <alignment horizontal="center"/>
      <protection locked="0"/>
    </xf>
    <xf numFmtId="0" fontId="14" fillId="0" borderId="0" xfId="0" applyFont="1" applyAlignment="1" applyProtection="1">
      <alignment horizontal="left" vertical="center"/>
      <protection locked="0"/>
    </xf>
    <xf numFmtId="0" fontId="19" fillId="0" borderId="0" xfId="0" applyFont="1" applyAlignment="1" applyProtection="1">
      <alignment horizontal="left" vertical="center"/>
      <protection locked="0"/>
    </xf>
    <xf numFmtId="0" fontId="14" fillId="0" borderId="0" xfId="0" applyFont="1" applyAlignment="1" applyProtection="1">
      <alignment horizontal="center"/>
      <protection locked="0"/>
    </xf>
    <xf numFmtId="0" fontId="19" fillId="0" borderId="0" xfId="0" applyFont="1" applyAlignment="1" applyProtection="1">
      <alignment horizontal="center"/>
      <protection locked="0"/>
    </xf>
    <xf numFmtId="14" fontId="19" fillId="0" borderId="0" xfId="0" applyNumberFormat="1" applyFont="1" applyAlignment="1" applyProtection="1">
      <alignment horizontal="center"/>
      <protection locked="0"/>
    </xf>
    <xf numFmtId="14" fontId="44" fillId="6" borderId="0" xfId="0" applyNumberFormat="1" applyFont="1" applyFill="1" applyAlignment="1">
      <alignment horizontal="center" vertical="center"/>
    </xf>
    <xf numFmtId="0" fontId="44" fillId="6" borderId="0" xfId="0" applyFont="1" applyFill="1" applyAlignment="1">
      <alignment horizontal="center" vertical="center"/>
    </xf>
    <xf numFmtId="0" fontId="45" fillId="5" borderId="0" xfId="0" applyFont="1" applyFill="1" applyAlignment="1" applyProtection="1">
      <alignment horizontal="center" vertical="top" wrapText="1"/>
      <protection locked="0"/>
    </xf>
    <xf numFmtId="0" fontId="45" fillId="0" borderId="0" xfId="0" applyFont="1" applyAlignment="1" applyProtection="1">
      <alignment horizontal="center" vertical="top" wrapText="1"/>
      <protection locked="0"/>
    </xf>
    <xf numFmtId="0" fontId="45" fillId="0" borderId="0" xfId="0" applyFont="1" applyAlignment="1" applyProtection="1">
      <alignment wrapText="1"/>
      <protection locked="0"/>
    </xf>
    <xf numFmtId="0" fontId="23" fillId="0" borderId="0" xfId="0" applyFont="1" applyAlignment="1">
      <alignment horizontal="left" vertical="center" wrapText="1"/>
    </xf>
    <xf numFmtId="0" fontId="23" fillId="0" borderId="0" xfId="0" applyFont="1" applyAlignment="1" applyProtection="1">
      <alignment horizontal="left" vertical="center"/>
      <protection locked="0"/>
    </xf>
    <xf numFmtId="0" fontId="23" fillId="0" borderId="0" xfId="0" applyFont="1" applyAlignment="1">
      <alignment horizontal="center" vertical="center" wrapText="1"/>
    </xf>
    <xf numFmtId="0" fontId="23" fillId="0" borderId="0" xfId="0" applyFont="1" applyAlignment="1" applyProtection="1">
      <alignment horizontal="center" vertical="center" wrapText="1"/>
      <protection locked="0"/>
    </xf>
    <xf numFmtId="0" fontId="54" fillId="0" borderId="16" xfId="0" applyFont="1" applyBorder="1" applyAlignment="1" applyProtection="1">
      <alignment horizontal="left" vertical="center" wrapText="1"/>
      <protection locked="0"/>
    </xf>
    <xf numFmtId="0" fontId="54" fillId="0" borderId="0" xfId="0" applyFont="1" applyAlignment="1" applyProtection="1">
      <alignment horizontal="left" vertical="center" wrapText="1"/>
      <protection locked="0"/>
    </xf>
    <xf numFmtId="0" fontId="35" fillId="0" borderId="0" xfId="0" applyFont="1" applyAlignment="1" applyProtection="1">
      <alignment horizontal="left" vertical="center" wrapText="1"/>
      <protection locked="0"/>
    </xf>
    <xf numFmtId="0" fontId="8" fillId="0" borderId="0" xfId="0" applyFont="1" applyAlignment="1">
      <alignment horizontal="center" vertical="center" wrapText="1"/>
    </xf>
    <xf numFmtId="0" fontId="19" fillId="0" borderId="0" xfId="0" applyFont="1" applyAlignment="1">
      <alignment horizontal="center" vertical="center" wrapText="1"/>
    </xf>
    <xf numFmtId="0" fontId="46" fillId="0" borderId="0" xfId="0" applyFont="1" applyAlignment="1">
      <alignment horizontal="center" vertical="center" wrapText="1"/>
    </xf>
    <xf numFmtId="0" fontId="23" fillId="0" borderId="0" xfId="0" applyFont="1" applyAlignment="1">
      <alignment horizontal="left"/>
    </xf>
    <xf numFmtId="0" fontId="47" fillId="0" borderId="0" xfId="0" applyFont="1" applyAlignment="1">
      <alignment horizontal="left" vertical="center"/>
    </xf>
    <xf numFmtId="0" fontId="3" fillId="0" borderId="0" xfId="0" applyFont="1" applyAlignment="1">
      <alignment horizontal="left" vertical="center"/>
    </xf>
    <xf numFmtId="0" fontId="16" fillId="0" borderId="0" xfId="0" applyFont="1" applyAlignment="1">
      <alignment horizontal="left" vertical="center"/>
    </xf>
    <xf numFmtId="0" fontId="3" fillId="0" borderId="0" xfId="0" applyFont="1" applyAlignment="1" applyProtection="1">
      <alignment horizontal="center" vertical="center"/>
      <protection locked="0"/>
    </xf>
    <xf numFmtId="0" fontId="23" fillId="7" borderId="14" xfId="0" applyFont="1" applyFill="1" applyBorder="1" applyAlignment="1">
      <alignment horizontal="center" vertical="center"/>
    </xf>
    <xf numFmtId="0" fontId="23" fillId="7" borderId="15" xfId="0" applyFont="1" applyFill="1" applyBorder="1" applyAlignment="1">
      <alignment horizontal="center" vertical="center"/>
    </xf>
    <xf numFmtId="0" fontId="48" fillId="2" borderId="0" xfId="0" applyFont="1" applyFill="1" applyAlignment="1">
      <alignment horizontal="left" vertical="center" wrapText="1"/>
    </xf>
    <xf numFmtId="0" fontId="47" fillId="2" borderId="0" xfId="0" applyFont="1" applyFill="1" applyAlignment="1">
      <alignment horizontal="left" vertical="center" wrapText="1"/>
    </xf>
  </cellXfs>
  <cellStyles count="5">
    <cellStyle name="Hiperłącze" xfId="2" builtinId="8"/>
    <cellStyle name="Normalny" xfId="0" builtinId="0"/>
    <cellStyle name="Normalny 2" xfId="4" xr:uid="{00000000-0005-0000-0000-000002000000}"/>
    <cellStyle name="Procentowy" xfId="1" builtinId="5"/>
    <cellStyle name="Walutowy" xfId="3" builtinId="4"/>
  </cellStyles>
  <dxfs count="42">
    <dxf>
      <fill>
        <patternFill>
          <bgColor theme="4" tint="-0.24994659260841701"/>
        </patternFill>
      </fill>
    </dxf>
    <dxf>
      <font>
        <strike/>
      </font>
    </dxf>
    <dxf>
      <fill>
        <patternFill>
          <bgColor theme="4" tint="-0.24994659260841701"/>
        </patternFill>
      </fill>
    </dxf>
    <dxf>
      <font>
        <strike/>
      </font>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bgColor theme="4" tint="-0.24994659260841701"/>
        </patternFill>
      </fill>
    </dxf>
    <dxf>
      <fill>
        <patternFill>
          <bgColor theme="4" tint="-0.24994659260841701"/>
        </patternFill>
      </fill>
    </dxf>
    <dxf>
      <numFmt numFmtId="4" formatCode="#,##0.00"/>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35</xdr:col>
      <xdr:colOff>112893</xdr:colOff>
      <xdr:row>3</xdr:row>
      <xdr:rowOff>7055</xdr:rowOff>
    </xdr:from>
    <xdr:to>
      <xdr:col>37</xdr:col>
      <xdr:colOff>370770</xdr:colOff>
      <xdr:row>7</xdr:row>
      <xdr:rowOff>162017</xdr:rowOff>
    </xdr:to>
    <xdr:pic>
      <xdr:nvPicPr>
        <xdr:cNvPr id="2" name="Obraz 1" descr="http://intranet/dokumenty/Documents/BGK_Logo_RGB-BMP.bmp">
          <a:extLst>
            <a:ext uri="{FF2B5EF4-FFF2-40B4-BE49-F238E27FC236}">
              <a16:creationId xmlns:a16="http://schemas.microsoft.com/office/drawing/2014/main" id="{A66249F3-D8CD-4CF9-8DC8-D1E8C628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6560" y="536222"/>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A17" totalsRowShown="0">
  <autoFilter ref="A1:A17" xr:uid="{00000000-0009-0000-0100-000001000000}"/>
  <tableColumns count="1">
    <tableColumn id="1" xr3:uid="{00000000-0010-0000-0000-000001000000}" name="Kategoria"/>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a3" displayName="Tabela3" ref="E1:F381" totalsRowShown="0">
  <autoFilter ref="E1:F381" xr:uid="{00000000-0009-0000-0100-000003000000}"/>
  <tableColumns count="2">
    <tableColumn id="1" xr3:uid="{00000000-0010-0000-0100-000001000000}" name="Kategoria"/>
    <tableColumn id="2" xr3:uid="{00000000-0010-0000-0100-000002000000}" name="Podkategoria"/>
  </tableColumns>
  <tableStyleInfo name="TableStyleLight1"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84"/>
  <sheetViews>
    <sheetView showGridLines="0" tabSelected="1" zoomScale="90" zoomScaleNormal="90" workbookViewId="0">
      <selection activeCell="A76" sqref="A76:AL76"/>
    </sheetView>
  </sheetViews>
  <sheetFormatPr defaultColWidth="9.1796875" defaultRowHeight="14" x14ac:dyDescent="0.3"/>
  <cols>
    <col min="1" max="1" width="3.26953125" style="26" customWidth="1"/>
    <col min="2" max="2" width="4" style="26" customWidth="1"/>
    <col min="3" max="3" width="2.1796875" style="26" customWidth="1"/>
    <col min="4" max="4" width="2.54296875" style="26" customWidth="1"/>
    <col min="5" max="5" width="2" style="26" customWidth="1"/>
    <col min="6" max="6" width="1.7265625" style="26" customWidth="1"/>
    <col min="7" max="7" width="1.453125" style="26" customWidth="1"/>
    <col min="8" max="8" width="2.26953125" style="26" customWidth="1"/>
    <col min="9" max="9" width="2.453125" style="26" customWidth="1"/>
    <col min="10" max="10" width="1.54296875" style="26" customWidth="1"/>
    <col min="11" max="11" width="1.7265625" style="26" customWidth="1"/>
    <col min="12" max="12" width="5.26953125" style="26" customWidth="1"/>
    <col min="13" max="13" width="0.81640625" style="26" customWidth="1"/>
    <col min="14" max="14" width="3.453125" style="26" customWidth="1"/>
    <col min="15" max="15" width="2.54296875" style="26" customWidth="1"/>
    <col min="16" max="17" width="1.54296875" style="26" customWidth="1"/>
    <col min="18" max="18" width="1.26953125" style="26" customWidth="1"/>
    <col min="19" max="19" width="2.1796875" style="26" customWidth="1"/>
    <col min="20" max="20" width="1.26953125" style="26" customWidth="1"/>
    <col min="21" max="21" width="1" style="26" customWidth="1"/>
    <col min="22" max="22" width="0.81640625" style="26" customWidth="1"/>
    <col min="23" max="23" width="3" style="26" customWidth="1"/>
    <col min="24" max="24" width="1.26953125" style="26" customWidth="1"/>
    <col min="25" max="25" width="1.453125" style="26" customWidth="1"/>
    <col min="26" max="26" width="1.26953125" style="26" customWidth="1"/>
    <col min="27" max="27" width="1.1796875" style="26" customWidth="1"/>
    <col min="28" max="28" width="2" style="26" customWidth="1"/>
    <col min="29" max="29" width="1" style="26" customWidth="1"/>
    <col min="30" max="30" width="1.81640625" style="26" customWidth="1"/>
    <col min="31" max="31" width="1.7265625" style="26" customWidth="1"/>
    <col min="32" max="32" width="1.1796875" style="26" customWidth="1"/>
    <col min="33" max="33" width="1.81640625" style="26" customWidth="1"/>
    <col min="34" max="34" width="2.26953125" style="26" customWidth="1"/>
    <col min="35" max="35" width="1.453125" style="26" customWidth="1"/>
    <col min="36" max="36" width="4" style="26" customWidth="1"/>
    <col min="37" max="37" width="9.1796875" style="26" customWidth="1"/>
    <col min="38" max="38" width="5.7265625" style="26" customWidth="1"/>
    <col min="39" max="39" width="114.1796875" style="37" customWidth="1"/>
    <col min="40" max="41" width="13.6328125" style="27" bestFit="1" customWidth="1"/>
    <col min="42" max="42" width="15.6328125" style="26" bestFit="1" customWidth="1"/>
    <col min="43" max="16384" width="9.1796875" style="26"/>
  </cols>
  <sheetData>
    <row r="1" spans="1:54" x14ac:dyDescent="0.3">
      <c r="A1" s="29" t="s">
        <v>142</v>
      </c>
      <c r="B1" s="29"/>
      <c r="C1" s="29"/>
      <c r="D1" s="29"/>
      <c r="E1" s="29"/>
      <c r="F1" s="29"/>
      <c r="G1" s="29"/>
      <c r="H1" s="29"/>
      <c r="I1" s="29"/>
      <c r="J1" s="29"/>
      <c r="K1" s="29"/>
      <c r="L1" s="29"/>
      <c r="M1" s="29"/>
      <c r="N1" s="29"/>
      <c r="O1" s="29"/>
      <c r="P1" s="29"/>
      <c r="Q1" s="30"/>
      <c r="R1" s="30"/>
      <c r="S1" s="30"/>
      <c r="T1" s="30"/>
      <c r="U1" s="31"/>
      <c r="V1" s="31"/>
      <c r="W1" s="31"/>
      <c r="X1" s="31"/>
      <c r="Y1" s="31"/>
      <c r="Z1" s="31"/>
      <c r="AA1" s="31"/>
      <c r="AB1" s="31"/>
      <c r="AC1" s="31"/>
      <c r="AD1" s="31"/>
      <c r="AE1" s="31"/>
      <c r="AF1" s="31"/>
      <c r="AG1" s="31"/>
      <c r="AH1" s="31"/>
      <c r="AI1" s="31"/>
      <c r="AJ1" s="31"/>
      <c r="AK1" s="31"/>
      <c r="AL1" s="31"/>
      <c r="AM1" s="36"/>
      <c r="AN1" s="30"/>
      <c r="AO1" s="30"/>
      <c r="AP1" s="30"/>
      <c r="AQ1" s="30"/>
      <c r="AR1" s="30"/>
      <c r="AS1" s="30"/>
      <c r="AT1" s="30"/>
      <c r="AU1" s="30"/>
      <c r="AV1" s="30"/>
      <c r="AW1" s="30"/>
      <c r="AX1" s="30"/>
      <c r="AY1" s="30"/>
      <c r="AZ1" s="30"/>
      <c r="BA1" s="30"/>
      <c r="BB1" s="30"/>
    </row>
    <row r="2" spans="1:54" x14ac:dyDescent="0.3">
      <c r="A2" s="29" t="s">
        <v>143</v>
      </c>
      <c r="B2" s="29"/>
      <c r="C2" s="29"/>
      <c r="D2" s="29"/>
      <c r="E2" s="29"/>
      <c r="F2" s="29"/>
      <c r="G2" s="29"/>
      <c r="H2" s="29"/>
      <c r="I2" s="29"/>
      <c r="J2" s="29"/>
      <c r="K2" s="29"/>
      <c r="L2" s="29"/>
      <c r="M2" s="29"/>
      <c r="N2" s="29"/>
      <c r="O2" s="29"/>
      <c r="P2" s="29"/>
      <c r="Q2" s="30"/>
      <c r="R2" s="30"/>
      <c r="S2" s="30"/>
      <c r="T2" s="30"/>
      <c r="U2" s="31"/>
      <c r="V2" s="31"/>
      <c r="W2" s="31"/>
      <c r="X2" s="31"/>
      <c r="Y2" s="32"/>
      <c r="Z2" s="31"/>
      <c r="AB2" s="31"/>
      <c r="AC2" s="31"/>
      <c r="AD2" s="31"/>
      <c r="AE2" s="31"/>
      <c r="AF2" s="31"/>
      <c r="AG2" s="31"/>
      <c r="AH2" s="31"/>
      <c r="AI2" s="31"/>
      <c r="AJ2" s="31"/>
      <c r="AK2" s="31"/>
      <c r="AL2" s="31"/>
      <c r="AM2" s="36"/>
      <c r="AN2" s="30"/>
      <c r="AO2" s="30"/>
      <c r="AP2" s="30"/>
      <c r="AQ2" s="30"/>
      <c r="AR2" s="30"/>
      <c r="AS2" s="30"/>
      <c r="AT2" s="30"/>
      <c r="AU2" s="30"/>
      <c r="AV2" s="30"/>
      <c r="AW2" s="30"/>
      <c r="AX2" s="30"/>
      <c r="AY2" s="30"/>
      <c r="AZ2" s="30"/>
      <c r="BA2" s="30"/>
      <c r="BB2" s="30"/>
    </row>
    <row r="3" spans="1:54" x14ac:dyDescent="0.3">
      <c r="A3" s="29" t="s">
        <v>148</v>
      </c>
      <c r="B3" s="29"/>
      <c r="C3" s="29"/>
      <c r="D3" s="29"/>
      <c r="E3" s="29"/>
      <c r="F3" s="29"/>
      <c r="G3" s="29"/>
      <c r="H3" s="29"/>
      <c r="I3" s="29"/>
      <c r="J3" s="29"/>
      <c r="K3" s="29"/>
      <c r="L3" s="29"/>
      <c r="M3" s="29"/>
      <c r="N3" s="29"/>
      <c r="O3" s="29"/>
      <c r="P3" s="29"/>
      <c r="Q3" s="30"/>
      <c r="R3" s="30"/>
      <c r="S3" s="30"/>
      <c r="T3" s="30"/>
      <c r="U3" s="31"/>
      <c r="V3" s="31"/>
      <c r="W3" s="31"/>
      <c r="X3" s="31"/>
      <c r="Y3" s="31"/>
      <c r="Z3" s="31"/>
      <c r="AA3" s="31"/>
      <c r="AB3" s="31"/>
      <c r="AC3" s="31"/>
      <c r="AD3" s="31"/>
      <c r="AE3" s="31"/>
      <c r="AF3" s="31"/>
      <c r="AG3" s="31"/>
      <c r="AH3" s="31"/>
      <c r="AI3" s="31"/>
      <c r="AJ3" s="31"/>
      <c r="AK3" s="31"/>
      <c r="AL3" s="31"/>
      <c r="AM3" s="38" t="s">
        <v>160</v>
      </c>
      <c r="AN3" s="33"/>
      <c r="AO3" s="33"/>
      <c r="AP3" s="30"/>
      <c r="AQ3" s="30"/>
      <c r="AR3" s="30"/>
      <c r="AS3" s="30"/>
      <c r="AT3" s="30"/>
      <c r="AU3" s="30"/>
      <c r="AV3" s="30"/>
      <c r="AW3" s="30"/>
      <c r="AX3" s="30"/>
      <c r="AY3" s="30"/>
      <c r="AZ3" s="30"/>
      <c r="BA3" s="30"/>
      <c r="BB3" s="30"/>
    </row>
    <row r="5" spans="1:54" ht="14.5" x14ac:dyDescent="0.35">
      <c r="A5" s="141"/>
      <c r="B5" s="142"/>
      <c r="C5" s="142"/>
      <c r="D5" s="142"/>
      <c r="E5" s="142"/>
      <c r="F5" s="142"/>
      <c r="G5" s="39"/>
      <c r="H5" s="143">
        <f ca="1">TODAY()</f>
        <v>46058</v>
      </c>
      <c r="I5" s="143"/>
      <c r="J5" s="143"/>
      <c r="K5" s="143"/>
      <c r="L5" s="143"/>
      <c r="M5" s="40"/>
      <c r="N5" s="144"/>
      <c r="O5" s="144"/>
      <c r="P5" s="144"/>
      <c r="Q5" s="144"/>
      <c r="R5" s="144"/>
      <c r="S5" s="144"/>
      <c r="T5" s="41"/>
      <c r="U5" s="145"/>
      <c r="V5" s="145"/>
      <c r="W5" s="145"/>
      <c r="X5" s="145"/>
      <c r="Y5" s="145"/>
      <c r="Z5" s="145"/>
      <c r="AA5" s="40"/>
      <c r="AB5" s="40"/>
      <c r="AC5" s="40"/>
      <c r="AD5" s="40"/>
      <c r="AE5" s="40"/>
      <c r="AF5" s="40"/>
      <c r="AG5" s="40"/>
      <c r="AH5" s="40"/>
      <c r="AI5" s="40"/>
      <c r="AJ5" s="40"/>
      <c r="AK5" s="40"/>
      <c r="AL5" s="40"/>
    </row>
    <row r="6" spans="1:54" ht="14.5" x14ac:dyDescent="0.35">
      <c r="A6" s="146" t="s">
        <v>147</v>
      </c>
      <c r="B6" s="146"/>
      <c r="C6" s="146"/>
      <c r="D6" s="146"/>
      <c r="E6" s="146"/>
      <c r="F6" s="146"/>
      <c r="G6" s="42"/>
      <c r="H6" s="146" t="s">
        <v>144</v>
      </c>
      <c r="I6" s="146"/>
      <c r="J6" s="146"/>
      <c r="K6" s="146"/>
      <c r="L6" s="146"/>
      <c r="M6" s="40"/>
      <c r="N6" s="146" t="s">
        <v>145</v>
      </c>
      <c r="O6" s="147"/>
      <c r="P6" s="147"/>
      <c r="Q6" s="147"/>
      <c r="R6" s="147"/>
      <c r="S6" s="147"/>
      <c r="T6" s="43"/>
      <c r="U6" s="146" t="s">
        <v>146</v>
      </c>
      <c r="V6" s="146"/>
      <c r="W6" s="146"/>
      <c r="X6" s="146"/>
      <c r="Y6" s="146"/>
      <c r="Z6" s="146"/>
      <c r="AA6" s="40"/>
      <c r="AB6" s="40"/>
      <c r="AC6" s="40"/>
      <c r="AD6" s="40"/>
      <c r="AE6" s="40"/>
      <c r="AF6" s="40"/>
      <c r="AG6" s="40"/>
      <c r="AH6" s="40"/>
      <c r="AI6" s="40"/>
      <c r="AJ6" s="40"/>
      <c r="AK6" s="40"/>
      <c r="AL6" s="40"/>
      <c r="AM6" s="155"/>
      <c r="AN6" s="155"/>
      <c r="AO6" s="155"/>
      <c r="AP6" s="155"/>
      <c r="AQ6" s="155"/>
      <c r="AR6" s="155"/>
    </row>
    <row r="7" spans="1:54" ht="14.5" x14ac:dyDescent="0.35">
      <c r="A7" s="80"/>
      <c r="B7" s="80"/>
      <c r="C7" s="80"/>
      <c r="D7" s="80"/>
      <c r="E7" s="80"/>
      <c r="F7" s="80"/>
      <c r="G7" s="42"/>
      <c r="H7" s="40"/>
      <c r="I7" s="40"/>
      <c r="J7" s="40"/>
      <c r="K7" s="40"/>
      <c r="L7" s="40"/>
      <c r="M7" s="40"/>
      <c r="N7" s="148"/>
      <c r="O7" s="148"/>
      <c r="P7" s="148"/>
      <c r="Q7" s="148"/>
      <c r="R7" s="148"/>
      <c r="S7" s="148"/>
      <c r="T7" s="43"/>
      <c r="U7" s="80"/>
      <c r="V7" s="80"/>
      <c r="W7" s="80"/>
      <c r="X7" s="80"/>
      <c r="Y7" s="80"/>
      <c r="Z7" s="80"/>
      <c r="AA7" s="40"/>
      <c r="AB7" s="40"/>
      <c r="AC7" s="40"/>
      <c r="AD7" s="40"/>
      <c r="AE7" s="40"/>
      <c r="AF7" s="40"/>
      <c r="AG7" s="40"/>
      <c r="AH7" s="40"/>
      <c r="AI7" s="40"/>
      <c r="AJ7" s="40"/>
      <c r="AK7" s="40"/>
      <c r="AL7" s="40"/>
    </row>
    <row r="8" spans="1:54" ht="14.5" x14ac:dyDescent="0.35">
      <c r="A8" s="80"/>
      <c r="B8" s="80"/>
      <c r="C8" s="80"/>
      <c r="D8" s="80"/>
      <c r="E8" s="80"/>
      <c r="F8" s="80"/>
      <c r="G8" s="42"/>
      <c r="H8" s="40"/>
      <c r="I8" s="40"/>
      <c r="J8" s="40"/>
      <c r="K8" s="40"/>
      <c r="L8" s="40"/>
      <c r="M8" s="40"/>
      <c r="N8" s="80"/>
      <c r="O8" s="80"/>
      <c r="P8" s="80"/>
      <c r="Q8" s="80"/>
      <c r="R8" s="80"/>
      <c r="S8" s="80"/>
      <c r="T8" s="43"/>
      <c r="U8" s="80"/>
      <c r="V8" s="80"/>
      <c r="W8" s="80"/>
      <c r="X8" s="80"/>
      <c r="Y8" s="80"/>
      <c r="Z8" s="80"/>
      <c r="AA8" s="40"/>
      <c r="AB8" s="40"/>
      <c r="AC8" s="40"/>
      <c r="AD8" s="40"/>
      <c r="AE8" s="40"/>
      <c r="AF8" s="40"/>
      <c r="AG8" s="40"/>
      <c r="AH8" s="40"/>
      <c r="AI8" s="40"/>
      <c r="AJ8" s="40"/>
      <c r="AK8" s="40"/>
      <c r="AL8" s="40"/>
    </row>
    <row r="9" spans="1:54" ht="19" customHeight="1" x14ac:dyDescent="0.3">
      <c r="A9" s="149" t="s">
        <v>701</v>
      </c>
      <c r="B9" s="149"/>
      <c r="C9" s="149"/>
      <c r="D9" s="149"/>
      <c r="E9" s="149"/>
      <c r="F9" s="149"/>
      <c r="G9" s="149" t="s">
        <v>702</v>
      </c>
      <c r="H9" s="149"/>
      <c r="I9" s="149"/>
      <c r="J9" s="149"/>
      <c r="K9" s="149"/>
      <c r="L9" s="149"/>
      <c r="M9" s="82"/>
      <c r="N9" s="150"/>
      <c r="O9" s="150"/>
      <c r="P9" s="150"/>
      <c r="Q9" s="151" t="s">
        <v>703</v>
      </c>
      <c r="R9" s="151"/>
      <c r="S9" s="151"/>
      <c r="T9" s="151"/>
      <c r="U9" s="151"/>
      <c r="V9" s="151"/>
      <c r="W9" s="151"/>
      <c r="X9" s="151"/>
      <c r="Y9" s="151"/>
      <c r="Z9" s="151"/>
      <c r="AA9" s="151"/>
      <c r="AB9" s="150"/>
      <c r="AC9" s="150"/>
      <c r="AD9" s="150"/>
      <c r="AE9" s="150"/>
      <c r="AF9" s="83"/>
      <c r="AG9" s="83"/>
      <c r="AH9" s="83"/>
      <c r="AI9" s="83"/>
      <c r="AJ9" s="83"/>
      <c r="AK9" s="83"/>
      <c r="AL9" s="83"/>
    </row>
    <row r="10" spans="1:54" ht="28" customHeight="1" x14ac:dyDescent="0.3">
      <c r="A10" s="149" t="s">
        <v>704</v>
      </c>
      <c r="B10" s="149"/>
      <c r="C10" s="149"/>
      <c r="D10" s="149"/>
      <c r="E10" s="149"/>
      <c r="F10" s="149"/>
      <c r="G10" s="149"/>
      <c r="H10" s="149"/>
      <c r="I10" s="149"/>
      <c r="J10" s="149"/>
      <c r="K10" s="149"/>
      <c r="L10" s="149"/>
      <c r="M10" s="149"/>
      <c r="N10" s="149"/>
      <c r="O10" s="149"/>
      <c r="P10" s="149"/>
      <c r="Q10" s="152"/>
      <c r="R10" s="152"/>
      <c r="S10" s="152"/>
      <c r="T10" s="152"/>
      <c r="U10" s="152"/>
      <c r="V10" s="152"/>
      <c r="W10" s="152"/>
      <c r="X10" s="152"/>
      <c r="Y10" s="152"/>
      <c r="Z10" s="152"/>
      <c r="AA10" s="152"/>
      <c r="AB10" s="152"/>
      <c r="AC10" s="152"/>
      <c r="AD10" s="152"/>
      <c r="AE10" s="152"/>
      <c r="AF10" s="152"/>
      <c r="AG10" s="152"/>
      <c r="AH10" s="152"/>
      <c r="AI10" s="152"/>
      <c r="AJ10" s="152"/>
      <c r="AK10" s="152"/>
      <c r="AL10" s="152"/>
      <c r="AM10" s="37" t="s">
        <v>705</v>
      </c>
    </row>
    <row r="11" spans="1:54" ht="103" customHeight="1" x14ac:dyDescent="0.3">
      <c r="A11" s="149" t="s">
        <v>706</v>
      </c>
      <c r="B11" s="149"/>
      <c r="C11" s="149"/>
      <c r="D11" s="149"/>
      <c r="E11" s="149"/>
      <c r="F11" s="149"/>
      <c r="G11" s="149"/>
      <c r="H11" s="149"/>
      <c r="I11" s="149"/>
      <c r="J11" s="149"/>
      <c r="K11" s="149"/>
      <c r="L11" s="149"/>
      <c r="M11" s="149"/>
      <c r="N11" s="149"/>
      <c r="O11" s="149"/>
      <c r="P11" s="149"/>
      <c r="Q11" s="149"/>
      <c r="R11" s="149"/>
      <c r="S11" s="149"/>
      <c r="T11" s="149"/>
      <c r="U11" s="149"/>
      <c r="V11" s="149"/>
      <c r="W11" s="149"/>
      <c r="X11" s="149"/>
      <c r="Y11" s="149"/>
      <c r="Z11" s="149"/>
      <c r="AA11" s="149"/>
      <c r="AB11" s="149"/>
      <c r="AC11" s="149"/>
      <c r="AD11" s="149"/>
      <c r="AE11" s="149"/>
      <c r="AF11" s="149"/>
      <c r="AG11" s="149"/>
      <c r="AH11" s="149"/>
      <c r="AI11" s="149"/>
      <c r="AJ11" s="149"/>
      <c r="AK11" s="149"/>
      <c r="AL11" s="149"/>
    </row>
    <row r="12" spans="1:54" ht="30.5" customHeight="1" x14ac:dyDescent="0.3">
      <c r="A12" s="156" t="s">
        <v>683</v>
      </c>
      <c r="B12" s="157"/>
      <c r="C12" s="157"/>
      <c r="D12" s="157"/>
      <c r="E12" s="157"/>
      <c r="F12" s="157"/>
      <c r="G12" s="157"/>
      <c r="H12" s="157"/>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7"/>
      <c r="AH12" s="157"/>
      <c r="AI12" s="157"/>
      <c r="AJ12" s="157"/>
      <c r="AK12" s="157"/>
      <c r="AL12" s="157"/>
    </row>
    <row r="13" spans="1:54" ht="19" customHeight="1" x14ac:dyDescent="0.3">
      <c r="A13" s="87" t="s">
        <v>134</v>
      </c>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row>
    <row r="14" spans="1:54" ht="17.25" customHeight="1" x14ac:dyDescent="0.3">
      <c r="A14" s="158" t="s">
        <v>697</v>
      </c>
      <c r="B14" s="158"/>
      <c r="C14" s="158"/>
      <c r="D14" s="158"/>
      <c r="E14" s="158"/>
      <c r="F14" s="158"/>
      <c r="G14" s="158"/>
      <c r="H14" s="158"/>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row>
    <row r="15" spans="1:54" x14ac:dyDescent="0.3">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row>
    <row r="16" spans="1:54" ht="14.5" x14ac:dyDescent="0.35">
      <c r="A16" s="159" t="s">
        <v>99</v>
      </c>
      <c r="B16" s="159"/>
      <c r="C16" s="159"/>
      <c r="D16" s="159"/>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57"/>
    </row>
    <row r="17" spans="1:38" ht="14.5" x14ac:dyDescent="0.3">
      <c r="A17" s="111" t="s">
        <v>1</v>
      </c>
      <c r="B17" s="160" t="s">
        <v>91</v>
      </c>
      <c r="C17" s="160"/>
      <c r="D17" s="160"/>
      <c r="E17" s="160"/>
      <c r="F17" s="160"/>
      <c r="G17" s="160"/>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row>
    <row r="18" spans="1:38" ht="28.15" customHeight="1" x14ac:dyDescent="0.3">
      <c r="A18" s="111"/>
      <c r="B18" s="152"/>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c r="AK18" s="152"/>
      <c r="AL18" s="152"/>
    </row>
    <row r="19" spans="1:38" ht="14.5" x14ac:dyDescent="0.3">
      <c r="A19" s="111" t="s">
        <v>6</v>
      </c>
      <c r="B19" s="95" t="s">
        <v>92</v>
      </c>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row>
    <row r="20" spans="1:38" ht="14.5" x14ac:dyDescent="0.3">
      <c r="A20" s="111"/>
      <c r="B20" s="86"/>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c r="AI20" s="135"/>
      <c r="AJ20" s="135"/>
      <c r="AK20" s="135"/>
      <c r="AL20" s="135"/>
    </row>
    <row r="21" spans="1:38" ht="14.5" customHeight="1" x14ac:dyDescent="0.3">
      <c r="A21" s="111" t="s">
        <v>12</v>
      </c>
      <c r="B21" s="161" t="s">
        <v>93</v>
      </c>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row>
    <row r="22" spans="1:38" ht="14.5" x14ac:dyDescent="0.3">
      <c r="A22" s="111"/>
      <c r="B22" s="163"/>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row>
    <row r="23" spans="1:38" ht="45" customHeight="1" x14ac:dyDescent="0.3">
      <c r="A23" s="111"/>
      <c r="B23" s="84" t="s">
        <v>710</v>
      </c>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row>
    <row r="24" spans="1:38" ht="14.5" x14ac:dyDescent="0.3">
      <c r="A24" s="111"/>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row>
    <row r="25" spans="1:38" ht="14.5" x14ac:dyDescent="0.3">
      <c r="A25" s="134" t="s">
        <v>16</v>
      </c>
      <c r="B25" s="95" t="s">
        <v>94</v>
      </c>
      <c r="C25" s="95"/>
      <c r="D25" s="95"/>
      <c r="E25" s="95"/>
      <c r="F25" s="95"/>
      <c r="G25" s="95"/>
      <c r="H25" s="95"/>
      <c r="I25" s="95"/>
      <c r="J25" s="95"/>
      <c r="K25" s="95"/>
      <c r="L25" s="95"/>
      <c r="M25" s="95"/>
      <c r="N25" s="95"/>
      <c r="O25" s="95"/>
      <c r="P25" s="95"/>
      <c r="Q25" s="95"/>
      <c r="R25" s="95"/>
      <c r="S25" s="95"/>
      <c r="T25" s="95"/>
      <c r="U25" s="95"/>
      <c r="V25" s="95"/>
      <c r="W25" s="162" t="s">
        <v>188</v>
      </c>
      <c r="X25" s="95"/>
      <c r="Y25" s="95"/>
      <c r="Z25" s="95"/>
      <c r="AA25" s="95"/>
      <c r="AB25" s="95"/>
      <c r="AC25" s="95"/>
      <c r="AD25" s="95"/>
      <c r="AE25" s="95"/>
      <c r="AF25" s="95"/>
      <c r="AG25" s="95"/>
      <c r="AH25" s="95"/>
      <c r="AI25" s="95"/>
      <c r="AJ25" s="95"/>
      <c r="AK25" s="95"/>
      <c r="AL25" s="95"/>
    </row>
    <row r="26" spans="1:38" ht="14.5" x14ac:dyDescent="0.35">
      <c r="A26" s="111"/>
      <c r="B26" s="129"/>
      <c r="C26" s="129"/>
      <c r="D26" s="129"/>
      <c r="E26" s="129"/>
      <c r="F26" s="129"/>
      <c r="G26" s="129"/>
      <c r="H26" s="129"/>
      <c r="I26" s="129"/>
      <c r="J26" s="129"/>
      <c r="K26" s="129"/>
      <c r="L26" s="129"/>
      <c r="M26" s="129"/>
      <c r="N26" s="129"/>
      <c r="O26" s="129"/>
      <c r="P26" s="129"/>
      <c r="Q26" s="129"/>
      <c r="R26" s="129"/>
      <c r="S26" s="129"/>
      <c r="T26" s="129"/>
      <c r="U26" s="129"/>
      <c r="V26" s="129"/>
      <c r="W26" s="130"/>
      <c r="X26" s="130"/>
      <c r="Y26" s="130"/>
      <c r="Z26" s="130"/>
      <c r="AA26" s="130"/>
      <c r="AB26" s="130"/>
      <c r="AC26" s="130"/>
      <c r="AD26" s="130"/>
      <c r="AE26" s="130"/>
      <c r="AF26" s="130"/>
      <c r="AG26" s="130"/>
      <c r="AH26" s="130"/>
      <c r="AI26" s="130"/>
      <c r="AJ26" s="130"/>
      <c r="AK26" s="130"/>
      <c r="AL26" s="130"/>
    </row>
    <row r="27" spans="1:38" ht="14.5" x14ac:dyDescent="0.3">
      <c r="A27" s="111"/>
      <c r="B27" s="112" t="s">
        <v>664</v>
      </c>
      <c r="C27" s="95"/>
      <c r="D27" s="95"/>
      <c r="E27" s="95"/>
      <c r="F27" s="95"/>
      <c r="G27" s="95"/>
      <c r="H27" s="95"/>
      <c r="I27" s="95"/>
      <c r="J27" s="95"/>
      <c r="K27" s="95"/>
      <c r="L27" s="95"/>
      <c r="M27" s="95"/>
      <c r="N27" s="95"/>
      <c r="O27" s="95"/>
      <c r="P27" s="95"/>
      <c r="Q27" s="95"/>
      <c r="R27" s="95"/>
      <c r="S27" s="95"/>
      <c r="T27" s="95"/>
      <c r="U27" s="95"/>
      <c r="V27" s="95"/>
      <c r="W27" s="95"/>
      <c r="X27" s="95"/>
      <c r="Y27" s="95"/>
      <c r="Z27" s="95"/>
      <c r="AA27" s="95"/>
      <c r="AB27" s="95"/>
      <c r="AC27" s="95"/>
      <c r="AD27" s="95"/>
      <c r="AE27" s="95"/>
      <c r="AF27" s="95"/>
      <c r="AG27" s="95"/>
      <c r="AH27" s="95"/>
      <c r="AI27" s="95"/>
      <c r="AJ27" s="95"/>
      <c r="AK27" s="95"/>
      <c r="AL27" s="95"/>
    </row>
    <row r="28" spans="1:38" ht="14.5" x14ac:dyDescent="0.35">
      <c r="A28" s="111"/>
      <c r="B28" s="131"/>
      <c r="C28" s="131"/>
      <c r="D28" s="131"/>
      <c r="E28" s="131"/>
      <c r="F28" s="131"/>
      <c r="G28" s="131"/>
      <c r="H28" s="131"/>
      <c r="I28" s="131"/>
      <c r="J28" s="131"/>
      <c r="K28" s="131"/>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row>
    <row r="29" spans="1:38" ht="14.5" x14ac:dyDescent="0.3">
      <c r="A29" s="134" t="s">
        <v>22</v>
      </c>
      <c r="B29" s="95" t="s">
        <v>95</v>
      </c>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c r="AL29" s="95"/>
    </row>
    <row r="30" spans="1:38" ht="14.5" x14ac:dyDescent="0.3">
      <c r="A30" s="111"/>
      <c r="B30" s="112" t="s">
        <v>667</v>
      </c>
      <c r="C30" s="95"/>
      <c r="D30" s="95"/>
      <c r="E30" s="95"/>
      <c r="F30" s="95"/>
      <c r="G30" s="95"/>
      <c r="H30" s="95"/>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row>
    <row r="31" spans="1:38" ht="14.5" x14ac:dyDescent="0.3">
      <c r="A31" s="111"/>
      <c r="B31" s="139"/>
      <c r="C31" s="140"/>
      <c r="D31" s="140"/>
      <c r="E31" s="140"/>
      <c r="F31" s="140"/>
      <c r="G31" s="140"/>
      <c r="H31" s="140"/>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row>
    <row r="32" spans="1:38" ht="14.5" x14ac:dyDescent="0.3">
      <c r="A32" s="111"/>
      <c r="B32" s="112" t="s">
        <v>665</v>
      </c>
      <c r="C32" s="95"/>
      <c r="D32" s="95"/>
      <c r="E32" s="95"/>
      <c r="F32" s="95"/>
      <c r="G32" s="95"/>
      <c r="H32" s="95"/>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5"/>
      <c r="AI32" s="95"/>
      <c r="AJ32" s="95"/>
      <c r="AK32" s="95"/>
      <c r="AL32" s="95"/>
    </row>
    <row r="33" spans="1:39" ht="14.5" x14ac:dyDescent="0.3">
      <c r="A33" s="111"/>
      <c r="B33" s="139"/>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row>
    <row r="34" spans="1:39" ht="14.5" x14ac:dyDescent="0.3">
      <c r="A34" s="111"/>
      <c r="B34" s="112" t="s">
        <v>668</v>
      </c>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row>
    <row r="35" spans="1:39" ht="14.5" x14ac:dyDescent="0.3">
      <c r="A35" s="111"/>
      <c r="B35" s="139"/>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47" t="s">
        <v>162</v>
      </c>
    </row>
    <row r="36" spans="1:39" ht="14.5" x14ac:dyDescent="0.3">
      <c r="A36" s="111"/>
      <c r="B36" s="112" t="s">
        <v>666</v>
      </c>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5"/>
      <c r="AD36" s="95"/>
      <c r="AE36" s="95"/>
      <c r="AF36" s="95"/>
      <c r="AG36" s="95"/>
      <c r="AH36" s="95"/>
      <c r="AI36" s="95"/>
      <c r="AJ36" s="95"/>
      <c r="AK36" s="95"/>
      <c r="AL36" s="95"/>
      <c r="AM36" s="47"/>
    </row>
    <row r="37" spans="1:39" ht="14.5" x14ac:dyDescent="0.3">
      <c r="A37" s="111"/>
      <c r="B37" s="139"/>
      <c r="C37" s="140"/>
      <c r="D37" s="140"/>
      <c r="E37" s="140"/>
      <c r="F37" s="140"/>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47" t="s">
        <v>162</v>
      </c>
    </row>
    <row r="38" spans="1:39" ht="42" customHeight="1" x14ac:dyDescent="0.3">
      <c r="A38" s="134" t="s">
        <v>28</v>
      </c>
      <c r="B38" s="133" t="s">
        <v>711</v>
      </c>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47"/>
    </row>
    <row r="39" spans="1:39" ht="14.5" x14ac:dyDescent="0.3">
      <c r="A39" s="111"/>
      <c r="B39" s="112" t="s">
        <v>669</v>
      </c>
      <c r="C39" s="95"/>
      <c r="D39" s="95"/>
      <c r="E39" s="95"/>
      <c r="F39" s="95"/>
      <c r="G39" s="95"/>
      <c r="H39" s="95"/>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47"/>
    </row>
    <row r="40" spans="1:39" ht="14.5" x14ac:dyDescent="0.3">
      <c r="A40" s="111"/>
      <c r="B40" s="86"/>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35"/>
      <c r="AH40" s="135"/>
      <c r="AI40" s="135"/>
      <c r="AJ40" s="135"/>
      <c r="AK40" s="135"/>
      <c r="AL40" s="135"/>
      <c r="AM40" s="47"/>
    </row>
    <row r="41" spans="1:39" ht="14.5" x14ac:dyDescent="0.3">
      <c r="A41" s="111"/>
      <c r="B41" s="136" t="s">
        <v>714</v>
      </c>
      <c r="C41" s="95"/>
      <c r="D41" s="95"/>
      <c r="E41" s="95"/>
      <c r="F41" s="95"/>
      <c r="G41" s="95"/>
      <c r="H41" s="95"/>
      <c r="I41" s="95"/>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5"/>
      <c r="AI41" s="95"/>
      <c r="AJ41" s="95"/>
      <c r="AK41" s="95"/>
      <c r="AL41" s="95"/>
      <c r="AM41" s="47"/>
    </row>
    <row r="42" spans="1:39" ht="57" customHeight="1" x14ac:dyDescent="0.3">
      <c r="A42" s="111"/>
      <c r="B42" s="87" t="s">
        <v>678</v>
      </c>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8" t="s">
        <v>713</v>
      </c>
      <c r="AD42" s="88"/>
      <c r="AE42" s="88"/>
      <c r="AF42" s="88"/>
      <c r="AG42" s="88"/>
      <c r="AH42" s="88"/>
      <c r="AI42" s="88"/>
      <c r="AJ42" s="88"/>
      <c r="AK42" s="88"/>
      <c r="AL42" s="88"/>
      <c r="AM42" s="47"/>
    </row>
    <row r="43" spans="1:39" ht="14.5" x14ac:dyDescent="0.3">
      <c r="A43" s="111"/>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9"/>
      <c r="AE43" s="89"/>
      <c r="AF43" s="89"/>
      <c r="AG43" s="89"/>
      <c r="AH43" s="89"/>
      <c r="AI43" s="89"/>
      <c r="AJ43" s="89"/>
      <c r="AK43" s="89"/>
      <c r="AL43" s="89"/>
      <c r="AM43" s="47"/>
    </row>
    <row r="44" spans="1:39" ht="14.5" x14ac:dyDescent="0.3">
      <c r="A44" s="111"/>
      <c r="B44" s="112" t="s">
        <v>671</v>
      </c>
      <c r="C44" s="95"/>
      <c r="D44" s="95"/>
      <c r="E44" s="95"/>
      <c r="F44" s="95"/>
      <c r="G44" s="95"/>
      <c r="H44" s="95"/>
      <c r="I44" s="95"/>
      <c r="J44" s="95"/>
      <c r="K44" s="95"/>
      <c r="L44" s="95"/>
      <c r="M44" s="95"/>
      <c r="N44" s="95"/>
      <c r="O44" s="95"/>
      <c r="P44" s="95"/>
      <c r="Q44" s="95"/>
      <c r="R44" s="95"/>
      <c r="S44" s="95"/>
      <c r="T44" s="95"/>
      <c r="U44" s="95"/>
      <c r="V44" s="95"/>
      <c r="W44" s="112" t="s">
        <v>670</v>
      </c>
      <c r="X44" s="95"/>
      <c r="Y44" s="95"/>
      <c r="Z44" s="95"/>
      <c r="AA44" s="95"/>
      <c r="AB44" s="95"/>
      <c r="AC44" s="95"/>
      <c r="AD44" s="95"/>
      <c r="AE44" s="95"/>
      <c r="AF44" s="95"/>
      <c r="AG44" s="95"/>
      <c r="AH44" s="95"/>
      <c r="AI44" s="95"/>
      <c r="AJ44" s="95"/>
      <c r="AK44" s="95"/>
      <c r="AL44" s="95"/>
      <c r="AM44" s="47"/>
    </row>
    <row r="45" spans="1:39" ht="14.5" x14ac:dyDescent="0.35">
      <c r="A45" s="111"/>
      <c r="B45" s="129"/>
      <c r="C45" s="129"/>
      <c r="D45" s="129"/>
      <c r="E45" s="129"/>
      <c r="F45" s="129"/>
      <c r="G45" s="129"/>
      <c r="H45" s="129"/>
      <c r="I45" s="129"/>
      <c r="J45" s="129"/>
      <c r="K45" s="129"/>
      <c r="L45" s="129"/>
      <c r="M45" s="129"/>
      <c r="N45" s="129"/>
      <c r="O45" s="129"/>
      <c r="P45" s="129"/>
      <c r="Q45" s="129"/>
      <c r="R45" s="129"/>
      <c r="S45" s="129"/>
      <c r="T45" s="129"/>
      <c r="U45" s="129"/>
      <c r="V45" s="129"/>
      <c r="W45" s="130"/>
      <c r="X45" s="130"/>
      <c r="Y45" s="130"/>
      <c r="Z45" s="130"/>
      <c r="AA45" s="130"/>
      <c r="AB45" s="130"/>
      <c r="AC45" s="130"/>
      <c r="AD45" s="130"/>
      <c r="AE45" s="130"/>
      <c r="AF45" s="130"/>
      <c r="AG45" s="130"/>
      <c r="AH45" s="130"/>
      <c r="AI45" s="130"/>
      <c r="AJ45" s="130"/>
      <c r="AK45" s="130"/>
      <c r="AL45" s="130"/>
      <c r="AM45" s="47"/>
    </row>
    <row r="46" spans="1:39" ht="14.5" x14ac:dyDescent="0.3">
      <c r="A46" s="111"/>
      <c r="B46" s="112" t="s">
        <v>672</v>
      </c>
      <c r="C46" s="95"/>
      <c r="D46" s="95"/>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5"/>
      <c r="AI46" s="95"/>
      <c r="AJ46" s="95"/>
      <c r="AK46" s="95"/>
      <c r="AL46" s="95"/>
      <c r="AM46" s="47"/>
    </row>
    <row r="47" spans="1:39" ht="14.5" x14ac:dyDescent="0.35">
      <c r="A47" s="111"/>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47"/>
    </row>
    <row r="48" spans="1:39" ht="45.5" customHeight="1" x14ac:dyDescent="0.3">
      <c r="A48" s="132" t="s">
        <v>712</v>
      </c>
      <c r="B48" s="133" t="s">
        <v>695</v>
      </c>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47"/>
    </row>
    <row r="49" spans="1:39" ht="14.5" x14ac:dyDescent="0.35">
      <c r="A49" s="111"/>
      <c r="B49" s="137"/>
      <c r="C49" s="137"/>
      <c r="D49" s="137"/>
      <c r="E49" s="137"/>
      <c r="F49" s="137"/>
      <c r="G49" s="137"/>
      <c r="H49" s="137"/>
      <c r="I49" s="137"/>
      <c r="J49" s="137"/>
      <c r="K49" s="137"/>
      <c r="L49" s="137"/>
      <c r="M49" s="137"/>
      <c r="N49" s="137"/>
      <c r="O49" s="137"/>
      <c r="P49" s="137"/>
      <c r="Q49" s="137"/>
      <c r="R49" s="137"/>
      <c r="S49" s="137"/>
      <c r="T49" s="138" t="str" cm="1">
        <f t="array" ref="T49">LEFT(B49,2)&amp;" "&amp;_xlfn.TEXTJOIN(" ",,MID(B49,{3,7,11,15,19,23},4))</f>
        <v xml:space="preserve"> </v>
      </c>
      <c r="U49" s="138"/>
      <c r="V49" s="138"/>
      <c r="W49" s="138"/>
      <c r="X49" s="138"/>
      <c r="Y49" s="138"/>
      <c r="Z49" s="138"/>
      <c r="AA49" s="138"/>
      <c r="AB49" s="138"/>
      <c r="AC49" s="138"/>
      <c r="AD49" s="138"/>
      <c r="AE49" s="138"/>
      <c r="AF49" s="138"/>
      <c r="AG49" s="138"/>
      <c r="AH49" s="138"/>
      <c r="AI49" s="138"/>
      <c r="AJ49" s="138"/>
      <c r="AK49" s="138"/>
      <c r="AL49" s="138"/>
      <c r="AM49" s="47"/>
    </row>
    <row r="50" spans="1:39" ht="14.5" x14ac:dyDescent="0.3">
      <c r="A50" s="58" t="s">
        <v>96</v>
      </c>
      <c r="B50" s="110" t="s">
        <v>97</v>
      </c>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c r="AB50" s="110"/>
      <c r="AC50" s="110"/>
      <c r="AD50" s="110"/>
      <c r="AE50" s="110"/>
      <c r="AF50" s="110"/>
      <c r="AG50" s="110"/>
      <c r="AH50" s="110"/>
      <c r="AI50" s="110"/>
      <c r="AJ50" s="110"/>
      <c r="AK50" s="110"/>
      <c r="AL50" s="110"/>
    </row>
    <row r="51" spans="1:39" ht="14.5" x14ac:dyDescent="0.3">
      <c r="A51" s="58"/>
      <c r="B51" s="112" t="s">
        <v>677</v>
      </c>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c r="AA51" s="112"/>
      <c r="AB51" s="112"/>
      <c r="AC51" s="112"/>
      <c r="AD51" s="112"/>
      <c r="AE51" s="112"/>
      <c r="AF51" s="112"/>
      <c r="AG51" s="112"/>
      <c r="AH51" s="112"/>
      <c r="AI51" s="112"/>
      <c r="AJ51" s="112"/>
      <c r="AK51" s="112"/>
      <c r="AL51" s="112"/>
    </row>
    <row r="52" spans="1:39" ht="14.5" x14ac:dyDescent="0.3">
      <c r="A52" s="58"/>
      <c r="B52" s="128" t="s">
        <v>673</v>
      </c>
      <c r="C52" s="125"/>
      <c r="D52" s="125"/>
      <c r="E52" s="125"/>
      <c r="F52" s="125"/>
      <c r="G52" s="125"/>
      <c r="H52" s="125"/>
      <c r="I52" s="125"/>
      <c r="J52" s="125"/>
      <c r="K52" s="125"/>
      <c r="L52" s="125"/>
      <c r="M52" s="125"/>
      <c r="N52" s="125"/>
      <c r="O52" s="125"/>
      <c r="P52" s="125"/>
      <c r="Q52" s="125"/>
      <c r="R52" s="125"/>
      <c r="S52" s="125"/>
      <c r="T52" s="125"/>
      <c r="U52" s="125"/>
      <c r="V52" s="125"/>
      <c r="W52" s="125"/>
      <c r="X52" s="125"/>
      <c r="Y52" s="128" t="s">
        <v>674</v>
      </c>
      <c r="Z52" s="125"/>
      <c r="AA52" s="125"/>
      <c r="AB52" s="125"/>
      <c r="AC52" s="125"/>
      <c r="AD52" s="125"/>
      <c r="AE52" s="125"/>
      <c r="AF52" s="125"/>
      <c r="AG52" s="125"/>
      <c r="AH52" s="125"/>
      <c r="AI52" s="125"/>
      <c r="AJ52" s="125"/>
      <c r="AK52" s="125"/>
      <c r="AL52" s="125"/>
    </row>
    <row r="53" spans="1:39" ht="14.5" x14ac:dyDescent="0.3">
      <c r="A53" s="58"/>
      <c r="B53" s="89"/>
      <c r="C53" s="89"/>
      <c r="D53" s="89"/>
      <c r="E53" s="89"/>
      <c r="F53" s="89"/>
      <c r="G53" s="89"/>
      <c r="H53" s="89"/>
      <c r="I53" s="89"/>
      <c r="J53" s="89"/>
      <c r="K53" s="89"/>
      <c r="L53" s="89"/>
      <c r="M53" s="89"/>
      <c r="N53" s="89"/>
      <c r="O53" s="89"/>
      <c r="P53" s="89"/>
      <c r="Q53" s="89"/>
      <c r="R53" s="89"/>
      <c r="S53" s="89"/>
      <c r="T53" s="89"/>
      <c r="U53" s="89"/>
      <c r="V53" s="89"/>
      <c r="W53" s="89"/>
      <c r="X53" s="89"/>
      <c r="Y53" s="86"/>
      <c r="Z53" s="89"/>
      <c r="AA53" s="89"/>
      <c r="AB53" s="89"/>
      <c r="AC53" s="89"/>
      <c r="AD53" s="89"/>
      <c r="AE53" s="89"/>
      <c r="AF53" s="89"/>
      <c r="AG53" s="89"/>
      <c r="AH53" s="89"/>
      <c r="AI53" s="89"/>
      <c r="AJ53" s="89"/>
      <c r="AK53" s="89"/>
      <c r="AL53" s="89"/>
    </row>
    <row r="54" spans="1:39" ht="14.5" x14ac:dyDescent="0.3">
      <c r="A54" s="58"/>
      <c r="B54" s="124" t="s">
        <v>685</v>
      </c>
      <c r="C54" s="125"/>
      <c r="D54" s="125"/>
      <c r="E54" s="125"/>
      <c r="F54" s="125"/>
      <c r="G54" s="125"/>
      <c r="H54" s="125"/>
      <c r="I54" s="125"/>
      <c r="J54" s="125"/>
      <c r="K54" s="125"/>
      <c r="L54" s="125"/>
      <c r="M54" s="125"/>
      <c r="N54" s="125"/>
      <c r="O54" s="125"/>
      <c r="P54" s="125"/>
      <c r="Q54" s="125"/>
      <c r="R54" s="125"/>
      <c r="S54" s="125"/>
      <c r="T54" s="125"/>
      <c r="U54" s="125"/>
      <c r="V54" s="125"/>
      <c r="W54" s="125"/>
      <c r="X54" s="125"/>
      <c r="Y54" s="124" t="s">
        <v>684</v>
      </c>
      <c r="Z54" s="125"/>
      <c r="AA54" s="125"/>
      <c r="AB54" s="125"/>
      <c r="AC54" s="125"/>
      <c r="AD54" s="125"/>
      <c r="AE54" s="125"/>
      <c r="AF54" s="125"/>
      <c r="AG54" s="125"/>
      <c r="AH54" s="125"/>
      <c r="AI54" s="125"/>
      <c r="AJ54" s="125"/>
      <c r="AK54" s="125"/>
      <c r="AL54" s="125"/>
    </row>
    <row r="55" spans="1:39" ht="14.5" x14ac:dyDescent="0.3">
      <c r="A55" s="5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26"/>
      <c r="Z55" s="126"/>
      <c r="AA55" s="126"/>
      <c r="AB55" s="126"/>
      <c r="AC55" s="126"/>
      <c r="AD55" s="126"/>
      <c r="AE55" s="126"/>
      <c r="AF55" s="126"/>
      <c r="AG55" s="126"/>
      <c r="AH55" s="126"/>
      <c r="AI55" s="126"/>
      <c r="AJ55" s="126"/>
      <c r="AK55" s="126"/>
      <c r="AL55" s="126"/>
    </row>
    <row r="56" spans="1:39" ht="60.5" hidden="1" customHeight="1" x14ac:dyDescent="0.3">
      <c r="A56" s="58"/>
      <c r="B56" s="119" t="s">
        <v>689</v>
      </c>
      <c r="C56" s="119"/>
      <c r="D56" s="119"/>
      <c r="E56" s="119"/>
      <c r="F56" s="119"/>
      <c r="G56" s="119"/>
      <c r="H56" s="119"/>
      <c r="I56" s="119"/>
      <c r="J56" s="119"/>
      <c r="K56" s="119"/>
      <c r="L56" s="119"/>
      <c r="M56" s="119"/>
      <c r="N56" s="119"/>
      <c r="O56" s="119"/>
      <c r="P56" s="119"/>
      <c r="Q56" s="119"/>
      <c r="R56" s="119"/>
      <c r="S56" s="119"/>
      <c r="T56" s="119"/>
      <c r="U56" s="119"/>
      <c r="V56" s="119"/>
      <c r="W56" s="119"/>
      <c r="X56" s="119"/>
      <c r="Y56" s="127" t="s">
        <v>693</v>
      </c>
      <c r="Z56" s="119"/>
      <c r="AA56" s="119"/>
      <c r="AB56" s="119"/>
      <c r="AC56" s="119"/>
      <c r="AD56" s="119"/>
      <c r="AE56" s="119"/>
      <c r="AF56" s="119"/>
      <c r="AG56" s="119"/>
      <c r="AH56" s="119"/>
      <c r="AI56" s="119"/>
      <c r="AJ56" s="119"/>
      <c r="AK56" s="119"/>
      <c r="AL56" s="119"/>
    </row>
    <row r="57" spans="1:39" ht="14.5" hidden="1" x14ac:dyDescent="0.3">
      <c r="A57" s="58"/>
      <c r="B57" s="115" t="e">
        <f>(B55*(20%*B55+Y55))/Y55</f>
        <v>#DIV/0!</v>
      </c>
      <c r="C57" s="115"/>
      <c r="D57" s="115"/>
      <c r="E57" s="115"/>
      <c r="F57" s="115"/>
      <c r="G57" s="115"/>
      <c r="H57" s="115"/>
      <c r="I57" s="115"/>
      <c r="J57" s="115"/>
      <c r="K57" s="115"/>
      <c r="L57" s="115"/>
      <c r="M57" s="115"/>
      <c r="N57" s="115"/>
      <c r="O57" s="115"/>
      <c r="P57" s="115"/>
      <c r="Q57" s="115"/>
      <c r="R57" s="115"/>
      <c r="S57" s="115"/>
      <c r="T57" s="115"/>
      <c r="U57" s="115"/>
      <c r="V57" s="115"/>
      <c r="W57" s="115"/>
      <c r="X57" s="115"/>
      <c r="Y57" s="116" t="e">
        <f>Y55/B55</f>
        <v>#DIV/0!</v>
      </c>
      <c r="Z57" s="117"/>
      <c r="AA57" s="117"/>
      <c r="AB57" s="117"/>
      <c r="AC57" s="117"/>
      <c r="AD57" s="117"/>
      <c r="AE57" s="117"/>
      <c r="AF57" s="117"/>
      <c r="AG57" s="117"/>
      <c r="AH57" s="117"/>
      <c r="AI57" s="117"/>
      <c r="AJ57" s="117"/>
      <c r="AK57" s="117"/>
      <c r="AL57" s="117"/>
    </row>
    <row r="58" spans="1:39" ht="14.5" x14ac:dyDescent="0.3">
      <c r="A58" s="58"/>
      <c r="B58" s="118" t="s">
        <v>692</v>
      </c>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72"/>
    </row>
    <row r="59" spans="1:39" ht="14.5" x14ac:dyDescent="0.35">
      <c r="A59" s="58"/>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72"/>
    </row>
    <row r="60" spans="1:39" ht="25.5" customHeight="1" x14ac:dyDescent="0.3">
      <c r="A60" s="58"/>
      <c r="B60" s="121" t="s">
        <v>676</v>
      </c>
      <c r="C60" s="122"/>
      <c r="D60" s="122"/>
      <c r="E60" s="122"/>
      <c r="F60" s="122"/>
      <c r="G60" s="122"/>
      <c r="H60" s="122"/>
      <c r="I60" s="122"/>
      <c r="J60" s="122"/>
      <c r="K60" s="122"/>
      <c r="L60" s="122"/>
      <c r="M60" s="122"/>
      <c r="N60" s="122"/>
      <c r="O60" s="122"/>
      <c r="P60" s="122"/>
      <c r="Q60" s="122"/>
      <c r="R60" s="122"/>
      <c r="S60" s="122"/>
      <c r="T60" s="122"/>
      <c r="U60" s="122"/>
      <c r="V60" s="122"/>
      <c r="W60" s="122"/>
      <c r="X60" s="122"/>
      <c r="Y60" s="123" t="s">
        <v>691</v>
      </c>
      <c r="Z60" s="122"/>
      <c r="AA60" s="122"/>
      <c r="AB60" s="122"/>
      <c r="AC60" s="122"/>
      <c r="AD60" s="122"/>
      <c r="AE60" s="122"/>
      <c r="AF60" s="122"/>
      <c r="AG60" s="122"/>
      <c r="AH60" s="122"/>
      <c r="AI60" s="122"/>
      <c r="AJ60" s="122"/>
      <c r="AK60" s="122"/>
      <c r="AL60" s="122"/>
      <c r="AM60" s="37" t="s">
        <v>699</v>
      </c>
    </row>
    <row r="61" spans="1:39" ht="14.5" x14ac:dyDescent="0.35">
      <c r="A61" s="5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9" t="e">
        <f>B61/B59</f>
        <v>#DIV/0!</v>
      </c>
      <c r="Z61" s="109"/>
      <c r="AA61" s="109"/>
      <c r="AB61" s="109"/>
      <c r="AC61" s="109"/>
      <c r="AD61" s="109"/>
      <c r="AE61" s="109"/>
      <c r="AF61" s="109"/>
      <c r="AG61" s="109"/>
      <c r="AH61" s="109"/>
      <c r="AI61" s="109"/>
      <c r="AJ61" s="109"/>
      <c r="AK61" s="109"/>
      <c r="AL61" s="109"/>
      <c r="AM61" s="81" t="s">
        <v>694</v>
      </c>
    </row>
    <row r="62" spans="1:39" ht="14.5" x14ac:dyDescent="0.3">
      <c r="A62" s="58" t="s">
        <v>679</v>
      </c>
      <c r="B62" s="110" t="s">
        <v>682</v>
      </c>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H62" s="110"/>
      <c r="AI62" s="110"/>
      <c r="AJ62" s="110"/>
      <c r="AK62" s="110"/>
      <c r="AL62" s="110"/>
    </row>
    <row r="63" spans="1:39" ht="14.5" x14ac:dyDescent="0.3">
      <c r="A63" s="111" t="s">
        <v>1</v>
      </c>
      <c r="B63" s="112" t="s">
        <v>675</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row>
    <row r="64" spans="1:39" ht="14.5" x14ac:dyDescent="0.35">
      <c r="A64" s="111"/>
      <c r="B64" s="114" t="e">
        <f>SUM(X68+X69)</f>
        <v>#DIV/0!</v>
      </c>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c r="AA64" s="114"/>
      <c r="AB64" s="114"/>
      <c r="AC64" s="114"/>
      <c r="AD64" s="114"/>
      <c r="AE64" s="114"/>
      <c r="AF64" s="114"/>
      <c r="AG64" s="114"/>
      <c r="AH64" s="114"/>
      <c r="AI64" s="114"/>
      <c r="AJ64" s="114"/>
      <c r="AK64" s="114"/>
      <c r="AL64" s="114"/>
      <c r="AM64"/>
    </row>
    <row r="65" spans="1:43" ht="14.5" x14ac:dyDescent="0.3">
      <c r="A65" s="104" t="s">
        <v>6</v>
      </c>
      <c r="B65" s="104" t="s">
        <v>680</v>
      </c>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row>
    <row r="66" spans="1:43" ht="14.5" x14ac:dyDescent="0.35">
      <c r="A66" s="95"/>
      <c r="B66" s="106" t="s">
        <v>189</v>
      </c>
      <c r="C66" s="106"/>
      <c r="D66" s="106"/>
      <c r="E66" s="106"/>
      <c r="F66" s="106"/>
      <c r="G66" s="106"/>
      <c r="H66" s="106"/>
      <c r="I66" s="106"/>
      <c r="J66" s="106"/>
      <c r="K66" s="106"/>
      <c r="L66" s="106"/>
      <c r="M66" s="106"/>
      <c r="N66" s="106"/>
      <c r="O66" s="106"/>
      <c r="P66" s="106"/>
      <c r="Q66" s="106"/>
      <c r="R66" s="106"/>
      <c r="S66" s="106"/>
      <c r="T66" s="106"/>
      <c r="U66" s="106"/>
      <c r="V66" s="106"/>
      <c r="W66" s="106"/>
      <c r="X66" s="96"/>
      <c r="Y66" s="96"/>
      <c r="Z66" s="96"/>
      <c r="AA66" s="96"/>
      <c r="AB66" s="96"/>
      <c r="AC66" s="96"/>
      <c r="AD66" s="96"/>
      <c r="AE66" s="96"/>
      <c r="AF66" s="96"/>
      <c r="AG66" s="96"/>
      <c r="AH66" s="96"/>
      <c r="AI66" s="96"/>
      <c r="AJ66" s="96"/>
      <c r="AK66" s="97" t="e">
        <f>ROUND(X66/X72,5)</f>
        <v>#DIV/0!</v>
      </c>
      <c r="AL66" s="97"/>
      <c r="AM66" s="37" t="s">
        <v>700</v>
      </c>
    </row>
    <row r="67" spans="1:43" ht="15" customHeight="1" x14ac:dyDescent="0.35">
      <c r="A67" s="95"/>
      <c r="B67" s="107" t="s">
        <v>187</v>
      </c>
      <c r="C67" s="103"/>
      <c r="D67" s="103"/>
      <c r="E67" s="103"/>
      <c r="F67" s="103"/>
      <c r="G67" s="103"/>
      <c r="H67" s="103"/>
      <c r="I67" s="103"/>
      <c r="J67" s="103"/>
      <c r="K67" s="103"/>
      <c r="L67" s="103"/>
      <c r="M67" s="103"/>
      <c r="N67" s="103"/>
      <c r="O67" s="103"/>
      <c r="P67" s="103"/>
      <c r="Q67" s="103"/>
      <c r="R67" s="103"/>
      <c r="S67" s="103"/>
      <c r="T67" s="103"/>
      <c r="U67" s="103"/>
      <c r="V67" s="103"/>
      <c r="W67" s="103"/>
      <c r="X67" s="96"/>
      <c r="Y67" s="96"/>
      <c r="Z67" s="96"/>
      <c r="AA67" s="96"/>
      <c r="AB67" s="96"/>
      <c r="AC67" s="96"/>
      <c r="AD67" s="96"/>
      <c r="AE67" s="96"/>
      <c r="AF67" s="96"/>
      <c r="AG67" s="96"/>
      <c r="AH67" s="96"/>
      <c r="AI67" s="96"/>
      <c r="AJ67" s="96"/>
      <c r="AK67" s="97" t="e">
        <f>ROUND(X67/X72,5)</f>
        <v>#DIV/0!</v>
      </c>
      <c r="AL67" s="97"/>
      <c r="AM67" s="79" t="e">
        <f>IF(Y57&lt;=25%,0,IF(B57&lt;=B59,IF(B61&lt;10%*B55,(-(Y57-25%)*(B57-B55)),IF(B61&lt;10%*B57,B61-B57*10%,0)),IF(B61&lt;10%*B55,(-B61/B55*(B59-B55)),IF(B61&lt;10%*B59,B61-B59*10%,0))))</f>
        <v>#DIV/0!</v>
      </c>
      <c r="AN67" s="27" t="e">
        <f>IF(Y57&lt;=25%,0,IF(B57&lt;=B59,IF(B61&lt;10%*B55,(-(Y57-25%)*(B57-B55)),IF(B61&lt;10%*B57,(-(Y57-25%)*(B59-B57)),0)),IF(B61&lt;10%*B55,(-B61/B55*(B59-B55)),IF(B61&lt;10%*B59,B61-B59*10%,0))))</f>
        <v>#DIV/0!</v>
      </c>
    </row>
    <row r="68" spans="1:43" ht="14.5" x14ac:dyDescent="0.35">
      <c r="A68" s="95"/>
      <c r="B68" s="100" t="s">
        <v>686</v>
      </c>
      <c r="C68" s="95"/>
      <c r="D68" s="95"/>
      <c r="E68" s="95"/>
      <c r="F68" s="95"/>
      <c r="G68" s="95"/>
      <c r="H68" s="95"/>
      <c r="I68" s="95"/>
      <c r="J68" s="95"/>
      <c r="K68" s="95"/>
      <c r="L68" s="95"/>
      <c r="M68" s="95"/>
      <c r="N68" s="95"/>
      <c r="O68" s="95"/>
      <c r="P68" s="95"/>
      <c r="Q68" s="95"/>
      <c r="R68" s="95"/>
      <c r="S68" s="95"/>
      <c r="T68" s="95"/>
      <c r="U68" s="95"/>
      <c r="V68" s="95"/>
      <c r="W68" s="95"/>
      <c r="X68" s="101">
        <f>Y55</f>
        <v>0</v>
      </c>
      <c r="Y68" s="101"/>
      <c r="Z68" s="101"/>
      <c r="AA68" s="101"/>
      <c r="AB68" s="101"/>
      <c r="AC68" s="101"/>
      <c r="AD68" s="101"/>
      <c r="AE68" s="101"/>
      <c r="AF68" s="101"/>
      <c r="AG68" s="101"/>
      <c r="AH68" s="101"/>
      <c r="AI68" s="101"/>
      <c r="AJ68" s="101"/>
      <c r="AK68" s="99" t="e">
        <f>ROUND((X68+X69)/X72,5)</f>
        <v>#DIV/0!</v>
      </c>
      <c r="AL68" s="99"/>
      <c r="AM68" s="74">
        <f>IF(B61&lt;=10%*B55,0,IF(B57&lt;=B59,IF(B61&lt;=10%*B57,B61-10%*B55,B57*10%-B55*10%),IF(B61&lt;10%*B57,B61-10%*B55,B59*10%-B55*10%)))</f>
        <v>0</v>
      </c>
      <c r="AQ68" s="28"/>
    </row>
    <row r="69" spans="1:43" ht="14.5" x14ac:dyDescent="0.35">
      <c r="A69" s="95"/>
      <c r="B69" s="100" t="s">
        <v>687</v>
      </c>
      <c r="C69" s="95"/>
      <c r="D69" s="95"/>
      <c r="E69" s="95"/>
      <c r="F69" s="95"/>
      <c r="G69" s="95"/>
      <c r="H69" s="95"/>
      <c r="I69" s="95"/>
      <c r="J69" s="95"/>
      <c r="K69" s="95"/>
      <c r="L69" s="95"/>
      <c r="M69" s="95"/>
      <c r="N69" s="95"/>
      <c r="O69" s="95"/>
      <c r="P69" s="95"/>
      <c r="Q69" s="95"/>
      <c r="R69" s="95"/>
      <c r="S69" s="95"/>
      <c r="T69" s="95"/>
      <c r="U69" s="95"/>
      <c r="V69" s="95"/>
      <c r="W69" s="95"/>
      <c r="X69" s="101" t="e">
        <f>IF(B57&lt;=B59,ROUNDDOWN((B57-B55)*Y57+IF(B61=0,0,AM67),2),ROUNDDOWN((B59-B55)*Y57+IF(B61=0,0,AM67),2))</f>
        <v>#DIV/0!</v>
      </c>
      <c r="Y69" s="101"/>
      <c r="Z69" s="101"/>
      <c r="AA69" s="101"/>
      <c r="AB69" s="101"/>
      <c r="AC69" s="101"/>
      <c r="AD69" s="101"/>
      <c r="AE69" s="101"/>
      <c r="AF69" s="101"/>
      <c r="AG69" s="101"/>
      <c r="AH69" s="101"/>
      <c r="AI69" s="101"/>
      <c r="AJ69" s="101"/>
      <c r="AK69" s="99"/>
      <c r="AL69" s="99"/>
      <c r="AM69" s="74" t="e">
        <f>IF(Y55/B55&lt;=25%,IF(B57&lt;=B59,IF(B61&lt;=10%*B57,B61,B57*10%),IF(B61&lt;10%*B57,B61,B59*10%)),IF(B61&lt;=10%*B55,0,IF(B57&lt;=B59,IF(B61&lt;=10%*B57,B61-10%*B55,B57*10%-B55*10%),IF(B61&lt;10%*B57,B61-10%*B55,B59*10%-B55*10%))))</f>
        <v>#DIV/0!</v>
      </c>
      <c r="AQ69" s="28"/>
    </row>
    <row r="70" spans="1:43" ht="23.5" customHeight="1" x14ac:dyDescent="0.35">
      <c r="A70" s="95"/>
      <c r="B70" s="102" t="s">
        <v>681</v>
      </c>
      <c r="C70" s="103"/>
      <c r="D70" s="103"/>
      <c r="E70" s="103"/>
      <c r="F70" s="103"/>
      <c r="G70" s="103"/>
      <c r="H70" s="103"/>
      <c r="I70" s="103"/>
      <c r="J70" s="103"/>
      <c r="K70" s="103"/>
      <c r="L70" s="103"/>
      <c r="M70" s="103"/>
      <c r="N70" s="103"/>
      <c r="O70" s="103"/>
      <c r="P70" s="103"/>
      <c r="Q70" s="103"/>
      <c r="R70" s="103"/>
      <c r="S70" s="103"/>
      <c r="T70" s="103"/>
      <c r="U70" s="103"/>
      <c r="V70" s="103"/>
      <c r="W70" s="103"/>
      <c r="X70" s="96"/>
      <c r="Y70" s="96"/>
      <c r="Z70" s="96"/>
      <c r="AA70" s="96"/>
      <c r="AB70" s="96"/>
      <c r="AC70" s="96"/>
      <c r="AD70" s="96"/>
      <c r="AE70" s="96"/>
      <c r="AF70" s="96"/>
      <c r="AG70" s="96"/>
      <c r="AH70" s="96"/>
      <c r="AI70" s="96"/>
      <c r="AJ70" s="96"/>
      <c r="AK70" s="97" t="e">
        <f>ROUND(X70/X72,5)</f>
        <v>#DIV/0!</v>
      </c>
      <c r="AL70" s="97"/>
      <c r="AM70" s="75"/>
      <c r="AN70" s="76"/>
      <c r="AO70" s="78"/>
      <c r="AP70" s="77"/>
      <c r="AQ70" s="28"/>
    </row>
    <row r="71" spans="1:43" ht="14.5" x14ac:dyDescent="0.35">
      <c r="A71" s="95"/>
      <c r="B71" s="95" t="s">
        <v>119</v>
      </c>
      <c r="C71" s="95"/>
      <c r="D71" s="95"/>
      <c r="E71" s="95"/>
      <c r="F71" s="95"/>
      <c r="G71" s="95"/>
      <c r="H71" s="95"/>
      <c r="I71" s="95"/>
      <c r="J71" s="95"/>
      <c r="K71" s="95"/>
      <c r="L71" s="95"/>
      <c r="M71" s="95"/>
      <c r="N71" s="95"/>
      <c r="O71" s="95"/>
      <c r="P71" s="95"/>
      <c r="Q71" s="95"/>
      <c r="R71" s="95"/>
      <c r="S71" s="95"/>
      <c r="T71" s="95"/>
      <c r="U71" s="95"/>
      <c r="V71" s="95"/>
      <c r="W71" s="95"/>
      <c r="X71" s="96"/>
      <c r="Y71" s="96"/>
      <c r="Z71" s="96"/>
      <c r="AA71" s="96"/>
      <c r="AB71" s="96"/>
      <c r="AC71" s="96"/>
      <c r="AD71" s="96"/>
      <c r="AE71" s="96"/>
      <c r="AF71" s="96"/>
      <c r="AG71" s="96"/>
      <c r="AH71" s="96"/>
      <c r="AI71" s="96"/>
      <c r="AJ71" s="96"/>
      <c r="AK71" s="97" t="e">
        <f>ROUND(X71/X72,5)</f>
        <v>#DIV/0!</v>
      </c>
      <c r="AL71" s="97"/>
      <c r="AM71" s="73"/>
      <c r="AO71" s="76"/>
      <c r="AP71" s="77"/>
      <c r="AQ71" s="28"/>
    </row>
    <row r="72" spans="1:43" ht="14.5" x14ac:dyDescent="0.35">
      <c r="A72" s="95"/>
      <c r="B72" s="95" t="s">
        <v>115</v>
      </c>
      <c r="C72" s="95"/>
      <c r="D72" s="95"/>
      <c r="E72" s="95"/>
      <c r="F72" s="95"/>
      <c r="G72" s="95"/>
      <c r="H72" s="95"/>
      <c r="I72" s="95"/>
      <c r="J72" s="95"/>
      <c r="K72" s="95"/>
      <c r="L72" s="95"/>
      <c r="M72" s="95"/>
      <c r="N72" s="95"/>
      <c r="O72" s="95"/>
      <c r="P72" s="95"/>
      <c r="Q72" s="95"/>
      <c r="R72" s="95"/>
      <c r="S72" s="95"/>
      <c r="T72" s="95"/>
      <c r="U72" s="95"/>
      <c r="V72" s="95"/>
      <c r="W72" s="95"/>
      <c r="X72" s="98" t="e">
        <f>SUM(X66+X67+X68+X69+X70+X71)</f>
        <v>#DIV/0!</v>
      </c>
      <c r="Y72" s="98"/>
      <c r="Z72" s="98"/>
      <c r="AA72" s="98"/>
      <c r="AB72" s="98"/>
      <c r="AC72" s="98"/>
      <c r="AD72" s="98"/>
      <c r="AE72" s="98"/>
      <c r="AF72" s="98"/>
      <c r="AG72" s="98"/>
      <c r="AH72" s="98"/>
      <c r="AI72" s="98"/>
      <c r="AJ72" s="98"/>
      <c r="AK72" s="97" t="e">
        <f>SUM(AK66+AK67+AK68+AK70+AK71)</f>
        <v>#DIV/0!</v>
      </c>
      <c r="AL72" s="97"/>
      <c r="AM72" s="37" t="s">
        <v>690</v>
      </c>
      <c r="AQ72" s="28"/>
    </row>
    <row r="73" spans="1:43" ht="25.5" customHeight="1" x14ac:dyDescent="0.3">
      <c r="A73" s="90" t="s">
        <v>707</v>
      </c>
      <c r="B73" s="90"/>
      <c r="C73" s="90"/>
      <c r="D73" s="90"/>
      <c r="E73" s="90"/>
      <c r="F73" s="90"/>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Q73" s="27"/>
    </row>
    <row r="74" spans="1:43" ht="77.5" customHeight="1" x14ac:dyDescent="0.3">
      <c r="A74" s="90" t="s">
        <v>715</v>
      </c>
      <c r="B74" s="90"/>
      <c r="C74" s="90"/>
      <c r="D74" s="90"/>
      <c r="E74" s="90"/>
      <c r="F74" s="90"/>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row>
    <row r="75" spans="1:43" ht="18" customHeight="1" x14ac:dyDescent="0.3">
      <c r="A75" s="90" t="s">
        <v>708</v>
      </c>
      <c r="B75" s="90"/>
      <c r="C75" s="90"/>
      <c r="D75" s="90"/>
      <c r="E75" s="90"/>
      <c r="F75" s="90"/>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c r="AL75" s="90"/>
    </row>
    <row r="76" spans="1:43" ht="74.5" customHeight="1" x14ac:dyDescent="0.3">
      <c r="A76" s="90" t="s">
        <v>716</v>
      </c>
      <c r="B76" s="90"/>
      <c r="C76" s="90"/>
      <c r="D76" s="90"/>
      <c r="E76" s="90"/>
      <c r="F76" s="90"/>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90"/>
    </row>
    <row r="77" spans="1:43" ht="34.5" customHeight="1" x14ac:dyDescent="0.3">
      <c r="A77" s="91" t="str">
        <f>IF(B18="Gmina","1)  w przypadku gminy - wójta (burmistrza, prezydenta miasta)",IF(B18="Powiat","3)  w przypadku powiatu - starostę)",IF(B18="Związek międzygminny","2)  w przypadku związku międzygminnego - zarząd związku",IF(OR(B18="Organizacja pozarządowa",B18="Podmiot, o którym mowa w art. 3 ust. 3 ustawy z dnia 24 kwietnia 2003 r. o działalności pożytku publicznego i o wolontariacie"),"4)  w przypadku organizacji pozarządowej lub podmiotów, o których mowa w art. 3 ust. 3 ustawy o działalności pożytku publicznego i o wolontariacie - osobę lub osoby uprawnione do składania oświadczeń woli w imieniu  organizacji",IF(B18="Jednoosobowa spółka gminna","4)  w przypadku jednoosobowej spółki gminnej - osobę lub osoby uprawnione do składania oświadczeń woli w imieniu spółki",IF(B18="Uczelnia publiczna","5) w przypadku uczelni – rektora",IF(B18="","")))))))</f>
        <v/>
      </c>
      <c r="B77" s="91"/>
      <c r="C77" s="91"/>
      <c r="D77" s="91"/>
      <c r="E77" s="91"/>
      <c r="F77" s="91"/>
      <c r="G77" s="91"/>
      <c r="H77" s="91"/>
      <c r="I77" s="91"/>
      <c r="J77" s="91"/>
      <c r="K77" s="91"/>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61">
        <f>IF(OR(B18="Organizacja pozarządowa",B18="Podmioty, o których mowa w art. 3 ust. 3 ustawy z dnia 24 kwietnia 2003 r. o działalności pożytku publicznego i o wolontariacie",B18="Jednoosobowa spółka gminna"),"Należy dołączyć aktualny dokument potwierdzający uprawnienia",0)</f>
        <v>0</v>
      </c>
    </row>
    <row r="78" spans="1:43" ht="45" customHeight="1" x14ac:dyDescent="0.35">
      <c r="A78" s="92" t="s">
        <v>698</v>
      </c>
      <c r="B78" s="93"/>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93"/>
      <c r="AH78" s="93"/>
      <c r="AI78" s="93"/>
      <c r="AJ78" s="93"/>
      <c r="AK78" s="93"/>
      <c r="AL78" s="94"/>
      <c r="AM78" s="49"/>
      <c r="AN78" s="50"/>
    </row>
    <row r="79" spans="1:43" x14ac:dyDescent="0.3">
      <c r="A79" s="153" t="s">
        <v>696</v>
      </c>
      <c r="B79" s="153"/>
      <c r="C79" s="153"/>
      <c r="D79" s="153"/>
      <c r="E79" s="153"/>
      <c r="F79" s="153"/>
      <c r="G79" s="153"/>
      <c r="H79" s="153"/>
      <c r="I79" s="153"/>
      <c r="J79" s="153"/>
      <c r="K79" s="153"/>
      <c r="L79" s="153"/>
      <c r="M79" s="153"/>
      <c r="N79" s="153"/>
      <c r="O79" s="153"/>
      <c r="P79" s="153"/>
      <c r="Q79" s="153"/>
      <c r="R79" s="153"/>
      <c r="S79" s="153"/>
      <c r="T79" s="153"/>
      <c r="U79" s="153"/>
      <c r="V79" s="153"/>
      <c r="W79" s="153"/>
      <c r="X79" s="153"/>
      <c r="Y79" s="153"/>
      <c r="Z79" s="153"/>
      <c r="AA79" s="153"/>
      <c r="AB79" s="153"/>
      <c r="AC79" s="153"/>
      <c r="AD79" s="153"/>
      <c r="AE79" s="153"/>
      <c r="AF79" s="153"/>
      <c r="AG79" s="153"/>
      <c r="AH79" s="153"/>
      <c r="AI79" s="153"/>
      <c r="AJ79" s="153"/>
      <c r="AK79" s="153"/>
      <c r="AL79" s="153"/>
    </row>
    <row r="80" spans="1:43" x14ac:dyDescent="0.3">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154"/>
      <c r="AB80" s="154"/>
      <c r="AC80" s="154"/>
      <c r="AD80" s="154"/>
      <c r="AE80" s="154"/>
      <c r="AF80" s="154"/>
      <c r="AG80" s="154"/>
      <c r="AH80" s="154"/>
      <c r="AI80" s="154"/>
      <c r="AJ80" s="154"/>
      <c r="AK80" s="154"/>
      <c r="AL80" s="154"/>
    </row>
    <row r="81" spans="1:54" x14ac:dyDescent="0.3">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154"/>
      <c r="AB81" s="154"/>
      <c r="AC81" s="154"/>
      <c r="AD81" s="154"/>
      <c r="AE81" s="154"/>
      <c r="AF81" s="154"/>
      <c r="AG81" s="154"/>
      <c r="AH81" s="154"/>
      <c r="AI81" s="154"/>
      <c r="AJ81" s="154"/>
      <c r="AK81" s="154"/>
      <c r="AL81" s="154"/>
    </row>
    <row r="82" spans="1:54" x14ac:dyDescent="0.3">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c r="AB82" s="154"/>
      <c r="AC82" s="154"/>
      <c r="AD82" s="154"/>
      <c r="AE82" s="154"/>
      <c r="AF82" s="154"/>
      <c r="AG82" s="154"/>
      <c r="AH82" s="154"/>
      <c r="AI82" s="154"/>
      <c r="AJ82" s="154"/>
      <c r="AK82" s="154"/>
      <c r="AL82" s="154"/>
    </row>
    <row r="83" spans="1:54" ht="153" customHeight="1" x14ac:dyDescent="0.35">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154"/>
      <c r="AB83" s="154"/>
      <c r="AC83" s="154"/>
      <c r="AD83" s="154"/>
      <c r="AE83" s="154"/>
      <c r="AF83" s="154"/>
      <c r="AG83" s="154"/>
      <c r="AH83" s="154"/>
      <c r="AI83" s="154"/>
      <c r="AJ83" s="154"/>
      <c r="AK83" s="154"/>
      <c r="AL83" s="154"/>
      <c r="AM83" s="54"/>
      <c r="AN83" s="54"/>
      <c r="AO83" s="54"/>
      <c r="AP83" s="54"/>
      <c r="AQ83" s="54"/>
      <c r="AR83" s="54"/>
      <c r="AS83" s="54"/>
      <c r="AT83" s="54"/>
      <c r="AU83" s="54"/>
      <c r="AV83" s="54"/>
      <c r="AW83" s="54"/>
      <c r="AX83" s="54"/>
      <c r="AY83" s="54"/>
      <c r="AZ83" s="54"/>
      <c r="BA83" s="54"/>
      <c r="BB83" s="54"/>
    </row>
    <row r="84" spans="1:54" x14ac:dyDescent="0.3">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c r="BA84" s="55"/>
      <c r="BB84" s="55"/>
    </row>
  </sheetData>
  <sheetProtection algorithmName="SHA-512" hashValue="n5solTiIBULoxhfZ+1jhcziMYZHP6Ezed0KNXiD8zEhV7Cfu6yvEJeIHR108jvIjHROZALYAQDeRpzj2OzxaZA==" saltValue="uKs/2lOPRmM8vVGXHyKzag==" spinCount="100000" sheet="1" formatCells="0" formatRows="0"/>
  <mergeCells count="122">
    <mergeCell ref="A79:AL83"/>
    <mergeCell ref="AM6:AR6"/>
    <mergeCell ref="A12:AL12"/>
    <mergeCell ref="A13:AL13"/>
    <mergeCell ref="A14:AL14"/>
    <mergeCell ref="A16:AK16"/>
    <mergeCell ref="A17:A18"/>
    <mergeCell ref="B17:AL17"/>
    <mergeCell ref="B18:AL18"/>
    <mergeCell ref="A21:A24"/>
    <mergeCell ref="B21:AL21"/>
    <mergeCell ref="A25:A28"/>
    <mergeCell ref="B25:V25"/>
    <mergeCell ref="W25:AL25"/>
    <mergeCell ref="B26:V26"/>
    <mergeCell ref="W26:AL26"/>
    <mergeCell ref="B27:AL27"/>
    <mergeCell ref="B28:AL28"/>
    <mergeCell ref="B22:X22"/>
    <mergeCell ref="Y22:AL22"/>
    <mergeCell ref="A76:AL76"/>
    <mergeCell ref="A5:F5"/>
    <mergeCell ref="H5:L5"/>
    <mergeCell ref="N5:S5"/>
    <mergeCell ref="U5:Z5"/>
    <mergeCell ref="A6:F6"/>
    <mergeCell ref="H6:L6"/>
    <mergeCell ref="N6:S7"/>
    <mergeCell ref="U6:Z6"/>
    <mergeCell ref="A19:A20"/>
    <mergeCell ref="B19:AL19"/>
    <mergeCell ref="B20:AL20"/>
    <mergeCell ref="A9:F9"/>
    <mergeCell ref="G9:L9"/>
    <mergeCell ref="N9:P9"/>
    <mergeCell ref="Q9:AA9"/>
    <mergeCell ref="AB9:AE9"/>
    <mergeCell ref="A10:P10"/>
    <mergeCell ref="Q10:AL10"/>
    <mergeCell ref="A11:AL11"/>
    <mergeCell ref="A29:A37"/>
    <mergeCell ref="B29:AL29"/>
    <mergeCell ref="B30:AL30"/>
    <mergeCell ref="B31:AL31"/>
    <mergeCell ref="B32:AL32"/>
    <mergeCell ref="B33:AL33"/>
    <mergeCell ref="B34:AL34"/>
    <mergeCell ref="B35:AL35"/>
    <mergeCell ref="B36:AL36"/>
    <mergeCell ref="B37:AL37"/>
    <mergeCell ref="W44:AL44"/>
    <mergeCell ref="B45:V45"/>
    <mergeCell ref="W45:AL45"/>
    <mergeCell ref="B46:AL46"/>
    <mergeCell ref="B47:AL47"/>
    <mergeCell ref="A48:A49"/>
    <mergeCell ref="B48:AL48"/>
    <mergeCell ref="A38:A47"/>
    <mergeCell ref="B38:AL38"/>
    <mergeCell ref="B39:AL39"/>
    <mergeCell ref="B40:AL40"/>
    <mergeCell ref="B41:AL41"/>
    <mergeCell ref="B44:V44"/>
    <mergeCell ref="B49:S49"/>
    <mergeCell ref="T49:AL49"/>
    <mergeCell ref="B54:X54"/>
    <mergeCell ref="Y54:AL54"/>
    <mergeCell ref="B55:X55"/>
    <mergeCell ref="Y55:AL55"/>
    <mergeCell ref="B56:X56"/>
    <mergeCell ref="Y56:AL56"/>
    <mergeCell ref="B50:AL50"/>
    <mergeCell ref="B51:AL51"/>
    <mergeCell ref="B52:X52"/>
    <mergeCell ref="Y52:AL52"/>
    <mergeCell ref="B53:X53"/>
    <mergeCell ref="Y53:AL53"/>
    <mergeCell ref="B61:X61"/>
    <mergeCell ref="Y61:AL61"/>
    <mergeCell ref="B62:AL62"/>
    <mergeCell ref="A63:A64"/>
    <mergeCell ref="B63:AL63"/>
    <mergeCell ref="B64:AL64"/>
    <mergeCell ref="B57:X57"/>
    <mergeCell ref="Y57:AL57"/>
    <mergeCell ref="B58:AL58"/>
    <mergeCell ref="B59:AL59"/>
    <mergeCell ref="B60:X60"/>
    <mergeCell ref="Y60:AL60"/>
    <mergeCell ref="B65:AL65"/>
    <mergeCell ref="B66:W66"/>
    <mergeCell ref="X66:AJ66"/>
    <mergeCell ref="AK66:AL66"/>
    <mergeCell ref="B67:W67"/>
    <mergeCell ref="X67:AJ67"/>
    <mergeCell ref="AK67:AL67"/>
    <mergeCell ref="B68:W68"/>
    <mergeCell ref="X68:AJ68"/>
    <mergeCell ref="B23:AL23"/>
    <mergeCell ref="B24:AL24"/>
    <mergeCell ref="B43:AB43"/>
    <mergeCell ref="B42:AB42"/>
    <mergeCell ref="AC42:AL42"/>
    <mergeCell ref="AC43:AL43"/>
    <mergeCell ref="A74:AL74"/>
    <mergeCell ref="A77:AL77"/>
    <mergeCell ref="A78:AL78"/>
    <mergeCell ref="B71:W71"/>
    <mergeCell ref="X71:AJ71"/>
    <mergeCell ref="AK71:AL71"/>
    <mergeCell ref="B72:W72"/>
    <mergeCell ref="X72:AJ72"/>
    <mergeCell ref="AK72:AL72"/>
    <mergeCell ref="A73:AL73"/>
    <mergeCell ref="A75:AL75"/>
    <mergeCell ref="AK68:AL69"/>
    <mergeCell ref="B69:W69"/>
    <mergeCell ref="X69:AJ69"/>
    <mergeCell ref="B70:W70"/>
    <mergeCell ref="X70:AJ70"/>
    <mergeCell ref="AK70:AL70"/>
    <mergeCell ref="A65:A72"/>
  </mergeCells>
  <conditionalFormatting sqref="A5 H5 B18:AL18 B20 B26 W26 B28">
    <cfRule type="expression" dxfId="41" priority="43">
      <formula>IF(A5="",1,0)</formula>
    </cfRule>
  </conditionalFormatting>
  <conditionalFormatting sqref="A73">
    <cfRule type="expression" dxfId="40" priority="4">
      <formula>IF(A73="",1,0)</formula>
    </cfRule>
  </conditionalFormatting>
  <conditionalFormatting sqref="A77:A78">
    <cfRule type="expression" dxfId="39" priority="36">
      <formula>IF(A77="",1,0)</formula>
    </cfRule>
  </conditionalFormatting>
  <conditionalFormatting sqref="B22">
    <cfRule type="expression" dxfId="38" priority="12">
      <formula>IF(B22="",1,0)</formula>
    </cfRule>
  </conditionalFormatting>
  <conditionalFormatting sqref="B24">
    <cfRule type="expression" dxfId="37" priority="3">
      <formula>IF(B24="",1,0)</formula>
    </cfRule>
  </conditionalFormatting>
  <conditionalFormatting sqref="B31">
    <cfRule type="expression" dxfId="36" priority="42">
      <formula>IF(B31="",1,0)</formula>
    </cfRule>
  </conditionalFormatting>
  <conditionalFormatting sqref="B33">
    <cfRule type="expression" dxfId="35" priority="40">
      <formula>IF(B33="",1,0)</formula>
    </cfRule>
  </conditionalFormatting>
  <conditionalFormatting sqref="B35">
    <cfRule type="expression" dxfId="34" priority="41">
      <formula>IF(B35="",1,0)</formula>
    </cfRule>
  </conditionalFormatting>
  <conditionalFormatting sqref="B37">
    <cfRule type="expression" dxfId="33" priority="39">
      <formula>IF(B37="",1,0)</formula>
    </cfRule>
  </conditionalFormatting>
  <conditionalFormatting sqref="B40 B45 W45 B47">
    <cfRule type="expression" dxfId="32" priority="32">
      <formula>IF(B40="",1,0)</formula>
    </cfRule>
  </conditionalFormatting>
  <conditionalFormatting sqref="B43">
    <cfRule type="expression" dxfId="31" priority="31">
      <formula>IF(B43="",1,0)</formula>
    </cfRule>
  </conditionalFormatting>
  <conditionalFormatting sqref="B49">
    <cfRule type="expression" dxfId="30" priority="5">
      <formula>IF(B49="",1,0)</formula>
    </cfRule>
  </conditionalFormatting>
  <conditionalFormatting sqref="B53">
    <cfRule type="expression" dxfId="29" priority="29">
      <formula>IF(B53="",1,0)</formula>
    </cfRule>
  </conditionalFormatting>
  <conditionalFormatting sqref="B55">
    <cfRule type="expression" dxfId="28" priority="20">
      <formula>IF(B55="",1,0)</formula>
    </cfRule>
  </conditionalFormatting>
  <conditionalFormatting sqref="B57">
    <cfRule type="expression" dxfId="27" priority="25">
      <formula>IF(B57="",1,0)</formula>
    </cfRule>
  </conditionalFormatting>
  <conditionalFormatting sqref="B59:B61">
    <cfRule type="expression" dxfId="26" priority="16">
      <formula>IF(B59="",1,0)</formula>
    </cfRule>
  </conditionalFormatting>
  <conditionalFormatting sqref="N9">
    <cfRule type="expression" dxfId="25" priority="8">
      <formula>IF(N9="",1,0)</formula>
    </cfRule>
  </conditionalFormatting>
  <conditionalFormatting sqref="Q10:AL10">
    <cfRule type="expression" dxfId="24" priority="6">
      <formula>IF(Q10="",1,0)</formula>
    </cfRule>
  </conditionalFormatting>
  <conditionalFormatting sqref="X66:X67 X70:X72">
    <cfRule type="expression" dxfId="23" priority="44">
      <formula>IF($X$72&lt;&gt;$B$59,1,0)</formula>
    </cfRule>
  </conditionalFormatting>
  <conditionalFormatting sqref="X66:X67">
    <cfRule type="expression" dxfId="22" priority="27">
      <formula>IF(X66="",1,0)</formula>
    </cfRule>
  </conditionalFormatting>
  <conditionalFormatting sqref="X69:X71">
    <cfRule type="expression" dxfId="21" priority="24">
      <formula>IF(X69="",1,0)</formula>
    </cfRule>
  </conditionalFormatting>
  <conditionalFormatting sqref="Y22">
    <cfRule type="expression" dxfId="20" priority="11">
      <formula>IF(Y22="",1,0)</formula>
    </cfRule>
  </conditionalFormatting>
  <conditionalFormatting sqref="Y53">
    <cfRule type="expression" dxfId="19" priority="28">
      <formula>IF(Y53="",1,0)</formula>
    </cfRule>
  </conditionalFormatting>
  <conditionalFormatting sqref="Y55">
    <cfRule type="expression" dxfId="18" priority="19">
      <formula>IF(Y55="",1,0)</formula>
    </cfRule>
  </conditionalFormatting>
  <conditionalFormatting sqref="Y57">
    <cfRule type="expression" dxfId="17" priority="23">
      <formula>IF(Y57="",1,0)</formula>
    </cfRule>
  </conditionalFormatting>
  <conditionalFormatting sqref="Y61">
    <cfRule type="expression" dxfId="16" priority="21">
      <formula>IF(Y61="",1,0)</formula>
    </cfRule>
  </conditionalFormatting>
  <conditionalFormatting sqref="Y55:AL55">
    <cfRule type="expression" dxfId="15" priority="15">
      <formula>IF($Y$57&lt;25%,($B$61=$Y$55-25%*$B$55),0)</formula>
    </cfRule>
  </conditionalFormatting>
  <conditionalFormatting sqref="AB9">
    <cfRule type="expression" dxfId="14" priority="7">
      <formula>IF(AB9="",1,0)</formula>
    </cfRule>
  </conditionalFormatting>
  <conditionalFormatting sqref="AC43">
    <cfRule type="expression" dxfId="13" priority="2">
      <formula>IF(AC43="",1,0)</formula>
    </cfRule>
  </conditionalFormatting>
  <conditionalFormatting sqref="A76">
    <cfRule type="expression" dxfId="0" priority="1">
      <formula>IF(A76="",1,0)</formula>
    </cfRule>
  </conditionalFormatting>
  <dataValidations count="16">
    <dataValidation errorStyle="information" allowBlank="1" showInputMessage="1" showErrorMessage="1" promptTitle="Wybierz" prompt="właściwe" sqref="A77:AL77" xr:uid="{00000000-0002-0000-0000-000000000000}"/>
    <dataValidation allowBlank="1" showInputMessage="1" showErrorMessage="1" promptTitle="Wprowadź" prompt="adres beneficjenta" sqref="B43 B22:X22" xr:uid="{00000000-0002-0000-0000-000001000000}"/>
    <dataValidation allowBlank="1" showInputMessage="1" showErrorMessage="1" promptTitle="Wprowadź" prompt="dane" sqref="B31:AL31 B33:AL33" xr:uid="{00000000-0002-0000-0000-000002000000}"/>
    <dataValidation type="textLength" operator="equal" allowBlank="1" showInputMessage="1" showErrorMessage="1" errorTitle="REGON" error="REGON to ciąg dziewięciu cyfr np. 571961124" promptTitle="Wprowadź" prompt="nr REGON" sqref="W26:AL26 W45:AL45" xr:uid="{00000000-0002-0000-0000-000003000000}">
      <formula1>9</formula1>
    </dataValidation>
    <dataValidation type="date" operator="greaterThanOrEqual" allowBlank="1" showInputMessage="1" showErrorMessage="1" sqref="N5:S5" xr:uid="{00000000-0002-0000-0000-000004000000}">
      <formula1>TODAY()</formula1>
    </dataValidation>
    <dataValidation type="textLength" operator="equal" allowBlank="1" showInputMessage="1" showErrorMessage="1" errorTitle="NIP" error="NIP to ciąg dziesięciu cyfr np. 5719611245" promptTitle="Wprowadź" prompt="NIP" sqref="B26:V26 B45:V45" xr:uid="{00000000-0002-0000-0000-000005000000}">
      <formula1>10</formula1>
    </dataValidation>
    <dataValidation type="decimal" allowBlank="1" showInputMessage="1" showErrorMessage="1" promptTitle="Wprowadź" prompt="kwotę" sqref="X67:AJ67" xr:uid="{00000000-0002-0000-0000-000006000000}">
      <formula1>0</formula1>
      <formula2>10000000000000000</formula2>
    </dataValidation>
    <dataValidation type="decimal" allowBlank="1" showInputMessage="1" showErrorMessage="1" promptTitle="Wprowadź" prompt="kwotę" sqref="X68:AJ70" xr:uid="{00000000-0002-0000-0000-000007000000}">
      <formula1>0</formula1>
      <formula2>100000000000000000</formula2>
    </dataValidation>
    <dataValidation type="decimal" allowBlank="1" showInputMessage="1" showErrorMessage="1" promptTitle="Wprowadź" prompt="kwotę" sqref="X71:AJ71" xr:uid="{00000000-0002-0000-0000-000008000000}">
      <formula1>0</formula1>
      <formula2>10000000000000000000</formula2>
    </dataValidation>
    <dataValidation type="textLength" operator="greaterThan" allowBlank="1" showInputMessage="1" showErrorMessage="1" promptTitle="Wprowadź" prompt="nazwę beneficjenta" sqref="B20:AL20 B40:AL40" xr:uid="{00000000-0002-0000-0000-000009000000}">
      <formula1>3</formula1>
    </dataValidation>
    <dataValidation allowBlank="1" showErrorMessage="1" promptTitle="Wprowadź" prompt="kwotę" sqref="B64" xr:uid="{00000000-0002-0000-0000-00000A000000}"/>
    <dataValidation allowBlank="1" showErrorMessage="1" promptTitle="Wybierz" prompt="właściwe" sqref="A78:AL78" xr:uid="{00000000-0002-0000-0000-00000B000000}"/>
    <dataValidation allowBlank="1" showInputMessage="1" showErrorMessage="1" promptTitle="Wprowadź" prompt="Adres do doręczeń elektronicznych" sqref="B24:AL24" xr:uid="{8AC509EC-BBE5-4A99-BF6C-BE00639ECEA2}"/>
    <dataValidation allowBlank="1" showInputMessage="1" showErrorMessage="1" promptTitle="Wprowadź" prompt="adres ePUAP beneficjenta" sqref="Y22:AL22 B23" xr:uid="{00000000-0002-0000-0000-00000D000000}"/>
    <dataValidation allowBlank="1" showErrorMessage="1" promptTitle="Wprowadź" prompt="nr księgi wieczystej - nr działki ewidencyjnej" sqref="A73 A76" xr:uid="{0521CE8D-7365-4265-9313-10B92C2CC1D2}"/>
    <dataValidation allowBlank="1" showInputMessage="1" showErrorMessage="1" promptTitle="Wprowadź" prompt="adres inwestora do doręczeń elektronicznych" sqref="AC43:AL43" xr:uid="{0F072A04-54C9-4294-ADE6-03B091E42957}"/>
  </dataValidations>
  <pageMargins left="0.70866141732283472" right="0.70866141732283472" top="0.74803149606299213" bottom="0.74803149606299213" header="0.31496062992125984" footer="0.31496062992125984"/>
  <pageSetup paperSize="9" orientation="portrait" r:id="rId1"/>
  <headerFooter>
    <oddFooter>Strona &amp;P z &amp;N</oddFooter>
  </headerFooter>
  <drawing r:id="rId2"/>
  <extLst>
    <ext xmlns:x14="http://schemas.microsoft.com/office/spreadsheetml/2009/9/main" uri="{CCE6A557-97BC-4b89-ADB6-D9C93CAAB3DF}">
      <x14:dataValidations xmlns:xm="http://schemas.microsoft.com/office/excel/2006/main" count="5">
        <x14:dataValidation type="list" errorStyle="information" allowBlank="1" showInputMessage="1" showErrorMessage="1" xr:uid="{00000000-0002-0000-0000-00000E000000}">
          <x14:formula1>
            <xm:f>Słowniki!$F$19</xm:f>
          </x14:formula1>
          <xm:sqref>B28:AL28</xm:sqref>
        </x14:dataValidation>
        <x14:dataValidation type="list" allowBlank="1" showInputMessage="1" showErrorMessage="1" promptTitle="Wybierz" prompt="beneficjenta" xr:uid="{00000000-0002-0000-0000-00000F000000}">
          <x14:formula1>
            <xm:f>Słowniki!$A$2:$A$8</xm:f>
          </x14:formula1>
          <xm:sqref>B18:AL18</xm:sqref>
        </x14:dataValidation>
        <x14:dataValidation type="list" allowBlank="1" showInputMessage="1" promptTitle="Wprowadź" prompt="dane lub wybierz nie dotyczy" xr:uid="{00000000-0002-0000-0000-000012000000}">
          <x14:formula1>
            <xm:f>Słowniki!$F$26</xm:f>
          </x14:formula1>
          <xm:sqref>B35:AL35 B37:AL37</xm:sqref>
        </x14:dataValidation>
        <x14:dataValidation type="list" errorStyle="warning" allowBlank="1" showInputMessage="1" showErrorMessage="1" xr:uid="{00000000-0002-0000-0000-000013000000}">
          <x14:formula1>
            <xm:f>Arkusz1!$A$2:$A$7</xm:f>
          </x14:formula1>
          <xm:sqref>Y57:AL57</xm:sqref>
        </x14:dataValidation>
        <x14:dataValidation type="list" allowBlank="1" showInputMessage="1" showErrorMessage="1" promptTitle="Wybierz" prompt="właściwe" xr:uid="{00000000-0002-0000-0000-000014000000}">
          <x14:formula1>
            <xm:f>Słowniki!$C$3:$C$4</xm:f>
          </x14:formula1>
          <xm:sqref>AB9:AE9 N9:P9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workbookViewId="0">
      <selection sqref="A1:A7"/>
    </sheetView>
  </sheetViews>
  <sheetFormatPr defaultRowHeight="14.5" x14ac:dyDescent="0.35"/>
  <sheetData>
    <row r="1" spans="1:1" x14ac:dyDescent="0.35">
      <c r="A1" t="s">
        <v>688</v>
      </c>
    </row>
    <row r="2" spans="1:1" x14ac:dyDescent="0.35">
      <c r="A2" s="45">
        <v>0.25</v>
      </c>
    </row>
    <row r="3" spans="1:1" x14ac:dyDescent="0.35">
      <c r="A3" s="45">
        <v>0.3</v>
      </c>
    </row>
    <row r="4" spans="1:1" x14ac:dyDescent="0.35">
      <c r="A4" s="45">
        <v>0.5</v>
      </c>
    </row>
    <row r="5" spans="1:1" x14ac:dyDescent="0.35">
      <c r="A5" s="45">
        <v>0.55000000000000004</v>
      </c>
    </row>
    <row r="6" spans="1:1" x14ac:dyDescent="0.35">
      <c r="A6" s="45">
        <v>0.8</v>
      </c>
    </row>
    <row r="7" spans="1:1" x14ac:dyDescent="0.35">
      <c r="A7" s="45">
        <v>0.85</v>
      </c>
    </row>
    <row r="8" spans="1:1" x14ac:dyDescent="0.35">
      <c r="A8" s="45"/>
    </row>
    <row r="9" spans="1:1" x14ac:dyDescent="0.35">
      <c r="A9" s="45"/>
    </row>
    <row r="10" spans="1:1" x14ac:dyDescent="0.35">
      <c r="A10" s="45"/>
    </row>
    <row r="11" spans="1:1" x14ac:dyDescent="0.35">
      <c r="A11" s="45"/>
    </row>
    <row r="12" spans="1:1" x14ac:dyDescent="0.35">
      <c r="A12" s="45"/>
    </row>
    <row r="13" spans="1:1" x14ac:dyDescent="0.35">
      <c r="A13" s="4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usz12"/>
  <dimension ref="A1:CT200"/>
  <sheetViews>
    <sheetView topLeftCell="A5" zoomScale="30" zoomScaleNormal="30" workbookViewId="0">
      <selection activeCell="A9" sqref="A9"/>
    </sheetView>
  </sheetViews>
  <sheetFormatPr defaultRowHeight="14.5" x14ac:dyDescent="0.35"/>
  <cols>
    <col min="1" max="1" width="128.453125" bestFit="1" customWidth="1"/>
    <col min="2" max="2" width="65.7265625" customWidth="1"/>
    <col min="3" max="3" width="116.1796875" customWidth="1"/>
    <col min="4" max="4" width="49.81640625" customWidth="1"/>
    <col min="6" max="6" width="94.81640625" customWidth="1"/>
    <col min="7" max="7" width="4.54296875" bestFit="1" customWidth="1"/>
    <col min="8" max="8" width="76.1796875" customWidth="1"/>
    <col min="9" max="9" width="20.7265625" customWidth="1"/>
    <col min="10" max="10" width="72.453125" customWidth="1"/>
    <col min="12" max="12" width="61.81640625" customWidth="1"/>
    <col min="14" max="14" width="57.26953125" customWidth="1"/>
    <col min="16" max="16" width="47.54296875" customWidth="1"/>
    <col min="18" max="18" width="113.54296875" customWidth="1"/>
    <col min="19" max="19" width="13.26953125" bestFit="1" customWidth="1"/>
    <col min="20" max="20" width="92" customWidth="1"/>
    <col min="21" max="21" width="14.7265625" customWidth="1"/>
    <col min="22" max="22" width="16.453125" customWidth="1"/>
    <col min="28" max="28" width="42.26953125" customWidth="1"/>
    <col min="29" max="29" width="46.7265625" customWidth="1"/>
    <col min="30" max="30" width="54.1796875" customWidth="1"/>
    <col min="54" max="54" width="23.1796875" customWidth="1"/>
    <col min="61" max="61" width="60.54296875" bestFit="1" customWidth="1"/>
  </cols>
  <sheetData>
    <row r="1" spans="1:98" ht="154.9" customHeight="1" x14ac:dyDescent="0.35">
      <c r="A1" t="s">
        <v>91</v>
      </c>
      <c r="B1" s="6" t="s">
        <v>101</v>
      </c>
      <c r="C1" s="6" t="s">
        <v>112</v>
      </c>
      <c r="D1" s="1" t="s">
        <v>98</v>
      </c>
      <c r="F1" s="1" t="s">
        <v>118</v>
      </c>
      <c r="H1" t="s">
        <v>123</v>
      </c>
      <c r="I1" t="s">
        <v>123</v>
      </c>
      <c r="J1" t="s">
        <v>124</v>
      </c>
      <c r="L1" t="s">
        <v>125</v>
      </c>
      <c r="N1" t="s">
        <v>120</v>
      </c>
      <c r="P1" t="s">
        <v>120</v>
      </c>
      <c r="S1" s="70">
        <v>41640</v>
      </c>
      <c r="T1" s="1" t="s">
        <v>131</v>
      </c>
      <c r="U1" t="s">
        <v>206</v>
      </c>
      <c r="V1" t="s">
        <v>608</v>
      </c>
      <c r="AB1" s="66" t="s">
        <v>198</v>
      </c>
      <c r="AC1" s="66" t="s">
        <v>208</v>
      </c>
      <c r="AD1" s="60" t="s">
        <v>210</v>
      </c>
      <c r="AE1" s="60" t="s">
        <v>213</v>
      </c>
      <c r="AF1" t="s">
        <v>150</v>
      </c>
      <c r="BA1" t="s">
        <v>183</v>
      </c>
      <c r="BB1" s="48" t="s">
        <v>182</v>
      </c>
    </row>
    <row r="2" spans="1:98" ht="199.15" customHeight="1" x14ac:dyDescent="0.35">
      <c r="A2" s="8" t="s">
        <v>100</v>
      </c>
      <c r="B2" s="6" t="s">
        <v>107</v>
      </c>
      <c r="C2" s="6"/>
      <c r="D2" s="62" t="s">
        <v>631</v>
      </c>
      <c r="F2" s="59" t="s">
        <v>643</v>
      </c>
      <c r="H2" s="1" t="s">
        <v>126</v>
      </c>
      <c r="I2" s="7" t="s">
        <v>126</v>
      </c>
      <c r="J2" s="64" t="s">
        <v>644</v>
      </c>
      <c r="L2" s="3" t="s">
        <v>2</v>
      </c>
      <c r="N2" s="3" t="s">
        <v>3</v>
      </c>
      <c r="P2" s="3" t="s">
        <v>2</v>
      </c>
      <c r="R2" s="3" t="s">
        <v>0</v>
      </c>
      <c r="T2" s="3" t="s">
        <v>127</v>
      </c>
      <c r="U2" t="s">
        <v>161</v>
      </c>
      <c r="V2" t="s">
        <v>161</v>
      </c>
      <c r="AB2" s="66" t="s">
        <v>199</v>
      </c>
      <c r="AC2" s="66" t="s">
        <v>209</v>
      </c>
      <c r="AD2" s="67" t="s">
        <v>211</v>
      </c>
      <c r="AE2" s="68" t="s">
        <v>214</v>
      </c>
      <c r="AF2" t="s">
        <v>149</v>
      </c>
      <c r="BA2" t="s">
        <v>113</v>
      </c>
      <c r="BB2" t="s">
        <v>114</v>
      </c>
      <c r="BI2" s="51" t="s">
        <v>185</v>
      </c>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row>
    <row r="3" spans="1:98" ht="60" customHeight="1" x14ac:dyDescent="0.35">
      <c r="A3" s="8" t="s">
        <v>102</v>
      </c>
      <c r="B3" s="6" t="s">
        <v>110</v>
      </c>
      <c r="C3" s="26" t="s">
        <v>149</v>
      </c>
      <c r="D3" s="62" t="s">
        <v>632</v>
      </c>
      <c r="F3" s="3" t="s">
        <v>5</v>
      </c>
      <c r="H3" s="1" t="s">
        <v>122</v>
      </c>
      <c r="I3" s="7" t="s">
        <v>126</v>
      </c>
      <c r="J3" s="64" t="s">
        <v>645</v>
      </c>
      <c r="L3" s="2" t="s">
        <v>7</v>
      </c>
      <c r="N3" s="3" t="s">
        <v>8</v>
      </c>
      <c r="P3" s="3" t="s">
        <v>9</v>
      </c>
      <c r="R3" s="3" t="s">
        <v>4</v>
      </c>
      <c r="T3" s="3" t="s">
        <v>128</v>
      </c>
      <c r="U3" t="s">
        <v>207</v>
      </c>
      <c r="V3" t="s">
        <v>161</v>
      </c>
      <c r="AB3" s="34" t="s">
        <v>200</v>
      </c>
      <c r="AC3" s="35" t="s">
        <v>657</v>
      </c>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51" t="s">
        <v>186</v>
      </c>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c r="CT3" s="51"/>
    </row>
    <row r="4" spans="1:98" ht="84" customHeight="1" x14ac:dyDescent="0.35">
      <c r="A4" s="8" t="s">
        <v>103</v>
      </c>
      <c r="B4" s="6" t="s">
        <v>109</v>
      </c>
      <c r="C4" s="26" t="s">
        <v>150</v>
      </c>
      <c r="D4" s="62" t="s">
        <v>633</v>
      </c>
      <c r="F4" s="3" t="s">
        <v>11</v>
      </c>
      <c r="H4" s="3" t="s">
        <v>151</v>
      </c>
      <c r="I4" s="7" t="s">
        <v>126</v>
      </c>
      <c r="J4" s="62" t="s">
        <v>646</v>
      </c>
      <c r="L4" s="3" t="s">
        <v>13</v>
      </c>
      <c r="N4" s="3" t="s">
        <v>14</v>
      </c>
      <c r="P4" s="3" t="s">
        <v>15</v>
      </c>
      <c r="R4" s="3" t="s">
        <v>10</v>
      </c>
      <c r="T4" s="3" t="s">
        <v>129</v>
      </c>
      <c r="V4" t="s">
        <v>132</v>
      </c>
      <c r="AB4" s="34" t="s">
        <v>201</v>
      </c>
      <c r="AC4" s="35" t="s">
        <v>658</v>
      </c>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row>
    <row r="5" spans="1:98" ht="409.6" customHeight="1" x14ac:dyDescent="0.35">
      <c r="A5" s="9" t="s">
        <v>104</v>
      </c>
      <c r="B5" s="6" t="s">
        <v>192</v>
      </c>
      <c r="C5" s="26" t="s">
        <v>153</v>
      </c>
      <c r="D5" s="62" t="s">
        <v>663</v>
      </c>
      <c r="F5" s="7" t="s">
        <v>202</v>
      </c>
      <c r="I5" s="7" t="s">
        <v>126</v>
      </c>
      <c r="J5" s="62" t="s">
        <v>661</v>
      </c>
      <c r="L5" s="2" t="s">
        <v>17</v>
      </c>
      <c r="N5" s="2" t="s">
        <v>18</v>
      </c>
      <c r="P5" s="3" t="s">
        <v>19</v>
      </c>
      <c r="R5" s="10" t="s">
        <v>2</v>
      </c>
      <c r="T5" s="4" t="s">
        <v>190</v>
      </c>
    </row>
    <row r="6" spans="1:98" ht="207.65" customHeight="1" x14ac:dyDescent="0.35">
      <c r="A6" s="8" t="s">
        <v>196</v>
      </c>
      <c r="B6" s="6" t="s">
        <v>193</v>
      </c>
      <c r="C6" s="6"/>
      <c r="D6" s="62" t="s">
        <v>634</v>
      </c>
      <c r="F6" s="3" t="s">
        <v>21</v>
      </c>
      <c r="I6" s="7" t="s">
        <v>126</v>
      </c>
      <c r="J6" s="62" t="s">
        <v>647</v>
      </c>
      <c r="L6" s="2" t="s">
        <v>23</v>
      </c>
      <c r="N6" s="2" t="s">
        <v>24</v>
      </c>
      <c r="P6" s="2" t="s">
        <v>25</v>
      </c>
      <c r="R6" s="10" t="s">
        <v>20</v>
      </c>
      <c r="T6" s="3" t="s">
        <v>127</v>
      </c>
    </row>
    <row r="7" spans="1:98" ht="90.65" customHeight="1" x14ac:dyDescent="0.35">
      <c r="A7" s="6" t="s">
        <v>630</v>
      </c>
      <c r="B7" s="6" t="s">
        <v>108</v>
      </c>
      <c r="C7" s="6"/>
      <c r="D7" s="62" t="s">
        <v>212</v>
      </c>
      <c r="F7" s="3" t="s">
        <v>27</v>
      </c>
      <c r="I7" s="7" t="s">
        <v>126</v>
      </c>
      <c r="J7" s="62" t="s">
        <v>648</v>
      </c>
      <c r="L7" s="2" t="s">
        <v>29</v>
      </c>
      <c r="N7" s="2" t="s">
        <v>30</v>
      </c>
      <c r="P7" s="2" t="s">
        <v>31</v>
      </c>
      <c r="R7" s="10" t="s">
        <v>26</v>
      </c>
      <c r="T7" s="3" t="s">
        <v>163</v>
      </c>
    </row>
    <row r="8" spans="1:98" ht="84" customHeight="1" x14ac:dyDescent="0.35">
      <c r="A8" s="8" t="s">
        <v>709</v>
      </c>
      <c r="D8" s="62" t="s">
        <v>635</v>
      </c>
      <c r="F8" s="3" t="s">
        <v>203</v>
      </c>
      <c r="I8" s="7" t="s">
        <v>122</v>
      </c>
      <c r="J8" s="62" t="s">
        <v>628</v>
      </c>
      <c r="N8" s="2" t="s">
        <v>34</v>
      </c>
      <c r="P8" s="2" t="s">
        <v>35</v>
      </c>
      <c r="R8" s="10" t="s">
        <v>32</v>
      </c>
      <c r="T8" s="1" t="s">
        <v>191</v>
      </c>
    </row>
    <row r="9" spans="1:98" ht="103.15" customHeight="1" x14ac:dyDescent="0.35">
      <c r="D9" s="62" t="s">
        <v>636</v>
      </c>
      <c r="F9" s="3" t="s">
        <v>37</v>
      </c>
      <c r="I9" s="7" t="s">
        <v>122</v>
      </c>
      <c r="J9" s="64" t="s">
        <v>649</v>
      </c>
      <c r="P9" s="2" t="s">
        <v>38</v>
      </c>
      <c r="R9" s="10" t="s">
        <v>36</v>
      </c>
    </row>
    <row r="10" spans="1:98" ht="144.65" customHeight="1" x14ac:dyDescent="0.35">
      <c r="A10" s="14" t="s">
        <v>124</v>
      </c>
      <c r="B10" s="15"/>
      <c r="D10" s="62" t="s">
        <v>624</v>
      </c>
      <c r="F10" s="3" t="s">
        <v>133</v>
      </c>
      <c r="I10" s="7" t="s">
        <v>122</v>
      </c>
      <c r="J10" s="62" t="s">
        <v>629</v>
      </c>
      <c r="P10" s="3" t="s">
        <v>40</v>
      </c>
      <c r="R10" s="10" t="s">
        <v>39</v>
      </c>
    </row>
    <row r="11" spans="1:98" ht="126.65" customHeight="1" x14ac:dyDescent="0.35">
      <c r="A11" s="16" t="s">
        <v>135</v>
      </c>
      <c r="B11" s="16"/>
      <c r="C11" s="12"/>
      <c r="D11" s="62" t="s">
        <v>637</v>
      </c>
      <c r="F11" s="3" t="s">
        <v>27</v>
      </c>
      <c r="J11" s="62" t="s">
        <v>650</v>
      </c>
      <c r="P11" s="3" t="s">
        <v>42</v>
      </c>
      <c r="R11" s="10" t="s">
        <v>41</v>
      </c>
    </row>
    <row r="12" spans="1:98" ht="224.5" customHeight="1" x14ac:dyDescent="0.35">
      <c r="A12" s="16" t="s">
        <v>136</v>
      </c>
      <c r="B12" s="16"/>
      <c r="C12" s="12"/>
      <c r="D12" s="62" t="s">
        <v>638</v>
      </c>
      <c r="F12" s="3" t="s">
        <v>33</v>
      </c>
      <c r="J12" s="64" t="s">
        <v>651</v>
      </c>
      <c r="R12" s="3" t="s">
        <v>43</v>
      </c>
    </row>
    <row r="13" spans="1:98" ht="210.65" customHeight="1" x14ac:dyDescent="0.35">
      <c r="A13" s="17" t="s">
        <v>137</v>
      </c>
      <c r="B13" s="16"/>
      <c r="C13" s="12"/>
      <c r="D13" s="62" t="s">
        <v>639</v>
      </c>
      <c r="R13" s="10" t="s">
        <v>2</v>
      </c>
    </row>
    <row r="14" spans="1:98" ht="135.65" customHeight="1" x14ac:dyDescent="0.35">
      <c r="A14" s="16" t="s">
        <v>138</v>
      </c>
      <c r="B14" s="16"/>
      <c r="C14" s="13"/>
      <c r="D14" s="62" t="s">
        <v>640</v>
      </c>
      <c r="R14" s="10" t="s">
        <v>44</v>
      </c>
    </row>
    <row r="15" spans="1:98" ht="93" customHeight="1" x14ac:dyDescent="0.35">
      <c r="A15" s="16" t="s">
        <v>139</v>
      </c>
      <c r="B15" s="16"/>
      <c r="C15" s="12"/>
      <c r="D15" s="62" t="s">
        <v>603</v>
      </c>
      <c r="F15" s="1" t="s">
        <v>118</v>
      </c>
      <c r="R15" s="10" t="s">
        <v>45</v>
      </c>
    </row>
    <row r="16" spans="1:98" ht="141.65" customHeight="1" x14ac:dyDescent="0.35">
      <c r="A16" s="16" t="s">
        <v>140</v>
      </c>
      <c r="B16" s="16"/>
      <c r="C16" s="13"/>
      <c r="D16" s="62" t="s">
        <v>604</v>
      </c>
      <c r="F16" s="3" t="s">
        <v>116</v>
      </c>
      <c r="R16" s="10" t="s">
        <v>46</v>
      </c>
    </row>
    <row r="17" spans="1:18" ht="121.15" customHeight="1" x14ac:dyDescent="0.35">
      <c r="A17" s="16" t="s">
        <v>141</v>
      </c>
      <c r="B17" s="16"/>
      <c r="C17" s="12"/>
      <c r="D17" s="62" t="s">
        <v>625</v>
      </c>
      <c r="F17" s="3" t="s">
        <v>5</v>
      </c>
      <c r="R17" s="10" t="s">
        <v>47</v>
      </c>
    </row>
    <row r="18" spans="1:18" ht="193.15" customHeight="1" x14ac:dyDescent="0.35">
      <c r="D18" s="62" t="s">
        <v>626</v>
      </c>
      <c r="F18" s="3" t="s">
        <v>11</v>
      </c>
      <c r="R18" s="10" t="s">
        <v>48</v>
      </c>
    </row>
    <row r="19" spans="1:18" ht="86.5" customHeight="1" x14ac:dyDescent="0.35">
      <c r="D19" s="62" t="s">
        <v>605</v>
      </c>
      <c r="F19" s="3" t="s">
        <v>133</v>
      </c>
      <c r="R19" s="10" t="s">
        <v>41</v>
      </c>
    </row>
    <row r="20" spans="1:18" ht="118.9" customHeight="1" x14ac:dyDescent="0.35">
      <c r="A20" s="18" t="s">
        <v>124</v>
      </c>
      <c r="D20" s="62" t="s">
        <v>606</v>
      </c>
      <c r="F20" s="7" t="s">
        <v>117</v>
      </c>
      <c r="R20" s="3" t="s">
        <v>49</v>
      </c>
    </row>
    <row r="21" spans="1:18" ht="145.15" customHeight="1" x14ac:dyDescent="0.35">
      <c r="A21" t="s">
        <v>154</v>
      </c>
      <c r="D21" s="62" t="s">
        <v>607</v>
      </c>
      <c r="F21" s="3" t="s">
        <v>21</v>
      </c>
      <c r="R21" s="10"/>
    </row>
    <row r="22" spans="1:18" ht="177.65" customHeight="1" x14ac:dyDescent="0.35">
      <c r="A22" t="s">
        <v>194</v>
      </c>
      <c r="D22" s="62" t="s">
        <v>641</v>
      </c>
      <c r="F22" s="3" t="s">
        <v>133</v>
      </c>
      <c r="R22" s="10" t="s">
        <v>50</v>
      </c>
    </row>
    <row r="23" spans="1:18" ht="55.9" customHeight="1" x14ac:dyDescent="0.35">
      <c r="A23" t="s">
        <v>156</v>
      </c>
      <c r="D23" s="62" t="s">
        <v>627</v>
      </c>
      <c r="R23" s="10" t="s">
        <v>51</v>
      </c>
    </row>
    <row r="24" spans="1:18" ht="165.65" customHeight="1" x14ac:dyDescent="0.35">
      <c r="A24" t="s">
        <v>155</v>
      </c>
      <c r="D24" s="62" t="s">
        <v>642</v>
      </c>
      <c r="F24" s="3" t="s">
        <v>116</v>
      </c>
      <c r="R24" s="10" t="s">
        <v>52</v>
      </c>
    </row>
    <row r="25" spans="1:18" x14ac:dyDescent="0.35">
      <c r="A25" t="s">
        <v>157</v>
      </c>
      <c r="D25" s="69" t="s">
        <v>609</v>
      </c>
      <c r="F25" s="3" t="s">
        <v>5</v>
      </c>
      <c r="R25" s="10" t="s">
        <v>54</v>
      </c>
    </row>
    <row r="26" spans="1:18" x14ac:dyDescent="0.35">
      <c r="D26" s="3" t="s">
        <v>133</v>
      </c>
      <c r="F26" s="3" t="s">
        <v>133</v>
      </c>
      <c r="R26" s="3" t="s">
        <v>56</v>
      </c>
    </row>
    <row r="27" spans="1:18" ht="186" x14ac:dyDescent="0.35">
      <c r="D27" s="62" t="s">
        <v>631</v>
      </c>
      <c r="R27" s="11" t="s">
        <v>57</v>
      </c>
    </row>
    <row r="28" spans="1:18" ht="201.5" x14ac:dyDescent="0.35">
      <c r="A28" t="s">
        <v>623</v>
      </c>
      <c r="D28" s="62" t="s">
        <v>632</v>
      </c>
      <c r="R28" s="11" t="s">
        <v>58</v>
      </c>
    </row>
    <row r="29" spans="1:18" ht="232.5" x14ac:dyDescent="0.35">
      <c r="A29" t="s">
        <v>184</v>
      </c>
      <c r="D29" s="62" t="s">
        <v>633</v>
      </c>
      <c r="R29" s="11" t="s">
        <v>59</v>
      </c>
    </row>
    <row r="30" spans="1:18" ht="356.5" x14ac:dyDescent="0.35">
      <c r="D30" s="62" t="s">
        <v>662</v>
      </c>
      <c r="F30" s="62" t="s">
        <v>204</v>
      </c>
      <c r="R30" s="11" t="s">
        <v>61</v>
      </c>
    </row>
    <row r="31" spans="1:18" ht="201.5" x14ac:dyDescent="0.35">
      <c r="D31" s="62" t="s">
        <v>634</v>
      </c>
      <c r="F31" s="62" t="s">
        <v>205</v>
      </c>
      <c r="R31" s="11" t="s">
        <v>62</v>
      </c>
    </row>
    <row r="32" spans="1:18" ht="77.5" x14ac:dyDescent="0.35">
      <c r="D32" s="62" t="s">
        <v>212</v>
      </c>
      <c r="R32" s="11" t="s">
        <v>63</v>
      </c>
    </row>
    <row r="33" spans="10:18" x14ac:dyDescent="0.35">
      <c r="R33" s="11" t="s">
        <v>64</v>
      </c>
    </row>
    <row r="34" spans="10:18" x14ac:dyDescent="0.35">
      <c r="J34" s="5" t="s">
        <v>53</v>
      </c>
      <c r="R34" s="11" t="s">
        <v>65</v>
      </c>
    </row>
    <row r="35" spans="10:18" x14ac:dyDescent="0.35">
      <c r="J35" s="5" t="s">
        <v>53</v>
      </c>
      <c r="R35" s="11" t="s">
        <v>66</v>
      </c>
    </row>
    <row r="36" spans="10:18" x14ac:dyDescent="0.35">
      <c r="J36" s="5" t="s">
        <v>53</v>
      </c>
      <c r="R36" s="11" t="s">
        <v>67</v>
      </c>
    </row>
    <row r="37" spans="10:18" x14ac:dyDescent="0.35">
      <c r="J37" s="5" t="s">
        <v>55</v>
      </c>
      <c r="R37" s="3" t="s">
        <v>68</v>
      </c>
    </row>
    <row r="38" spans="10:18" x14ac:dyDescent="0.35">
      <c r="J38" s="5" t="s">
        <v>53</v>
      </c>
      <c r="R38" s="11" t="s">
        <v>69</v>
      </c>
    </row>
    <row r="39" spans="10:18" x14ac:dyDescent="0.35">
      <c r="J39" s="5" t="s">
        <v>53</v>
      </c>
      <c r="R39" s="11" t="s">
        <v>70</v>
      </c>
    </row>
    <row r="40" spans="10:18" ht="27" x14ac:dyDescent="0.35">
      <c r="J40" s="5" t="s">
        <v>53</v>
      </c>
      <c r="R40" s="11" t="s">
        <v>71</v>
      </c>
    </row>
    <row r="41" spans="10:18" x14ac:dyDescent="0.35">
      <c r="J41" s="5" t="s">
        <v>60</v>
      </c>
      <c r="R41" s="11" t="s">
        <v>72</v>
      </c>
    </row>
    <row r="42" spans="10:18" ht="23" x14ac:dyDescent="0.35">
      <c r="J42" s="5" t="s">
        <v>53</v>
      </c>
      <c r="R42" s="11" t="s">
        <v>62</v>
      </c>
    </row>
    <row r="43" spans="10:18" ht="23" x14ac:dyDescent="0.35">
      <c r="J43" s="5" t="s">
        <v>53</v>
      </c>
      <c r="R43" s="11" t="s">
        <v>73</v>
      </c>
    </row>
    <row r="44" spans="10:18" x14ac:dyDescent="0.35">
      <c r="J44" s="5" t="s">
        <v>53</v>
      </c>
      <c r="R44" s="11" t="s">
        <v>74</v>
      </c>
    </row>
    <row r="45" spans="10:18" ht="23" x14ac:dyDescent="0.35">
      <c r="J45" s="5" t="s">
        <v>55</v>
      </c>
      <c r="R45" s="11" t="s">
        <v>75</v>
      </c>
    </row>
    <row r="46" spans="10:18" x14ac:dyDescent="0.35">
      <c r="R46" s="11" t="s">
        <v>76</v>
      </c>
    </row>
    <row r="47" spans="10:18" x14ac:dyDescent="0.35">
      <c r="R47" s="11" t="s">
        <v>77</v>
      </c>
    </row>
    <row r="48" spans="10:18" x14ac:dyDescent="0.35">
      <c r="R48" s="11" t="s">
        <v>78</v>
      </c>
    </row>
    <row r="49" spans="1:18" x14ac:dyDescent="0.35">
      <c r="R49" s="11" t="s">
        <v>79</v>
      </c>
    </row>
    <row r="50" spans="1:18" x14ac:dyDescent="0.35">
      <c r="R50" s="11" t="s">
        <v>80</v>
      </c>
    </row>
    <row r="51" spans="1:18" x14ac:dyDescent="0.35">
      <c r="R51" s="3" t="s">
        <v>81</v>
      </c>
    </row>
    <row r="52" spans="1:18" x14ac:dyDescent="0.35">
      <c r="R52" s="11" t="s">
        <v>82</v>
      </c>
    </row>
    <row r="53" spans="1:18" x14ac:dyDescent="0.35">
      <c r="R53" s="11" t="s">
        <v>83</v>
      </c>
    </row>
    <row r="54" spans="1:18" x14ac:dyDescent="0.35">
      <c r="R54" s="11" t="s">
        <v>84</v>
      </c>
    </row>
    <row r="55" spans="1:18" ht="23" x14ac:dyDescent="0.35">
      <c r="R55" s="11" t="s">
        <v>85</v>
      </c>
    </row>
    <row r="56" spans="1:18" x14ac:dyDescent="0.35">
      <c r="R56" s="11" t="s">
        <v>86</v>
      </c>
    </row>
    <row r="57" spans="1:18" ht="23" x14ac:dyDescent="0.35">
      <c r="R57" s="11" t="s">
        <v>87</v>
      </c>
    </row>
    <row r="58" spans="1:18" ht="23" x14ac:dyDescent="0.35">
      <c r="R58" s="3" t="s">
        <v>88</v>
      </c>
    </row>
    <row r="59" spans="1:18" ht="34.5" x14ac:dyDescent="0.35">
      <c r="R59" s="3" t="s">
        <v>89</v>
      </c>
    </row>
    <row r="60" spans="1:18" ht="23" x14ac:dyDescent="0.35">
      <c r="R60" s="3" t="s">
        <v>90</v>
      </c>
    </row>
    <row r="61" spans="1:18" ht="35.5" x14ac:dyDescent="0.35">
      <c r="R61" s="4" t="s">
        <v>121</v>
      </c>
    </row>
    <row r="62" spans="1:18" x14ac:dyDescent="0.35">
      <c r="A62" t="s">
        <v>91</v>
      </c>
      <c r="B62" s="1" t="s">
        <v>131</v>
      </c>
    </row>
    <row r="63" spans="1:18" x14ac:dyDescent="0.35">
      <c r="A63" s="9" t="s">
        <v>100</v>
      </c>
      <c r="B63" s="3" t="s">
        <v>127</v>
      </c>
    </row>
    <row r="64" spans="1:18" x14ac:dyDescent="0.35">
      <c r="A64" s="8" t="s">
        <v>103</v>
      </c>
      <c r="B64" s="3" t="s">
        <v>129</v>
      </c>
    </row>
    <row r="65" spans="1:2" x14ac:dyDescent="0.35">
      <c r="A65" s="8" t="s">
        <v>104</v>
      </c>
      <c r="B65" s="3" t="s">
        <v>128</v>
      </c>
    </row>
    <row r="66" spans="1:2" x14ac:dyDescent="0.35">
      <c r="A66" s="8" t="s">
        <v>105</v>
      </c>
      <c r="B66" s="1" t="s">
        <v>130</v>
      </c>
    </row>
    <row r="67" spans="1:2" x14ac:dyDescent="0.35">
      <c r="A67" s="8" t="s">
        <v>106</v>
      </c>
      <c r="B67" s="1" t="s">
        <v>130</v>
      </c>
    </row>
    <row r="68" spans="1:2" x14ac:dyDescent="0.35">
      <c r="A68" s="8" t="s">
        <v>102</v>
      </c>
      <c r="B68" s="1" t="s">
        <v>130</v>
      </c>
    </row>
    <row r="70" spans="1:2" x14ac:dyDescent="0.35">
      <c r="A70" t="str">
        <f>IF(B15="Gmina","1)  w przypadku gminy - wójta (burmistrza, prezydenta miasta)",IF(B15="Powiat","3)  w przypadku powiatu - starostę)",IF(B15="Związek międzygminny","2)  w przypadku związku międzygminnego - zarząd związku",IF(B15="Organizacja pożytku publicznego","4)  w przypadku jednoosobowej spółki gminnej, spółki celowej i organizacji pożytku publicznego - osobę lub osoby uprawnione do składania oświadczeń woli w imieniu spółki i organizacji (należy dołączyć aktualny dokument potwierdzający uprawnienia)",IF(B15="Spółka celowa","4)  w przypadku jednoosobowej spółki gminnej, spółki celowej i organizacji pożytku publicznego - osobę lub osoby uprawnione do składania oświadczeń woli w imieniu spółki i organizacji (należy dołączyć aktualny dokument potwierdzający uprawnienia)",IF(B15="Jednoosobowa spółka gminna","4)  w przypadku jednoosobowej spółki gminnej, spółki celowej i organizacji pożytku publicznego - osobę lub osoby uprawnione do składania oświadczeń woli w imieniu spółki i organizacji (należy dołączyć aktualny dokument potwierdzający uprawnienia)",IF(B15="","")))))))</f>
        <v/>
      </c>
    </row>
    <row r="165" spans="3:7" x14ac:dyDescent="0.35">
      <c r="F165" s="52" t="s">
        <v>159</v>
      </c>
    </row>
    <row r="166" spans="3:7" x14ac:dyDescent="0.35">
      <c r="C166" s="164" t="s">
        <v>159</v>
      </c>
      <c r="D166" s="164" t="s">
        <v>159</v>
      </c>
      <c r="F166" s="52"/>
    </row>
    <row r="167" spans="3:7" ht="15" thickBot="1" x14ac:dyDescent="0.4">
      <c r="C167" s="164"/>
      <c r="D167" s="164"/>
      <c r="F167" s="53"/>
    </row>
    <row r="168" spans="3:7" ht="15" thickBot="1" x14ac:dyDescent="0.4">
      <c r="C168" s="165"/>
      <c r="D168" s="165"/>
      <c r="F168" s="45">
        <v>0.5</v>
      </c>
    </row>
    <row r="169" spans="3:7" ht="15" thickBot="1" x14ac:dyDescent="0.4">
      <c r="C169" s="45">
        <v>0.8</v>
      </c>
      <c r="D169" s="24">
        <v>0.25</v>
      </c>
      <c r="E169" s="45">
        <v>0</v>
      </c>
      <c r="F169" s="46">
        <v>0.8</v>
      </c>
      <c r="G169" s="46">
        <v>0.2</v>
      </c>
    </row>
    <row r="170" spans="3:7" x14ac:dyDescent="0.35">
      <c r="C170" s="45">
        <v>0.9</v>
      </c>
      <c r="D170" s="22">
        <v>0.25</v>
      </c>
      <c r="E170" s="45">
        <v>0.05</v>
      </c>
      <c r="F170" s="46">
        <v>0.9</v>
      </c>
      <c r="G170" s="46">
        <v>0.45</v>
      </c>
    </row>
    <row r="171" spans="3:7" x14ac:dyDescent="0.35">
      <c r="C171" s="46">
        <v>0.9</v>
      </c>
      <c r="D171" s="23">
        <v>0.8</v>
      </c>
      <c r="E171" s="45">
        <v>0.1</v>
      </c>
    </row>
    <row r="172" spans="3:7" ht="15" thickBot="1" x14ac:dyDescent="0.4">
      <c r="D172" s="24">
        <v>0.45</v>
      </c>
    </row>
    <row r="173" spans="3:7" x14ac:dyDescent="0.35">
      <c r="D173" s="22">
        <v>0.5</v>
      </c>
    </row>
    <row r="174" spans="3:7" x14ac:dyDescent="0.35">
      <c r="D174" s="23">
        <v>0.6</v>
      </c>
    </row>
    <row r="175" spans="3:7" ht="15" thickBot="1" x14ac:dyDescent="0.4">
      <c r="D175" s="24">
        <v>0.6</v>
      </c>
    </row>
    <row r="176" spans="3:7" x14ac:dyDescent="0.35">
      <c r="D176" s="22"/>
    </row>
    <row r="177" spans="1:4" x14ac:dyDescent="0.35">
      <c r="D177" s="23"/>
    </row>
    <row r="178" spans="1:4" x14ac:dyDescent="0.35">
      <c r="D178" s="23"/>
    </row>
    <row r="179" spans="1:4" ht="15" thickBot="1" x14ac:dyDescent="0.4">
      <c r="B179" t="s">
        <v>177</v>
      </c>
      <c r="D179" s="24"/>
    </row>
    <row r="180" spans="1:4" x14ac:dyDescent="0.35">
      <c r="B180">
        <v>2018</v>
      </c>
      <c r="D180" s="22"/>
    </row>
    <row r="181" spans="1:4" x14ac:dyDescent="0.35">
      <c r="A181" t="s">
        <v>176</v>
      </c>
      <c r="B181">
        <v>2019</v>
      </c>
      <c r="D181" s="23"/>
    </row>
    <row r="182" spans="1:4" ht="15" thickBot="1" x14ac:dyDescent="0.4">
      <c r="A182" t="s">
        <v>164</v>
      </c>
      <c r="B182">
        <v>2020</v>
      </c>
      <c r="D182" s="24"/>
    </row>
    <row r="183" spans="1:4" x14ac:dyDescent="0.35">
      <c r="A183" t="s">
        <v>165</v>
      </c>
      <c r="B183">
        <v>2021</v>
      </c>
      <c r="D183" s="22"/>
    </row>
    <row r="184" spans="1:4" x14ac:dyDescent="0.35">
      <c r="A184" t="s">
        <v>166</v>
      </c>
      <c r="B184">
        <v>2022</v>
      </c>
      <c r="D184" s="23"/>
    </row>
    <row r="185" spans="1:4" x14ac:dyDescent="0.35">
      <c r="A185" t="s">
        <v>167</v>
      </c>
      <c r="B185">
        <v>2023</v>
      </c>
      <c r="D185" s="23"/>
    </row>
    <row r="186" spans="1:4" ht="15" thickBot="1" x14ac:dyDescent="0.4">
      <c r="A186" t="s">
        <v>168</v>
      </c>
      <c r="B186">
        <v>2024</v>
      </c>
      <c r="D186" s="24"/>
    </row>
    <row r="187" spans="1:4" x14ac:dyDescent="0.35">
      <c r="A187" t="s">
        <v>169</v>
      </c>
      <c r="B187">
        <v>2025</v>
      </c>
      <c r="D187" s="22"/>
    </row>
    <row r="188" spans="1:4" x14ac:dyDescent="0.35">
      <c r="A188" t="s">
        <v>170</v>
      </c>
      <c r="B188">
        <v>2026</v>
      </c>
      <c r="D188" s="23"/>
    </row>
    <row r="189" spans="1:4" ht="15" thickBot="1" x14ac:dyDescent="0.4">
      <c r="A189" t="s">
        <v>171</v>
      </c>
      <c r="B189">
        <v>2027</v>
      </c>
      <c r="D189" s="24"/>
    </row>
    <row r="190" spans="1:4" ht="15" thickBot="1" x14ac:dyDescent="0.4">
      <c r="A190" t="s">
        <v>172</v>
      </c>
      <c r="B190">
        <v>2028</v>
      </c>
      <c r="D190" s="25"/>
    </row>
    <row r="191" spans="1:4" ht="15" thickBot="1" x14ac:dyDescent="0.4">
      <c r="A191" t="s">
        <v>173</v>
      </c>
      <c r="B191">
        <v>2029</v>
      </c>
      <c r="D191" s="25"/>
    </row>
    <row r="192" spans="1:4" ht="15" thickBot="1" x14ac:dyDescent="0.4">
      <c r="A192" t="s">
        <v>174</v>
      </c>
      <c r="D192" s="25"/>
    </row>
    <row r="193" spans="1:4" ht="15" thickBot="1" x14ac:dyDescent="0.4">
      <c r="A193" t="s">
        <v>175</v>
      </c>
      <c r="D193" s="25"/>
    </row>
    <row r="194" spans="1:4" ht="15" thickBot="1" x14ac:dyDescent="0.4">
      <c r="D194" s="25"/>
    </row>
    <row r="195" spans="1:4" x14ac:dyDescent="0.35">
      <c r="A195" t="s">
        <v>178</v>
      </c>
      <c r="D195" s="22"/>
    </row>
    <row r="196" spans="1:4" x14ac:dyDescent="0.35">
      <c r="A196" t="s">
        <v>179</v>
      </c>
      <c r="D196" s="23"/>
    </row>
    <row r="197" spans="1:4" ht="15" thickBot="1" x14ac:dyDescent="0.4">
      <c r="A197" t="s">
        <v>180</v>
      </c>
      <c r="D197" s="24"/>
    </row>
    <row r="198" spans="1:4" x14ac:dyDescent="0.35">
      <c r="A198" t="s">
        <v>181</v>
      </c>
      <c r="D198" s="20"/>
    </row>
    <row r="199" spans="1:4" ht="15" thickBot="1" x14ac:dyDescent="0.4">
      <c r="D199" s="19"/>
    </row>
    <row r="200" spans="1:4" ht="15" thickBot="1" x14ac:dyDescent="0.4">
      <c r="A200" s="44" t="s">
        <v>158</v>
      </c>
      <c r="D200" s="21"/>
    </row>
  </sheetData>
  <sheetProtection algorithmName="SHA-512" hashValue="InImSLUh0MEfeXxSGQ8VeuFbjE4CvrTyqz+WyY/jYOTODtZqPy2PLPz0KpgP961jzbr+MkwzmcTmCCsUHT3SjA==" saltValue="0II/1eXT4ALFHehWvmRSWA==" spinCount="100000" sheet="1" objects="1" scenarios="1"/>
  <mergeCells count="2">
    <mergeCell ref="D166:D168"/>
    <mergeCell ref="C166:C168"/>
  </mergeCells>
  <conditionalFormatting sqref="A200">
    <cfRule type="expression" dxfId="12" priority="71">
      <formula>IF($B$1=#REF!,1,0)</formula>
    </cfRule>
  </conditionalFormatting>
  <conditionalFormatting sqref="A95:AL95">
    <cfRule type="expression" priority="1">
      <formula>IF(#REF!=$U$2,1,0)</formula>
    </cfRule>
  </conditionalFormatting>
  <conditionalFormatting sqref="D169 D171:D172 D174:D175 D177:D179 D181:D182 D184:D188 D190:D194 D196:D197 D199:D200">
    <cfRule type="expression" dxfId="11" priority="10">
      <formula>IF($B$2=$B$7,1,0)</formula>
    </cfRule>
  </conditionalFormatting>
  <conditionalFormatting sqref="D169:D170 D172:D177 D179:D184 D186 D188:D191 D195 D197:D198 D200">
    <cfRule type="expression" dxfId="10" priority="6">
      <formula>IF($B$2=$B$12,1,0)</formula>
    </cfRule>
  </conditionalFormatting>
  <conditionalFormatting sqref="D169:D172 D176:D179 D183:D200 A200">
    <cfRule type="expression" dxfId="9" priority="4">
      <formula>IF($B$3=$A$29,1,0)</formula>
    </cfRule>
  </conditionalFormatting>
  <conditionalFormatting sqref="D169:D173 D175:D180 D182:D200 A200">
    <cfRule type="expression" dxfId="8" priority="9">
      <formula>IF($B$2=$B$8,1,0)</formula>
    </cfRule>
  </conditionalFormatting>
  <conditionalFormatting sqref="D169:D176 D178:D183 D185:D200 A200">
    <cfRule type="expression" dxfId="7" priority="7">
      <formula>IF($B$2=$B$11,1,0)</formula>
    </cfRule>
  </conditionalFormatting>
  <conditionalFormatting sqref="D169:D200">
    <cfRule type="expression" dxfId="6" priority="65">
      <formula>IF($B$1=#REF!,1,0)</formula>
    </cfRule>
  </conditionalFormatting>
  <conditionalFormatting sqref="D170:D171 D173:D174 D176:D178 D180:D181 D183:D185 D187 D189 D191:D196 D198:D199">
    <cfRule type="expression" dxfId="5" priority="8">
      <formula>IF($B$2=$B$9,1,0)</formula>
    </cfRule>
  </conditionalFormatting>
  <conditionalFormatting sqref="D170:D200 A200">
    <cfRule type="expression" dxfId="4" priority="5">
      <formula>IF($B$3=$A$28,1,0)</formula>
    </cfRule>
  </conditionalFormatting>
  <conditionalFormatting sqref="BI2:CT3">
    <cfRule type="expression" dxfId="3" priority="3">
      <formula>IF($A$123=$U$2,1,0)</formula>
    </cfRule>
  </conditionalFormatting>
  <hyperlinks>
    <hyperlink ref="H2" location="_edn1" display="_edn1" xr:uid="{00000000-0004-0000-0200-000000000000}"/>
    <hyperlink ref="L3" location="_edn1" display="_edn1" xr:uid="{00000000-0004-0000-0200-000001000000}"/>
    <hyperlink ref="L5" location="_edn2" display="_edn2" xr:uid="{00000000-0004-0000-0200-000002000000}"/>
    <hyperlink ref="L6" location="_edn3" display="_edn3" xr:uid="{00000000-0004-0000-0200-000003000000}"/>
    <hyperlink ref="L7" location="_edn4" display="_edn4" xr:uid="{00000000-0004-0000-0200-000004000000}"/>
    <hyperlink ref="N5" location="_edn5" display="_edn5" xr:uid="{00000000-0004-0000-0200-000005000000}"/>
    <hyperlink ref="N6" location="_edn6" display="_edn6" xr:uid="{00000000-0004-0000-0200-000006000000}"/>
    <hyperlink ref="N7" location="_edn7" display="_edn7" xr:uid="{00000000-0004-0000-0200-000007000000}"/>
    <hyperlink ref="N8" location="_edn8" display="_edn8" xr:uid="{00000000-0004-0000-0200-000008000000}"/>
    <hyperlink ref="P6" location="_edn9" display="_edn9" xr:uid="{00000000-0004-0000-0200-000009000000}"/>
    <hyperlink ref="P7" location="_edn10" display="_edn10" xr:uid="{00000000-0004-0000-0200-00000A000000}"/>
    <hyperlink ref="P8" location="_edn11" display="_edn11" xr:uid="{00000000-0004-0000-0200-00000B000000}"/>
    <hyperlink ref="P9" location="_edn12" display="_edn12" xr:uid="{00000000-0004-0000-0200-00000C000000}"/>
    <hyperlink ref="J34" location="_ednref1" display="_ednref1" xr:uid="{00000000-0004-0000-0200-00000D000000}"/>
    <hyperlink ref="J35" location="_ednref2" display="_ednref2" xr:uid="{00000000-0004-0000-0200-00000E000000}"/>
    <hyperlink ref="J36" location="_ednref3" display="_ednref3" xr:uid="{00000000-0004-0000-0200-00000F000000}"/>
    <hyperlink ref="J37" location="_ednref4" display="_ednref4" xr:uid="{00000000-0004-0000-0200-000010000000}"/>
    <hyperlink ref="J38" location="_ednref5" display="_ednref5" xr:uid="{00000000-0004-0000-0200-000011000000}"/>
    <hyperlink ref="J39" location="_ednref6" display="_ednref6" xr:uid="{00000000-0004-0000-0200-000012000000}"/>
    <hyperlink ref="J40" location="_ednref7" display="_ednref7" xr:uid="{00000000-0004-0000-0200-000013000000}"/>
    <hyperlink ref="J41" location="_ednref8" display="_ednref8" xr:uid="{00000000-0004-0000-0200-000014000000}"/>
    <hyperlink ref="J42" location="_ednref9" display="_ednref9" xr:uid="{00000000-0004-0000-0200-000015000000}"/>
    <hyperlink ref="J43" location="_ednref10" display="_ednref10" xr:uid="{00000000-0004-0000-0200-000016000000}"/>
    <hyperlink ref="J44" location="_ednref11" display="_ednref11" xr:uid="{00000000-0004-0000-0200-000017000000}"/>
    <hyperlink ref="J45" location="_ednref12" display="_ednref12" xr:uid="{00000000-0004-0000-0200-000018000000}"/>
    <hyperlink ref="H3" location="_edn1" display="_edn1" xr:uid="{00000000-0004-0000-0200-000019000000}"/>
    <hyperlink ref="I2:I7" location="_edn1" display="_edn1" xr:uid="{00000000-0004-0000-0200-00001A000000}"/>
    <hyperlink ref="I8:I10" location="_edn1" display="_edn1" xr:uid="{00000000-0004-0000-0200-00001B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Arkusz13"/>
  <dimension ref="A1:I6"/>
  <sheetViews>
    <sheetView view="pageBreakPreview" topLeftCell="A4" zoomScale="90" zoomScaleNormal="100" zoomScaleSheetLayoutView="90" workbookViewId="0">
      <selection activeCell="B6" sqref="B6"/>
    </sheetView>
  </sheetViews>
  <sheetFormatPr defaultRowHeight="14.5" x14ac:dyDescent="0.35"/>
  <cols>
    <col min="1" max="1" width="73.7265625" customWidth="1"/>
    <col min="2" max="2" width="53.54296875" customWidth="1"/>
    <col min="4" max="4" width="21.453125" customWidth="1"/>
    <col min="6" max="6" width="30.453125" bestFit="1" customWidth="1"/>
    <col min="7" max="7" width="71" customWidth="1"/>
    <col min="8" max="8" width="16.54296875" customWidth="1"/>
  </cols>
  <sheetData>
    <row r="1" spans="1:9" ht="51" customHeight="1" x14ac:dyDescent="0.35">
      <c r="A1" s="63" t="s">
        <v>195</v>
      </c>
      <c r="B1" s="3" t="s">
        <v>0</v>
      </c>
      <c r="C1" s="45">
        <v>0.8</v>
      </c>
      <c r="F1" t="s">
        <v>91</v>
      </c>
      <c r="G1" s="6" t="s">
        <v>101</v>
      </c>
    </row>
    <row r="2" spans="1:9" ht="171" customHeight="1" x14ac:dyDescent="0.35">
      <c r="A2" s="62" t="s">
        <v>624</v>
      </c>
      <c r="B2" s="3" t="s">
        <v>652</v>
      </c>
      <c r="D2" s="1" t="s">
        <v>152</v>
      </c>
      <c r="E2" t="s">
        <v>150</v>
      </c>
      <c r="F2" s="9" t="s">
        <v>100</v>
      </c>
      <c r="G2" s="6" t="s">
        <v>107</v>
      </c>
      <c r="H2" t="s">
        <v>183</v>
      </c>
      <c r="I2" s="48" t="s">
        <v>182</v>
      </c>
    </row>
    <row r="3" spans="1:9" ht="139.5" x14ac:dyDescent="0.35">
      <c r="A3" s="62" t="s">
        <v>637</v>
      </c>
      <c r="B3" s="62" t="s">
        <v>653</v>
      </c>
      <c r="E3" t="s">
        <v>149</v>
      </c>
      <c r="F3" s="8" t="s">
        <v>104</v>
      </c>
      <c r="G3" s="6" t="s">
        <v>109</v>
      </c>
      <c r="H3" t="s">
        <v>113</v>
      </c>
      <c r="I3" t="s">
        <v>114</v>
      </c>
    </row>
    <row r="4" spans="1:9" ht="139.5" x14ac:dyDescent="0.35">
      <c r="A4" s="62" t="s">
        <v>638</v>
      </c>
      <c r="B4" s="62" t="s">
        <v>654</v>
      </c>
      <c r="F4" s="8" t="s">
        <v>102</v>
      </c>
      <c r="G4" s="6" t="s">
        <v>111</v>
      </c>
    </row>
    <row r="5" spans="1:9" ht="139.5" x14ac:dyDescent="0.35">
      <c r="A5" s="62" t="s">
        <v>639</v>
      </c>
      <c r="B5" s="62" t="s">
        <v>655</v>
      </c>
      <c r="F5" t="s">
        <v>196</v>
      </c>
      <c r="G5" s="6" t="s">
        <v>108</v>
      </c>
    </row>
    <row r="6" spans="1:9" ht="124" x14ac:dyDescent="0.35">
      <c r="A6" s="62" t="s">
        <v>640</v>
      </c>
      <c r="B6" s="62" t="s">
        <v>656</v>
      </c>
      <c r="F6" s="65" t="s">
        <v>197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12"/>
  <sheetViews>
    <sheetView topLeftCell="D3" zoomScale="70" zoomScaleNormal="70" workbookViewId="0">
      <selection activeCell="M6" sqref="M6"/>
    </sheetView>
  </sheetViews>
  <sheetFormatPr defaultRowHeight="14.5" x14ac:dyDescent="0.35"/>
  <cols>
    <col min="1" max="2" width="57.26953125" customWidth="1"/>
  </cols>
  <sheetData>
    <row r="1" spans="1:50" ht="15" x14ac:dyDescent="0.35">
      <c r="A1" s="71" t="s">
        <v>610</v>
      </c>
      <c r="B1" s="71" t="s">
        <v>611</v>
      </c>
    </row>
    <row r="2" spans="1:50" ht="147.65" customHeight="1" x14ac:dyDescent="0.35">
      <c r="A2" s="62" t="s">
        <v>627</v>
      </c>
      <c r="B2" s="62" t="s">
        <v>612</v>
      </c>
    </row>
    <row r="3" spans="1:50" ht="210.65" customHeight="1" x14ac:dyDescent="0.35">
      <c r="A3" s="62" t="s">
        <v>642</v>
      </c>
      <c r="B3" t="s">
        <v>613</v>
      </c>
      <c r="M3" s="166" t="s">
        <v>622</v>
      </c>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7"/>
    </row>
    <row r="4" spans="1:50" ht="87" x14ac:dyDescent="0.35">
      <c r="B4" s="6" t="s">
        <v>621</v>
      </c>
      <c r="M4" t="s">
        <v>659</v>
      </c>
    </row>
    <row r="5" spans="1:50" x14ac:dyDescent="0.35">
      <c r="B5" t="s">
        <v>614</v>
      </c>
      <c r="M5" t="s">
        <v>660</v>
      </c>
    </row>
    <row r="6" spans="1:50" x14ac:dyDescent="0.35">
      <c r="B6" t="s">
        <v>615</v>
      </c>
    </row>
    <row r="7" spans="1:50" x14ac:dyDescent="0.35">
      <c r="B7" t="s">
        <v>616</v>
      </c>
    </row>
    <row r="8" spans="1:50" x14ac:dyDescent="0.35">
      <c r="B8" t="s">
        <v>617</v>
      </c>
    </row>
    <row r="9" spans="1:50" ht="43.5" x14ac:dyDescent="0.35">
      <c r="B9" s="6" t="s">
        <v>618</v>
      </c>
    </row>
    <row r="10" spans="1:50" x14ac:dyDescent="0.35">
      <c r="B10" t="s">
        <v>619</v>
      </c>
    </row>
    <row r="11" spans="1:50" x14ac:dyDescent="0.35">
      <c r="B11" t="s">
        <v>620</v>
      </c>
    </row>
    <row r="12" spans="1:50" x14ac:dyDescent="0.35">
      <c r="B12" t="s">
        <v>133</v>
      </c>
    </row>
  </sheetData>
  <mergeCells count="1">
    <mergeCell ref="M3:AX3"/>
  </mergeCells>
  <conditionalFormatting sqref="M3">
    <cfRule type="expression" dxfId="2" priority="4">
      <formula>IF(#REF!="",1,0)</formula>
    </cfRule>
  </conditionalFormatting>
  <dataValidations count="1">
    <dataValidation allowBlank="1" showErrorMessage="1" promptTitle="Wybierz" prompt="właściwe" sqref="M3" xr:uid="{00000000-0002-0000-0400-000000000000}"/>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 id="{5AB7C3AF-C7F0-49E9-8A20-52036E5AF7CE}">
            <xm:f>IF(#REF!=Słowniki!$U$2,1,0)</xm:f>
            <x14:dxf>
              <font>
                <strike/>
              </font>
            </x14:dxf>
          </x14:cfRule>
          <xm:sqref>M3:AX3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81"/>
  <sheetViews>
    <sheetView topLeftCell="A316" workbookViewId="0">
      <selection activeCell="B332" sqref="B332"/>
    </sheetView>
  </sheetViews>
  <sheetFormatPr defaultRowHeight="14.5" x14ac:dyDescent="0.35"/>
  <cols>
    <col min="1" max="1" width="22.26953125" bestFit="1" customWidth="1"/>
    <col min="5" max="5" width="22.26953125" bestFit="1" customWidth="1"/>
    <col min="6" max="6" width="11" customWidth="1"/>
  </cols>
  <sheetData>
    <row r="1" spans="1:6" x14ac:dyDescent="0.35">
      <c r="A1" t="s">
        <v>601</v>
      </c>
      <c r="E1" t="s">
        <v>601</v>
      </c>
      <c r="F1" t="s">
        <v>602</v>
      </c>
    </row>
    <row r="2" spans="1:6" x14ac:dyDescent="0.35">
      <c r="A2" t="s">
        <v>215</v>
      </c>
      <c r="E2" t="s">
        <v>215</v>
      </c>
      <c r="F2" t="s">
        <v>216</v>
      </c>
    </row>
    <row r="3" spans="1:6" x14ac:dyDescent="0.35">
      <c r="A3" t="s">
        <v>246</v>
      </c>
      <c r="E3" t="s">
        <v>215</v>
      </c>
      <c r="F3" t="s">
        <v>217</v>
      </c>
    </row>
    <row r="4" spans="1:6" x14ac:dyDescent="0.35">
      <c r="A4" t="s">
        <v>270</v>
      </c>
      <c r="E4" t="s">
        <v>215</v>
      </c>
      <c r="F4" t="s">
        <v>218</v>
      </c>
    </row>
    <row r="5" spans="1:6" x14ac:dyDescent="0.35">
      <c r="A5" t="s">
        <v>294</v>
      </c>
      <c r="E5" t="s">
        <v>215</v>
      </c>
      <c r="F5" t="s">
        <v>219</v>
      </c>
    </row>
    <row r="6" spans="1:6" x14ac:dyDescent="0.35">
      <c r="A6" t="s">
        <v>309</v>
      </c>
      <c r="E6" t="s">
        <v>215</v>
      </c>
      <c r="F6" t="s">
        <v>220</v>
      </c>
    </row>
    <row r="7" spans="1:6" x14ac:dyDescent="0.35">
      <c r="A7" t="s">
        <v>333</v>
      </c>
      <c r="E7" t="s">
        <v>215</v>
      </c>
      <c r="F7" t="s">
        <v>221</v>
      </c>
    </row>
    <row r="8" spans="1:6" x14ac:dyDescent="0.35">
      <c r="A8" t="s">
        <v>356</v>
      </c>
      <c r="E8" t="s">
        <v>215</v>
      </c>
      <c r="F8" t="s">
        <v>222</v>
      </c>
    </row>
    <row r="9" spans="1:6" x14ac:dyDescent="0.35">
      <c r="A9" t="s">
        <v>399</v>
      </c>
      <c r="E9" t="s">
        <v>215</v>
      </c>
      <c r="F9" t="s">
        <v>223</v>
      </c>
    </row>
    <row r="10" spans="1:6" x14ac:dyDescent="0.35">
      <c r="A10" t="s">
        <v>410</v>
      </c>
      <c r="E10" t="s">
        <v>215</v>
      </c>
      <c r="F10" t="s">
        <v>224</v>
      </c>
    </row>
    <row r="11" spans="1:6" x14ac:dyDescent="0.35">
      <c r="A11" t="s">
        <v>435</v>
      </c>
      <c r="E11" t="s">
        <v>215</v>
      </c>
      <c r="F11" t="s">
        <v>225</v>
      </c>
    </row>
    <row r="12" spans="1:6" x14ac:dyDescent="0.35">
      <c r="A12" t="s">
        <v>453</v>
      </c>
      <c r="E12" t="s">
        <v>215</v>
      </c>
      <c r="F12" t="s">
        <v>226</v>
      </c>
    </row>
    <row r="13" spans="1:6" x14ac:dyDescent="0.35">
      <c r="A13" t="s">
        <v>473</v>
      </c>
      <c r="E13" t="s">
        <v>215</v>
      </c>
      <c r="F13" t="s">
        <v>227</v>
      </c>
    </row>
    <row r="14" spans="1:6" x14ac:dyDescent="0.35">
      <c r="A14" t="s">
        <v>509</v>
      </c>
      <c r="E14" t="s">
        <v>215</v>
      </c>
      <c r="F14" t="s">
        <v>228</v>
      </c>
    </row>
    <row r="15" spans="1:6" x14ac:dyDescent="0.35">
      <c r="A15" t="s">
        <v>524</v>
      </c>
      <c r="E15" t="s">
        <v>215</v>
      </c>
      <c r="F15" t="s">
        <v>229</v>
      </c>
    </row>
    <row r="16" spans="1:6" x14ac:dyDescent="0.35">
      <c r="A16" t="s">
        <v>546</v>
      </c>
      <c r="E16" t="s">
        <v>215</v>
      </c>
      <c r="F16" t="s">
        <v>230</v>
      </c>
    </row>
    <row r="17" spans="1:6" x14ac:dyDescent="0.35">
      <c r="A17" t="s">
        <v>579</v>
      </c>
      <c r="E17" t="s">
        <v>215</v>
      </c>
      <c r="F17" t="s">
        <v>231</v>
      </c>
    </row>
    <row r="18" spans="1:6" x14ac:dyDescent="0.35">
      <c r="E18" t="s">
        <v>215</v>
      </c>
      <c r="F18" t="s">
        <v>232</v>
      </c>
    </row>
    <row r="19" spans="1:6" x14ac:dyDescent="0.35">
      <c r="E19" t="s">
        <v>215</v>
      </c>
      <c r="F19" t="s">
        <v>233</v>
      </c>
    </row>
    <row r="20" spans="1:6" x14ac:dyDescent="0.35">
      <c r="E20" t="s">
        <v>215</v>
      </c>
      <c r="F20" t="s">
        <v>234</v>
      </c>
    </row>
    <row r="21" spans="1:6" x14ac:dyDescent="0.35">
      <c r="E21" t="s">
        <v>215</v>
      </c>
      <c r="F21" t="s">
        <v>235</v>
      </c>
    </row>
    <row r="22" spans="1:6" x14ac:dyDescent="0.35">
      <c r="E22" t="s">
        <v>215</v>
      </c>
      <c r="F22" t="s">
        <v>236</v>
      </c>
    </row>
    <row r="23" spans="1:6" x14ac:dyDescent="0.35">
      <c r="E23" t="s">
        <v>215</v>
      </c>
      <c r="F23" t="s">
        <v>237</v>
      </c>
    </row>
    <row r="24" spans="1:6" x14ac:dyDescent="0.35">
      <c r="E24" t="s">
        <v>215</v>
      </c>
      <c r="F24" t="s">
        <v>238</v>
      </c>
    </row>
    <row r="25" spans="1:6" x14ac:dyDescent="0.35">
      <c r="E25" t="s">
        <v>215</v>
      </c>
      <c r="F25" t="s">
        <v>239</v>
      </c>
    </row>
    <row r="26" spans="1:6" x14ac:dyDescent="0.35">
      <c r="E26" t="s">
        <v>215</v>
      </c>
      <c r="F26" t="s">
        <v>240</v>
      </c>
    </row>
    <row r="27" spans="1:6" x14ac:dyDescent="0.35">
      <c r="E27" t="s">
        <v>215</v>
      </c>
      <c r="F27" t="s">
        <v>241</v>
      </c>
    </row>
    <row r="28" spans="1:6" x14ac:dyDescent="0.35">
      <c r="E28" t="s">
        <v>215</v>
      </c>
      <c r="F28" t="s">
        <v>242</v>
      </c>
    </row>
    <row r="29" spans="1:6" x14ac:dyDescent="0.35">
      <c r="E29" t="s">
        <v>215</v>
      </c>
      <c r="F29" t="s">
        <v>243</v>
      </c>
    </row>
    <row r="30" spans="1:6" x14ac:dyDescent="0.35">
      <c r="E30" t="s">
        <v>215</v>
      </c>
      <c r="F30" t="s">
        <v>244</v>
      </c>
    </row>
    <row r="31" spans="1:6" x14ac:dyDescent="0.35">
      <c r="E31" t="s">
        <v>215</v>
      </c>
      <c r="F31" t="s">
        <v>245</v>
      </c>
    </row>
    <row r="32" spans="1:6" x14ac:dyDescent="0.35">
      <c r="E32" t="s">
        <v>246</v>
      </c>
      <c r="F32" t="s">
        <v>247</v>
      </c>
    </row>
    <row r="33" spans="5:6" x14ac:dyDescent="0.35">
      <c r="E33" t="s">
        <v>246</v>
      </c>
      <c r="F33" t="s">
        <v>248</v>
      </c>
    </row>
    <row r="34" spans="5:6" x14ac:dyDescent="0.35">
      <c r="E34" t="s">
        <v>246</v>
      </c>
      <c r="F34" t="s">
        <v>249</v>
      </c>
    </row>
    <row r="35" spans="5:6" x14ac:dyDescent="0.35">
      <c r="E35" t="s">
        <v>246</v>
      </c>
      <c r="F35" t="s">
        <v>250</v>
      </c>
    </row>
    <row r="36" spans="5:6" x14ac:dyDescent="0.35">
      <c r="E36" t="s">
        <v>246</v>
      </c>
      <c r="F36" t="s">
        <v>251</v>
      </c>
    </row>
    <row r="37" spans="5:6" x14ac:dyDescent="0.35">
      <c r="E37" t="s">
        <v>246</v>
      </c>
      <c r="F37" t="s">
        <v>252</v>
      </c>
    </row>
    <row r="38" spans="5:6" x14ac:dyDescent="0.35">
      <c r="E38" t="s">
        <v>246</v>
      </c>
      <c r="F38" t="s">
        <v>253</v>
      </c>
    </row>
    <row r="39" spans="5:6" x14ac:dyDescent="0.35">
      <c r="E39" t="s">
        <v>246</v>
      </c>
      <c r="F39" t="s">
        <v>254</v>
      </c>
    </row>
    <row r="40" spans="5:6" x14ac:dyDescent="0.35">
      <c r="E40" t="s">
        <v>246</v>
      </c>
      <c r="F40" t="s">
        <v>255</v>
      </c>
    </row>
    <row r="41" spans="5:6" x14ac:dyDescent="0.35">
      <c r="E41" t="s">
        <v>246</v>
      </c>
      <c r="F41" t="s">
        <v>256</v>
      </c>
    </row>
    <row r="42" spans="5:6" x14ac:dyDescent="0.35">
      <c r="E42" t="s">
        <v>246</v>
      </c>
      <c r="F42" t="s">
        <v>257</v>
      </c>
    </row>
    <row r="43" spans="5:6" x14ac:dyDescent="0.35">
      <c r="E43" t="s">
        <v>246</v>
      </c>
      <c r="F43" t="s">
        <v>258</v>
      </c>
    </row>
    <row r="44" spans="5:6" x14ac:dyDescent="0.35">
      <c r="E44" t="s">
        <v>246</v>
      </c>
      <c r="F44" t="s">
        <v>259</v>
      </c>
    </row>
    <row r="45" spans="5:6" x14ac:dyDescent="0.35">
      <c r="E45" t="s">
        <v>246</v>
      </c>
      <c r="F45" t="s">
        <v>260</v>
      </c>
    </row>
    <row r="46" spans="5:6" x14ac:dyDescent="0.35">
      <c r="E46" t="s">
        <v>246</v>
      </c>
      <c r="F46" t="s">
        <v>261</v>
      </c>
    </row>
    <row r="47" spans="5:6" x14ac:dyDescent="0.35">
      <c r="E47" t="s">
        <v>246</v>
      </c>
      <c r="F47" t="s">
        <v>262</v>
      </c>
    </row>
    <row r="48" spans="5:6" x14ac:dyDescent="0.35">
      <c r="E48" t="s">
        <v>246</v>
      </c>
      <c r="F48" t="s">
        <v>263</v>
      </c>
    </row>
    <row r="49" spans="5:6" x14ac:dyDescent="0.35">
      <c r="E49" t="s">
        <v>246</v>
      </c>
      <c r="F49" t="s">
        <v>264</v>
      </c>
    </row>
    <row r="50" spans="5:6" x14ac:dyDescent="0.35">
      <c r="E50" t="s">
        <v>246</v>
      </c>
      <c r="F50" t="s">
        <v>265</v>
      </c>
    </row>
    <row r="51" spans="5:6" x14ac:dyDescent="0.35">
      <c r="E51" t="s">
        <v>246</v>
      </c>
      <c r="F51" t="s">
        <v>266</v>
      </c>
    </row>
    <row r="52" spans="5:6" x14ac:dyDescent="0.35">
      <c r="E52" t="s">
        <v>246</v>
      </c>
      <c r="F52" t="s">
        <v>267</v>
      </c>
    </row>
    <row r="53" spans="5:6" x14ac:dyDescent="0.35">
      <c r="E53" t="s">
        <v>246</v>
      </c>
      <c r="F53" t="s">
        <v>268</v>
      </c>
    </row>
    <row r="54" spans="5:6" x14ac:dyDescent="0.35">
      <c r="E54" t="s">
        <v>246</v>
      </c>
      <c r="F54" t="s">
        <v>269</v>
      </c>
    </row>
    <row r="55" spans="5:6" x14ac:dyDescent="0.35">
      <c r="E55" t="s">
        <v>270</v>
      </c>
      <c r="F55" t="s">
        <v>271</v>
      </c>
    </row>
    <row r="56" spans="5:6" x14ac:dyDescent="0.35">
      <c r="E56" t="s">
        <v>270</v>
      </c>
      <c r="F56" t="s">
        <v>272</v>
      </c>
    </row>
    <row r="57" spans="5:6" x14ac:dyDescent="0.35">
      <c r="E57" t="s">
        <v>270</v>
      </c>
      <c r="F57" t="s">
        <v>273</v>
      </c>
    </row>
    <row r="58" spans="5:6" x14ac:dyDescent="0.35">
      <c r="E58" t="s">
        <v>270</v>
      </c>
      <c r="F58" t="s">
        <v>274</v>
      </c>
    </row>
    <row r="59" spans="5:6" x14ac:dyDescent="0.35">
      <c r="E59" t="s">
        <v>270</v>
      </c>
      <c r="F59" t="s">
        <v>275</v>
      </c>
    </row>
    <row r="60" spans="5:6" x14ac:dyDescent="0.35">
      <c r="E60" t="s">
        <v>270</v>
      </c>
      <c r="F60" t="s">
        <v>276</v>
      </c>
    </row>
    <row r="61" spans="5:6" x14ac:dyDescent="0.35">
      <c r="E61" t="s">
        <v>270</v>
      </c>
      <c r="F61" t="s">
        <v>277</v>
      </c>
    </row>
    <row r="62" spans="5:6" x14ac:dyDescent="0.35">
      <c r="E62" t="s">
        <v>270</v>
      </c>
      <c r="F62" t="s">
        <v>278</v>
      </c>
    </row>
    <row r="63" spans="5:6" x14ac:dyDescent="0.35">
      <c r="E63" t="s">
        <v>270</v>
      </c>
      <c r="F63" t="s">
        <v>279</v>
      </c>
    </row>
    <row r="64" spans="5:6" x14ac:dyDescent="0.35">
      <c r="E64" t="s">
        <v>270</v>
      </c>
      <c r="F64" t="s">
        <v>280</v>
      </c>
    </row>
    <row r="65" spans="5:6" x14ac:dyDescent="0.35">
      <c r="E65" t="s">
        <v>270</v>
      </c>
      <c r="F65" t="s">
        <v>281</v>
      </c>
    </row>
    <row r="66" spans="5:6" x14ac:dyDescent="0.35">
      <c r="E66" t="s">
        <v>270</v>
      </c>
      <c r="F66" t="s">
        <v>282</v>
      </c>
    </row>
    <row r="67" spans="5:6" x14ac:dyDescent="0.35">
      <c r="E67" t="s">
        <v>270</v>
      </c>
      <c r="F67" t="s">
        <v>283</v>
      </c>
    </row>
    <row r="68" spans="5:6" x14ac:dyDescent="0.35">
      <c r="E68" t="s">
        <v>270</v>
      </c>
      <c r="F68" t="s">
        <v>284</v>
      </c>
    </row>
    <row r="69" spans="5:6" x14ac:dyDescent="0.35">
      <c r="E69" t="s">
        <v>270</v>
      </c>
      <c r="F69" t="s">
        <v>285</v>
      </c>
    </row>
    <row r="70" spans="5:6" x14ac:dyDescent="0.35">
      <c r="E70" t="s">
        <v>270</v>
      </c>
      <c r="F70" t="s">
        <v>286</v>
      </c>
    </row>
    <row r="71" spans="5:6" x14ac:dyDescent="0.35">
      <c r="E71" t="s">
        <v>270</v>
      </c>
      <c r="F71" t="s">
        <v>234</v>
      </c>
    </row>
    <row r="72" spans="5:6" x14ac:dyDescent="0.35">
      <c r="E72" t="s">
        <v>270</v>
      </c>
      <c r="F72" t="s">
        <v>287</v>
      </c>
    </row>
    <row r="73" spans="5:6" x14ac:dyDescent="0.35">
      <c r="E73" t="s">
        <v>270</v>
      </c>
      <c r="F73" t="s">
        <v>288</v>
      </c>
    </row>
    <row r="74" spans="5:6" x14ac:dyDescent="0.35">
      <c r="E74" t="s">
        <v>270</v>
      </c>
      <c r="F74" t="s">
        <v>289</v>
      </c>
    </row>
    <row r="75" spans="5:6" x14ac:dyDescent="0.35">
      <c r="E75" t="s">
        <v>270</v>
      </c>
      <c r="F75" t="s">
        <v>290</v>
      </c>
    </row>
    <row r="76" spans="5:6" x14ac:dyDescent="0.35">
      <c r="E76" t="s">
        <v>270</v>
      </c>
      <c r="F76" t="s">
        <v>291</v>
      </c>
    </row>
    <row r="77" spans="5:6" x14ac:dyDescent="0.35">
      <c r="E77" t="s">
        <v>270</v>
      </c>
      <c r="F77" t="s">
        <v>292</v>
      </c>
    </row>
    <row r="78" spans="5:6" x14ac:dyDescent="0.35">
      <c r="E78" t="s">
        <v>270</v>
      </c>
      <c r="F78" t="s">
        <v>293</v>
      </c>
    </row>
    <row r="79" spans="5:6" x14ac:dyDescent="0.35">
      <c r="E79" t="s">
        <v>294</v>
      </c>
      <c r="F79" t="s">
        <v>295</v>
      </c>
    </row>
    <row r="80" spans="5:6" x14ac:dyDescent="0.35">
      <c r="E80" t="s">
        <v>294</v>
      </c>
      <c r="F80" t="s">
        <v>296</v>
      </c>
    </row>
    <row r="81" spans="5:6" x14ac:dyDescent="0.35">
      <c r="E81" t="s">
        <v>294</v>
      </c>
      <c r="F81" t="s">
        <v>297</v>
      </c>
    </row>
    <row r="82" spans="5:6" x14ac:dyDescent="0.35">
      <c r="E82" t="s">
        <v>294</v>
      </c>
      <c r="F82" t="s">
        <v>298</v>
      </c>
    </row>
    <row r="83" spans="5:6" x14ac:dyDescent="0.35">
      <c r="E83" t="s">
        <v>294</v>
      </c>
      <c r="F83" t="s">
        <v>299</v>
      </c>
    </row>
    <row r="84" spans="5:6" x14ac:dyDescent="0.35">
      <c r="E84" t="s">
        <v>294</v>
      </c>
      <c r="F84" t="s">
        <v>300</v>
      </c>
    </row>
    <row r="85" spans="5:6" x14ac:dyDescent="0.35">
      <c r="E85" t="s">
        <v>294</v>
      </c>
      <c r="F85" t="s">
        <v>301</v>
      </c>
    </row>
    <row r="86" spans="5:6" x14ac:dyDescent="0.35">
      <c r="E86" t="s">
        <v>294</v>
      </c>
      <c r="F86" t="s">
        <v>302</v>
      </c>
    </row>
    <row r="87" spans="5:6" x14ac:dyDescent="0.35">
      <c r="E87" t="s">
        <v>294</v>
      </c>
      <c r="F87" t="s">
        <v>303</v>
      </c>
    </row>
    <row r="88" spans="5:6" x14ac:dyDescent="0.35">
      <c r="E88" t="s">
        <v>294</v>
      </c>
      <c r="F88" t="s">
        <v>304</v>
      </c>
    </row>
    <row r="89" spans="5:6" x14ac:dyDescent="0.35">
      <c r="E89" t="s">
        <v>294</v>
      </c>
      <c r="F89" t="s">
        <v>305</v>
      </c>
    </row>
    <row r="90" spans="5:6" x14ac:dyDescent="0.35">
      <c r="E90" t="s">
        <v>294</v>
      </c>
      <c r="F90" t="s">
        <v>306</v>
      </c>
    </row>
    <row r="91" spans="5:6" x14ac:dyDescent="0.35">
      <c r="E91" t="s">
        <v>294</v>
      </c>
      <c r="F91" t="s">
        <v>307</v>
      </c>
    </row>
    <row r="92" spans="5:6" x14ac:dyDescent="0.35">
      <c r="E92" t="s">
        <v>294</v>
      </c>
      <c r="F92" t="s">
        <v>308</v>
      </c>
    </row>
    <row r="93" spans="5:6" x14ac:dyDescent="0.35">
      <c r="E93" t="s">
        <v>309</v>
      </c>
      <c r="F93" t="s">
        <v>310</v>
      </c>
    </row>
    <row r="94" spans="5:6" x14ac:dyDescent="0.35">
      <c r="E94" t="s">
        <v>309</v>
      </c>
      <c r="F94" t="s">
        <v>311</v>
      </c>
    </row>
    <row r="95" spans="5:6" x14ac:dyDescent="0.35">
      <c r="E95" t="s">
        <v>309</v>
      </c>
      <c r="F95" t="s">
        <v>312</v>
      </c>
    </row>
    <row r="96" spans="5:6" x14ac:dyDescent="0.35">
      <c r="E96" t="s">
        <v>309</v>
      </c>
      <c r="F96" t="s">
        <v>313</v>
      </c>
    </row>
    <row r="97" spans="5:6" x14ac:dyDescent="0.35">
      <c r="E97" t="s">
        <v>309</v>
      </c>
      <c r="F97" t="s">
        <v>314</v>
      </c>
    </row>
    <row r="98" spans="5:6" x14ac:dyDescent="0.35">
      <c r="E98" t="s">
        <v>309</v>
      </c>
      <c r="F98" t="s">
        <v>315</v>
      </c>
    </row>
    <row r="99" spans="5:6" x14ac:dyDescent="0.35">
      <c r="E99" t="s">
        <v>309</v>
      </c>
      <c r="F99" t="s">
        <v>316</v>
      </c>
    </row>
    <row r="100" spans="5:6" x14ac:dyDescent="0.35">
      <c r="E100" t="s">
        <v>309</v>
      </c>
      <c r="F100" t="s">
        <v>317</v>
      </c>
    </row>
    <row r="101" spans="5:6" x14ac:dyDescent="0.35">
      <c r="E101" t="s">
        <v>309</v>
      </c>
      <c r="F101" t="s">
        <v>318</v>
      </c>
    </row>
    <row r="102" spans="5:6" x14ac:dyDescent="0.35">
      <c r="E102" t="s">
        <v>309</v>
      </c>
      <c r="F102" t="s">
        <v>319</v>
      </c>
    </row>
    <row r="103" spans="5:6" x14ac:dyDescent="0.35">
      <c r="E103" t="s">
        <v>309</v>
      </c>
      <c r="F103" t="s">
        <v>320</v>
      </c>
    </row>
    <row r="104" spans="5:6" x14ac:dyDescent="0.35">
      <c r="E104" t="s">
        <v>309</v>
      </c>
      <c r="F104" t="s">
        <v>321</v>
      </c>
    </row>
    <row r="105" spans="5:6" x14ac:dyDescent="0.35">
      <c r="E105" t="s">
        <v>309</v>
      </c>
      <c r="F105" t="s">
        <v>322</v>
      </c>
    </row>
    <row r="106" spans="5:6" x14ac:dyDescent="0.35">
      <c r="E106" t="s">
        <v>309</v>
      </c>
      <c r="F106" t="s">
        <v>323</v>
      </c>
    </row>
    <row r="107" spans="5:6" x14ac:dyDescent="0.35">
      <c r="E107" t="s">
        <v>309</v>
      </c>
      <c r="F107" t="s">
        <v>324</v>
      </c>
    </row>
    <row r="108" spans="5:6" x14ac:dyDescent="0.35">
      <c r="E108" t="s">
        <v>309</v>
      </c>
      <c r="F108" t="s">
        <v>287</v>
      </c>
    </row>
    <row r="109" spans="5:6" x14ac:dyDescent="0.35">
      <c r="E109" t="s">
        <v>309</v>
      </c>
      <c r="F109" t="s">
        <v>325</v>
      </c>
    </row>
    <row r="110" spans="5:6" x14ac:dyDescent="0.35">
      <c r="E110" t="s">
        <v>309</v>
      </c>
      <c r="F110" t="s">
        <v>326</v>
      </c>
    </row>
    <row r="111" spans="5:6" x14ac:dyDescent="0.35">
      <c r="E111" t="s">
        <v>309</v>
      </c>
      <c r="F111" t="s">
        <v>327</v>
      </c>
    </row>
    <row r="112" spans="5:6" x14ac:dyDescent="0.35">
      <c r="E112" t="s">
        <v>309</v>
      </c>
      <c r="F112" t="s">
        <v>328</v>
      </c>
    </row>
    <row r="113" spans="5:6" x14ac:dyDescent="0.35">
      <c r="E113" t="s">
        <v>309</v>
      </c>
      <c r="F113" t="s">
        <v>329</v>
      </c>
    </row>
    <row r="114" spans="5:6" x14ac:dyDescent="0.35">
      <c r="E114" t="s">
        <v>309</v>
      </c>
      <c r="F114" t="s">
        <v>330</v>
      </c>
    </row>
    <row r="115" spans="5:6" x14ac:dyDescent="0.35">
      <c r="E115" t="s">
        <v>309</v>
      </c>
      <c r="F115" t="s">
        <v>331</v>
      </c>
    </row>
    <row r="116" spans="5:6" x14ac:dyDescent="0.35">
      <c r="E116" t="s">
        <v>309</v>
      </c>
      <c r="F116" t="s">
        <v>332</v>
      </c>
    </row>
    <row r="117" spans="5:6" x14ac:dyDescent="0.35">
      <c r="E117" t="s">
        <v>333</v>
      </c>
      <c r="F117" t="s">
        <v>334</v>
      </c>
    </row>
    <row r="118" spans="5:6" x14ac:dyDescent="0.35">
      <c r="E118" t="s">
        <v>333</v>
      </c>
      <c r="F118" t="s">
        <v>335</v>
      </c>
    </row>
    <row r="119" spans="5:6" x14ac:dyDescent="0.35">
      <c r="E119" t="s">
        <v>333</v>
      </c>
      <c r="F119" t="s">
        <v>336</v>
      </c>
    </row>
    <row r="120" spans="5:6" x14ac:dyDescent="0.35">
      <c r="E120" t="s">
        <v>333</v>
      </c>
      <c r="F120" t="s">
        <v>337</v>
      </c>
    </row>
    <row r="121" spans="5:6" x14ac:dyDescent="0.35">
      <c r="E121" t="s">
        <v>333</v>
      </c>
      <c r="F121" t="s">
        <v>338</v>
      </c>
    </row>
    <row r="122" spans="5:6" x14ac:dyDescent="0.35">
      <c r="E122" t="s">
        <v>333</v>
      </c>
      <c r="F122" t="s">
        <v>339</v>
      </c>
    </row>
    <row r="123" spans="5:6" x14ac:dyDescent="0.35">
      <c r="E123" t="s">
        <v>333</v>
      </c>
      <c r="F123" t="s">
        <v>340</v>
      </c>
    </row>
    <row r="124" spans="5:6" x14ac:dyDescent="0.35">
      <c r="E124" t="s">
        <v>333</v>
      </c>
      <c r="F124" t="s">
        <v>341</v>
      </c>
    </row>
    <row r="125" spans="5:6" x14ac:dyDescent="0.35">
      <c r="E125" t="s">
        <v>333</v>
      </c>
      <c r="F125" t="s">
        <v>342</v>
      </c>
    </row>
    <row r="126" spans="5:6" x14ac:dyDescent="0.35">
      <c r="E126" t="s">
        <v>333</v>
      </c>
      <c r="F126" t="s">
        <v>343</v>
      </c>
    </row>
    <row r="127" spans="5:6" x14ac:dyDescent="0.35">
      <c r="E127" t="s">
        <v>333</v>
      </c>
      <c r="F127" t="s">
        <v>344</v>
      </c>
    </row>
    <row r="128" spans="5:6" x14ac:dyDescent="0.35">
      <c r="E128" t="s">
        <v>333</v>
      </c>
      <c r="F128" t="s">
        <v>345</v>
      </c>
    </row>
    <row r="129" spans="5:6" x14ac:dyDescent="0.35">
      <c r="E129" t="s">
        <v>333</v>
      </c>
      <c r="F129" t="s">
        <v>346</v>
      </c>
    </row>
    <row r="130" spans="5:6" x14ac:dyDescent="0.35">
      <c r="E130" t="s">
        <v>333</v>
      </c>
      <c r="F130" t="s">
        <v>347</v>
      </c>
    </row>
    <row r="131" spans="5:6" x14ac:dyDescent="0.35">
      <c r="E131" t="s">
        <v>333</v>
      </c>
      <c r="F131" t="s">
        <v>348</v>
      </c>
    </row>
    <row r="132" spans="5:6" x14ac:dyDescent="0.35">
      <c r="E132" t="s">
        <v>333</v>
      </c>
      <c r="F132" t="s">
        <v>349</v>
      </c>
    </row>
    <row r="133" spans="5:6" x14ac:dyDescent="0.35">
      <c r="E133" t="s">
        <v>333</v>
      </c>
      <c r="F133" t="s">
        <v>350</v>
      </c>
    </row>
    <row r="134" spans="5:6" x14ac:dyDescent="0.35">
      <c r="E134" t="s">
        <v>333</v>
      </c>
      <c r="F134" t="s">
        <v>351</v>
      </c>
    </row>
    <row r="135" spans="5:6" x14ac:dyDescent="0.35">
      <c r="E135" t="s">
        <v>333</v>
      </c>
      <c r="F135" t="s">
        <v>352</v>
      </c>
    </row>
    <row r="136" spans="5:6" x14ac:dyDescent="0.35">
      <c r="E136" t="s">
        <v>333</v>
      </c>
      <c r="F136" t="s">
        <v>353</v>
      </c>
    </row>
    <row r="137" spans="5:6" x14ac:dyDescent="0.35">
      <c r="E137" t="s">
        <v>333</v>
      </c>
      <c r="F137" t="s">
        <v>354</v>
      </c>
    </row>
    <row r="138" spans="5:6" x14ac:dyDescent="0.35">
      <c r="E138" t="s">
        <v>333</v>
      </c>
      <c r="F138" t="s">
        <v>355</v>
      </c>
    </row>
    <row r="139" spans="5:6" x14ac:dyDescent="0.35">
      <c r="E139" t="s">
        <v>356</v>
      </c>
      <c r="F139" t="s">
        <v>357</v>
      </c>
    </row>
    <row r="140" spans="5:6" x14ac:dyDescent="0.35">
      <c r="E140" t="s">
        <v>356</v>
      </c>
      <c r="F140" t="s">
        <v>358</v>
      </c>
    </row>
    <row r="141" spans="5:6" x14ac:dyDescent="0.35">
      <c r="E141" t="s">
        <v>356</v>
      </c>
      <c r="F141" t="s">
        <v>359</v>
      </c>
    </row>
    <row r="142" spans="5:6" x14ac:dyDescent="0.35">
      <c r="E142" t="s">
        <v>356</v>
      </c>
      <c r="F142" t="s">
        <v>360</v>
      </c>
    </row>
    <row r="143" spans="5:6" x14ac:dyDescent="0.35">
      <c r="E143" t="s">
        <v>356</v>
      </c>
      <c r="F143" t="s">
        <v>361</v>
      </c>
    </row>
    <row r="144" spans="5:6" x14ac:dyDescent="0.35">
      <c r="E144" t="s">
        <v>356</v>
      </c>
      <c r="F144" t="s">
        <v>362</v>
      </c>
    </row>
    <row r="145" spans="5:6" x14ac:dyDescent="0.35">
      <c r="E145" t="s">
        <v>356</v>
      </c>
      <c r="F145" t="s">
        <v>363</v>
      </c>
    </row>
    <row r="146" spans="5:6" x14ac:dyDescent="0.35">
      <c r="E146" t="s">
        <v>356</v>
      </c>
      <c r="F146" t="s">
        <v>364</v>
      </c>
    </row>
    <row r="147" spans="5:6" x14ac:dyDescent="0.35">
      <c r="E147" t="s">
        <v>356</v>
      </c>
      <c r="F147" t="s">
        <v>365</v>
      </c>
    </row>
    <row r="148" spans="5:6" x14ac:dyDescent="0.35">
      <c r="E148" t="s">
        <v>356</v>
      </c>
      <c r="F148" t="s">
        <v>366</v>
      </c>
    </row>
    <row r="149" spans="5:6" x14ac:dyDescent="0.35">
      <c r="E149" t="s">
        <v>356</v>
      </c>
      <c r="F149" t="s">
        <v>367</v>
      </c>
    </row>
    <row r="150" spans="5:6" x14ac:dyDescent="0.35">
      <c r="E150" t="s">
        <v>356</v>
      </c>
      <c r="F150" t="s">
        <v>368</v>
      </c>
    </row>
    <row r="151" spans="5:6" x14ac:dyDescent="0.35">
      <c r="E151" t="s">
        <v>356</v>
      </c>
      <c r="F151" t="s">
        <v>369</v>
      </c>
    </row>
    <row r="152" spans="5:6" x14ac:dyDescent="0.35">
      <c r="E152" t="s">
        <v>356</v>
      </c>
      <c r="F152" t="s">
        <v>370</v>
      </c>
    </row>
    <row r="153" spans="5:6" x14ac:dyDescent="0.35">
      <c r="E153" t="s">
        <v>356</v>
      </c>
      <c r="F153" t="s">
        <v>371</v>
      </c>
    </row>
    <row r="154" spans="5:6" x14ac:dyDescent="0.35">
      <c r="E154" t="s">
        <v>356</v>
      </c>
      <c r="F154" t="s">
        <v>372</v>
      </c>
    </row>
    <row r="155" spans="5:6" x14ac:dyDescent="0.35">
      <c r="E155" t="s">
        <v>356</v>
      </c>
      <c r="F155" t="s">
        <v>373</v>
      </c>
    </row>
    <row r="156" spans="5:6" x14ac:dyDescent="0.35">
      <c r="E156" t="s">
        <v>356</v>
      </c>
      <c r="F156" t="s">
        <v>374</v>
      </c>
    </row>
    <row r="157" spans="5:6" x14ac:dyDescent="0.35">
      <c r="E157" t="s">
        <v>356</v>
      </c>
      <c r="F157" t="s">
        <v>375</v>
      </c>
    </row>
    <row r="158" spans="5:6" x14ac:dyDescent="0.35">
      <c r="E158" t="s">
        <v>356</v>
      </c>
      <c r="F158" t="s">
        <v>376</v>
      </c>
    </row>
    <row r="159" spans="5:6" x14ac:dyDescent="0.35">
      <c r="E159" t="s">
        <v>356</v>
      </c>
      <c r="F159" t="s">
        <v>377</v>
      </c>
    </row>
    <row r="160" spans="5:6" x14ac:dyDescent="0.35">
      <c r="E160" t="s">
        <v>356</v>
      </c>
      <c r="F160" t="s">
        <v>378</v>
      </c>
    </row>
    <row r="161" spans="5:6" x14ac:dyDescent="0.35">
      <c r="E161" t="s">
        <v>356</v>
      </c>
      <c r="F161" t="s">
        <v>379</v>
      </c>
    </row>
    <row r="162" spans="5:6" x14ac:dyDescent="0.35">
      <c r="E162" t="s">
        <v>356</v>
      </c>
      <c r="F162" t="s">
        <v>380</v>
      </c>
    </row>
    <row r="163" spans="5:6" x14ac:dyDescent="0.35">
      <c r="E163" t="s">
        <v>356</v>
      </c>
      <c r="F163" t="s">
        <v>381</v>
      </c>
    </row>
    <row r="164" spans="5:6" x14ac:dyDescent="0.35">
      <c r="E164" t="s">
        <v>356</v>
      </c>
      <c r="F164" t="s">
        <v>382</v>
      </c>
    </row>
    <row r="165" spans="5:6" x14ac:dyDescent="0.35">
      <c r="E165" t="s">
        <v>356</v>
      </c>
      <c r="F165" t="s">
        <v>383</v>
      </c>
    </row>
    <row r="166" spans="5:6" x14ac:dyDescent="0.35">
      <c r="E166" t="s">
        <v>356</v>
      </c>
      <c r="F166" t="s">
        <v>384</v>
      </c>
    </row>
    <row r="167" spans="5:6" x14ac:dyDescent="0.35">
      <c r="E167" t="s">
        <v>356</v>
      </c>
      <c r="F167" t="s">
        <v>385</v>
      </c>
    </row>
    <row r="168" spans="5:6" x14ac:dyDescent="0.35">
      <c r="E168" t="s">
        <v>356</v>
      </c>
      <c r="F168" t="s">
        <v>386</v>
      </c>
    </row>
    <row r="169" spans="5:6" x14ac:dyDescent="0.35">
      <c r="E169" t="s">
        <v>356</v>
      </c>
      <c r="F169" t="s">
        <v>387</v>
      </c>
    </row>
    <row r="170" spans="5:6" x14ac:dyDescent="0.35">
      <c r="E170" t="s">
        <v>356</v>
      </c>
      <c r="F170" t="s">
        <v>388</v>
      </c>
    </row>
    <row r="171" spans="5:6" x14ac:dyDescent="0.35">
      <c r="E171" t="s">
        <v>356</v>
      </c>
      <c r="F171" t="s">
        <v>389</v>
      </c>
    </row>
    <row r="172" spans="5:6" x14ac:dyDescent="0.35">
      <c r="E172" t="s">
        <v>356</v>
      </c>
      <c r="F172" t="s">
        <v>390</v>
      </c>
    </row>
    <row r="173" spans="5:6" x14ac:dyDescent="0.35">
      <c r="E173" t="s">
        <v>356</v>
      </c>
      <c r="F173" t="s">
        <v>391</v>
      </c>
    </row>
    <row r="174" spans="5:6" x14ac:dyDescent="0.35">
      <c r="E174" t="s">
        <v>356</v>
      </c>
      <c r="F174" t="s">
        <v>392</v>
      </c>
    </row>
    <row r="175" spans="5:6" x14ac:dyDescent="0.35">
      <c r="E175" t="s">
        <v>356</v>
      </c>
      <c r="F175" t="s">
        <v>393</v>
      </c>
    </row>
    <row r="176" spans="5:6" x14ac:dyDescent="0.35">
      <c r="E176" t="s">
        <v>356</v>
      </c>
      <c r="F176" t="s">
        <v>394</v>
      </c>
    </row>
    <row r="177" spans="5:6" x14ac:dyDescent="0.35">
      <c r="E177" t="s">
        <v>356</v>
      </c>
      <c r="F177" t="s">
        <v>395</v>
      </c>
    </row>
    <row r="178" spans="5:6" x14ac:dyDescent="0.35">
      <c r="E178" t="s">
        <v>356</v>
      </c>
      <c r="F178" t="s">
        <v>396</v>
      </c>
    </row>
    <row r="179" spans="5:6" x14ac:dyDescent="0.35">
      <c r="E179" t="s">
        <v>356</v>
      </c>
      <c r="F179" t="s">
        <v>397</v>
      </c>
    </row>
    <row r="180" spans="5:6" x14ac:dyDescent="0.35">
      <c r="E180" t="s">
        <v>356</v>
      </c>
      <c r="F180" t="s">
        <v>398</v>
      </c>
    </row>
    <row r="181" spans="5:6" x14ac:dyDescent="0.35">
      <c r="E181" t="s">
        <v>399</v>
      </c>
      <c r="F181" t="s">
        <v>335</v>
      </c>
    </row>
    <row r="182" spans="5:6" x14ac:dyDescent="0.35">
      <c r="E182" t="s">
        <v>399</v>
      </c>
      <c r="F182" t="s">
        <v>400</v>
      </c>
    </row>
    <row r="183" spans="5:6" x14ac:dyDescent="0.35">
      <c r="E183" t="s">
        <v>399</v>
      </c>
      <c r="F183" t="s">
        <v>401</v>
      </c>
    </row>
    <row r="184" spans="5:6" x14ac:dyDescent="0.35">
      <c r="E184" t="s">
        <v>399</v>
      </c>
      <c r="F184" t="s">
        <v>402</v>
      </c>
    </row>
    <row r="185" spans="5:6" x14ac:dyDescent="0.35">
      <c r="E185" t="s">
        <v>399</v>
      </c>
      <c r="F185" t="s">
        <v>403</v>
      </c>
    </row>
    <row r="186" spans="5:6" x14ac:dyDescent="0.35">
      <c r="E186" t="s">
        <v>399</v>
      </c>
      <c r="F186" t="s">
        <v>404</v>
      </c>
    </row>
    <row r="187" spans="5:6" x14ac:dyDescent="0.35">
      <c r="E187" t="s">
        <v>399</v>
      </c>
      <c r="F187" t="s">
        <v>405</v>
      </c>
    </row>
    <row r="188" spans="5:6" x14ac:dyDescent="0.35">
      <c r="E188" t="s">
        <v>399</v>
      </c>
      <c r="F188" t="s">
        <v>406</v>
      </c>
    </row>
    <row r="189" spans="5:6" x14ac:dyDescent="0.35">
      <c r="E189" t="s">
        <v>399</v>
      </c>
      <c r="F189" t="s">
        <v>282</v>
      </c>
    </row>
    <row r="190" spans="5:6" x14ac:dyDescent="0.35">
      <c r="E190" t="s">
        <v>399</v>
      </c>
      <c r="F190" t="s">
        <v>407</v>
      </c>
    </row>
    <row r="191" spans="5:6" x14ac:dyDescent="0.35">
      <c r="E191" t="s">
        <v>399</v>
      </c>
      <c r="F191" t="s">
        <v>408</v>
      </c>
    </row>
    <row r="192" spans="5:6" x14ac:dyDescent="0.35">
      <c r="E192" t="s">
        <v>399</v>
      </c>
      <c r="F192" t="s">
        <v>409</v>
      </c>
    </row>
    <row r="193" spans="5:6" x14ac:dyDescent="0.35">
      <c r="E193" t="s">
        <v>410</v>
      </c>
      <c r="F193" t="s">
        <v>411</v>
      </c>
    </row>
    <row r="194" spans="5:6" x14ac:dyDescent="0.35">
      <c r="E194" t="s">
        <v>410</v>
      </c>
      <c r="F194" t="s">
        <v>412</v>
      </c>
    </row>
    <row r="195" spans="5:6" x14ac:dyDescent="0.35">
      <c r="E195" t="s">
        <v>410</v>
      </c>
      <c r="F195" t="s">
        <v>413</v>
      </c>
    </row>
    <row r="196" spans="5:6" x14ac:dyDescent="0.35">
      <c r="E196" t="s">
        <v>410</v>
      </c>
      <c r="F196" t="s">
        <v>414</v>
      </c>
    </row>
    <row r="197" spans="5:6" x14ac:dyDescent="0.35">
      <c r="E197" t="s">
        <v>410</v>
      </c>
      <c r="F197" t="s">
        <v>415</v>
      </c>
    </row>
    <row r="198" spans="5:6" x14ac:dyDescent="0.35">
      <c r="E198" t="s">
        <v>410</v>
      </c>
      <c r="F198" t="s">
        <v>416</v>
      </c>
    </row>
    <row r="199" spans="5:6" x14ac:dyDescent="0.35">
      <c r="E199" t="s">
        <v>410</v>
      </c>
      <c r="F199" t="s">
        <v>296</v>
      </c>
    </row>
    <row r="200" spans="5:6" x14ac:dyDescent="0.35">
      <c r="E200" t="s">
        <v>410</v>
      </c>
      <c r="F200" t="s">
        <v>417</v>
      </c>
    </row>
    <row r="201" spans="5:6" x14ac:dyDescent="0.35">
      <c r="E201" t="s">
        <v>410</v>
      </c>
      <c r="F201" t="s">
        <v>418</v>
      </c>
    </row>
    <row r="202" spans="5:6" x14ac:dyDescent="0.35">
      <c r="E202" t="s">
        <v>410</v>
      </c>
      <c r="F202" t="s">
        <v>419</v>
      </c>
    </row>
    <row r="203" spans="5:6" x14ac:dyDescent="0.35">
      <c r="E203" t="s">
        <v>410</v>
      </c>
      <c r="F203" t="s">
        <v>420</v>
      </c>
    </row>
    <row r="204" spans="5:6" x14ac:dyDescent="0.35">
      <c r="E204" t="s">
        <v>410</v>
      </c>
      <c r="F204" t="s">
        <v>421</v>
      </c>
    </row>
    <row r="205" spans="5:6" x14ac:dyDescent="0.35">
      <c r="E205" t="s">
        <v>410</v>
      </c>
      <c r="F205" t="s">
        <v>422</v>
      </c>
    </row>
    <row r="206" spans="5:6" x14ac:dyDescent="0.35">
      <c r="E206" t="s">
        <v>410</v>
      </c>
      <c r="F206" t="s">
        <v>423</v>
      </c>
    </row>
    <row r="207" spans="5:6" x14ac:dyDescent="0.35">
      <c r="E207" t="s">
        <v>410</v>
      </c>
      <c r="F207" t="s">
        <v>424</v>
      </c>
    </row>
    <row r="208" spans="5:6" x14ac:dyDescent="0.35">
      <c r="E208" t="s">
        <v>410</v>
      </c>
      <c r="F208" t="s">
        <v>425</v>
      </c>
    </row>
    <row r="209" spans="5:6" x14ac:dyDescent="0.35">
      <c r="E209" t="s">
        <v>410</v>
      </c>
      <c r="F209" t="s">
        <v>426</v>
      </c>
    </row>
    <row r="210" spans="5:6" x14ac:dyDescent="0.35">
      <c r="E210" t="s">
        <v>410</v>
      </c>
      <c r="F210" t="s">
        <v>427</v>
      </c>
    </row>
    <row r="211" spans="5:6" x14ac:dyDescent="0.35">
      <c r="E211" t="s">
        <v>410</v>
      </c>
      <c r="F211" t="s">
        <v>428</v>
      </c>
    </row>
    <row r="212" spans="5:6" x14ac:dyDescent="0.35">
      <c r="E212" t="s">
        <v>410</v>
      </c>
      <c r="F212" t="s">
        <v>429</v>
      </c>
    </row>
    <row r="213" spans="5:6" x14ac:dyDescent="0.35">
      <c r="E213" t="s">
        <v>410</v>
      </c>
      <c r="F213" t="s">
        <v>430</v>
      </c>
    </row>
    <row r="214" spans="5:6" x14ac:dyDescent="0.35">
      <c r="E214" t="s">
        <v>410</v>
      </c>
      <c r="F214" t="s">
        <v>431</v>
      </c>
    </row>
    <row r="215" spans="5:6" x14ac:dyDescent="0.35">
      <c r="E215" t="s">
        <v>410</v>
      </c>
      <c r="F215" t="s">
        <v>432</v>
      </c>
    </row>
    <row r="216" spans="5:6" x14ac:dyDescent="0.35">
      <c r="E216" t="s">
        <v>410</v>
      </c>
      <c r="F216" t="s">
        <v>433</v>
      </c>
    </row>
    <row r="217" spans="5:6" x14ac:dyDescent="0.35">
      <c r="E217" t="s">
        <v>410</v>
      </c>
      <c r="F217" t="s">
        <v>434</v>
      </c>
    </row>
    <row r="218" spans="5:6" x14ac:dyDescent="0.35">
      <c r="E218" t="s">
        <v>435</v>
      </c>
      <c r="F218" t="s">
        <v>436</v>
      </c>
    </row>
    <row r="219" spans="5:6" x14ac:dyDescent="0.35">
      <c r="E219" t="s">
        <v>435</v>
      </c>
      <c r="F219" t="s">
        <v>437</v>
      </c>
    </row>
    <row r="220" spans="5:6" x14ac:dyDescent="0.35">
      <c r="E220" t="s">
        <v>435</v>
      </c>
      <c r="F220" t="s">
        <v>438</v>
      </c>
    </row>
    <row r="221" spans="5:6" x14ac:dyDescent="0.35">
      <c r="E221" t="s">
        <v>435</v>
      </c>
      <c r="F221" t="s">
        <v>439</v>
      </c>
    </row>
    <row r="222" spans="5:6" x14ac:dyDescent="0.35">
      <c r="E222" t="s">
        <v>435</v>
      </c>
      <c r="F222" t="s">
        <v>440</v>
      </c>
    </row>
    <row r="223" spans="5:6" x14ac:dyDescent="0.35">
      <c r="E223" t="s">
        <v>435</v>
      </c>
      <c r="F223" t="s">
        <v>441</v>
      </c>
    </row>
    <row r="224" spans="5:6" x14ac:dyDescent="0.35">
      <c r="E224" t="s">
        <v>435</v>
      </c>
      <c r="F224" t="s">
        <v>442</v>
      </c>
    </row>
    <row r="225" spans="5:6" x14ac:dyDescent="0.35">
      <c r="E225" t="s">
        <v>435</v>
      </c>
      <c r="F225" t="s">
        <v>443</v>
      </c>
    </row>
    <row r="226" spans="5:6" x14ac:dyDescent="0.35">
      <c r="E226" t="s">
        <v>435</v>
      </c>
      <c r="F226" t="s">
        <v>444</v>
      </c>
    </row>
    <row r="227" spans="5:6" x14ac:dyDescent="0.35">
      <c r="E227" t="s">
        <v>435</v>
      </c>
      <c r="F227" t="s">
        <v>445</v>
      </c>
    </row>
    <row r="228" spans="5:6" x14ac:dyDescent="0.35">
      <c r="E228" t="s">
        <v>435</v>
      </c>
      <c r="F228" t="s">
        <v>446</v>
      </c>
    </row>
    <row r="229" spans="5:6" x14ac:dyDescent="0.35">
      <c r="E229" t="s">
        <v>435</v>
      </c>
      <c r="F229" t="s">
        <v>447</v>
      </c>
    </row>
    <row r="230" spans="5:6" x14ac:dyDescent="0.35">
      <c r="E230" t="s">
        <v>435</v>
      </c>
      <c r="F230" t="s">
        <v>448</v>
      </c>
    </row>
    <row r="231" spans="5:6" x14ac:dyDescent="0.35">
      <c r="E231" t="s">
        <v>435</v>
      </c>
      <c r="F231" t="s">
        <v>449</v>
      </c>
    </row>
    <row r="232" spans="5:6" x14ac:dyDescent="0.35">
      <c r="E232" t="s">
        <v>435</v>
      </c>
      <c r="F232" t="s">
        <v>450</v>
      </c>
    </row>
    <row r="233" spans="5:6" x14ac:dyDescent="0.35">
      <c r="E233" t="s">
        <v>435</v>
      </c>
      <c r="F233" t="s">
        <v>451</v>
      </c>
    </row>
    <row r="234" spans="5:6" x14ac:dyDescent="0.35">
      <c r="E234" t="s">
        <v>435</v>
      </c>
      <c r="F234" t="s">
        <v>452</v>
      </c>
    </row>
    <row r="235" spans="5:6" x14ac:dyDescent="0.35">
      <c r="E235" t="s">
        <v>453</v>
      </c>
      <c r="F235" t="s">
        <v>454</v>
      </c>
    </row>
    <row r="236" spans="5:6" x14ac:dyDescent="0.35">
      <c r="E236" t="s">
        <v>453</v>
      </c>
      <c r="F236" t="s">
        <v>455</v>
      </c>
    </row>
    <row r="237" spans="5:6" x14ac:dyDescent="0.35">
      <c r="E237" t="s">
        <v>453</v>
      </c>
      <c r="F237" t="s">
        <v>456</v>
      </c>
    </row>
    <row r="238" spans="5:6" x14ac:dyDescent="0.35">
      <c r="E238" t="s">
        <v>453</v>
      </c>
      <c r="F238" t="s">
        <v>457</v>
      </c>
    </row>
    <row r="239" spans="5:6" x14ac:dyDescent="0.35">
      <c r="E239" t="s">
        <v>453</v>
      </c>
      <c r="F239" t="s">
        <v>458</v>
      </c>
    </row>
    <row r="240" spans="5:6" x14ac:dyDescent="0.35">
      <c r="E240" t="s">
        <v>453</v>
      </c>
      <c r="F240" t="s">
        <v>459</v>
      </c>
    </row>
    <row r="241" spans="5:6" x14ac:dyDescent="0.35">
      <c r="E241" t="s">
        <v>453</v>
      </c>
      <c r="F241" t="s">
        <v>460</v>
      </c>
    </row>
    <row r="242" spans="5:6" x14ac:dyDescent="0.35">
      <c r="E242" t="s">
        <v>453</v>
      </c>
      <c r="F242" t="s">
        <v>461</v>
      </c>
    </row>
    <row r="243" spans="5:6" x14ac:dyDescent="0.35">
      <c r="E243" t="s">
        <v>453</v>
      </c>
      <c r="F243" t="s">
        <v>462</v>
      </c>
    </row>
    <row r="244" spans="5:6" x14ac:dyDescent="0.35">
      <c r="E244" t="s">
        <v>453</v>
      </c>
      <c r="F244" t="s">
        <v>370</v>
      </c>
    </row>
    <row r="245" spans="5:6" x14ac:dyDescent="0.35">
      <c r="E245" t="s">
        <v>453</v>
      </c>
      <c r="F245" t="s">
        <v>463</v>
      </c>
    </row>
    <row r="246" spans="5:6" x14ac:dyDescent="0.35">
      <c r="E246" t="s">
        <v>453</v>
      </c>
      <c r="F246" t="s">
        <v>464</v>
      </c>
    </row>
    <row r="247" spans="5:6" x14ac:dyDescent="0.35">
      <c r="E247" t="s">
        <v>453</v>
      </c>
      <c r="F247" t="s">
        <v>465</v>
      </c>
    </row>
    <row r="248" spans="5:6" x14ac:dyDescent="0.35">
      <c r="E248" t="s">
        <v>453</v>
      </c>
      <c r="F248" t="s">
        <v>466</v>
      </c>
    </row>
    <row r="249" spans="5:6" x14ac:dyDescent="0.35">
      <c r="E249" t="s">
        <v>453</v>
      </c>
      <c r="F249" t="s">
        <v>467</v>
      </c>
    </row>
    <row r="250" spans="5:6" x14ac:dyDescent="0.35">
      <c r="E250" t="s">
        <v>453</v>
      </c>
      <c r="F250" t="s">
        <v>468</v>
      </c>
    </row>
    <row r="251" spans="5:6" x14ac:dyDescent="0.35">
      <c r="E251" t="s">
        <v>453</v>
      </c>
      <c r="F251" t="s">
        <v>469</v>
      </c>
    </row>
    <row r="252" spans="5:6" x14ac:dyDescent="0.35">
      <c r="E252" t="s">
        <v>453</v>
      </c>
      <c r="F252" t="s">
        <v>470</v>
      </c>
    </row>
    <row r="253" spans="5:6" x14ac:dyDescent="0.35">
      <c r="E253" t="s">
        <v>453</v>
      </c>
      <c r="F253" t="s">
        <v>471</v>
      </c>
    </row>
    <row r="254" spans="5:6" x14ac:dyDescent="0.35">
      <c r="E254" t="s">
        <v>453</v>
      </c>
      <c r="F254" t="s">
        <v>472</v>
      </c>
    </row>
    <row r="255" spans="5:6" x14ac:dyDescent="0.35">
      <c r="E255" t="s">
        <v>473</v>
      </c>
      <c r="F255" t="s">
        <v>474</v>
      </c>
    </row>
    <row r="256" spans="5:6" x14ac:dyDescent="0.35">
      <c r="E256" t="s">
        <v>473</v>
      </c>
      <c r="F256" t="s">
        <v>438</v>
      </c>
    </row>
    <row r="257" spans="5:6" x14ac:dyDescent="0.35">
      <c r="E257" t="s">
        <v>473</v>
      </c>
      <c r="F257" t="s">
        <v>475</v>
      </c>
    </row>
    <row r="258" spans="5:6" x14ac:dyDescent="0.35">
      <c r="E258" t="s">
        <v>473</v>
      </c>
      <c r="F258" t="s">
        <v>476</v>
      </c>
    </row>
    <row r="259" spans="5:6" x14ac:dyDescent="0.35">
      <c r="E259" t="s">
        <v>473</v>
      </c>
      <c r="F259" t="s">
        <v>477</v>
      </c>
    </row>
    <row r="260" spans="5:6" x14ac:dyDescent="0.35">
      <c r="E260" t="s">
        <v>473</v>
      </c>
      <c r="F260" t="s">
        <v>478</v>
      </c>
    </row>
    <row r="261" spans="5:6" x14ac:dyDescent="0.35">
      <c r="E261" t="s">
        <v>473</v>
      </c>
      <c r="F261" t="s">
        <v>479</v>
      </c>
    </row>
    <row r="262" spans="5:6" x14ac:dyDescent="0.35">
      <c r="E262" t="s">
        <v>473</v>
      </c>
      <c r="F262" t="s">
        <v>480</v>
      </c>
    </row>
    <row r="263" spans="5:6" x14ac:dyDescent="0.35">
      <c r="E263" t="s">
        <v>473</v>
      </c>
      <c r="F263" t="s">
        <v>481</v>
      </c>
    </row>
    <row r="264" spans="5:6" x14ac:dyDescent="0.35">
      <c r="E264" t="s">
        <v>473</v>
      </c>
      <c r="F264" t="s">
        <v>482</v>
      </c>
    </row>
    <row r="265" spans="5:6" x14ac:dyDescent="0.35">
      <c r="E265" t="s">
        <v>473</v>
      </c>
      <c r="F265" t="s">
        <v>483</v>
      </c>
    </row>
    <row r="266" spans="5:6" x14ac:dyDescent="0.35">
      <c r="E266" t="s">
        <v>473</v>
      </c>
      <c r="F266" t="s">
        <v>484</v>
      </c>
    </row>
    <row r="267" spans="5:6" x14ac:dyDescent="0.35">
      <c r="E267" t="s">
        <v>473</v>
      </c>
      <c r="F267" t="s">
        <v>485</v>
      </c>
    </row>
    <row r="268" spans="5:6" x14ac:dyDescent="0.35">
      <c r="E268" t="s">
        <v>473</v>
      </c>
      <c r="F268" t="s">
        <v>486</v>
      </c>
    </row>
    <row r="269" spans="5:6" x14ac:dyDescent="0.35">
      <c r="E269" t="s">
        <v>473</v>
      </c>
      <c r="F269" t="s">
        <v>487</v>
      </c>
    </row>
    <row r="270" spans="5:6" x14ac:dyDescent="0.35">
      <c r="E270" t="s">
        <v>473</v>
      </c>
      <c r="F270" t="s">
        <v>488</v>
      </c>
    </row>
    <row r="271" spans="5:6" x14ac:dyDescent="0.35">
      <c r="E271" t="s">
        <v>473</v>
      </c>
      <c r="F271" t="s">
        <v>489</v>
      </c>
    </row>
    <row r="272" spans="5:6" x14ac:dyDescent="0.35">
      <c r="E272" t="s">
        <v>473</v>
      </c>
      <c r="F272" t="s">
        <v>490</v>
      </c>
    </row>
    <row r="273" spans="5:6" x14ac:dyDescent="0.35">
      <c r="E273" t="s">
        <v>473</v>
      </c>
      <c r="F273" t="s">
        <v>491</v>
      </c>
    </row>
    <row r="274" spans="5:6" x14ac:dyDescent="0.35">
      <c r="E274" t="s">
        <v>473</v>
      </c>
      <c r="F274" t="s">
        <v>492</v>
      </c>
    </row>
    <row r="275" spans="5:6" x14ac:dyDescent="0.35">
      <c r="E275" t="s">
        <v>473</v>
      </c>
      <c r="F275" t="s">
        <v>493</v>
      </c>
    </row>
    <row r="276" spans="5:6" x14ac:dyDescent="0.35">
      <c r="E276" t="s">
        <v>473</v>
      </c>
      <c r="F276" t="s">
        <v>494</v>
      </c>
    </row>
    <row r="277" spans="5:6" x14ac:dyDescent="0.35">
      <c r="E277" t="s">
        <v>473</v>
      </c>
      <c r="F277" t="s">
        <v>495</v>
      </c>
    </row>
    <row r="278" spans="5:6" x14ac:dyDescent="0.35">
      <c r="E278" t="s">
        <v>473</v>
      </c>
      <c r="F278" t="s">
        <v>496</v>
      </c>
    </row>
    <row r="279" spans="5:6" x14ac:dyDescent="0.35">
      <c r="E279" t="s">
        <v>473</v>
      </c>
      <c r="F279" t="s">
        <v>497</v>
      </c>
    </row>
    <row r="280" spans="5:6" x14ac:dyDescent="0.35">
      <c r="E280" t="s">
        <v>473</v>
      </c>
      <c r="F280" t="s">
        <v>498</v>
      </c>
    </row>
    <row r="281" spans="5:6" x14ac:dyDescent="0.35">
      <c r="E281" t="s">
        <v>473</v>
      </c>
      <c r="F281" t="s">
        <v>499</v>
      </c>
    </row>
    <row r="282" spans="5:6" x14ac:dyDescent="0.35">
      <c r="E282" t="s">
        <v>473</v>
      </c>
      <c r="F282" t="s">
        <v>500</v>
      </c>
    </row>
    <row r="283" spans="5:6" x14ac:dyDescent="0.35">
      <c r="E283" t="s">
        <v>473</v>
      </c>
      <c r="F283" t="s">
        <v>501</v>
      </c>
    </row>
    <row r="284" spans="5:6" x14ac:dyDescent="0.35">
      <c r="E284" t="s">
        <v>473</v>
      </c>
      <c r="F284" t="s">
        <v>502</v>
      </c>
    </row>
    <row r="285" spans="5:6" x14ac:dyDescent="0.35">
      <c r="E285" t="s">
        <v>473</v>
      </c>
      <c r="F285" t="s">
        <v>503</v>
      </c>
    </row>
    <row r="286" spans="5:6" x14ac:dyDescent="0.35">
      <c r="E286" t="s">
        <v>473</v>
      </c>
      <c r="F286" t="s">
        <v>504</v>
      </c>
    </row>
    <row r="287" spans="5:6" x14ac:dyDescent="0.35">
      <c r="E287" t="s">
        <v>473</v>
      </c>
      <c r="F287" t="s">
        <v>505</v>
      </c>
    </row>
    <row r="288" spans="5:6" x14ac:dyDescent="0.35">
      <c r="E288" t="s">
        <v>473</v>
      </c>
      <c r="F288" t="s">
        <v>506</v>
      </c>
    </row>
    <row r="289" spans="5:6" x14ac:dyDescent="0.35">
      <c r="E289" t="s">
        <v>473</v>
      </c>
      <c r="F289" t="s">
        <v>507</v>
      </c>
    </row>
    <row r="290" spans="5:6" x14ac:dyDescent="0.35">
      <c r="E290" t="s">
        <v>473</v>
      </c>
      <c r="F290" t="s">
        <v>508</v>
      </c>
    </row>
    <row r="291" spans="5:6" x14ac:dyDescent="0.35">
      <c r="E291" t="s">
        <v>509</v>
      </c>
      <c r="F291" t="s">
        <v>510</v>
      </c>
    </row>
    <row r="292" spans="5:6" x14ac:dyDescent="0.35">
      <c r="E292" t="s">
        <v>509</v>
      </c>
      <c r="F292" t="s">
        <v>511</v>
      </c>
    </row>
    <row r="293" spans="5:6" x14ac:dyDescent="0.35">
      <c r="E293" t="s">
        <v>509</v>
      </c>
      <c r="F293" t="s">
        <v>512</v>
      </c>
    </row>
    <row r="294" spans="5:6" x14ac:dyDescent="0.35">
      <c r="E294" t="s">
        <v>509</v>
      </c>
      <c r="F294" t="s">
        <v>513</v>
      </c>
    </row>
    <row r="295" spans="5:6" x14ac:dyDescent="0.35">
      <c r="E295" t="s">
        <v>509</v>
      </c>
      <c r="F295" t="s">
        <v>514</v>
      </c>
    </row>
    <row r="296" spans="5:6" x14ac:dyDescent="0.35">
      <c r="E296" t="s">
        <v>509</v>
      </c>
      <c r="F296" t="s">
        <v>515</v>
      </c>
    </row>
    <row r="297" spans="5:6" x14ac:dyDescent="0.35">
      <c r="E297" t="s">
        <v>509</v>
      </c>
      <c r="F297" t="s">
        <v>516</v>
      </c>
    </row>
    <row r="298" spans="5:6" x14ac:dyDescent="0.35">
      <c r="E298" t="s">
        <v>509</v>
      </c>
      <c r="F298" t="s">
        <v>517</v>
      </c>
    </row>
    <row r="299" spans="5:6" x14ac:dyDescent="0.35">
      <c r="E299" t="s">
        <v>509</v>
      </c>
      <c r="F299" t="s">
        <v>518</v>
      </c>
    </row>
    <row r="300" spans="5:6" x14ac:dyDescent="0.35">
      <c r="E300" t="s">
        <v>509</v>
      </c>
      <c r="F300" t="s">
        <v>519</v>
      </c>
    </row>
    <row r="301" spans="5:6" x14ac:dyDescent="0.35">
      <c r="E301" t="s">
        <v>509</v>
      </c>
      <c r="F301" t="s">
        <v>520</v>
      </c>
    </row>
    <row r="302" spans="5:6" x14ac:dyDescent="0.35">
      <c r="E302" t="s">
        <v>509</v>
      </c>
      <c r="F302" t="s">
        <v>521</v>
      </c>
    </row>
    <row r="303" spans="5:6" x14ac:dyDescent="0.35">
      <c r="E303" t="s">
        <v>509</v>
      </c>
      <c r="F303" t="s">
        <v>522</v>
      </c>
    </row>
    <row r="304" spans="5:6" x14ac:dyDescent="0.35">
      <c r="E304" t="s">
        <v>509</v>
      </c>
      <c r="F304" t="s">
        <v>523</v>
      </c>
    </row>
    <row r="305" spans="5:6" x14ac:dyDescent="0.35">
      <c r="E305" t="s">
        <v>524</v>
      </c>
      <c r="F305" t="s">
        <v>525</v>
      </c>
    </row>
    <row r="306" spans="5:6" x14ac:dyDescent="0.35">
      <c r="E306" t="s">
        <v>524</v>
      </c>
      <c r="F306" t="s">
        <v>526</v>
      </c>
    </row>
    <row r="307" spans="5:6" x14ac:dyDescent="0.35">
      <c r="E307" t="s">
        <v>524</v>
      </c>
      <c r="F307" t="s">
        <v>527</v>
      </c>
    </row>
    <row r="308" spans="5:6" x14ac:dyDescent="0.35">
      <c r="E308" t="s">
        <v>524</v>
      </c>
      <c r="F308" t="s">
        <v>528</v>
      </c>
    </row>
    <row r="309" spans="5:6" x14ac:dyDescent="0.35">
      <c r="E309" t="s">
        <v>524</v>
      </c>
      <c r="F309" t="s">
        <v>529</v>
      </c>
    </row>
    <row r="310" spans="5:6" x14ac:dyDescent="0.35">
      <c r="E310" t="s">
        <v>524</v>
      </c>
      <c r="F310" t="s">
        <v>530</v>
      </c>
    </row>
    <row r="311" spans="5:6" x14ac:dyDescent="0.35">
      <c r="E311" t="s">
        <v>524</v>
      </c>
      <c r="F311" t="s">
        <v>531</v>
      </c>
    </row>
    <row r="312" spans="5:6" x14ac:dyDescent="0.35">
      <c r="E312" t="s">
        <v>524</v>
      </c>
      <c r="F312" t="s">
        <v>532</v>
      </c>
    </row>
    <row r="313" spans="5:6" x14ac:dyDescent="0.35">
      <c r="E313" t="s">
        <v>524</v>
      </c>
      <c r="F313" t="s">
        <v>533</v>
      </c>
    </row>
    <row r="314" spans="5:6" x14ac:dyDescent="0.35">
      <c r="E314" t="s">
        <v>524</v>
      </c>
      <c r="F314" t="s">
        <v>534</v>
      </c>
    </row>
    <row r="315" spans="5:6" x14ac:dyDescent="0.35">
      <c r="E315" t="s">
        <v>524</v>
      </c>
      <c r="F315" t="s">
        <v>535</v>
      </c>
    </row>
    <row r="316" spans="5:6" x14ac:dyDescent="0.35">
      <c r="E316" t="s">
        <v>524</v>
      </c>
      <c r="F316" t="s">
        <v>536</v>
      </c>
    </row>
    <row r="317" spans="5:6" x14ac:dyDescent="0.35">
      <c r="E317" t="s">
        <v>524</v>
      </c>
      <c r="F317" t="s">
        <v>537</v>
      </c>
    </row>
    <row r="318" spans="5:6" x14ac:dyDescent="0.35">
      <c r="E318" t="s">
        <v>524</v>
      </c>
      <c r="F318" t="s">
        <v>538</v>
      </c>
    </row>
    <row r="319" spans="5:6" x14ac:dyDescent="0.35">
      <c r="E319" t="s">
        <v>524</v>
      </c>
      <c r="F319" t="s">
        <v>539</v>
      </c>
    </row>
    <row r="320" spans="5:6" x14ac:dyDescent="0.35">
      <c r="E320" t="s">
        <v>524</v>
      </c>
      <c r="F320" t="s">
        <v>540</v>
      </c>
    </row>
    <row r="321" spans="5:6" x14ac:dyDescent="0.35">
      <c r="E321" t="s">
        <v>524</v>
      </c>
      <c r="F321" t="s">
        <v>541</v>
      </c>
    </row>
    <row r="322" spans="5:6" x14ac:dyDescent="0.35">
      <c r="E322" t="s">
        <v>524</v>
      </c>
      <c r="F322" t="s">
        <v>542</v>
      </c>
    </row>
    <row r="323" spans="5:6" x14ac:dyDescent="0.35">
      <c r="E323" t="s">
        <v>524</v>
      </c>
      <c r="F323" t="s">
        <v>543</v>
      </c>
    </row>
    <row r="324" spans="5:6" x14ac:dyDescent="0.35">
      <c r="E324" t="s">
        <v>524</v>
      </c>
      <c r="F324" t="s">
        <v>544</v>
      </c>
    </row>
    <row r="325" spans="5:6" x14ac:dyDescent="0.35">
      <c r="E325" t="s">
        <v>524</v>
      </c>
      <c r="F325" t="s">
        <v>545</v>
      </c>
    </row>
    <row r="326" spans="5:6" x14ac:dyDescent="0.35">
      <c r="E326" t="s">
        <v>546</v>
      </c>
      <c r="F326" t="s">
        <v>547</v>
      </c>
    </row>
    <row r="327" spans="5:6" x14ac:dyDescent="0.35">
      <c r="E327" t="s">
        <v>546</v>
      </c>
      <c r="F327" t="s">
        <v>548</v>
      </c>
    </row>
    <row r="328" spans="5:6" x14ac:dyDescent="0.35">
      <c r="E328" t="s">
        <v>546</v>
      </c>
      <c r="F328" t="s">
        <v>549</v>
      </c>
    </row>
    <row r="329" spans="5:6" x14ac:dyDescent="0.35">
      <c r="E329" t="s">
        <v>546</v>
      </c>
      <c r="F329" t="s">
        <v>550</v>
      </c>
    </row>
    <row r="330" spans="5:6" x14ac:dyDescent="0.35">
      <c r="E330" t="s">
        <v>546</v>
      </c>
      <c r="F330" t="s">
        <v>361</v>
      </c>
    </row>
    <row r="331" spans="5:6" x14ac:dyDescent="0.35">
      <c r="E331" t="s">
        <v>546</v>
      </c>
      <c r="F331" t="s">
        <v>551</v>
      </c>
    </row>
    <row r="332" spans="5:6" x14ac:dyDescent="0.35">
      <c r="E332" t="s">
        <v>546</v>
      </c>
      <c r="F332" t="s">
        <v>552</v>
      </c>
    </row>
    <row r="333" spans="5:6" x14ac:dyDescent="0.35">
      <c r="E333" t="s">
        <v>546</v>
      </c>
      <c r="F333" t="s">
        <v>553</v>
      </c>
    </row>
    <row r="334" spans="5:6" x14ac:dyDescent="0.35">
      <c r="E334" t="s">
        <v>546</v>
      </c>
      <c r="F334" t="s">
        <v>554</v>
      </c>
    </row>
    <row r="335" spans="5:6" x14ac:dyDescent="0.35">
      <c r="E335" t="s">
        <v>546</v>
      </c>
      <c r="F335" t="s">
        <v>555</v>
      </c>
    </row>
    <row r="336" spans="5:6" x14ac:dyDescent="0.35">
      <c r="E336" t="s">
        <v>546</v>
      </c>
      <c r="F336" t="s">
        <v>556</v>
      </c>
    </row>
    <row r="337" spans="5:6" x14ac:dyDescent="0.35">
      <c r="E337" t="s">
        <v>546</v>
      </c>
      <c r="F337" t="s">
        <v>557</v>
      </c>
    </row>
    <row r="338" spans="5:6" x14ac:dyDescent="0.35">
      <c r="E338" t="s">
        <v>546</v>
      </c>
      <c r="F338" t="s">
        <v>558</v>
      </c>
    </row>
    <row r="339" spans="5:6" x14ac:dyDescent="0.35">
      <c r="E339" t="s">
        <v>546</v>
      </c>
      <c r="F339" t="s">
        <v>559</v>
      </c>
    </row>
    <row r="340" spans="5:6" x14ac:dyDescent="0.35">
      <c r="E340" t="s">
        <v>546</v>
      </c>
      <c r="F340" t="s">
        <v>560</v>
      </c>
    </row>
    <row r="341" spans="5:6" x14ac:dyDescent="0.35">
      <c r="E341" t="s">
        <v>546</v>
      </c>
      <c r="F341" t="s">
        <v>561</v>
      </c>
    </row>
    <row r="342" spans="5:6" x14ac:dyDescent="0.35">
      <c r="E342" t="s">
        <v>546</v>
      </c>
      <c r="F342" t="s">
        <v>372</v>
      </c>
    </row>
    <row r="343" spans="5:6" x14ac:dyDescent="0.35">
      <c r="E343" t="s">
        <v>546</v>
      </c>
      <c r="F343" t="s">
        <v>562</v>
      </c>
    </row>
    <row r="344" spans="5:6" x14ac:dyDescent="0.35">
      <c r="E344" t="s">
        <v>546</v>
      </c>
      <c r="F344" t="s">
        <v>563</v>
      </c>
    </row>
    <row r="345" spans="5:6" x14ac:dyDescent="0.35">
      <c r="E345" t="s">
        <v>546</v>
      </c>
      <c r="F345" t="s">
        <v>564</v>
      </c>
    </row>
    <row r="346" spans="5:6" x14ac:dyDescent="0.35">
      <c r="E346" t="s">
        <v>546</v>
      </c>
      <c r="F346" t="s">
        <v>565</v>
      </c>
    </row>
    <row r="347" spans="5:6" x14ac:dyDescent="0.35">
      <c r="E347" t="s">
        <v>546</v>
      </c>
      <c r="F347" t="s">
        <v>566</v>
      </c>
    </row>
    <row r="348" spans="5:6" x14ac:dyDescent="0.35">
      <c r="E348" t="s">
        <v>546</v>
      </c>
      <c r="F348" t="s">
        <v>567</v>
      </c>
    </row>
    <row r="349" spans="5:6" x14ac:dyDescent="0.35">
      <c r="E349" t="s">
        <v>546</v>
      </c>
      <c r="F349" t="s">
        <v>568</v>
      </c>
    </row>
    <row r="350" spans="5:6" x14ac:dyDescent="0.35">
      <c r="E350" t="s">
        <v>546</v>
      </c>
      <c r="F350" t="s">
        <v>233</v>
      </c>
    </row>
    <row r="351" spans="5:6" x14ac:dyDescent="0.35">
      <c r="E351" t="s">
        <v>546</v>
      </c>
      <c r="F351" t="s">
        <v>569</v>
      </c>
    </row>
    <row r="352" spans="5:6" x14ac:dyDescent="0.35">
      <c r="E352" t="s">
        <v>546</v>
      </c>
      <c r="F352" t="s">
        <v>570</v>
      </c>
    </row>
    <row r="353" spans="5:6" x14ac:dyDescent="0.35">
      <c r="E353" t="s">
        <v>546</v>
      </c>
      <c r="F353" t="s">
        <v>571</v>
      </c>
    </row>
    <row r="354" spans="5:6" x14ac:dyDescent="0.35">
      <c r="E354" t="s">
        <v>546</v>
      </c>
      <c r="F354" t="s">
        <v>572</v>
      </c>
    </row>
    <row r="355" spans="5:6" x14ac:dyDescent="0.35">
      <c r="E355" t="s">
        <v>546</v>
      </c>
      <c r="F355" t="s">
        <v>573</v>
      </c>
    </row>
    <row r="356" spans="5:6" x14ac:dyDescent="0.35">
      <c r="E356" t="s">
        <v>546</v>
      </c>
      <c r="F356" t="s">
        <v>574</v>
      </c>
    </row>
    <row r="357" spans="5:6" x14ac:dyDescent="0.35">
      <c r="E357" t="s">
        <v>546</v>
      </c>
      <c r="F357" t="s">
        <v>575</v>
      </c>
    </row>
    <row r="358" spans="5:6" x14ac:dyDescent="0.35">
      <c r="E358" t="s">
        <v>546</v>
      </c>
      <c r="F358" t="s">
        <v>576</v>
      </c>
    </row>
    <row r="359" spans="5:6" x14ac:dyDescent="0.35">
      <c r="E359" t="s">
        <v>546</v>
      </c>
      <c r="F359" t="s">
        <v>577</v>
      </c>
    </row>
    <row r="360" spans="5:6" x14ac:dyDescent="0.35">
      <c r="E360" t="s">
        <v>546</v>
      </c>
      <c r="F360" t="s">
        <v>578</v>
      </c>
    </row>
    <row r="361" spans="5:6" x14ac:dyDescent="0.35">
      <c r="E361" t="s">
        <v>579</v>
      </c>
      <c r="F361" t="s">
        <v>580</v>
      </c>
    </row>
    <row r="362" spans="5:6" x14ac:dyDescent="0.35">
      <c r="E362" t="s">
        <v>579</v>
      </c>
      <c r="F362" t="s">
        <v>581</v>
      </c>
    </row>
    <row r="363" spans="5:6" x14ac:dyDescent="0.35">
      <c r="E363" t="s">
        <v>579</v>
      </c>
      <c r="F363" t="s">
        <v>582</v>
      </c>
    </row>
    <row r="364" spans="5:6" x14ac:dyDescent="0.35">
      <c r="E364" t="s">
        <v>579</v>
      </c>
      <c r="F364" t="s">
        <v>583</v>
      </c>
    </row>
    <row r="365" spans="5:6" x14ac:dyDescent="0.35">
      <c r="E365" t="s">
        <v>579</v>
      </c>
      <c r="F365" t="s">
        <v>584</v>
      </c>
    </row>
    <row r="366" spans="5:6" x14ac:dyDescent="0.35">
      <c r="E366" t="s">
        <v>579</v>
      </c>
      <c r="F366" t="s">
        <v>585</v>
      </c>
    </row>
    <row r="367" spans="5:6" x14ac:dyDescent="0.35">
      <c r="E367" t="s">
        <v>579</v>
      </c>
      <c r="F367" t="s">
        <v>586</v>
      </c>
    </row>
    <row r="368" spans="5:6" x14ac:dyDescent="0.35">
      <c r="E368" t="s">
        <v>579</v>
      </c>
      <c r="F368" t="s">
        <v>587</v>
      </c>
    </row>
    <row r="369" spans="5:6" x14ac:dyDescent="0.35">
      <c r="E369" t="s">
        <v>579</v>
      </c>
      <c r="F369" t="s">
        <v>588</v>
      </c>
    </row>
    <row r="370" spans="5:6" x14ac:dyDescent="0.35">
      <c r="E370" t="s">
        <v>579</v>
      </c>
      <c r="F370" t="s">
        <v>589</v>
      </c>
    </row>
    <row r="371" spans="5:6" x14ac:dyDescent="0.35">
      <c r="E371" t="s">
        <v>579</v>
      </c>
      <c r="F371" t="s">
        <v>590</v>
      </c>
    </row>
    <row r="372" spans="5:6" x14ac:dyDescent="0.35">
      <c r="E372" t="s">
        <v>579</v>
      </c>
      <c r="F372" t="s">
        <v>591</v>
      </c>
    </row>
    <row r="373" spans="5:6" x14ac:dyDescent="0.35">
      <c r="E373" t="s">
        <v>579</v>
      </c>
      <c r="F373" t="s">
        <v>592</v>
      </c>
    </row>
    <row r="374" spans="5:6" x14ac:dyDescent="0.35">
      <c r="E374" t="s">
        <v>579</v>
      </c>
      <c r="F374" t="s">
        <v>593</v>
      </c>
    </row>
    <row r="375" spans="5:6" x14ac:dyDescent="0.35">
      <c r="E375" t="s">
        <v>579</v>
      </c>
      <c r="F375" t="s">
        <v>594</v>
      </c>
    </row>
    <row r="376" spans="5:6" x14ac:dyDescent="0.35">
      <c r="E376" t="s">
        <v>579</v>
      </c>
      <c r="F376" t="s">
        <v>595</v>
      </c>
    </row>
    <row r="377" spans="5:6" x14ac:dyDescent="0.35">
      <c r="E377" t="s">
        <v>579</v>
      </c>
      <c r="F377" t="s">
        <v>596</v>
      </c>
    </row>
    <row r="378" spans="5:6" x14ac:dyDescent="0.35">
      <c r="E378" t="s">
        <v>579</v>
      </c>
      <c r="F378" t="s">
        <v>597</v>
      </c>
    </row>
    <row r="379" spans="5:6" x14ac:dyDescent="0.35">
      <c r="E379" t="s">
        <v>579</v>
      </c>
      <c r="F379" t="s">
        <v>598</v>
      </c>
    </row>
    <row r="380" spans="5:6" x14ac:dyDescent="0.35">
      <c r="E380" t="s">
        <v>579</v>
      </c>
      <c r="F380" t="s">
        <v>599</v>
      </c>
    </row>
    <row r="381" spans="5:6" x14ac:dyDescent="0.35">
      <c r="E381" t="s">
        <v>579</v>
      </c>
      <c r="F381" t="s">
        <v>600</v>
      </c>
    </row>
  </sheetData>
  <pageMargins left="0.7" right="0.7" top="0.75" bottom="0.75" header="0.3" footer="0.3"/>
  <pageSetup paperSize="9"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6</vt:i4>
      </vt:variant>
      <vt:variant>
        <vt:lpstr>Nazwane zakresy</vt:lpstr>
      </vt:variant>
      <vt:variant>
        <vt:i4>29</vt:i4>
      </vt:variant>
    </vt:vector>
  </HeadingPairs>
  <TitlesOfParts>
    <vt:vector size="35" baseType="lpstr">
      <vt:lpstr>Wniosek - Aneks</vt:lpstr>
      <vt:lpstr>Arkusz1</vt:lpstr>
      <vt:lpstr>Słowniki</vt:lpstr>
      <vt:lpstr>Słownik N_S_O</vt:lpstr>
      <vt:lpstr>Słownik Infrasr</vt:lpstr>
      <vt:lpstr>Słownik woj_powiaty</vt:lpstr>
      <vt:lpstr>Słowniki!_edn1</vt:lpstr>
      <vt:lpstr>Słowniki!_edn10</vt:lpstr>
      <vt:lpstr>Słowniki!_edn11</vt:lpstr>
      <vt:lpstr>Słowniki!_edn12</vt:lpstr>
      <vt:lpstr>Słowniki!_edn2</vt:lpstr>
      <vt:lpstr>Słowniki!_edn3</vt:lpstr>
      <vt:lpstr>Słowniki!_edn4</vt:lpstr>
      <vt:lpstr>Słowniki!_edn5</vt:lpstr>
      <vt:lpstr>Słowniki!_edn6</vt:lpstr>
      <vt:lpstr>Słowniki!_edn7</vt:lpstr>
      <vt:lpstr>Słowniki!_edn8</vt:lpstr>
      <vt:lpstr>Słowniki!_edn9</vt:lpstr>
      <vt:lpstr>Słowniki!_ednref1</vt:lpstr>
      <vt:lpstr>Słowniki!_ednref10</vt:lpstr>
      <vt:lpstr>Słowniki!_ednref11</vt:lpstr>
      <vt:lpstr>Słowniki!_ednref12</vt:lpstr>
      <vt:lpstr>Słowniki!_ednref2</vt:lpstr>
      <vt:lpstr>Słowniki!_ednref3</vt:lpstr>
      <vt:lpstr>Słowniki!_ednref4</vt:lpstr>
      <vt:lpstr>Słowniki!_ednref5</vt:lpstr>
      <vt:lpstr>Słowniki!_ednref6</vt:lpstr>
      <vt:lpstr>Słowniki!_ednref7</vt:lpstr>
      <vt:lpstr>Słowniki!_ednref8</vt:lpstr>
      <vt:lpstr>Słowniki!_ednref9</vt:lpstr>
      <vt:lpstr>Słowniki!_Hlk53499634</vt:lpstr>
      <vt:lpstr>Słowniki!_Hlk59545887</vt:lpstr>
      <vt:lpstr>Słowniki!_Hlk63413254</vt:lpstr>
      <vt:lpstr>ListaRob</vt:lpstr>
      <vt:lpstr>'Wniosek - Aneks'!Obszar_wydruku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2026-02-05T11:07:26Z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d642cb-f5ac-4f9c-8f91-3377ed972e0d_Enabled">
    <vt:lpwstr>True</vt:lpwstr>
  </property>
  <property fmtid="{D5CDD505-2E9C-101B-9397-08002B2CF9AE}" pid="3" name="MSIP_Label_ffd642cb-f5ac-4f9c-8f91-3377ed972e0d_SiteId">
    <vt:lpwstr>29bb5b9c-200a-4906-89ef-c651c86ab301</vt:lpwstr>
  </property>
  <property fmtid="{D5CDD505-2E9C-101B-9397-08002B2CF9AE}" pid="4" name="MSIP_Label_ffd642cb-f5ac-4f9c-8f91-3377ed972e0d_Owner">
    <vt:lpwstr>Mariusz.Kempka@bgk.pl</vt:lpwstr>
  </property>
  <property fmtid="{D5CDD505-2E9C-101B-9397-08002B2CF9AE}" pid="5" name="MSIP_Label_ffd642cb-f5ac-4f9c-8f91-3377ed972e0d_SetDate">
    <vt:lpwstr>2019-05-23T06:26:59.3698495Z</vt:lpwstr>
  </property>
  <property fmtid="{D5CDD505-2E9C-101B-9397-08002B2CF9AE}" pid="6" name="MSIP_Label_ffd642cb-f5ac-4f9c-8f91-3377ed972e0d_Name">
    <vt:lpwstr>Wewnętrzne</vt:lpwstr>
  </property>
  <property fmtid="{D5CDD505-2E9C-101B-9397-08002B2CF9AE}" pid="7" name="MSIP_Label_ffd642cb-f5ac-4f9c-8f91-3377ed972e0d_Application">
    <vt:lpwstr>Microsoft Azure Information Protection</vt:lpwstr>
  </property>
  <property fmtid="{D5CDD505-2E9C-101B-9397-08002B2CF9AE}" pid="8" name="MSIP_Label_ffd642cb-f5ac-4f9c-8f91-3377ed972e0d_Extended_MSFT_Method">
    <vt:lpwstr>Manual</vt:lpwstr>
  </property>
  <property fmtid="{D5CDD505-2E9C-101B-9397-08002B2CF9AE}" pid="9" name="MSIP_Label_c668bcff-e2d1-47e2-adc1-b3354af02961_Enabled">
    <vt:lpwstr>true</vt:lpwstr>
  </property>
  <property fmtid="{D5CDD505-2E9C-101B-9397-08002B2CF9AE}" pid="10" name="MSIP_Label_c668bcff-e2d1-47e2-adc1-b3354af02961_SetDate">
    <vt:lpwstr>2022-08-09T07:00:47Z</vt:lpwstr>
  </property>
  <property fmtid="{D5CDD505-2E9C-101B-9397-08002B2CF9AE}" pid="11" name="MSIP_Label_c668bcff-e2d1-47e2-adc1-b3354af02961_Method">
    <vt:lpwstr>Privileged</vt:lpwstr>
  </property>
  <property fmtid="{D5CDD505-2E9C-101B-9397-08002B2CF9AE}" pid="12" name="MSIP_Label_c668bcff-e2d1-47e2-adc1-b3354af02961_Name">
    <vt:lpwstr>c668bcff-e2d1-47e2-adc1-b3354af02961</vt:lpwstr>
  </property>
  <property fmtid="{D5CDD505-2E9C-101B-9397-08002B2CF9AE}" pid="13" name="MSIP_Label_c668bcff-e2d1-47e2-adc1-b3354af02961_SiteId">
    <vt:lpwstr>29bb5b9c-200a-4906-89ef-c651c86ab301</vt:lpwstr>
  </property>
  <property fmtid="{D5CDD505-2E9C-101B-9397-08002B2CF9AE}" pid="14" name="MSIP_Label_c668bcff-e2d1-47e2-adc1-b3354af02961_ContentBits">
    <vt:lpwstr>0</vt:lpwstr>
  </property>
</Properties>
</file>