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codeName="Ten_skoroszyt"/>
  <xr:revisionPtr revIDLastSave="0" documentId="13_ncr:1_{FBE3C1B2-2659-4B96-952E-41115E2DAA2C}" xr6:coauthVersionLast="47" xr6:coauthVersionMax="47" xr10:uidLastSave="{00000000-0000-0000-0000-000000000000}"/>
  <bookViews>
    <workbookView xWindow="-110" yWindow="-110" windowWidth="19420" windowHeight="10300" xr2:uid="{00000000-000D-0000-FFFF-FFFF00000000}"/>
  </bookViews>
  <sheets>
    <sheet name="Wybór" sheetId="17" r:id="rId1"/>
    <sheet name="Wniosek art 4a budowa" sheetId="23" r:id="rId2"/>
    <sheet name="Wniosek art. 4a remont_przebudo" sheetId="24" r:id="rId3"/>
    <sheet name="Wniosek art. 4a kupno" sheetId="5" r:id="rId4"/>
    <sheet name="Słowniki" sheetId="3" state="hidden" r:id="rId5"/>
    <sheet name="Słownik N_S_O" sheetId="13" state="hidden" r:id="rId6"/>
    <sheet name="Słownik Infrasr" sheetId="28" state="hidden" r:id="rId7"/>
    <sheet name="Słownik woj_powiaty" sheetId="26" state="hidden" r:id="rId8"/>
  </sheets>
  <definedNames>
    <definedName name="_edn1" localSheetId="4">Słowniki!$H$5</definedName>
    <definedName name="_edn10" localSheetId="4">Słowniki!$J$43</definedName>
    <definedName name="_edn11" localSheetId="4">Słowniki!$J$44</definedName>
    <definedName name="_edn12" localSheetId="4">Słowniki!$J$45</definedName>
    <definedName name="_edn2" localSheetId="4">Słowniki!$J$35</definedName>
    <definedName name="_edn3" localSheetId="4">Słowniki!$J$36</definedName>
    <definedName name="_edn4" localSheetId="4">Słowniki!$J$37</definedName>
    <definedName name="_edn5" localSheetId="4">Słowniki!$J$38</definedName>
    <definedName name="_edn6" localSheetId="4">Słowniki!$J$39</definedName>
    <definedName name="_edn7" localSheetId="4">Słowniki!$J$40</definedName>
    <definedName name="_edn8" localSheetId="4">Słowniki!$J$41</definedName>
    <definedName name="_edn9" localSheetId="4">Słowniki!$J$42</definedName>
    <definedName name="_ednref1" localSheetId="4">Słowniki!$H$2</definedName>
    <definedName name="_ednref10" localSheetId="4">Słowniki!#REF!</definedName>
    <definedName name="_ednref11" localSheetId="4">Słowniki!#REF!</definedName>
    <definedName name="_ednref12" localSheetId="4">Słowniki!#REF!</definedName>
    <definedName name="_ednref2" localSheetId="4">Słowniki!#REF!</definedName>
    <definedName name="_ednref3" localSheetId="4">Słowniki!#REF!</definedName>
    <definedName name="_ednref4" localSheetId="4">Słowniki!#REF!</definedName>
    <definedName name="_ednref5" localSheetId="4">Słowniki!#REF!</definedName>
    <definedName name="_ednref6" localSheetId="4">Słowniki!#REF!</definedName>
    <definedName name="_ednref7" localSheetId="4">Słowniki!#REF!</definedName>
    <definedName name="_ednref8" localSheetId="4">Słowniki!#REF!</definedName>
    <definedName name="_ednref9" localSheetId="4">Słowniki!#REF!</definedName>
    <definedName name="_ftn1" localSheetId="4">Słowniki!$D$33</definedName>
    <definedName name="_ftnref1" localSheetId="4">Słowniki!$D$16</definedName>
    <definedName name="_Hlk108901557" localSheetId="4">Słowniki!$D$30</definedName>
    <definedName name="_Hlk53499634" localSheetId="4">Słowniki!$D$22</definedName>
    <definedName name="_Hlk59545887" localSheetId="4">Słowniki!$E$18</definedName>
    <definedName name="_Hlk63413254" localSheetId="4">Słowniki!$D$5</definedName>
    <definedName name="ListaRob">'Słownik woj_powiaty'!$E$3:$F$381</definedName>
    <definedName name="_xlnm.Print_Area" localSheetId="1">'Wniosek art 4a budowa'!$A$3:$AL$165</definedName>
    <definedName name="_xlnm.Print_Area" localSheetId="3">'Wniosek art. 4a kupno'!$A$3:$AL$123</definedName>
    <definedName name="_xlnm.Print_Area" localSheetId="2">'Wniosek art. 4a remont_przebudo'!$A$3:$AL$138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84" i="5" l="1"/>
  <c r="L110" i="24"/>
  <c r="P89" i="24"/>
  <c r="P90" i="24"/>
  <c r="P91" i="24"/>
  <c r="P92" i="24"/>
  <c r="P93" i="24"/>
  <c r="P94" i="24"/>
  <c r="AA94" i="24" s="1"/>
  <c r="P95" i="24"/>
  <c r="P96" i="24"/>
  <c r="AA96" i="24" s="1"/>
  <c r="P97" i="24"/>
  <c r="P98" i="24"/>
  <c r="P99" i="24"/>
  <c r="P100" i="24"/>
  <c r="P101" i="24"/>
  <c r="P102" i="24"/>
  <c r="AA102" i="24" s="1"/>
  <c r="P103" i="24"/>
  <c r="P104" i="24"/>
  <c r="AA104" i="24" s="1"/>
  <c r="P105" i="24"/>
  <c r="P106" i="24"/>
  <c r="P107" i="24"/>
  <c r="P108" i="24"/>
  <c r="P109" i="24"/>
  <c r="AA109" i="24" s="1"/>
  <c r="P88" i="24"/>
  <c r="AA88" i="24" s="1"/>
  <c r="AA110" i="24" s="1"/>
  <c r="AA108" i="24"/>
  <c r="AA107" i="24"/>
  <c r="AA106" i="24"/>
  <c r="AA105" i="24"/>
  <c r="AA103" i="24"/>
  <c r="AA101" i="24"/>
  <c r="AA100" i="24"/>
  <c r="AA99" i="24"/>
  <c r="AA98" i="24"/>
  <c r="AA97" i="24"/>
  <c r="AA95" i="24"/>
  <c r="AA93" i="24"/>
  <c r="AA92" i="24"/>
  <c r="AA91" i="24"/>
  <c r="AA90" i="24"/>
  <c r="AA89" i="24"/>
  <c r="AJ78" i="5"/>
  <c r="AJ82" i="24"/>
  <c r="AH89" i="24" s="1"/>
  <c r="AJ105" i="23"/>
  <c r="AJ104" i="23"/>
  <c r="A137" i="24"/>
  <c r="A164" i="23"/>
  <c r="AH104" i="24" l="1"/>
  <c r="AH96" i="24"/>
  <c r="AK96" i="24" s="1"/>
  <c r="AK89" i="24"/>
  <c r="AK108" i="24"/>
  <c r="AH103" i="24"/>
  <c r="AK103" i="24" s="1"/>
  <c r="AH95" i="24"/>
  <c r="AK95" i="24" s="1"/>
  <c r="AH94" i="24"/>
  <c r="AK94" i="24" s="1"/>
  <c r="AH88" i="24"/>
  <c r="AH102" i="24"/>
  <c r="AK102" i="24" s="1"/>
  <c r="AK91" i="24"/>
  <c r="AH109" i="24"/>
  <c r="AK109" i="24" s="1"/>
  <c r="AH101" i="24"/>
  <c r="AK101" i="24" s="1"/>
  <c r="AH93" i="24"/>
  <c r="AK93" i="24" s="1"/>
  <c r="AK92" i="24"/>
  <c r="AH107" i="24"/>
  <c r="AK107" i="24" s="1"/>
  <c r="AH91" i="24"/>
  <c r="AH108" i="24"/>
  <c r="AH100" i="24"/>
  <c r="AK100" i="24" s="1"/>
  <c r="AH92" i="24"/>
  <c r="AH99" i="24"/>
  <c r="AK99" i="24" s="1"/>
  <c r="AH106" i="24"/>
  <c r="AK106" i="24" s="1"/>
  <c r="AH98" i="24"/>
  <c r="AK98" i="24" s="1"/>
  <c r="AH90" i="24"/>
  <c r="AH105" i="24"/>
  <c r="AH97" i="24"/>
  <c r="AK97" i="24" s="1"/>
  <c r="AK90" i="24"/>
  <c r="AK105" i="24"/>
  <c r="AK104" i="24"/>
  <c r="AK88" i="24"/>
  <c r="P86" i="5"/>
  <c r="P87" i="5"/>
  <c r="P88" i="5"/>
  <c r="P89" i="5"/>
  <c r="P90" i="5"/>
  <c r="P91" i="5"/>
  <c r="P92" i="5"/>
  <c r="P93" i="5"/>
  <c r="P94" i="5"/>
  <c r="P85" i="5"/>
  <c r="AK110" i="24" l="1"/>
  <c r="T114" i="24" s="1"/>
  <c r="P112" i="23"/>
  <c r="P113" i="23"/>
  <c r="P114" i="23"/>
  <c r="P115" i="23"/>
  <c r="P116" i="23"/>
  <c r="P117" i="23"/>
  <c r="P118" i="23"/>
  <c r="P119" i="23"/>
  <c r="P120" i="23"/>
  <c r="P121" i="23"/>
  <c r="P122" i="23"/>
  <c r="P123" i="23"/>
  <c r="P124" i="23"/>
  <c r="P125" i="23"/>
  <c r="P126" i="23"/>
  <c r="P127" i="23"/>
  <c r="P128" i="23"/>
  <c r="P129" i="23"/>
  <c r="P130" i="23"/>
  <c r="P131" i="23"/>
  <c r="P132" i="23"/>
  <c r="P111" i="23"/>
  <c r="AH112" i="23" l="1"/>
  <c r="AH120" i="23"/>
  <c r="AH128" i="23"/>
  <c r="AH121" i="23"/>
  <c r="AH129" i="23"/>
  <c r="AH122" i="23"/>
  <c r="AH113" i="23"/>
  <c r="AH114" i="23"/>
  <c r="AH130" i="23"/>
  <c r="AH115" i="23"/>
  <c r="AH123" i="23"/>
  <c r="AH131" i="23"/>
  <c r="AH116" i="23"/>
  <c r="AH124" i="23"/>
  <c r="AH132" i="23"/>
  <c r="AH127" i="23"/>
  <c r="AH117" i="23"/>
  <c r="AH125" i="23"/>
  <c r="AH111" i="23"/>
  <c r="AH118" i="23"/>
  <c r="AH126" i="23"/>
  <c r="AH119" i="23"/>
  <c r="T36" i="5" a="1"/>
  <c r="T36" i="5" s="1"/>
  <c r="T36" i="24" a="1"/>
  <c r="T36" i="24" s="1"/>
  <c r="T36" i="23" a="1"/>
  <c r="T36" i="23" s="1"/>
  <c r="AH86" i="5" l="1"/>
  <c r="AH87" i="5"/>
  <c r="AH88" i="5"/>
  <c r="AH85" i="5"/>
  <c r="AH93" i="5"/>
  <c r="AH94" i="5"/>
  <c r="AH89" i="5"/>
  <c r="AH90" i="5"/>
  <c r="AH91" i="5"/>
  <c r="AH92" i="5"/>
  <c r="L95" i="5" l="1"/>
  <c r="AA94" i="5"/>
  <c r="AK94" i="5" s="1"/>
  <c r="AA93" i="5"/>
  <c r="AK93" i="5" s="1"/>
  <c r="AA92" i="5"/>
  <c r="AK92" i="5" s="1"/>
  <c r="AA91" i="5"/>
  <c r="AK91" i="5" s="1"/>
  <c r="AA90" i="5"/>
  <c r="AK90" i="5" s="1"/>
  <c r="AA89" i="5"/>
  <c r="AK89" i="5" s="1"/>
  <c r="AA88" i="5"/>
  <c r="AK88" i="5" s="1"/>
  <c r="AA87" i="5"/>
  <c r="AK87" i="5" s="1"/>
  <c r="AA86" i="5"/>
  <c r="AK86" i="5" s="1"/>
  <c r="AA85" i="5"/>
  <c r="AK85" i="5" s="1"/>
  <c r="AA84" i="5"/>
  <c r="L133" i="23"/>
  <c r="AA120" i="23"/>
  <c r="AA95" i="5" l="1"/>
  <c r="AK84" i="5"/>
  <c r="AK95" i="5" s="1"/>
  <c r="T98" i="5" s="1"/>
  <c r="AA112" i="23"/>
  <c r="AA113" i="23"/>
  <c r="AA114" i="23"/>
  <c r="AA115" i="23"/>
  <c r="AA116" i="23"/>
  <c r="AA117" i="23"/>
  <c r="AA118" i="23"/>
  <c r="AA119" i="23"/>
  <c r="AA121" i="23"/>
  <c r="AA122" i="23"/>
  <c r="AA123" i="23"/>
  <c r="AA124" i="23"/>
  <c r="AA125" i="23"/>
  <c r="AA126" i="23"/>
  <c r="AA127" i="23"/>
  <c r="AA128" i="23"/>
  <c r="AA129" i="23"/>
  <c r="AA130" i="23"/>
  <c r="AA131" i="23"/>
  <c r="AA132" i="23"/>
  <c r="AA111" i="23"/>
  <c r="AK111" i="23" l="1"/>
  <c r="AA133" i="23"/>
  <c r="B39" i="5" l="1"/>
  <c r="B39" i="24" l="1"/>
  <c r="Z47" i="5" l="1"/>
  <c r="Z49" i="5" l="1"/>
  <c r="AK47" i="5" s="1"/>
  <c r="AK48" i="5" l="1"/>
  <c r="AK46" i="5"/>
  <c r="AK49" i="5" l="1"/>
  <c r="H4" i="23" l="1"/>
  <c r="AK130" i="23" l="1"/>
  <c r="AK131" i="23"/>
  <c r="AK132" i="23"/>
  <c r="AK112" i="23" l="1"/>
  <c r="AK113" i="23"/>
  <c r="AK114" i="23"/>
  <c r="AK115" i="23"/>
  <c r="AK116" i="23"/>
  <c r="AK117" i="23"/>
  <c r="AK118" i="23"/>
  <c r="AK119" i="23"/>
  <c r="AK120" i="23"/>
  <c r="AK121" i="23"/>
  <c r="AK122" i="23"/>
  <c r="AK123" i="23"/>
  <c r="AK124" i="23"/>
  <c r="AK125" i="23"/>
  <c r="AK126" i="23"/>
  <c r="AK127" i="23"/>
  <c r="AK128" i="23"/>
  <c r="AK129" i="23"/>
  <c r="AK133" i="23" l="1"/>
  <c r="T136" i="23" s="1"/>
  <c r="Z47" i="24"/>
  <c r="A70" i="3"/>
  <c r="Z49" i="24" l="1"/>
  <c r="B39" i="23"/>
  <c r="H4" i="24"/>
  <c r="AK46" i="24" l="1"/>
  <c r="AK48" i="24"/>
  <c r="AK47" i="24"/>
  <c r="Z47" i="23"/>
  <c r="Z49" i="23" s="1"/>
  <c r="AK49" i="24" l="1"/>
  <c r="AK47" i="23"/>
  <c r="AK48" i="23"/>
  <c r="AK46" i="23"/>
  <c r="AK49" i="23" l="1"/>
  <c r="H4"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<sst xmlns="http://schemas.openxmlformats.org/spreadsheetml/2006/main" count="1699" uniqueCount="923">
  <si>
    <t xml:space="preserve">V. B.  Charakterystyka przedsięwzięcia określonego w art. 4 ustawy </t>
  </si>
  <si>
    <t>A.</t>
  </si>
  <si>
    <r>
      <t xml:space="preserve"> 1) </t>
    </r>
    <r>
      <rPr>
        <sz val="9"/>
        <color rgb="FF000000"/>
        <rFont val="Arial"/>
        <family val="2"/>
        <charset val="238"/>
      </rPr>
      <t xml:space="preserve"> adres nieruchomości;</t>
    </r>
  </si>
  <si>
    <r>
      <t xml:space="preserve"> A. </t>
    </r>
    <r>
      <rPr>
        <sz val="9"/>
        <color rgb="FF000000"/>
        <rFont val="Arial"/>
        <family val="2"/>
        <charset val="238"/>
      </rPr>
      <t xml:space="preserve"> Budowa budynku:</t>
    </r>
  </si>
  <si>
    <t>B.</t>
  </si>
  <si>
    <r>
      <t xml:space="preserve"> 1. </t>
    </r>
    <r>
      <rPr>
        <sz val="9"/>
        <color rgb="FF000000"/>
        <rFont val="Arial"/>
        <family val="2"/>
        <charset val="238"/>
      </rPr>
      <t xml:space="preserve"> Noclegownia:</t>
    </r>
  </si>
  <si>
    <t>C.</t>
  </si>
  <si>
    <t>D.</t>
  </si>
  <si>
    <r>
      <t xml:space="preserve"> 2) </t>
    </r>
    <r>
      <rPr>
        <sz val="9"/>
        <color rgb="FF000000"/>
        <rFont val="Arial"/>
        <family val="2"/>
        <charset val="238"/>
      </rPr>
      <t xml:space="preserve"> nowa powierzchnia użytkowa noclegowni w m</t>
    </r>
    <r>
      <rPr>
        <vertAlign val="superscript"/>
        <sz val="9"/>
        <color rgb="FF000000"/>
        <rFont val="Arial"/>
        <family val="2"/>
        <charset val="238"/>
      </rPr>
      <t>2</t>
    </r>
    <r>
      <rPr>
        <sz val="9"/>
        <color rgb="FF000000"/>
        <rFont val="Arial"/>
        <family val="2"/>
        <charset val="238"/>
      </rPr>
      <t>, w tym w sypialniach w m</t>
    </r>
    <r>
      <rPr>
        <vertAlign val="superscript"/>
        <sz val="9"/>
        <color rgb="FF000000"/>
        <rFont val="Arial"/>
        <family val="2"/>
        <charset val="238"/>
      </rPr>
      <t>2</t>
    </r>
    <r>
      <rPr>
        <sz val="9"/>
        <color rgb="FF000000"/>
        <rFont val="Arial"/>
        <family val="2"/>
        <charset val="238"/>
      </rPr>
      <t>;</t>
    </r>
  </si>
  <si>
    <t>E.</t>
  </si>
  <si>
    <r>
      <t xml:space="preserve"> 3) </t>
    </r>
    <r>
      <rPr>
        <sz val="9"/>
        <color rgb="FF000000"/>
        <rFont val="Arial"/>
        <family val="2"/>
        <charset val="238"/>
      </rPr>
      <t xml:space="preserve"> nowa powierzchnia użytkowa niestanowiąca noclegowni;</t>
    </r>
  </si>
  <si>
    <t>F.</t>
  </si>
  <si>
    <r>
      <t xml:space="preserve"> 4) </t>
    </r>
    <r>
      <rPr>
        <sz val="9"/>
        <color rgb="FF000000"/>
        <rFont val="Arial"/>
        <family val="2"/>
        <charset val="238"/>
      </rPr>
      <t xml:space="preserve"> nowa liczba miejsc w sypialniach;</t>
    </r>
  </si>
  <si>
    <r>
      <t xml:space="preserve"> 5) </t>
    </r>
    <r>
      <rPr>
        <sz val="9"/>
        <color rgb="FF000000"/>
        <rFont val="Arial"/>
        <family val="2"/>
        <charset val="238"/>
      </rPr>
      <t xml:space="preserve"> dotychczasowa powierzchnia użytkowa noclegowni w m</t>
    </r>
    <r>
      <rPr>
        <vertAlign val="superscript"/>
        <sz val="9"/>
        <color rgb="FF000000"/>
        <rFont val="Arial"/>
        <family val="2"/>
        <charset val="238"/>
      </rPr>
      <t>2</t>
    </r>
    <r>
      <rPr>
        <sz val="9"/>
        <color rgb="FF000000"/>
        <rFont val="Arial"/>
        <family val="2"/>
        <charset val="238"/>
      </rPr>
      <t>, w tym w sypialniach w m</t>
    </r>
    <r>
      <rPr>
        <vertAlign val="superscript"/>
        <sz val="9"/>
        <color rgb="FF000000"/>
        <rFont val="Arial"/>
        <family val="2"/>
        <charset val="238"/>
      </rPr>
      <t>2</t>
    </r>
    <r>
      <rPr>
        <sz val="9"/>
        <color rgb="FF000000"/>
        <rFont val="Arial"/>
        <family val="2"/>
        <charset val="238"/>
      </rPr>
      <t>;</t>
    </r>
  </si>
  <si>
    <r>
      <t xml:space="preserve"> 6) </t>
    </r>
    <r>
      <rPr>
        <sz val="9"/>
        <color rgb="FF000000"/>
        <rFont val="Arial"/>
        <family val="2"/>
        <charset val="238"/>
      </rPr>
      <t xml:space="preserve"> całkowita liczba miejsc w sypialniach, po zakończeniu realizacji przedsięwzięcia, w podziale na poszczególne sypialnie;</t>
    </r>
  </si>
  <si>
    <r>
      <t xml:space="preserve"> 7) </t>
    </r>
    <r>
      <rPr>
        <sz val="9"/>
        <color rgb="FF000000"/>
        <rFont val="Arial"/>
        <family val="2"/>
        <charset val="238"/>
      </rPr>
      <t xml:space="preserve"> całkowita liczba natrysków, kabin WC, pisuarów i umywalek po zakończeniu realizacji przedsięwzięcia.</t>
    </r>
  </si>
  <si>
    <r>
      <t xml:space="preserve"> 2. </t>
    </r>
    <r>
      <rPr>
        <sz val="9"/>
        <color rgb="FF000000"/>
        <rFont val="Arial"/>
        <family val="2"/>
        <charset val="238"/>
      </rPr>
      <t xml:space="preserve"> Schronisko dla bezdomnych:</t>
    </r>
  </si>
  <si>
    <r>
      <t xml:space="preserve"> 2) </t>
    </r>
    <r>
      <rPr>
        <sz val="9"/>
        <color rgb="FF000000"/>
        <rFont val="Arial"/>
        <family val="2"/>
        <charset val="238"/>
      </rPr>
      <t xml:space="preserve"> nowa powierzchnia użytkowa schroniska dla bezdomnych w m</t>
    </r>
    <r>
      <rPr>
        <vertAlign val="superscript"/>
        <sz val="9"/>
        <color rgb="FF000000"/>
        <rFont val="Arial"/>
        <family val="2"/>
        <charset val="238"/>
      </rPr>
      <t>2</t>
    </r>
    <r>
      <rPr>
        <sz val="9"/>
        <color rgb="FF000000"/>
        <rFont val="Arial"/>
        <family val="2"/>
        <charset val="238"/>
      </rPr>
      <t>, w tym powierzchnia mieszkalna w m</t>
    </r>
    <r>
      <rPr>
        <vertAlign val="superscript"/>
        <sz val="9"/>
        <color rgb="FF000000"/>
        <rFont val="Arial"/>
        <family val="2"/>
        <charset val="238"/>
      </rPr>
      <t>2</t>
    </r>
    <r>
      <rPr>
        <sz val="9"/>
        <color rgb="FF000000"/>
        <rFont val="Arial"/>
        <family val="2"/>
        <charset val="238"/>
      </rPr>
      <t>, w tym w pomieszczeniach mieszkalnych w m</t>
    </r>
    <r>
      <rPr>
        <vertAlign val="superscript"/>
        <sz val="9"/>
        <color rgb="FF000000"/>
        <rFont val="Arial"/>
        <family val="2"/>
        <charset val="238"/>
      </rPr>
      <t>2</t>
    </r>
    <r>
      <rPr>
        <sz val="9"/>
        <color rgb="FF000000"/>
        <rFont val="Arial"/>
        <family val="2"/>
        <charset val="238"/>
      </rPr>
      <t>;</t>
    </r>
  </si>
  <si>
    <r>
      <t xml:space="preserve"> 3) </t>
    </r>
    <r>
      <rPr>
        <sz val="9"/>
        <color rgb="FF000000"/>
        <rFont val="Arial"/>
        <family val="2"/>
        <charset val="238"/>
      </rPr>
      <t xml:space="preserve"> nowa powierzchnia użytkowa niestanowiąca schroniska dla bezdomnych;</t>
    </r>
  </si>
  <si>
    <r>
      <t xml:space="preserve"> 5) </t>
    </r>
    <r>
      <rPr>
        <sz val="9"/>
        <color rgb="FF000000"/>
        <rFont val="Arial"/>
        <family val="2"/>
        <charset val="238"/>
      </rPr>
      <t xml:space="preserve"> dotychczasowa powierzchnia użytkowa schroniska dla bezdomnych w m</t>
    </r>
    <r>
      <rPr>
        <vertAlign val="superscript"/>
        <sz val="9"/>
        <color rgb="FF000000"/>
        <rFont val="Arial"/>
        <family val="2"/>
        <charset val="238"/>
      </rPr>
      <t>2</t>
    </r>
    <r>
      <rPr>
        <sz val="9"/>
        <color rgb="FF000000"/>
        <rFont val="Arial"/>
        <family val="2"/>
        <charset val="238"/>
      </rPr>
      <t>, w tym powierzchnia mieszkalna w m</t>
    </r>
    <r>
      <rPr>
        <vertAlign val="superscript"/>
        <sz val="9"/>
        <color rgb="FF000000"/>
        <rFont val="Arial"/>
        <family val="2"/>
        <charset val="238"/>
      </rPr>
      <t>2</t>
    </r>
    <r>
      <rPr>
        <sz val="9"/>
        <color rgb="FF000000"/>
        <rFont val="Arial"/>
        <family val="2"/>
        <charset val="238"/>
      </rPr>
      <t>, w tym w pomieszczeniach mieszkalnych w m</t>
    </r>
    <r>
      <rPr>
        <vertAlign val="superscript"/>
        <sz val="9"/>
        <color rgb="FF000000"/>
        <rFont val="Arial"/>
        <family val="2"/>
        <charset val="238"/>
      </rPr>
      <t>2</t>
    </r>
    <r>
      <rPr>
        <sz val="9"/>
        <color rgb="FF000000"/>
        <rFont val="Arial"/>
        <family val="2"/>
        <charset val="238"/>
      </rPr>
      <t>;</t>
    </r>
  </si>
  <si>
    <r>
      <t xml:space="preserve"> 6) </t>
    </r>
    <r>
      <rPr>
        <sz val="9"/>
        <color rgb="FF000000"/>
        <rFont val="Arial"/>
        <family val="2"/>
        <charset val="238"/>
      </rPr>
      <t xml:space="preserve"> całkowita liczba miejsc w pomieszczeniach mieszkalnych, po zakończeniu realizacji przedsięwzięcia, w podziale na poszczególne pomieszczenia mieszkalne;</t>
    </r>
  </si>
  <si>
    <r>
      <t xml:space="preserve"> 3. </t>
    </r>
    <r>
      <rPr>
        <sz val="9"/>
        <color rgb="FF000000"/>
        <rFont val="Arial"/>
        <family val="2"/>
        <charset val="238"/>
      </rPr>
      <t xml:space="preserve"> Ogrzewalnia:</t>
    </r>
  </si>
  <si>
    <r>
      <t xml:space="preserve"> 2) </t>
    </r>
    <r>
      <rPr>
        <sz val="9"/>
        <color rgb="FF000000"/>
        <rFont val="Arial"/>
        <family val="2"/>
        <charset val="238"/>
      </rPr>
      <t xml:space="preserve"> nowa powierzchnia użytkowa ogrzewalni w m</t>
    </r>
    <r>
      <rPr>
        <vertAlign val="superscript"/>
        <sz val="9"/>
        <color rgb="FF000000"/>
        <rFont val="Arial"/>
        <family val="2"/>
        <charset val="238"/>
      </rPr>
      <t>2</t>
    </r>
    <r>
      <rPr>
        <sz val="9"/>
        <color rgb="FF000000"/>
        <rFont val="Arial"/>
        <family val="2"/>
        <charset val="238"/>
      </rPr>
      <t>;</t>
    </r>
  </si>
  <si>
    <r>
      <t xml:space="preserve"> 3) </t>
    </r>
    <r>
      <rPr>
        <sz val="9"/>
        <color rgb="FF000000"/>
        <rFont val="Arial"/>
        <family val="2"/>
        <charset val="238"/>
      </rPr>
      <t xml:space="preserve"> nowa powierzchnia użytkowa niestanowiąca ogrzewalni;</t>
    </r>
  </si>
  <si>
    <r>
      <t xml:space="preserve"> 4) </t>
    </r>
    <r>
      <rPr>
        <sz val="9"/>
        <color rgb="FF000000"/>
        <rFont val="Arial"/>
        <family val="2"/>
        <charset val="238"/>
      </rPr>
      <t xml:space="preserve"> nowa liczba miejsc w ogrzewalni;</t>
    </r>
  </si>
  <si>
    <t xml:space="preserve"> 6)   Obliczona zgodnie z art. 2 ust. 2 ustawy z dnia 21 czerwca 2001 r. o ochronie praw lokatorów, mieszkaniowym zasobie gminy i o zmianie Kodeksu cywilnego (Dz. U. z 2016 r. poz. 1610, z 2017 r. poz. 1442 i 1529 oraz z 2018 r. poz. 374 i 756).</t>
  </si>
  <si>
    <r>
      <t xml:space="preserve"> 5) </t>
    </r>
    <r>
      <rPr>
        <sz val="9"/>
        <color rgb="FF000000"/>
        <rFont val="Arial"/>
        <family val="2"/>
        <charset val="238"/>
      </rPr>
      <t xml:space="preserve"> dotychczasowa powierzchnia użytkowa ogrzewalni w m</t>
    </r>
    <r>
      <rPr>
        <vertAlign val="superscript"/>
        <sz val="9"/>
        <color rgb="FF000000"/>
        <rFont val="Arial"/>
        <family val="2"/>
        <charset val="238"/>
      </rPr>
      <t>2</t>
    </r>
    <r>
      <rPr>
        <sz val="9"/>
        <color rgb="FF000000"/>
        <rFont val="Arial"/>
        <family val="2"/>
        <charset val="238"/>
      </rPr>
      <t>;</t>
    </r>
  </si>
  <si>
    <t xml:space="preserve"> 7)   Nie wlicza się wartości lub kosztu nabycia gruntu. Wlicza się koszt wyposażenia lokalu, o którym mowa w art. 6b ustawy.</t>
  </si>
  <si>
    <r>
      <t xml:space="preserve"> 4. </t>
    </r>
    <r>
      <rPr>
        <sz val="9"/>
        <color rgb="FF000000"/>
        <rFont val="Arial"/>
        <family val="2"/>
        <charset val="238"/>
      </rPr>
      <t xml:space="preserve"> Charakterystyka noclegowni (czy dana cecha występuje):</t>
    </r>
  </si>
  <si>
    <r>
      <t xml:space="preserve"> 1) </t>
    </r>
    <r>
      <rPr>
        <sz val="9"/>
        <color rgb="FF000000"/>
        <rFont val="Arial"/>
        <family val="2"/>
        <charset val="238"/>
      </rPr>
      <t xml:space="preserve"> liczba miejsc nie większa niż 100;</t>
    </r>
  </si>
  <si>
    <r>
      <t xml:space="preserve"> 2) </t>
    </r>
    <r>
      <rPr>
        <sz val="9"/>
        <color rgb="FF000000"/>
        <rFont val="Arial"/>
        <family val="2"/>
        <charset val="238"/>
      </rPr>
      <t xml:space="preserve"> nie więcej niż 20 osób w jednej sypialni;</t>
    </r>
  </si>
  <si>
    <r>
      <t xml:space="preserve"> 3) </t>
    </r>
    <r>
      <rPr>
        <sz val="9"/>
        <color rgb="FF000000"/>
        <rFont val="Arial"/>
        <family val="2"/>
        <charset val="238"/>
      </rPr>
      <t xml:space="preserve"> powierzchnia przypadająca na osobę w sypialni - nie mniej niż 3 m</t>
    </r>
    <r>
      <rPr>
        <vertAlign val="superscript"/>
        <sz val="9"/>
        <color rgb="FF000000"/>
        <rFont val="Arial"/>
        <family val="2"/>
        <charset val="238"/>
      </rPr>
      <t>2</t>
    </r>
    <r>
      <rPr>
        <sz val="9"/>
        <color rgb="FF000000"/>
        <rFont val="Arial"/>
        <family val="2"/>
        <charset val="238"/>
      </rPr>
      <t>/osobę, w pomieszczeniach z łóżkami piętrowymi nie mniej niż 2 m</t>
    </r>
    <r>
      <rPr>
        <vertAlign val="superscript"/>
        <sz val="9"/>
        <color rgb="FF000000"/>
        <rFont val="Arial"/>
        <family val="2"/>
        <charset val="238"/>
      </rPr>
      <t>2</t>
    </r>
    <r>
      <rPr>
        <sz val="9"/>
        <color rgb="FF000000"/>
        <rFont val="Arial"/>
        <family val="2"/>
        <charset val="238"/>
      </rPr>
      <t>/osobę;</t>
    </r>
  </si>
  <si>
    <t xml:space="preserve"> 8)   Wlicza się tylko koszty, o których mowa w art. 14 pkt 2 ustawy.</t>
  </si>
  <si>
    <r>
      <t xml:space="preserve"> 4) </t>
    </r>
    <r>
      <rPr>
        <sz val="9"/>
        <color rgb="FF000000"/>
        <rFont val="Arial"/>
        <family val="2"/>
        <charset val="238"/>
      </rPr>
      <t xml:space="preserve"> sypialnie z co najmniej 1 otwieranym oknem na pomieszczenie lub wentylacją przewidzianą dla pomieszczeń mieszkalnych bez otwieranych okien;</t>
    </r>
  </si>
  <si>
    <r>
      <t xml:space="preserve"> 5) </t>
    </r>
    <r>
      <rPr>
        <sz val="9"/>
        <color rgb="FF000000"/>
        <rFont val="Arial"/>
        <family val="2"/>
        <charset val="238"/>
      </rPr>
      <t xml:space="preserve"> sanitariaty (urządzenie natryskowe - 1 dla 15 osób, miska ustępowa - 1 dla 10 kobiet oraz 1 dla 20 mężczyzn, pisuar - 1 dla 20 mężczyzn, umywalka - 1 dla 5 osób, dostęp do bieżącej ciepłej i zimnej wody oraz możliwość przeprowadzenia zabiegów higienicznych);</t>
    </r>
  </si>
  <si>
    <r>
      <t xml:space="preserve"> 6) </t>
    </r>
    <r>
      <rPr>
        <sz val="9"/>
        <color rgb="FF000000"/>
        <rFont val="Arial"/>
        <family val="2"/>
        <charset val="238"/>
      </rPr>
      <t xml:space="preserve"> jadalnia/świetlica (pomieszczenie do spożywania posiłków, które poza porami posiłków może pełnić funkcję świetlicy lub sali spotkań grupowych);</t>
    </r>
  </si>
  <si>
    <r>
      <t xml:space="preserve"> 7) </t>
    </r>
    <r>
      <rPr>
        <sz val="9"/>
        <color rgb="FF000000"/>
        <rFont val="Arial"/>
        <family val="2"/>
        <charset val="238"/>
      </rPr>
      <t xml:space="preserve"> pomieszczenie biurowe (wydzielone pomieszczenie do prac biurowych oraz indywidualnych rozmów z osobami bezdomnymi);</t>
    </r>
  </si>
  <si>
    <r>
      <t xml:space="preserve"> 8) </t>
    </r>
    <r>
      <rPr>
        <sz val="9"/>
        <color rgb="FF000000"/>
        <rFont val="Arial"/>
        <family val="2"/>
        <charset val="238"/>
      </rPr>
      <t xml:space="preserve"> magazyn odzieży, bielizny, pościeli (pomieszczenia wyposażone w regały, szafy i inne meble umożliwiające wymianę rzeczy brudnych i czystych);</t>
    </r>
  </si>
  <si>
    <r>
      <t xml:space="preserve"> 9) </t>
    </r>
    <r>
      <rPr>
        <sz val="9"/>
        <color rgb="FF000000"/>
        <rFont val="Arial"/>
        <family val="2"/>
        <charset val="238"/>
      </rPr>
      <t xml:space="preserve"> magazyn środków chemicznych (wydzielone pomieszczenie na środki czystości i higieny);</t>
    </r>
  </si>
  <si>
    <r>
      <t xml:space="preserve"> 10) </t>
    </r>
    <r>
      <rPr>
        <sz val="9"/>
        <color rgb="FF000000"/>
        <rFont val="Arial"/>
        <family val="2"/>
        <charset val="238"/>
      </rPr>
      <t xml:space="preserve"> pralnia (wydzielone pomieszczenie wyposażone co najmniej w 1 pralkę dla 30 osób).</t>
    </r>
  </si>
  <si>
    <r>
      <t xml:space="preserve"> 5. </t>
    </r>
    <r>
      <rPr>
        <sz val="9"/>
        <color rgb="FF000000"/>
        <rFont val="Arial"/>
        <family val="2"/>
        <charset val="238"/>
      </rPr>
      <t xml:space="preserve"> Charakterystyka schroniska dla bezdomnych (czy dana cecha występuje):</t>
    </r>
  </si>
  <si>
    <r>
      <t xml:space="preserve"> 1) </t>
    </r>
    <r>
      <rPr>
        <sz val="9"/>
        <color rgb="FF000000"/>
        <rFont val="Arial"/>
        <family val="2"/>
        <charset val="238"/>
      </rPr>
      <t xml:space="preserve"> liczba miejsc nie większa niż 80;</t>
    </r>
  </si>
  <si>
    <r>
      <t xml:space="preserve"> 2) </t>
    </r>
    <r>
      <rPr>
        <sz val="9"/>
        <color rgb="FF000000"/>
        <rFont val="Arial"/>
        <family val="2"/>
        <charset val="238"/>
      </rPr>
      <t xml:space="preserve"> nie więcej niż 10 osób w jednym pomieszczeniu mieszkalnym;</t>
    </r>
  </si>
  <si>
    <r>
      <t xml:space="preserve"> 3) </t>
    </r>
    <r>
      <rPr>
        <sz val="9"/>
        <color rgb="FF000000"/>
        <rFont val="Arial"/>
        <family val="2"/>
        <charset val="238"/>
      </rPr>
      <t xml:space="preserve"> powierzchnia przypadająca na osobę w pomieszczeniu mieszkalnym - nie mniej niż 4 m</t>
    </r>
    <r>
      <rPr>
        <vertAlign val="superscript"/>
        <sz val="9"/>
        <color rgb="FF000000"/>
        <rFont val="Arial"/>
        <family val="2"/>
        <charset val="238"/>
      </rPr>
      <t>2</t>
    </r>
    <r>
      <rPr>
        <sz val="9"/>
        <color rgb="FF000000"/>
        <rFont val="Arial"/>
        <family val="2"/>
        <charset val="238"/>
      </rPr>
      <t>/osobę, w pomieszczeniach z łóżkami piętrowymi nie mniej niż 3 m</t>
    </r>
    <r>
      <rPr>
        <vertAlign val="superscript"/>
        <sz val="9"/>
        <color rgb="FF000000"/>
        <rFont val="Arial"/>
        <family val="2"/>
        <charset val="238"/>
      </rPr>
      <t>2</t>
    </r>
    <r>
      <rPr>
        <sz val="9"/>
        <color rgb="FF000000"/>
        <rFont val="Arial"/>
        <family val="2"/>
        <charset val="238"/>
      </rPr>
      <t>/osobę;</t>
    </r>
  </si>
  <si>
    <r>
      <t xml:space="preserve"> 4) </t>
    </r>
    <r>
      <rPr>
        <sz val="9"/>
        <color rgb="FF000000"/>
        <rFont val="Arial"/>
        <family val="2"/>
        <charset val="238"/>
      </rPr>
      <t xml:space="preserve"> pomieszczenia mieszkalne z co najmniej 1 oknem;</t>
    </r>
  </si>
  <si>
    <r>
      <t xml:space="preserve"> 6) </t>
    </r>
    <r>
      <rPr>
        <sz val="9"/>
        <color rgb="FF000000"/>
        <rFont val="Arial"/>
        <family val="2"/>
        <charset val="238"/>
      </rPr>
      <t xml:space="preserve"> kuchnia do sporządzania indywidualnych posiłków (wydzielone pomieszczenie do samodzielnego przygotowywania posiłków wyposażone w co najmniej jedną kuchenkę i lodówkę oraz szafki kuchenne);</t>
    </r>
  </si>
  <si>
    <r>
      <t xml:space="preserve"> 7) </t>
    </r>
    <r>
      <rPr>
        <sz val="9"/>
        <color rgb="FF000000"/>
        <rFont val="Arial"/>
        <family val="2"/>
        <charset val="238"/>
      </rPr>
      <t xml:space="preserve"> jadalnia/świetlica (pomieszczenie do spożywania posiłków, które poza porami posiłków może pełnić funkcję świetlicy lub sali spotkań grupowych);</t>
    </r>
  </si>
  <si>
    <r>
      <t xml:space="preserve"> 8) </t>
    </r>
    <r>
      <rPr>
        <sz val="9"/>
        <color rgb="FF000000"/>
        <rFont val="Arial"/>
        <family val="2"/>
        <charset val="238"/>
      </rPr>
      <t xml:space="preserve"> pralnia i suszarnia (pomieszczenie na pralnię i suszarnię wyposażone w co najmniej jedną pralkę na 30 osób; w przypadku braku suszarni - dostęp do co najmniej jednej suszarki elektrycznej na 30 osób);</t>
    </r>
  </si>
  <si>
    <r>
      <t xml:space="preserve"> 9) </t>
    </r>
    <r>
      <rPr>
        <sz val="9"/>
        <color rgb="FF000000"/>
        <rFont val="Arial"/>
        <family val="2"/>
        <charset val="238"/>
      </rPr>
      <t xml:space="preserve"> pomieszczenie biurowe (wydzielone pomieszczenie do prac biurowych);</t>
    </r>
  </si>
  <si>
    <r>
      <t xml:space="preserve"> 10) </t>
    </r>
    <r>
      <rPr>
        <sz val="9"/>
        <color rgb="FF000000"/>
        <rFont val="Arial"/>
        <family val="2"/>
        <charset val="238"/>
      </rPr>
      <t xml:space="preserve"> magazyn odzieży, bielizny, pościeli (pomieszczenia wyposażone w regały, szafy i inne meble umożliwiające wymianę rzeczy brudnych i czystych);</t>
    </r>
  </si>
  <si>
    <r>
      <t xml:space="preserve"> 11) </t>
    </r>
    <r>
      <rPr>
        <sz val="9"/>
        <color rgb="FF000000"/>
        <rFont val="Arial"/>
        <family val="2"/>
        <charset val="238"/>
      </rPr>
      <t xml:space="preserve"> magazyn środków chemicznych (wydzielone pomieszczenie na środki czystości i higieny);</t>
    </r>
  </si>
  <si>
    <r>
      <t xml:space="preserve"> 12) </t>
    </r>
    <r>
      <rPr>
        <sz val="9"/>
        <color rgb="FF000000"/>
        <rFont val="Arial"/>
        <family val="2"/>
        <charset val="238"/>
      </rPr>
      <t xml:space="preserve"> pokój spotkań indywidualnych (wydzielone pomieszczenie do spotkań indywidualnych);</t>
    </r>
  </si>
  <si>
    <r>
      <t xml:space="preserve"> 13) </t>
    </r>
    <r>
      <rPr>
        <sz val="9"/>
        <color rgb="FF000000"/>
        <rFont val="Arial"/>
        <family val="2"/>
        <charset val="238"/>
      </rPr>
      <t xml:space="preserve"> pracownia komputerowa (wydzielone pomieszczenie lub jego część, wyposażone w komputer z dostępem do internetu).</t>
    </r>
  </si>
  <si>
    <r>
      <t xml:space="preserve"> 6. </t>
    </r>
    <r>
      <rPr>
        <sz val="9"/>
        <color rgb="FF000000"/>
        <rFont val="Arial"/>
        <family val="2"/>
        <charset val="238"/>
      </rPr>
      <t xml:space="preserve"> Charakterystyka ogrzewalni (czy dana cecha występuje):</t>
    </r>
  </si>
  <si>
    <r>
      <t xml:space="preserve"> 1) </t>
    </r>
    <r>
      <rPr>
        <sz val="9"/>
        <color rgb="FF000000"/>
        <rFont val="Arial"/>
        <family val="2"/>
        <charset val="238"/>
      </rPr>
      <t xml:space="preserve"> liczba miejsc nie większa niż 50;</t>
    </r>
  </si>
  <si>
    <r>
      <t xml:space="preserve"> 2) </t>
    </r>
    <r>
      <rPr>
        <sz val="9"/>
        <color rgb="FF000000"/>
        <rFont val="Arial"/>
        <family val="2"/>
        <charset val="238"/>
      </rPr>
      <t xml:space="preserve"> liczba miejsc siedzących dla nie więcej niż 25 osób w jednym pomieszczeniu pobytowym;</t>
    </r>
  </si>
  <si>
    <r>
      <t xml:space="preserve"> 3) </t>
    </r>
    <r>
      <rPr>
        <sz val="9"/>
        <color rgb="FF000000"/>
        <rFont val="Arial"/>
        <family val="2"/>
        <charset val="238"/>
      </rPr>
      <t xml:space="preserve"> powierzchnia przypadająca na osobę w pomieszczeniu pobytowym - nie mniej niż 2 m</t>
    </r>
    <r>
      <rPr>
        <vertAlign val="superscript"/>
        <sz val="9"/>
        <color rgb="FF000000"/>
        <rFont val="Arial"/>
        <family val="2"/>
        <charset val="238"/>
      </rPr>
      <t>2</t>
    </r>
    <r>
      <rPr>
        <sz val="9"/>
        <color rgb="FF000000"/>
        <rFont val="Arial"/>
        <family val="2"/>
        <charset val="238"/>
      </rPr>
      <t>/osobę;</t>
    </r>
  </si>
  <si>
    <r>
      <t xml:space="preserve"> 4) </t>
    </r>
    <r>
      <rPr>
        <sz val="9"/>
        <color rgb="FF000000"/>
        <rFont val="Arial"/>
        <family val="2"/>
        <charset val="238"/>
      </rPr>
      <t xml:space="preserve"> sanitariaty (miska ustępowa - 1 dla 20 kobiet oraz 1 dla 30 mężczyzn, pisuar - 1 dla 30 mężczyzn, umywalka - 1 dla 20 osób, stały dostęp do bieżącej ciepłej i zimnej wody oraz możliwość przeprowadzenia zabiegów higienicznych);</t>
    </r>
  </si>
  <si>
    <r>
      <t xml:space="preserve"> 5) </t>
    </r>
    <r>
      <rPr>
        <sz val="9"/>
        <color rgb="FF000000"/>
        <rFont val="Arial"/>
        <family val="2"/>
        <charset val="238"/>
      </rPr>
      <t xml:space="preserve"> pomieszczenie biurowe (wydzielone pomieszczenie do prac biurowych oraz indywidualnych rozmów z osobami bezdomnymi).</t>
    </r>
  </si>
  <si>
    <r>
      <t xml:space="preserve"> 7. </t>
    </r>
    <r>
      <rPr>
        <sz val="9"/>
        <color rgb="FF000000"/>
        <rFont val="Arial"/>
        <family val="2"/>
        <charset val="238"/>
      </rPr>
      <t xml:space="preserve"> Dostosowanie do potrzeb osób niepełnosprawnych ruchowo (podjazdy dla wózków inwalidzkich, ciągi komunikacyjne w budynku, winda lub inne rozwiązania architektoniczne).</t>
    </r>
  </si>
  <si>
    <r>
      <t xml:space="preserve"> B. </t>
    </r>
    <r>
      <rPr>
        <sz val="9"/>
        <color rgb="FF000000"/>
        <rFont val="Arial"/>
        <family val="2"/>
        <charset val="238"/>
      </rPr>
      <t xml:space="preserve"> Remont lub przebudowa budynku niemieszkalnego, przeznaczonego na pobyt ludzi, będącego własnością gminy, jednoosobowej spółki gminnej, związku międzygminnego albo organizacji pożytku publicznego, albo części takiego budynku - zakres informacji jak w lit. A.</t>
    </r>
  </si>
  <si>
    <r>
      <t xml:space="preserve"> C. </t>
    </r>
    <r>
      <rPr>
        <sz val="9"/>
        <color rgb="FF000000"/>
        <rFont val="Arial"/>
        <family val="2"/>
        <charset val="238"/>
      </rPr>
      <t xml:space="preserve"> Remont lub przebudowa budynku mieszkalnego, będącego własnością gminy lub jednoosobowej spółki gminnej, albo części takiego budynku, jeżeli budynek mieszkalny albo jego część, ze względu na stan techniczny został wyłączony z użytkowania albo zakazano jego użytkowania na podstawie art. 66 ust. 2 albo art. 68 pkt 1 ustawy z dnia 7 lipca 1994 r. - Prawo budowlane - zakres informacji jak w lit. A.</t>
    </r>
  </si>
  <si>
    <r>
      <t xml:space="preserve"> D. </t>
    </r>
    <r>
      <rPr>
        <sz val="9"/>
        <color rgb="FF000000"/>
        <rFont val="Arial"/>
        <family val="2"/>
        <charset val="238"/>
      </rPr>
      <t xml:space="preserve"> Zmiana sposobu użytkowania budynku będącego własnością gminy, jednoosobowej spółki gminnej, związku międzygminnego albo organizacji pożytku publicznego, albo części takiego budynku, wymagającej dokonania remontu lub przebudowy - zakres informacji jak w lit. A.</t>
    </r>
  </si>
  <si>
    <t>Beneficjent wsparcia</t>
  </si>
  <si>
    <t>Nazwa</t>
  </si>
  <si>
    <t>Numer identyfikacji podatkowej NIP</t>
  </si>
  <si>
    <t>Dane służbowe osoby bezpośrednio prowadzącej sprawę</t>
  </si>
  <si>
    <t>II.</t>
  </si>
  <si>
    <t>Dane dotyczące realizowanego przedsięwzięcia</t>
  </si>
  <si>
    <t>III.</t>
  </si>
  <si>
    <t>Rodzaj przedsięwzięcia (należy wskazać właściwe)</t>
  </si>
  <si>
    <t>I. Dane Wnioskodawcy</t>
  </si>
  <si>
    <t>Gmina</t>
  </si>
  <si>
    <t>Doprecyzowanie beneficjenta wsparcia</t>
  </si>
  <si>
    <t>Jednoosobowa spółka gminna</t>
  </si>
  <si>
    <t>Powiat</t>
  </si>
  <si>
    <t>Związek międzygminny</t>
  </si>
  <si>
    <t>Organizacja pożytku publicznego</t>
  </si>
  <si>
    <t>Spółka celowa</t>
  </si>
  <si>
    <t>podstawowa jednostka samorządu terytorialnego, o której mowa w art. 1 ust. 2 ustawy z dnia 8 marca 1990 r. o samorządzie gminnym (Dz. U. z 2017 r. poz. 1875 z późn. zm.).</t>
  </si>
  <si>
    <t>spółki z ograniczoną odpowiedzialnością lub spółki akcyjne, niedziałające w formie towarzystwa budownictwa społecznego, których wszystkie udziały albo akcje należą do jednego wspólnika albo akcjonariusza, a tym wspólnikiem albo akcjonariuszem jest gmina i którym gmina powierzyła realizację zadania własnego w zakresie zaspokajania potrzeb mieszkaniowych wspólnoty samorządowej</t>
  </si>
  <si>
    <t>związki międzygminne, o których mowa w art. 64 ustawy z dnia 8 marca 1990 r. o samorządzie gminnym (Dz. U. z 2017 r. poz. 1875 z późn. zm.) Związki międzygminne tworzone są przez gminy w celu wspólnego wykonywania zadań publicznych</t>
  </si>
  <si>
    <t>jednostka samorządu terytorialnego II stopnia, o którejh mowa w art. 1 ust. 2 ustawy z dnia 5 czerwca 1998 r. o samorządzie powiatowym (Dz. U. z 2017 r. poz. 1868 z późn. zm.)</t>
  </si>
  <si>
    <t>podmiot, któremu przysługuje status organizacji pożytku publicznego w rozumieniu ustawy z dnia 24 kwietnia 2003 r. o działalności pożytku publicznego i o wolontariacie (Dz. U. z 2018 r. poz. 450)</t>
  </si>
  <si>
    <t>jak wyżej</t>
  </si>
  <si>
    <t>Przewidywana data rozpoczęcia realizacji przedsięwzięcia (miesiąc słownie i rok)</t>
  </si>
  <si>
    <t>Przewidywana data zakończenia realizacji przedsięwzięcia (miesiąc słownie i rok)</t>
  </si>
  <si>
    <t>Wsparcie finansowe na podstawie ustawy</t>
  </si>
  <si>
    <t>Łącznie</t>
  </si>
  <si>
    <t>IV.</t>
  </si>
  <si>
    <t>V.</t>
  </si>
  <si>
    <t xml:space="preserve">Inne źródła </t>
  </si>
  <si>
    <r>
      <t xml:space="preserve"> E. </t>
    </r>
    <r>
      <rPr>
        <sz val="9"/>
        <color rgb="FF000000"/>
        <rFont val="Arial"/>
        <family val="2"/>
        <charset val="238"/>
      </rPr>
      <t xml:space="preserve"> Remont lub przebudowa istniejących noclegowni, schronisk dla bezdomnych lub ogrzewalni, w wyniku którego nastąpi dostosowanie noclegowni, schroniska dla bezdomnych lub ogrzewalni do standardów, o których mowa w przepisach wydanych na podstawie art. 48a ust. 14 ustawy z dnia 12 marca 2004 r. o pomocy społecznej - zakres informacji jak w lit. A. </t>
    </r>
  </si>
  <si>
    <t>A. Charakterystyka przedsięwzięcia określonego w art. 5 ustawy</t>
  </si>
  <si>
    <t>Przedsięwzięcie</t>
  </si>
  <si>
    <t>Rodzaj przedsięwzięcia</t>
  </si>
  <si>
    <t>A. Charakterystyka przedsięwzięcia określonego w art. 3 ustawy</t>
  </si>
  <si>
    <r>
      <t xml:space="preserve"> 1) </t>
    </r>
    <r>
      <rPr>
        <sz val="9"/>
        <color rgb="FF000000"/>
        <rFont val="Arial"/>
        <family val="2"/>
        <charset val="238"/>
      </rPr>
      <t xml:space="preserve"> w przypadku gminy - wójta (burmistrza, prezydenta miasta);</t>
    </r>
  </si>
  <si>
    <r>
      <t xml:space="preserve"> 2) </t>
    </r>
    <r>
      <rPr>
        <sz val="9"/>
        <color rgb="FF000000"/>
        <rFont val="Arial"/>
        <family val="2"/>
        <charset val="238"/>
      </rPr>
      <t xml:space="preserve"> w przypadku związku międzygminnego - zarząd związku;</t>
    </r>
  </si>
  <si>
    <r>
      <t xml:space="preserve"> 3) </t>
    </r>
    <r>
      <rPr>
        <sz val="9"/>
        <color rgb="FF000000"/>
        <rFont val="Arial"/>
        <family val="2"/>
        <charset val="238"/>
      </rPr>
      <t xml:space="preserve"> w przypadku powiatu - starostę;</t>
    </r>
  </si>
  <si>
    <r>
      <t xml:space="preserve"> 4) </t>
    </r>
    <r>
      <rPr>
        <sz val="9"/>
        <color rgb="FF000000"/>
        <rFont val="Arial"/>
        <family val="2"/>
        <charset val="238"/>
      </rPr>
      <t xml:space="preserve"> w przypadku jednoosobowej spółki gminnej, spółki celowej i organizacji pożytku publicznego - osobę lub osoby uprawnione do składania oświadczeń woli w imieniu spółki i organizacji (należy dołączyć aktualny dokument potwierdzający uprawnienia).</t>
    </r>
  </si>
  <si>
    <t>VII. Oświadczenie o prawdziwości danych zawartych we wniosku, podpisane przez</t>
  </si>
  <si>
    <t>Załącznik nr</t>
  </si>
  <si>
    <t>Nie dotyczy</t>
  </si>
  <si>
    <t xml:space="preserve">Wniosek o udzielenie wsparcia finansowego z Funduszu Dopłat w ramach realizacji przez </t>
  </si>
  <si>
    <t>Bank Gospodarstwa Krajowego rządowego programu budownictwa komunalnego</t>
  </si>
  <si>
    <t>Rodzaj zasobu</t>
  </si>
  <si>
    <t>Objaśnienia do tabeli:</t>
  </si>
  <si>
    <t>BB - budowa budynku</t>
  </si>
  <si>
    <t>BB-TBS - budowa budynku przez TBS lub SG</t>
  </si>
  <si>
    <t>K - kupno lub kupno połączone z remontem</t>
  </si>
  <si>
    <t>RPB - remont lub przebudowa budynku niemieszkalnego lub mieszkalnego z decyzją PINB (art. 66 ust. 2 lub art. 68 pkt 1 Prawa budowlanego)</t>
  </si>
  <si>
    <t>RPBn - remont lub przebudowa budynku niemieszkalnego</t>
  </si>
  <si>
    <t>RPBn/ZSUB –TBS/SG - remont lub przebudowa budynku niemieszkalnego przez TBS lub SG</t>
  </si>
  <si>
    <t>ZSUB - zmiana sposobu użytkowania budynku</t>
  </si>
  <si>
    <t>Żółte pola wypełnią się automatycznie.</t>
  </si>
  <si>
    <t>data wniosku</t>
  </si>
  <si>
    <t>miejscowość</t>
  </si>
  <si>
    <t>Lp.</t>
  </si>
  <si>
    <t>Razem</t>
  </si>
  <si>
    <t>n/d</t>
  </si>
  <si>
    <t>NIE</t>
  </si>
  <si>
    <t>TAK</t>
  </si>
  <si>
    <t xml:space="preserve">B.  Charakterystyka przedsięwzięcia określonego w art. 4 ustawy </t>
  </si>
  <si>
    <r>
      <t xml:space="preserve">1. </t>
    </r>
    <r>
      <rPr>
        <sz val="9"/>
        <color rgb="FF000000"/>
        <rFont val="Arial"/>
        <family val="2"/>
        <charset val="238"/>
      </rPr>
      <t xml:space="preserve"> Noclegownia: </t>
    </r>
  </si>
  <si>
    <t>W przypadku wiekszej ilości budynków wprowadź wszystkie adresy</t>
  </si>
  <si>
    <t>NIE DOTYCZY</t>
  </si>
  <si>
    <t>Budowa budynku</t>
  </si>
  <si>
    <t>Kupno lub kupno połączone z remontem</t>
  </si>
  <si>
    <t>Zmiana sposobu użytkowania budynku</t>
  </si>
  <si>
    <t>Remont lub przebudowa budynku niemieszkalnego</t>
  </si>
  <si>
    <t>Schroniska dla bezdomnych art. 4*</t>
  </si>
  <si>
    <t>Wielkość finansowego wsparcia</t>
  </si>
  <si>
    <t>Uwagi, komentarze przydatne przy wypełnianiu wniosku</t>
  </si>
  <si>
    <t>Nie dotyczy realizowanego przedsięwzięcia</t>
  </si>
  <si>
    <t>Data rozpoczęcia realizacji przedsięwzięcia nie może być późniejsza niż okres ważności pozwolenia na budowę</t>
  </si>
  <si>
    <t>Wprowadź nr księgi wieczystej dla każdej z nieruchomości</t>
  </si>
  <si>
    <t>Imię i nazwisko/ nr telefonu</t>
  </si>
  <si>
    <t>Imię i nazwisko/ nr telefonu (opcjonalnie)</t>
  </si>
  <si>
    <t>Wybierz nie dotyczy jeżeli, sprawę prowadzi jedna osoba</t>
  </si>
  <si>
    <t>Wnioskowana kwota finansowego wsparcia [zł]</t>
  </si>
  <si>
    <r>
      <t xml:space="preserve"> 2) </t>
    </r>
    <r>
      <rPr>
        <sz val="9"/>
        <color rgb="FF000000"/>
        <rFont val="Arial"/>
        <family val="2"/>
        <charset val="238"/>
      </rPr>
      <t xml:space="preserve"> w przypadku powiatu - starostę;</t>
    </r>
  </si>
  <si>
    <t>Wskaźnik kosztów kwalifikowanych &lt;0,00-100,00%&gt;</t>
  </si>
  <si>
    <t>Wysokość finansowego wsparcia [%]</t>
  </si>
  <si>
    <t>Kwota finansowego wsparcia [zł]</t>
  </si>
  <si>
    <t>Podwyższenie finansowego wsparcia</t>
  </si>
  <si>
    <t>Stawka Vat</t>
  </si>
  <si>
    <t>Kwota netto [zł]</t>
  </si>
  <si>
    <t>Kwota kosztów kwalifikowanych [zł]</t>
  </si>
  <si>
    <t>styczeń</t>
  </si>
  <si>
    <t>luty</t>
  </si>
  <si>
    <t>marzec</t>
  </si>
  <si>
    <t>kwiecień</t>
  </si>
  <si>
    <t>maj</t>
  </si>
  <si>
    <t>czerwiec</t>
  </si>
  <si>
    <t>lipiec</t>
  </si>
  <si>
    <t>sierpień</t>
  </si>
  <si>
    <t>wrzesień</t>
  </si>
  <si>
    <t>październik</t>
  </si>
  <si>
    <t>listopad</t>
  </si>
  <si>
    <t>grudzień</t>
  </si>
  <si>
    <t>Miesiąc</t>
  </si>
  <si>
    <t>Rok</t>
  </si>
  <si>
    <t>pierwszy kwartał</t>
  </si>
  <si>
    <t>drugi kwartał</t>
  </si>
  <si>
    <t>trzeci kwartał</t>
  </si>
  <si>
    <t>czwarty kwartał</t>
  </si>
  <si>
    <t>Data zakończenia realizacji przedsięwzięcia (miesiąc słownie i rok)</t>
  </si>
  <si>
    <t>Data rozpoczęcia realizacji przedsięwzięcia (miesiąc słownie i rok)</t>
  </si>
  <si>
    <t>Finansowe wsparcie może być udzielone na realizację przedsięwzięcia rozpoczętego przed dniem zawarcia umowy, o której mowa w art. 12, jeżeli wniosek o finansowe wsparcie, o którym mowa w art. 8, został złożony przez beneficjenta wsparcia przed upływem 12 miesięcy od dnia rozpoczęcia przedsięwzięcia</t>
  </si>
  <si>
    <t>Kliknij "tutaj" i przejdź do wypełnienia zestawienia kosztów</t>
  </si>
  <si>
    <t>Wróć do wypełniania wniosku</t>
  </si>
  <si>
    <t>Rodzaj przedsięwzięcia***</t>
  </si>
  <si>
    <t>Inwestor - TBS albo spółka gmina - art. 5a</t>
  </si>
  <si>
    <t>Wysokość finansowego wsparcia</t>
  </si>
  <si>
    <t>Uwaga: Jeżeli dana pozycja kosztów nie ma zastosowania dla Twojego przedsięwzięcia możesz edytować zakres tabeli w kolumnach dotyczących wyszczególnienia rodzaju kosztów, stawek VAT dostosowując zestawienie kosztów do zakresu rzeczowego realizowanego przedsięwzięcia i kosztów w nim występujących. W przypadku gdy zakres rzeczowy przedsięwzięcia nie uwzględnia danych kosztów i nie masz potrzeby edycji zakresu tabeli w wierszach dotyczących kwoty netto oraz wskaźniku kosztów kwalifikowanych wprowadź zero. Jeżeli w zaproponowanym zestawieniu kosztów nie jesteś w stanie odzwierciedlić indywidualnego wyszczególnienia kosztów sporządź je w własnym zakresie, a w niniejszym zestawieniu wprowadź wartości zagregowanych kosztów.</t>
  </si>
  <si>
    <t>Środki własne beneficjenta wsparcia</t>
  </si>
  <si>
    <t>Przewidywana struktura finansowania przedsięwzięcia, z podziałem na</t>
  </si>
  <si>
    <t>Numer identyfikacyjny REGON</t>
  </si>
  <si>
    <r>
      <t xml:space="preserve"> 4) </t>
    </r>
    <r>
      <rPr>
        <sz val="9"/>
        <color rgb="FF000000"/>
        <rFont val="Arial"/>
        <family val="2"/>
        <charset val="238"/>
      </rPr>
      <t xml:space="preserve"> w przypadku jednoosobowej spółki gminnej, organizacji pozarządowej albo podmiotów, o których mowa w art. 3 ust. 3 ustawy z dnia 24 kwietnia 2003 r. o działalności pożytku publicznego i o wolontariacie- osobę lub osoby uprawnione do składania oświadczeń woli w imieniu spółki i organizacji (należy dołączyć aktualny dokument potwierdzający uprawnienia)</t>
    </r>
  </si>
  <si>
    <r>
      <t xml:space="preserve"> 3) </t>
    </r>
    <r>
      <rPr>
        <sz val="9"/>
        <color rgb="FF000000"/>
        <rFont val="Arial"/>
        <family val="2"/>
        <charset val="238"/>
      </rPr>
      <t xml:space="preserve"> w przypadku jednoosobowej spółki gminnej, organizacji pozarządowej albo podmiotów, o których mowa w art. 3 ust. 3 ustawy z dnia 24 kwietnia 2003 r. o działalności pożytku publicznego i o wolontariacie- osobę lub osoby uprawnione do składania oświadczeń woli w imieniu spółki i organizacji (należy dołączyć aktualny dokument potwierdzający uprawnienia)</t>
    </r>
  </si>
  <si>
    <t>organizację pozarządową, o której mowa w art. 3 ust. 2 ustawy z dnia 24 kwietnia 2003 r. o działalności pożytku publicznego i o wolontariacie (Dz. U. z 2020 r. poz. 1057), zwanej dalej „organizacją pozarządową”,</t>
  </si>
  <si>
    <t>podmioty, o których mowa w art. 3 ust. 3 ustawy z dnia 24 kwietnia 2003 r. o działalności pożytku publicznego i o wolontariacie;”,</t>
  </si>
  <si>
    <t>Remont lub przebudowa budynku niemieszkalnego lub mieszkalnego</t>
  </si>
  <si>
    <t>III.  Rodzaj przedsięwzięcia (należy wskazać właściwe)</t>
  </si>
  <si>
    <t>Organizacja pozarządowa</t>
  </si>
  <si>
    <t>Podmioty, o których mowa w art. 3 ust. 3 ustawy  o działalności pożytku publicznego i wolontariacie</t>
  </si>
  <si>
    <t>J. Liczba lokali mieszkalnych zrealizowanych w ramach programu „Za życiem”.</t>
  </si>
  <si>
    <t>K. Liczba lokali mieszkalnych dla seniorów, o których mowa w art. 5b ustawy.</t>
  </si>
  <si>
    <t>Pieczęć i podpis beneficjenta wsparcia</t>
  </si>
  <si>
    <t>Pieczęć i podpis inwestora</t>
  </si>
  <si>
    <t>DOLNOŚLĄSKIE</t>
  </si>
  <si>
    <t>bolesławiecki</t>
  </si>
  <si>
    <t>dzierżoniowski</t>
  </si>
  <si>
    <t>głogowski</t>
  </si>
  <si>
    <t>górowski</t>
  </si>
  <si>
    <t>jaworski</t>
  </si>
  <si>
    <t>jeleniogórski</t>
  </si>
  <si>
    <t>kamiennogórski</t>
  </si>
  <si>
    <t>kłodzki</t>
  </si>
  <si>
    <t>legnicki</t>
  </si>
  <si>
    <t>lubański</t>
  </si>
  <si>
    <t>lubiński</t>
  </si>
  <si>
    <t>lwówecki</t>
  </si>
  <si>
    <t>milicki</t>
  </si>
  <si>
    <t>oleśnicki</t>
  </si>
  <si>
    <t>oławski</t>
  </si>
  <si>
    <t>polkowicki</t>
  </si>
  <si>
    <t>strzeliński</t>
  </si>
  <si>
    <t>średzki</t>
  </si>
  <si>
    <t>świdnicki</t>
  </si>
  <si>
    <t>trzebnicki</t>
  </si>
  <si>
    <t>wałbrzyski</t>
  </si>
  <si>
    <t>wołowski</t>
  </si>
  <si>
    <t>wrocławski</t>
  </si>
  <si>
    <t>ząbkowicki</t>
  </si>
  <si>
    <t>zgorzelecki</t>
  </si>
  <si>
    <t>złotoryjski</t>
  </si>
  <si>
    <t>Jelenia Góra</t>
  </si>
  <si>
    <t>Legnica</t>
  </si>
  <si>
    <t>Wrocław</t>
  </si>
  <si>
    <t>Wałbrzych</t>
  </si>
  <si>
    <t>KUJAWSKO-POMORSKIE</t>
  </si>
  <si>
    <t>aleksandrowski</t>
  </si>
  <si>
    <t>brodnicki</t>
  </si>
  <si>
    <t>bydgoski</t>
  </si>
  <si>
    <t>chełmiński</t>
  </si>
  <si>
    <t>golubsko-dobrzyński</t>
  </si>
  <si>
    <t>grudziądzki</t>
  </si>
  <si>
    <t>inowrocławski</t>
  </si>
  <si>
    <t>lipnowski</t>
  </si>
  <si>
    <t>mogileński</t>
  </si>
  <si>
    <t>nakielski</t>
  </si>
  <si>
    <t>radziejowski</t>
  </si>
  <si>
    <t>rypiński</t>
  </si>
  <si>
    <t>sępoleński</t>
  </si>
  <si>
    <t>świecki</t>
  </si>
  <si>
    <t>toruński</t>
  </si>
  <si>
    <t>tucholski</t>
  </si>
  <si>
    <t>wąbrzeski</t>
  </si>
  <si>
    <t>włocławski</t>
  </si>
  <si>
    <t>żniński</t>
  </si>
  <si>
    <t>Bydgoszcz</t>
  </si>
  <si>
    <t>Grudziądz</t>
  </si>
  <si>
    <t>Toruń</t>
  </si>
  <si>
    <t>Włocławek</t>
  </si>
  <si>
    <t>LUBELSKIE</t>
  </si>
  <si>
    <t>bialski</t>
  </si>
  <si>
    <t>biłgorajski</t>
  </si>
  <si>
    <t>chełmski</t>
  </si>
  <si>
    <t>hrubieszowski</t>
  </si>
  <si>
    <t>janowski</t>
  </si>
  <si>
    <t>krasnostawski</t>
  </si>
  <si>
    <t>kraśnicki</t>
  </si>
  <si>
    <t>lubartowski</t>
  </si>
  <si>
    <t>lubelski</t>
  </si>
  <si>
    <t>łęczyński</t>
  </si>
  <si>
    <t>łukowski</t>
  </si>
  <si>
    <t>opolski</t>
  </si>
  <si>
    <t>parczewski</t>
  </si>
  <si>
    <t>puławski</t>
  </si>
  <si>
    <t>radzyński</t>
  </si>
  <si>
    <t>rycki</t>
  </si>
  <si>
    <t>tomaszowski</t>
  </si>
  <si>
    <t>włodawski</t>
  </si>
  <si>
    <t>zamojski</t>
  </si>
  <si>
    <t>Biała Podlaska</t>
  </si>
  <si>
    <t>Chełm</t>
  </si>
  <si>
    <t>Lublin</t>
  </si>
  <si>
    <t>Zamość</t>
  </si>
  <si>
    <t>LUBUSKIE</t>
  </si>
  <si>
    <t>gorzowski</t>
  </si>
  <si>
    <t>krośnieński</t>
  </si>
  <si>
    <t>międzyrzecki</t>
  </si>
  <si>
    <t>nowosolski</t>
  </si>
  <si>
    <t>słubicki</t>
  </si>
  <si>
    <t>strzelecko-drezdenecki</t>
  </si>
  <si>
    <t>sulęciński</t>
  </si>
  <si>
    <t>świebodziński</t>
  </si>
  <si>
    <t>zielonogórski</t>
  </si>
  <si>
    <t>żagański</t>
  </si>
  <si>
    <t>żarski</t>
  </si>
  <si>
    <t>wschowski</t>
  </si>
  <si>
    <t>Gorzów Wielkopolski</t>
  </si>
  <si>
    <t>Zielona Góra</t>
  </si>
  <si>
    <t>ŁÓDZKIE</t>
  </si>
  <si>
    <t>bełchatowski</t>
  </si>
  <si>
    <t>kutnowski</t>
  </si>
  <si>
    <t>łaski</t>
  </si>
  <si>
    <t>łęczycki</t>
  </si>
  <si>
    <t>łowicki</t>
  </si>
  <si>
    <t>łódzki wschodni</t>
  </si>
  <si>
    <t>opoczyński</t>
  </si>
  <si>
    <t>pabianicki</t>
  </si>
  <si>
    <t>pajęczański</t>
  </si>
  <si>
    <t>piotrkowski</t>
  </si>
  <si>
    <t>poddębicki</t>
  </si>
  <si>
    <t>radomszczański</t>
  </si>
  <si>
    <t>rawski</t>
  </si>
  <si>
    <t>sieradzki</t>
  </si>
  <si>
    <t>skierniewicki</t>
  </si>
  <si>
    <t>wieluński</t>
  </si>
  <si>
    <t>wieruszowski</t>
  </si>
  <si>
    <t>zduńskowolski</t>
  </si>
  <si>
    <t>zgierski</t>
  </si>
  <si>
    <t>brzeziński</t>
  </si>
  <si>
    <t>Łódź</t>
  </si>
  <si>
    <t>Piotrków Trybunalski</t>
  </si>
  <si>
    <t>Skierniewice</t>
  </si>
  <si>
    <t>MAŁOPOLSKIE</t>
  </si>
  <si>
    <t>bocheński</t>
  </si>
  <si>
    <t>brzeski</t>
  </si>
  <si>
    <t>chrzanowski</t>
  </si>
  <si>
    <t>dąbrowski</t>
  </si>
  <si>
    <t>gorlicki</t>
  </si>
  <si>
    <t>krakowski</t>
  </si>
  <si>
    <t>limanowski</t>
  </si>
  <si>
    <t>miechowski</t>
  </si>
  <si>
    <t>myślenicki</t>
  </si>
  <si>
    <t>nowosądecki</t>
  </si>
  <si>
    <t>nowotarski</t>
  </si>
  <si>
    <t>olkuski</t>
  </si>
  <si>
    <t>oświęcimski</t>
  </si>
  <si>
    <t>proszowicki</t>
  </si>
  <si>
    <t>suski</t>
  </si>
  <si>
    <t>tarnowski</t>
  </si>
  <si>
    <t>tatrzański</t>
  </si>
  <si>
    <t>wadowicki</t>
  </si>
  <si>
    <t>wielicki</t>
  </si>
  <si>
    <t>Kraków</t>
  </si>
  <si>
    <t>Nowy Sącz</t>
  </si>
  <si>
    <t>Tarnów</t>
  </si>
  <si>
    <t>MAZOWIECKIE</t>
  </si>
  <si>
    <t>białobrzeski</t>
  </si>
  <si>
    <t>ciechanowski</t>
  </si>
  <si>
    <t>garwoliński</t>
  </si>
  <si>
    <t>gostyniński</t>
  </si>
  <si>
    <t>grodziski</t>
  </si>
  <si>
    <t>grójecki</t>
  </si>
  <si>
    <t>kozienicki</t>
  </si>
  <si>
    <t>legionowski</t>
  </si>
  <si>
    <t>lipski</t>
  </si>
  <si>
    <t>łosicki</t>
  </si>
  <si>
    <t>makowski</t>
  </si>
  <si>
    <t>miński</t>
  </si>
  <si>
    <t>mławski</t>
  </si>
  <si>
    <t>nowodworski</t>
  </si>
  <si>
    <t>ostrołęcki</t>
  </si>
  <si>
    <t>ostrowski</t>
  </si>
  <si>
    <t>otwocki</t>
  </si>
  <si>
    <t>piaseczyński</t>
  </si>
  <si>
    <t>płocki</t>
  </si>
  <si>
    <t>płoński</t>
  </si>
  <si>
    <t>pruszkowski</t>
  </si>
  <si>
    <t>przasnyski</t>
  </si>
  <si>
    <t>przysuski</t>
  </si>
  <si>
    <t>pułtuski</t>
  </si>
  <si>
    <t>radomski</t>
  </si>
  <si>
    <t>siedlecki</t>
  </si>
  <si>
    <t>sierpecki</t>
  </si>
  <si>
    <t>sochaczewski</t>
  </si>
  <si>
    <t>sokołowski</t>
  </si>
  <si>
    <t>szydłowiecki</t>
  </si>
  <si>
    <t>warszawski zachodni</t>
  </si>
  <si>
    <t>węgrowski</t>
  </si>
  <si>
    <t>wołomiński</t>
  </si>
  <si>
    <t>wyszkowski</t>
  </si>
  <si>
    <t>zwoleński</t>
  </si>
  <si>
    <t>żuromiński</t>
  </si>
  <si>
    <t>żyrardowski</t>
  </si>
  <si>
    <t>Ostrołęka</t>
  </si>
  <si>
    <t>Płock</t>
  </si>
  <si>
    <t>Radom</t>
  </si>
  <si>
    <t>Siedlce</t>
  </si>
  <si>
    <t>Warszawa</t>
  </si>
  <si>
    <t>OPOLSKIE</t>
  </si>
  <si>
    <t>głubczycki</t>
  </si>
  <si>
    <t>kędzierzyńsko-kozielski</t>
  </si>
  <si>
    <t>kluczborski</t>
  </si>
  <si>
    <t>krapkowicki</t>
  </si>
  <si>
    <t>namysłowski</t>
  </si>
  <si>
    <t>nyski</t>
  </si>
  <si>
    <t>oleski</t>
  </si>
  <si>
    <t>prudnicki</t>
  </si>
  <si>
    <t>strzelecki</t>
  </si>
  <si>
    <t>Opole</t>
  </si>
  <si>
    <t>PODKARPACKIE</t>
  </si>
  <si>
    <t>bieszczadzki</t>
  </si>
  <si>
    <t>brzozowski</t>
  </si>
  <si>
    <t>dębicki</t>
  </si>
  <si>
    <t>jarosławski</t>
  </si>
  <si>
    <t>jasielski</t>
  </si>
  <si>
    <t>kolbuszowski</t>
  </si>
  <si>
    <t>leżajski</t>
  </si>
  <si>
    <t>lubaczowski</t>
  </si>
  <si>
    <t>łańcucki</t>
  </si>
  <si>
    <t>mielecki</t>
  </si>
  <si>
    <t>niżański</t>
  </si>
  <si>
    <t>przemyski</t>
  </si>
  <si>
    <t>przeworski</t>
  </si>
  <si>
    <t>ropczycko-sędziszowski</t>
  </si>
  <si>
    <t>rzeszowski</t>
  </si>
  <si>
    <t>sanocki</t>
  </si>
  <si>
    <t>stalowowolski</t>
  </si>
  <si>
    <t>strzyżowski</t>
  </si>
  <si>
    <t>tarnobrzeski</t>
  </si>
  <si>
    <t>leski</t>
  </si>
  <si>
    <t>Krosno</t>
  </si>
  <si>
    <t>Przemyśl</t>
  </si>
  <si>
    <t>Rzeszów</t>
  </si>
  <si>
    <t>Tarnobrzeg</t>
  </si>
  <si>
    <t>PODLASKIE</t>
  </si>
  <si>
    <t>augustowski</t>
  </si>
  <si>
    <t>białostocki</t>
  </si>
  <si>
    <t>bielski</t>
  </si>
  <si>
    <t>grajewski</t>
  </si>
  <si>
    <t>hajnowski</t>
  </si>
  <si>
    <t>kolneński</t>
  </si>
  <si>
    <t>łomżyński</t>
  </si>
  <si>
    <t>moniecki</t>
  </si>
  <si>
    <t>sejneński</t>
  </si>
  <si>
    <t>siemiatycki</t>
  </si>
  <si>
    <t>sokólski</t>
  </si>
  <si>
    <t>suwalski</t>
  </si>
  <si>
    <t>wysokomazowiecki</t>
  </si>
  <si>
    <t>zambrowski</t>
  </si>
  <si>
    <t>Białystok</t>
  </si>
  <si>
    <t>Łomża</t>
  </si>
  <si>
    <t>Suwałki</t>
  </si>
  <si>
    <t>POMORSKIE</t>
  </si>
  <si>
    <t>bytowski</t>
  </si>
  <si>
    <t>chojnicki</t>
  </si>
  <si>
    <t>człuchowski</t>
  </si>
  <si>
    <t>gdański</t>
  </si>
  <si>
    <t>kartuski</t>
  </si>
  <si>
    <t>kościerski</t>
  </si>
  <si>
    <t>kwidzyński</t>
  </si>
  <si>
    <t>lęborski</t>
  </si>
  <si>
    <t>malborski</t>
  </si>
  <si>
    <t>pucki</t>
  </si>
  <si>
    <t>słupski</t>
  </si>
  <si>
    <t>starogardzki</t>
  </si>
  <si>
    <t>tczewski</t>
  </si>
  <si>
    <t>wejherowski</t>
  </si>
  <si>
    <t>sztumski</t>
  </si>
  <si>
    <t>Gdańsk</t>
  </si>
  <si>
    <t>Gdynia</t>
  </si>
  <si>
    <t>Słupsk</t>
  </si>
  <si>
    <t>Sopot</t>
  </si>
  <si>
    <t>ŚLĄSKIE</t>
  </si>
  <si>
    <t>będziński</t>
  </si>
  <si>
    <t>cieszyński</t>
  </si>
  <si>
    <t>częstochowski</t>
  </si>
  <si>
    <t>gliwicki</t>
  </si>
  <si>
    <t>kłobucki</t>
  </si>
  <si>
    <t>lubliniecki</t>
  </si>
  <si>
    <t>mikołowski</t>
  </si>
  <si>
    <t>myszkowski</t>
  </si>
  <si>
    <t>pszczyński</t>
  </si>
  <si>
    <t>raciborski</t>
  </si>
  <si>
    <t>rybnicki</t>
  </si>
  <si>
    <t>tarnogórski</t>
  </si>
  <si>
    <t>bieruńsko-lędziński</t>
  </si>
  <si>
    <t>wodzisławski</t>
  </si>
  <si>
    <t>zawierciański</t>
  </si>
  <si>
    <t>żywiecki</t>
  </si>
  <si>
    <t>Bielsko-Biała</t>
  </si>
  <si>
    <t>Bytom</t>
  </si>
  <si>
    <t>Chorzów</t>
  </si>
  <si>
    <t>Częstochowa</t>
  </si>
  <si>
    <t>Dąbrowa Górnicza</t>
  </si>
  <si>
    <t>Gliwice</t>
  </si>
  <si>
    <t>Jastrzębie-Zdrój</t>
  </si>
  <si>
    <t>Jaworzno</t>
  </si>
  <si>
    <t>Katowice</t>
  </si>
  <si>
    <t>Mysłowice</t>
  </si>
  <si>
    <t>Piekary Śląskie</t>
  </si>
  <si>
    <t>Ruda Śląska</t>
  </si>
  <si>
    <t>Rybnik</t>
  </si>
  <si>
    <t>Siemianowice Śląskie</t>
  </si>
  <si>
    <t>Sosnowiec</t>
  </si>
  <si>
    <t>Świętochłowice</t>
  </si>
  <si>
    <t>Tychy</t>
  </si>
  <si>
    <t>Zabrze</t>
  </si>
  <si>
    <t>Żory</t>
  </si>
  <si>
    <t>ŚWIĘTOKRZYSKIE</t>
  </si>
  <si>
    <t>buski</t>
  </si>
  <si>
    <t>jędrzejowski</t>
  </si>
  <si>
    <t>kazimierski</t>
  </si>
  <si>
    <t>kielecki</t>
  </si>
  <si>
    <t>konecki</t>
  </si>
  <si>
    <t>opatowski</t>
  </si>
  <si>
    <t>ostrowiecki</t>
  </si>
  <si>
    <t>pińczowski</t>
  </si>
  <si>
    <t>sandomierski</t>
  </si>
  <si>
    <t>skarżyski</t>
  </si>
  <si>
    <t>starachowicki</t>
  </si>
  <si>
    <t>staszowski</t>
  </si>
  <si>
    <t>włoszczowski</t>
  </si>
  <si>
    <t>Kielce</t>
  </si>
  <si>
    <t>WARMIŃSKO-MAZURSKIE</t>
  </si>
  <si>
    <t>bartoszycki</t>
  </si>
  <si>
    <t>braniewski</t>
  </si>
  <si>
    <t>działdowski</t>
  </si>
  <si>
    <t>elbląski</t>
  </si>
  <si>
    <t>ełcki</t>
  </si>
  <si>
    <t>giżycki</t>
  </si>
  <si>
    <t>iławski</t>
  </si>
  <si>
    <t>kętrzyński</t>
  </si>
  <si>
    <t>lidzbarski</t>
  </si>
  <si>
    <t>mrągowski</t>
  </si>
  <si>
    <t>nidzicki</t>
  </si>
  <si>
    <t>nowomiejski</t>
  </si>
  <si>
    <t>olecki</t>
  </si>
  <si>
    <t>olsztyński</t>
  </si>
  <si>
    <t>ostródzki</t>
  </si>
  <si>
    <t>piski</t>
  </si>
  <si>
    <t>szczycieński</t>
  </si>
  <si>
    <t>gołdapski</t>
  </si>
  <si>
    <t>węgorzewski</t>
  </si>
  <si>
    <t>Elbląg</t>
  </si>
  <si>
    <t>Olsztyn</t>
  </si>
  <si>
    <t>WIELKOPOLSKIE</t>
  </si>
  <si>
    <t>chodzieski</t>
  </si>
  <si>
    <t>czarnkowsko-trzcianecki</t>
  </si>
  <si>
    <t>gnieźnieński</t>
  </si>
  <si>
    <t>gostyński</t>
  </si>
  <si>
    <t>jarociński</t>
  </si>
  <si>
    <t>kaliski</t>
  </si>
  <si>
    <t>kępiński</t>
  </si>
  <si>
    <t>kolski</t>
  </si>
  <si>
    <t>koniński</t>
  </si>
  <si>
    <t>kościański</t>
  </si>
  <si>
    <t>krotoszyński</t>
  </si>
  <si>
    <t>leszczyński</t>
  </si>
  <si>
    <t>międzychodzki</t>
  </si>
  <si>
    <t>nowotomyski</t>
  </si>
  <si>
    <t>obornicki</t>
  </si>
  <si>
    <t>ostrzeszowski</t>
  </si>
  <si>
    <t>pilski</t>
  </si>
  <si>
    <t>pleszewski</t>
  </si>
  <si>
    <t>poznański</t>
  </si>
  <si>
    <t>rawicki</t>
  </si>
  <si>
    <t>słupecki</t>
  </si>
  <si>
    <t>szamotulski</t>
  </si>
  <si>
    <t>śremski</t>
  </si>
  <si>
    <t>turecki</t>
  </si>
  <si>
    <t>wągrowiecki</t>
  </si>
  <si>
    <t>wolsztyński</t>
  </si>
  <si>
    <t>wrzesiński</t>
  </si>
  <si>
    <t>złotowski</t>
  </si>
  <si>
    <t>Kalisz</t>
  </si>
  <si>
    <t>Konin</t>
  </si>
  <si>
    <t>Leszno</t>
  </si>
  <si>
    <t>Poznań</t>
  </si>
  <si>
    <t>ZACHODNIOPOMORSKIE</t>
  </si>
  <si>
    <t>białogardzki</t>
  </si>
  <si>
    <t>choszczeński</t>
  </si>
  <si>
    <t>drawski</t>
  </si>
  <si>
    <t>goleniowski</t>
  </si>
  <si>
    <t>gryficki</t>
  </si>
  <si>
    <t>gryfiński</t>
  </si>
  <si>
    <t>kamieński</t>
  </si>
  <si>
    <t>kołobrzeski</t>
  </si>
  <si>
    <t>koszaliński</t>
  </si>
  <si>
    <t>myśliborski</t>
  </si>
  <si>
    <t>policki</t>
  </si>
  <si>
    <t>pyrzycki</t>
  </si>
  <si>
    <t>sławieński</t>
  </si>
  <si>
    <t>stargardzki</t>
  </si>
  <si>
    <t>szczecinecki</t>
  </si>
  <si>
    <t>świdwiński</t>
  </si>
  <si>
    <t>wałecki</t>
  </si>
  <si>
    <t>łobeski</t>
  </si>
  <si>
    <t>Koszalin</t>
  </si>
  <si>
    <t>Szczecin</t>
  </si>
  <si>
    <t>Świnoujście</t>
  </si>
  <si>
    <t>Kategoria</t>
  </si>
  <si>
    <t>Podkategoria</t>
  </si>
  <si>
    <t>Data zakończenie realizacji nie może być dłuższa niż 36 miesiący od przewidywanej daty rozpoczęcia przedsięwzięcia</t>
  </si>
  <si>
    <t>Pieczęć i podpis Wójta, Burmistrza, Prezydenta Miasta</t>
  </si>
  <si>
    <t>G.</t>
  </si>
  <si>
    <t>H.</t>
  </si>
  <si>
    <t>III. Rodzaj przedsięwzięcia (należy wskazać właściwe)</t>
  </si>
  <si>
    <t>IV. Rodzaj i wielkość zasobu powstającego lub zmodernizowanego w wyniku przedsięwzięcia</t>
  </si>
  <si>
    <t>Art. 7. 1. pkt 2 ustawy z dnia 8 marca 1990 r. o samorządzie gminnym - gminnych dróg, ulic, mostów, placów oraz organizacji ruchu drogowego.</t>
  </si>
  <si>
    <t>Art. 7. 1. pkt 4 ustawy z dnia 8 marca 1990 r. o samorządzie gminnym - lokalnego transportu zbiorowego.</t>
  </si>
  <si>
    <t>Art. 7. 1. pkt 5 ustawy z dnia 8 marca 1990 r. o samorządzie gminnym - ochrony zdrowia.</t>
  </si>
  <si>
    <t>Art. 7. 1. pkt 6 ustawy z dnia 8 marca 1990 r. o samorządzie gminnym - pomocy społecznej, w tym ośrodków i zakładów opiekuńczych.</t>
  </si>
  <si>
    <t>Art. 7. 1. pkt 8 ustawy z dnia 8 marca 1990 r. o samorządzie gminnym - edukacji publicznej.</t>
  </si>
  <si>
    <t>Art. 7. 1. pkt 9 ustawy z dnia 8 marca 1990 r. o samorządzie gminnym - kultury, w tym bibliotek gminnych i innych instytucji kultury oraz ochrony zabytków i opieki nad zabytkami.</t>
  </si>
  <si>
    <t>Art. 7. 1. pkt 10 ustawy z dnia 8 marca 1990 r. o samorządzie gminnym - kultury fizycznej i turystyki, w tym terenów rekreacyjnych i urządzeń sportowych.</t>
  </si>
  <si>
    <t>Art. 7. 1. pkt 12 ustawy z dnia 8 marca 1990 r. o samorządzie gminnym - zieleni gminnej i zadrzewień.</t>
  </si>
  <si>
    <t>Art. 7. 1. pkt 3 ustawy z dnia 8 marca 1990 r. o samorządzie gminnym - wodociągów i zaopatrzenia w wodę, kanalizacji, usuwania i oczyszczania ścieków komunalnych, utrzymania czystości i porządku oraz urządzeń sanitarnych, wysypisk i unieszkodliwiania odpadów komunalnych, zaopatrzenia w energię elektryczną i cieplną oraz gaz.</t>
  </si>
  <si>
    <r>
      <t xml:space="preserve">W. </t>
    </r>
    <r>
      <rPr>
        <sz val="11"/>
        <color rgb="FF000000"/>
        <rFont val="Calibri"/>
        <family val="2"/>
        <charset val="238"/>
        <scheme val="minor"/>
      </rPr>
      <t>W przypadku przedsięwzięć, o których mowa w art. 5c ustawy, oświadczenie beneficjenta wsparcia, że w ramach przedsięwzięcia występuje bądź nie występuje pomoc publiczna.</t>
    </r>
  </si>
  <si>
    <t>Inwestor inny</t>
  </si>
  <si>
    <t>Podmiot, o którym mowa w art. 3 ust. 3 ustawy z dnia 24 kwietnia 2003 r. o działalności pożytku publicznego i o wolontariacie</t>
  </si>
  <si>
    <t>W. Oświadczam (oświadczenie beneficjenta wsparcia), że w ramach przedsięwzięcia występuje pomoc publiczna.</t>
  </si>
  <si>
    <t>W. Oświadczam (oświadczenie beneficjenta wsparcia), że w ramach przedsięwzięcia nie występuje pomoc publiczna.</t>
  </si>
  <si>
    <t>Kwota z VAT niepodlegajaca odliczeniu [zł]</t>
  </si>
  <si>
    <t>VAT niepodlegający odliczeniu  [%]</t>
  </si>
  <si>
    <t>7*8=9</t>
  </si>
  <si>
    <t>B. Liczba mieszkań chronionych.</t>
  </si>
  <si>
    <t>C. Liczba tymczasowych pomieszczeń.</t>
  </si>
  <si>
    <t xml:space="preserve"> E. Liczba lokali mieszkalnych na wynajem tworzonych z udziałem gminy albo związku międzygminnego w wyniku reali zacji inwestycji przez inwestora, w przypadku gdy z realizacją przedsięwzięcia jest związane zawarcie umowy, o której mowa w art. 5 ust. 2 ustawy.</t>
  </si>
  <si>
    <t>F. Liczba miejsc w noclegowniach.</t>
  </si>
  <si>
    <t xml:space="preserve">G. Liczba miejsc w schroniskach dla osób bezdomnych. </t>
  </si>
  <si>
    <t>Rodzaj i wielkość zasobu powstającego lub zmodernizowanego w wyniku przedsięwzięcia</t>
  </si>
  <si>
    <t>IV. Rodzaj i wielkość zasobu powstającego lub zmodernizowanego w wyniku przedsięwzięcia</t>
  </si>
  <si>
    <t>V. A. Charakterystyka przedsięwzięcia określonego w art. 3 i art. 5 ustawy</t>
  </si>
  <si>
    <t>C. Remont lub przebudowa budynku mieszkalnego, będącego własnością gminy, jednoosobowej spółki gminnej, związku międzygminnego, organizacji pozarządowej albo podmiotów, o których mowa w art. 3 ust. 3 ustawy z dnia 24 kwietnia 2003 r. o działalności pożytku publicznego i o wolontariacie, albo części takiego budynku, jeżeli budynek mieszkalny albo jego część nie są zamieszkane – zakres informacji taki jak w lit. A.</t>
  </si>
  <si>
    <t>VI. Dodatkowe informacje o przedsięwzięciu</t>
  </si>
  <si>
    <t>Art. 4 ust. 1 pkt 1 ustawy z dnia 5 czerwca 1998 r. o samorządzie powiatowym - edukacji publicznej</t>
  </si>
  <si>
    <t>Art. 4 ust. 1 pkt 2 ustawy z dnia 5 czerwca 1998 r. o samorządzie powiatowym - promocji i ochrony zdrowia</t>
  </si>
  <si>
    <t>Art. 4 ust. 1 pkt 3 ustawy z dnia 5 czerwca 1998 r. o samorządzie powiatowym - pomocy społecznej</t>
  </si>
  <si>
    <t>Art. 4 ust. 1 pkt 6 ustawy z dnia 5 czerwca 1998 r. o samorządzie powiatowym - transportu zbiorowego i dróg publicznych</t>
  </si>
  <si>
    <t>Art. 4 ust. 1 pkt 7 ustawy z dnia 5 czerwca 1998 r. o samorządzie powiatowym - kultury oraz ochrony zabytków i opieki nad zabytkami</t>
  </si>
  <si>
    <t>Art. 4 ust. 1 pkt 8 ustawy z dnia 5 czerwca 1998 r. o samorządzie powiatowym kultury fizycznej i turystyki</t>
  </si>
  <si>
    <t>Art. 4 ust. 1 pkt 12 ustawy z dnia 5 czerwca 1998 r. o samorządzie powiatowym - gospodarki wodnej</t>
  </si>
  <si>
    <t>Budowa -&gt; zasób lokale mieskzlane mzg, mieszkania chronione</t>
  </si>
  <si>
    <t>Przebudowa lub remont, zmiana sposobu użytkowania -&gt; zasób lokale mieskzlane mzg, mieszkania chronione</t>
  </si>
  <si>
    <t>Adres poczty elektronicznej</t>
  </si>
  <si>
    <t>Wyszczególnienie</t>
  </si>
  <si>
    <t>Udział [%]</t>
  </si>
  <si>
    <t>Ogółem (brutto)</t>
  </si>
  <si>
    <t>Organ który wydał decyzję</t>
  </si>
  <si>
    <t>Data wydania decyzji</t>
  </si>
  <si>
    <t>Numer decyzji</t>
  </si>
  <si>
    <t>Data ostateczności lub wykonalności decyzji</t>
  </si>
  <si>
    <t>Data zgłoszenia</t>
  </si>
  <si>
    <t>Organ który zaświadczenie wydał</t>
  </si>
  <si>
    <t>Data i numer zaświadczenia organu administracji architektoniczno-budowlanej o niewniesieniu w terminie sprzeciwu wobec zgłoszenia</t>
  </si>
  <si>
    <t>Data i numer zaświadczenia organu administracji o braku podstaw do wniesienia sprzeciwu</t>
  </si>
  <si>
    <t>Czy przedsięwzięcie rozpoczęte? [TAK/NIE]</t>
  </si>
  <si>
    <t>Czy prowadzenie dziennika budowy wymagane?  [TAK/NIE]</t>
  </si>
  <si>
    <t>Data rozpoczęcia przedsięwzięcia wynikająca z dziennika budowy</t>
  </si>
  <si>
    <t>Data ostatniego wpisu do dziennika budowy dokonanego przed złożeniem wniosku</t>
  </si>
  <si>
    <t xml:space="preserve">K. Budowa budynku na nieruchomości stanowiącej własność albo będącej w użytkowaniu wieczystym gminy, jednoosobowej spółki gminnej, związku międzygminnego, organizacji pozarządowej albo podmiotów, o których mowa w art. 3 ust. 3 ustawy z dnia 24 kwietnia 2003 r. o działalności pożytku publicznego i o wolontariacie (art. 4 ust. 1 pkt 1 i ust. 3 ustawy), w wyniku której powstaną noclegownie lub schroniska dla osób bezdomnych lub nastąpi zwiększenie powierzchni użytkowej pomieszczeń noclegowych w istniejącej noclegowni lub pomieszczeń mieszkalnych w istniejącym schronisku dla osób bezdomnych, albo powstanie ogrzewalnia, z zastrzeżeniem że w tym samym budynku powstanie również noclegownia lub schronisko dla osób bezdomnych. </t>
  </si>
  <si>
    <t xml:space="preserve">L. Remont lub przebudowa budynku niemieszkalnego przeznaczonego na pobyt ludzi, będącego własnością gminy, jednoosobowej spółki gminnej, związku międzygminnego, organizacji pozarządowej albo podmiotów, o których mowa w art. 3 ust. 3 ustawy z dnia 24 kwietnia 2003 r. o działalności pożytku publicznego i o wolontariacie, albo części takiego budynku (art. 4 ust. 1 pkt 2 i ust. 3 ustawy), w wyniku których powstaną noclegownie, schroniska dla osób bezdomnych lub ogrzewalnia lub nastąpi zwiększenie powierzchni użytkowej pomieszczeń noclegowych w istniejącej noclegowni lub pomieszczeń mieszkalnych w istniejącym schronisku dla osób bezdomnych. </t>
  </si>
  <si>
    <t xml:space="preserve">M. Remont lub przebudowa budynku mieszkalnego będącego własnością gminy lub jednoosobowej spółki gminnej, związku międzygminnego, organizacji pozarządowej albo podmiotów, o których mowa w art. 3 ust. 3 ustawy z dnia 24 kwietnia 2003 r. o działalności pożytku publicznego i o wolontariacie, albo części takiego budynku, jeżeli budynek mieszkalny albo jego część nie są zamieszkane (art. 4 ust. 1 pkt 3 i ust. 3 ustawy), w wyniku których powstaną noclegownie, schroniska dla osób bezdomnych lub ogrzewalnia lub nastąpi zwiększenie powierzchni użytkowej pomieszczeń noclegowych w istniejącej noclegowni lub pomieszczeń mieszkalnych w istniejącym schronisku dla osób bezdomnych. </t>
  </si>
  <si>
    <t xml:space="preserve">N. Zmiana sposobu użytkowania budynku będącego własnością gminy, jednoosobowej spółki gminnej, związku międzygminnego, organizacji pozarządowej albo podmiotów, o których mowa w art. 3 ust. 3 ustawy z dnia 24 kwietnia 2003 r. o działalności pożytku publicznego i o wolontariacie, albo części takiego budynku, wymagająca dokonania remontu lub przebudowy (art. 4 ust. 1 pkt 4 i ust. 3 ustawy), w wyniku której powstaną noclegownie, schroniska dla osób bezdomnych lub ogrzewalnia lub nastąpi zwiększenie powierzchni użytkowej pomieszczeń noclegowych w istniejącej noclegowni lub pomieszczeń mieszkalnych w istniejącym schronisku dla osób bezdomnych. </t>
  </si>
  <si>
    <t>O. Remont, przebudowa, rozbudowa lub nadbudowa istniejącej noclegowni, istniejącego schroniska dla osób bezdomnych lub istniejącej ogrzewalni, w wyniku których nastąpi dostosowanie noclegowni, schroniska dla osób bezdomnych lub ogrzewalni do standardów, o których mowa w przepisach wydanych na podstawie art. 48a ust. 14 ustawy z dnia 12 marca 2004 r. o pomocy społecznej (Dz. U. z 2021 r. poz. 2268, z późn. zm.[1])) (art. 4 ust. 2 ustawy).</t>
  </si>
  <si>
    <t>Q. Tworzenie lokali mieszkalnych na wynajem, powstających w wyniku realizacji przez inwestora innego niż gmina albo związek międzygminny budowy budynku (art. 5 ust. 1 pkt 1 ustawy), na podstawie umowy, o której mowa w art. 5 ust. 2 ustawy, w przypadku gdy beneficjent wsparcia ubiega się jednocześnie o grant OZE.</t>
  </si>
  <si>
    <t>R. Tworzenie lokali mieszkalnych na wynajem, powstających w wyniku realizacji przez inwestora innego niż gmina albo związek międzygminny budowy budynku (art. 5 ust. 1 pkt 1 ustawy), na podstawie umowy, o której mowa w art. 5 ust. 2 ustawy, w przypadku, o którym mowa w art. 22a ustawy.</t>
  </si>
  <si>
    <t>U. Tworzenie lokali mieszkalnych na wynajem, powstających w wyniku realizacji przez inwestora innego niż gmina albo związek międzygminny remontu lub przebudowy całości albo części budynku mieszkalnego będącego własnością społecznej inicjatywy mieszkaniowej, której jedynym albo większościowym właścicielem jest gmina, jeżeli ten remont lub ta przebudowa nie dotyczy lokalu mieszkalnego zajmowanego przez lokatora na podstawie obowiązującej umowy najmu (art. 5 ust. 1 pkt 4 ustawy), na podstawie umowy, o której mowa w art. 5 ust. 2 ustawy.</t>
  </si>
  <si>
    <t>X. Tworzenie lokali mieszkalnych powstających w wyniku realizacji przez społeczną inicjatywę mieszkaniową albo spółkę gminną budowy budynku (art. 5 ust. 1 pkt 1 ustawy) na podstawie umowy, o której mowa w art. 5 ust. 2 ustawy, w przypadku, o którym mowa w art. 5a ust. 1 ustawy, w przypadku gdy beneficjent wsparcia ubiega się jednocześnie o grant OZE.</t>
  </si>
  <si>
    <t>Y. Tworzenie lokali mieszkalnych powstających w wyniku realizacji przez społeczną inicjatywę mieszkaniową albo spółkę gminną budowy budynku (art. 5 ust. 1 pkt 1 ustawy) na podstawie umowy, o której mowa w art. 5 ust. 2 ustawy, w przypadku, o którym mowa w art. 5a ust. 1 ustawy, w przypadku, o którym mowa w art. 22a ustawy.</t>
  </si>
  <si>
    <t>ZB. Tworzenie lokali mieszkalnych na wynajem, powstających w wyniku realizacji przez społeczną inicjatywę mieszkaniową albo spółkę gminną remontu lub przebudowy całości albo części budynku mieszkalnego, będącego własnością społecznej inicjatywy mieszkaniowej, której jedynym albo większościowym właścicielem jest gmina, jeżeli ten remont lub ta przebudowa nie dotyczy lokalu mieszkalnego zajmowanego przez lokatora na podstawie obowiązującej umowy najmu (art. 5 ust. 1 pkt 4 ustawy), na podstawie umowy, o której mowa w art. 5 ust. 2 ustawy, w przypadku, o którym mowa w art. 5a ust. 1 ustawy.</t>
  </si>
  <si>
    <t>ZC. Budowa lub przebudowa infrastruktury technicznej lub infrastruktury społecznej (art. 5c ust. 1 i 1a ustawy).</t>
  </si>
  <si>
    <t>ZD. Budowa lub przebudowa infrastruktury technicznej lub infrastruktury społecznej przez inwestora, który realizuje przedsięwzięcie albo inwestycję powiązane z przedsięwzięciem infrastrukturalnym, o których mowa w art. 5c ust. 1 i 1a ustawy, lub jednoosobową spółkę gminną, której gmina przekazała realizację jednego z zadań własnych, o których mowa w art. 7 ust. 1 pkt 2, 3, 4–6, 8–10 i 12 ustawy z dnia 8 marca 1990 r. o samorządzie gminnym (art. 5c ust. 2 ustawy), na podstawie umowy, o której mowa w art. 5c ust. 3 ustawy.</t>
  </si>
  <si>
    <t>[1])</t>
  </si>
  <si>
    <t>Zmiany tekstu jednolitego wymienionej ustawy zostały ogłoszone w Dz. U. z 2021 r. poz. 2270 oraz z 2022 r. poz. 1, 66, 1079, 1692, 1700, 1812, 1967, 2127 i 2140.</t>
  </si>
  <si>
    <t>K. Tworzenie lokali mieszkalnych na wynajem, powstających w wyniku realizacji przez inwestora innego niż gmina albo związek międzygminny budowy budynku, w przypadku gdy beneficjent wsparcia ubiega się jednocześnie o grant OZE, o którym mowa w art. 13c ustawy – zakres informacji taki jak w lit. J.</t>
  </si>
  <si>
    <t>L. Tworzenie lokali mieszkalnych na wynajem, powstających w wyniku realizacji przez inwestora innego niż gmina albo związek międzygminny budowy budynku, w przypadku, o którym mowa w art. 22a ustawy – zakres informacji taki jak w lit. J.</t>
  </si>
  <si>
    <r>
      <t xml:space="preserve">A. </t>
    </r>
    <r>
      <rPr>
        <sz val="11"/>
        <color rgb="FF000000"/>
        <rFont val="Calibri"/>
        <family val="2"/>
        <charset val="238"/>
        <scheme val="minor"/>
      </rPr>
      <t xml:space="preserve">  Informacja, czy przedsięwzięcie jest realizowane zgodnie z zasadami określonymi w art. 7 ustawy.</t>
    </r>
  </si>
  <si>
    <t>Przedsięwzięcie jest realizowane zgodnie z zasadami określonymi w art. 7 ustawy.</t>
  </si>
  <si>
    <t>Przedsięwzięcie nie jest realizowane zgodnie z zasadami określonymi w art. 7 ustawy.</t>
  </si>
  <si>
    <t>W lokalach mieszkalnych pozyskanych przy udziale finansowego wsparcia na podstawie ustawy zostanie zainstalowane wyposażenie, o którym mowa w art. 6b ustawy.</t>
  </si>
  <si>
    <t>W lokalach mieszkalnych pozyskanych przy udziale finansowego wsparcia na podstawie ustawy niezostanie zainstalowane wyposażenie, o którym mowa w art. 6b ustawy. Wskaż w opisie poniżej przyczyny braku instalacji wyposażenia, o którym mowa w art. 6b ustawy.</t>
  </si>
  <si>
    <t>Przedsięwzięcie zostało zakończone przed dniem złożenia wniosku, o którym mowa w art. 8 ust. 1 ustawy.</t>
  </si>
  <si>
    <t>Przedsięwzięcie nie zostało zakończone przed dniem złożenia wniosku, o którym mowa w art. 8 ust. 1 ustawy.</t>
  </si>
  <si>
    <t>Inwestorowi nie przysługuje prawo do obniżenia kwoty podatku należnego o kwotę podatku naliczonego związanego z tym przedsięwzięciem lub zwrot tego podatku</t>
  </si>
  <si>
    <t>Inwestorowi przysługuje prawo do obniżenia kwoty podatku należnego o kwotę podatku naliczonego związanego z tym przedsięwzięciem lub zwrot tego podatku</t>
  </si>
  <si>
    <t>1) numerze działek ewidencyjnych, na których będą budowane budynki wraz ze związanymi z nimi obiektami i urządzeniami w ramach przedsięwzięcia</t>
  </si>
  <si>
    <t>2) liczbie budynków, przewidzianych do realizacji w ramach przedsięwzięcia</t>
  </si>
  <si>
    <t>Wybierz właściwą informację</t>
  </si>
  <si>
    <t>VII. Zgoda na przekazywanie informacji</t>
  </si>
  <si>
    <t>Podpis beneficjenta wsparcia</t>
  </si>
  <si>
    <t>Numer rachunku bankowego lub rachunku prowadzonego przez spółdzielczą kasę oszczędnościowo-kredytową beneficjenta wsparcia, na który zostanie przekazane finansowe wsparcie.</t>
  </si>
  <si>
    <t>Z. Informacja, czy beneficjent wsparcia lub inwestor posiada prawo własności lub użytkowania wieczystego lub dzierżawy lub użyczenia gruntu, na którym realizowane jest przedsięwzięcie, albo prawo własności budynku lub części budynku (w tym lokali), w którym realizowane jest przedsięwzięcie, albo o posiadanym prawie własności lub użytkowania wieczystego gruntu (dla przedsięwzięć, o których mowa w art. 3 ust. 1, art. 4, art. 5 ust. 1 oraz art. 5c ustawy).</t>
  </si>
  <si>
    <t>Informuję, (informacja beneficjenta wsparcia) że posiadam prawo własności lub prawo użytkowania wieczystego gruntu, na którym jest realizowane przedsięwzięcie.</t>
  </si>
  <si>
    <t>Informuję, (informacja beneficjenta wsparcia będącego powiatem albo organizacją pożytku publicznego) że prawo własności lub prawo użytkowania wieczystego gruntu na którym jest realizowane przedsięwzięcie, posiada gmina lub jednoosobowa spółka gminna lub Skarb Państwa, w związku z art. 6 ust. 1 ustawy. Jednocześnie informuję, że posiadam prawo dzierżawy lub prawo użyczenia gruntu, na którym jest realizowane przedsięwzięcie.</t>
  </si>
  <si>
    <t>Informuję, (informacja beneficjenta wsparcia będącego powiatem albo organizacją pożytku publicznego) że prawo własności lub prawo użytkowania wieczystego gruntu, na którym jest realizowane przedsięwzięcie, posiada gmina lub jednoosobowa spółka gminna lub Skarb Państwa, w związku z art. 6 ust. 1 ustawy. Jednocześnie informuję, że (informacja beneficjenta wsparcia) że posiadam prawo dzierżawy lub prawo użyczenia gruntu, na którym jest realizowane przedsięwzięcie.</t>
  </si>
  <si>
    <t>Adres poczty elektronicznej (opcjonalnie)</t>
  </si>
  <si>
    <t>Gmina została dotknięta skutkami powodzi.</t>
  </si>
  <si>
    <t>Nie dotyczy realizowanego przedsięwzięwzięcia</t>
  </si>
  <si>
    <t>Informuję, że posiadam prawo własności budynku lub części budynku (w tym lokali), w którym realizowane jest przedsięwzięcie.</t>
  </si>
  <si>
    <t>Przewidywana cena sprzedaży/Cena ssprzedaży</t>
  </si>
  <si>
    <t>Data sporzadzenia umowy sprzedaży</t>
  </si>
  <si>
    <t>Wartości gruntu, wynikająca z aktualnego operatu szacunkowego</t>
  </si>
  <si>
    <t>A. Budowa budynku na nieruchomości stanowiącej własność albo będącej w użytkowaniu wieczystym gminy, jednoosobowej spółki gminnej, związku międzygminnego, organizacji pozarządowej albo podmiotów, o których mowa w art. 3 ust. 3 ustawy z dnia 24 kwietnia 2003 r. o działalności pożytku publicznego i o wolontariacie:</t>
  </si>
  <si>
    <t>B. Remont lub przebudowa budynku niemieszkalnego przeznaczonego na pobyt ludzi, będącego własnością gminy, jednoosobowej spółki gminnej, związku międzygminnego, organizacji pozarządowej albo podmiotów, o których mowa w art. 3 ust. 3 ustawy z dnia 24 kwietnia 2003 r. o działalności pożytku publicznego i o wolontariacie, albo części takiego budynku – zakres informacji taki jak w lit. A.</t>
  </si>
  <si>
    <t>D. Zmiana sposobu użytkowania budynku będącego własnością gminy, jednoosobowej spółki gminnej, związku międzygminnego, organizacji pozarządowej albo podmiotów, o których mowa w art. 3 ust. 3 ustawy z dnia 24 kwietnia 2003 r. o działalności pożytku publicznego i o wolontariacie, albo części takiego budynku, wymagająca dokonania remontu lub przebudowy – zakres informacji taki jak w lit. A.</t>
  </si>
  <si>
    <t xml:space="preserve">E. Remont, przebudowa, rozbudowa lub nadbudowa istniejącej noclegowni, istniejącego schroniska dla osób bezdomnych lub istniejącej ogrzewalni, w wyniku których nastąpi dostosowanie noclegowni, schroniska dla osób bezdomnych lub ogrzewalni do standardów, o których mowa w przepisach wydanych na podstawie art. 48a ust. 14 ustawy z dnia 12 marca 2004 r. o pomocy społecznej – zakres informacji taki jak w lit. A. </t>
  </si>
  <si>
    <t>Przedsięwzięcie spełnia standardy, o których mowa w przepisach wydanych na podstawie art. 48a ust. 14 ustawy z dnia 12 marca 2004 r. o pomocy społecznej.</t>
  </si>
  <si>
    <t>Przedsięwzięcie niespełnia standardów, o których mowa w przepisach wydanych na podstawie art. 48a ust. 14 ustawy z dnia 12 marca 2004 r. o pomocy społecznej.</t>
  </si>
  <si>
    <t>Budowa, Przebudowa lub remont, zmiana sposobu użytkowania  -&gt; schroniska dla osób bezdomnych, noclegownie i ogrzewalnie</t>
  </si>
  <si>
    <r>
      <rPr>
        <b/>
        <sz val="11"/>
        <color rgb="FF000000"/>
        <rFont val="Calibri"/>
        <family val="2"/>
        <charset val="238"/>
        <scheme val="minor"/>
      </rPr>
      <t xml:space="preserve">H. </t>
    </r>
    <r>
      <rPr>
        <sz val="11"/>
        <color rgb="FF000000"/>
        <rFont val="Calibri"/>
        <family val="2"/>
        <charset val="238"/>
        <scheme val="minor"/>
      </rPr>
      <t>Informacja, czy beneficjentowi wsparcia lub inwestorowi przysługuje prawo do obniżenia kwoty podatku należnego o kwotę podatku naliczonego związanego z tym przedsięwzięciem lub zwrot tego podatku (z wyłączeniem przedsięwzięć, o których mowa w art. 3 ust. 1 pkt 5 ustawy).</t>
    </r>
  </si>
  <si>
    <t>Informuję, (informacja beneficjenta wsparcia będącego organizacją pozarządową lub podmiotem, o którym mowa w art. 3 ust. 3 ustawy z dnia 24 kwietnia 2003 r. o działalności pożytku publicznego i o wolontariacie) że przedsięwzięcie realizowane jest na nieruchomościach stanowiących własność  gminy, jednoosobowej spółki gminnej, związku międzygminnego lub Skarbu Państwa albo będących przedmiotem umowy dzierżawy lub użyczenia.</t>
  </si>
  <si>
    <t>Informuję, (informacja beneficjenta wsparcia będącego organizacją pozarządową lub podmiotu, o którym mowa w art. 3 ust. 3 ustawy z dnia 24 kwietnia 2003 r. o działalności pożytku publicznego i o wolontariacie) że przedsięwzięcie realizowane jest na nieruchomościach stanowiących własność  gminy, jednoosobowej spółki gminnej, związku międzygminnego lub Skarbu Państwa.</t>
  </si>
  <si>
    <r>
      <rPr>
        <b/>
        <sz val="11"/>
        <color rgb="FF000000"/>
        <rFont val="Calibri"/>
        <family val="2"/>
        <charset val="238"/>
        <scheme val="minor"/>
      </rPr>
      <t>H.</t>
    </r>
    <r>
      <rPr>
        <sz val="11"/>
        <color rgb="FF000000"/>
        <rFont val="Calibri"/>
        <family val="2"/>
        <charset val="238"/>
        <scheme val="minor"/>
      </rPr>
      <t xml:space="preserve"> Informacja, czy beneficjentowi wsparcia lub inwestorowi przysługuje prawo do obniżenia kwoty podatku należnego o kwotę podatku naliczonego związanego z tym przedsięwzięciem lub zwrot tego podatku (z wyłączeniem przedsięwzięć, o których mowa w art. 3 ust. 1 pkt 5 ustawy).</t>
    </r>
  </si>
  <si>
    <t>Informuję, że przedsięwzięcie nie jest realizowane przy udziale finansowania zwrotnego, o którym mowa w art. 15a ust. 1 ustawy z dnia 26 października 1995 r. o społecznych formach rozwoju mieszkalnictwa.</t>
  </si>
  <si>
    <t>Informuję, że przedsięwzięcie jest realizowane przy udziale finansowania zwrotnego, o którym mowa w art. 15a ust. 1 ustawy z dnia 26 października 1995 r. o społecznych formach rozwoju mieszkalnictwa.</t>
  </si>
  <si>
    <t>Informuję, że tworzone lokale mieszkalne na wynajem będą wynajmowane i użytkowane na zasadach wskazanych w art. 7a–7f ustawy.</t>
  </si>
  <si>
    <t>Informuję, że tworzone lokale mieszkalne na wynajem nie będą wynajmowane i użytkowane na zasadach wskazanych w art. 7a–7f ustawy.</t>
  </si>
  <si>
    <t>Art.. 5</t>
  </si>
  <si>
    <t>Informuję, że (inwestor) posiada prawo własności lub użytkowania wieczystego gruntu, na którym realizowane jest przedsięwzięcie.</t>
  </si>
  <si>
    <t>W przypadku, o którym mowa w art. 13 ust. 5 ustawy, informacja o wpisie budynku lub obszaru, na którym się znajduje, do rejestru zabytków, w tym o dacie wydania decyzji, dacie prawomocności, numerze decyzji i organie, który wydał decyzję.</t>
  </si>
  <si>
    <t>Informacja o wpisie budynku lub obszaru, na którym się znajduje</t>
  </si>
  <si>
    <t>Data prawomocności decyzji</t>
  </si>
  <si>
    <t>I. Wskazanie, które z zadań własnych gminy, o których mowa w art. 7 ust. 1 pkt 2, 3, 4–6, 8–10 i 12 ustawy z dnia 8 marca 1990 r. o samorządzie gminnym, lub zadań publicznych powiatu, o których mowa w art. 4 ust. 1 pkt 1–3, 6–8 i 12 ustawy z dnia 5 czerwca 1998 r. o samorządzie powiatowym, jest realizowane w ramach przedsięwzięcia, o którym mowa w art. 5c ust. 1 lub 2 ustawy.</t>
  </si>
  <si>
    <t>W. Informacja, czy w ramach przedsięwzięcia występuje pomoc publiczna – w przypadku przedsięwzięć, o których mowa w art. 5c ustawy.</t>
  </si>
  <si>
    <t>W ramach przedsięwzięcia występuje pomoc publiczna.</t>
  </si>
  <si>
    <t>W ramach przedsięwzięcia nie występuje pomoc publiczna.</t>
  </si>
  <si>
    <t xml:space="preserve">Wyszczególnienie rodzaju kwalifikowanego kosztu </t>
  </si>
  <si>
    <t>Dokumenty, na podstawie których określono koszt</t>
  </si>
  <si>
    <t>Umowa</t>
  </si>
  <si>
    <t>Faktura VAT</t>
  </si>
  <si>
    <t>Kosztorys</t>
  </si>
  <si>
    <t xml:space="preserve">Kalkulacja własna </t>
  </si>
  <si>
    <t>Rachunek</t>
  </si>
  <si>
    <t>4+4*5*6=7</t>
  </si>
  <si>
    <t>Beneficjentowi wsparcia nie przysługuje prawo do obniżenia kwoty podatku należnego o kwotę podatku naliczonego związanego z tym przedsięwzięciem lub zwrot tego podatku.</t>
  </si>
  <si>
    <t>Beneficjentowi wsparcia przysługuje prawo do obniżenia kwoty podatku należnego o kwotę podatku naliczonego związanego z tym przedsięwzięciem lub zwrot tego podatku.</t>
  </si>
  <si>
    <t>Inwestorowi nie przysługuje prawo do obniżenia kwoty podatku należnego o kwotę podatku naliczonego związanego z tym przedsięwzięciem lub zwrot tego podatku.</t>
  </si>
  <si>
    <t>Inwestorowi przysługuje prawo do obniżenia kwoty podatku należnego o kwotę podatku naliczonego związanego z tym przedsięwzięciem lub zwrot tego podatku.</t>
  </si>
  <si>
    <t>Zlecenie</t>
  </si>
  <si>
    <t>Tak, w każdym budynku oraz każdej wydzielonej w pionie odrębnej części budynku zaprojektowano dźwig przystosowany do przewozu mebli, chorych na noszach i osób niepełnosprawnych.</t>
  </si>
  <si>
    <t>W budynku lub w pionie odrębnej części budynku oznaczonym numer………. zaprojektowano dźwig przystosowany do przewozu mebli, chorych na noszach i osób niepełnosprawnych.</t>
  </si>
  <si>
    <t>Nie dotyczy (z uwagi na nie stosowanie standardów lub dla budynków do dwóch kondygnacji nadziemnych).</t>
  </si>
  <si>
    <t>Koszty niezbędnych badań i ekspertyz</t>
  </si>
  <si>
    <t>Pełnienie funkcji inwestora zastępczego</t>
  </si>
  <si>
    <t>Nadzór i kierowanie budową</t>
  </si>
  <si>
    <t>Rozliczenie robót budowlanych</t>
  </si>
  <si>
    <t>Koszty przygotowania terenu</t>
  </si>
  <si>
    <t>Opłaty przyłączeniowe</t>
  </si>
  <si>
    <t>koszty wykonania niezbędnego uzbrojenia terenu</t>
  </si>
  <si>
    <t xml:space="preserve">Cena zakupu </t>
  </si>
  <si>
    <t>Informuję, (informacja inwestora) że posiadam prawo własności lub prawo użytkowania wieczystego gruntu, na którym jest realizowane przedsięwzięcie.</t>
  </si>
  <si>
    <t>Informuję, (informacja inwestora) że posiadam prawo dzierżawy lub użyczenia gruntu, na którym jest realizowane przedsięwzięcie.</t>
  </si>
  <si>
    <t>K.</t>
  </si>
  <si>
    <t>ilość kondygnacji nadziemnych</t>
  </si>
  <si>
    <t>ilość kondygnacji poddziemnych</t>
  </si>
  <si>
    <t>brak ulicy</t>
  </si>
  <si>
    <t>brak numeru</t>
  </si>
  <si>
    <t>nazwa ulicy [wprowadź nazwę ulicy lub informację brak ulicy]</t>
  </si>
  <si>
    <t>numer porządkowy budynku [wprowadź numer porządkowy budynku lub informację braku tego numeru]</t>
  </si>
  <si>
    <t>numer działki ewidencyjnej</t>
  </si>
  <si>
    <t>oznaczenie budynku wg dokumentacji budowlanej oraz informacja o etapie w którym jest realizowany budynek</t>
  </si>
  <si>
    <t>W przypadku większej ilości budynków wprowadź wszystkie adresy poprzez dodanie kolejnego wiersza. Stań kursorem na wierszu poniżej, kliknij prawym klawiszem myszki Wstaw. Następnie zaznacz wiersz z prawidłowym formatowaniem kliknij Malarz formatów i zaznacz kolumne którą będziesz formatował.</t>
  </si>
  <si>
    <r>
      <t xml:space="preserve">1) </t>
    </r>
    <r>
      <rPr>
        <sz val="11"/>
        <color rgb="FF000000"/>
        <rFont val="Calibri"/>
        <family val="2"/>
        <charset val="238"/>
        <scheme val="minor"/>
      </rPr>
      <t xml:space="preserve"> adres/adresy nieruchomości - miejscowość, ulica, numer porządkowy budynku. W przypadku gdy miejscowość nie posiada nazwy ulicy prośba o wprowadzenie informacji o braku ulic w danej miejscowości. W przypadku gdy budynek nie mam nadanego numeru porządkowego budynku prośba o wprowadzenie informacji, że budynek nie mam nadanego numeru porządkowego budynku. W związku z brakiem numeru porządkowego budynku należy w ramach adresu wskazać numery działek ewidencyjnych na których budynek będzie realizowany oraz informację o oznaczeniu budynku wg dokumentacji budowlanej oraz informację o etapie w którym jest realizowany budynek. Dane należy wskazać dla wszystkich budynków objętych wnioskiem.</t>
    </r>
  </si>
  <si>
    <t>Nie dotyczy w przypadku przedsięwzięć, o których mowa w art. 3 ust. 2-3 ustawy</t>
  </si>
  <si>
    <t>Remont lub przebudowa budynku</t>
  </si>
  <si>
    <t>Data zakończenia realizacji przedsięwzięcia (dzień, miesiąc (słownie) i rok).</t>
  </si>
  <si>
    <t>Przewidywana data rozpoczęcia realizacji przedsięwzięcia (dzień, miesiąc (słownie) i rok).</t>
  </si>
  <si>
    <t>Przewidywana data zakończenia realizacji przedsięwzięcia (dzień, miesiąc (słownie) i rok).</t>
  </si>
  <si>
    <t>Przewidywana data zakończenia realizacji przedsięwzięcia, a w przypadku przedsięwzięcia obejmującego remont lub przebudowę części budynku w rozbiciu na poszczególne lokale mieszkalne (dzień, miesiąc (słownie) i rok) - data dla lokalu którego remont zakończy się jako ostatni.</t>
  </si>
  <si>
    <t>Dane podmiotu, na który została wydana decyzja [nazwa podmiotu, numer Regon]</t>
  </si>
  <si>
    <t>Dane podmiotu zgłaszającego [nazwa podmiotu zgłaszającego, numer Regon]</t>
  </si>
  <si>
    <t>A. Budowa budynku.</t>
  </si>
  <si>
    <t>B. Remont budynku albo jego części.</t>
  </si>
  <si>
    <t>C. Przebudowa budynku albo jego części.</t>
  </si>
  <si>
    <t>D. Zmiana sposobu użytkowania budynku albo jego części.</t>
  </si>
  <si>
    <t>E. Kupno lokalu mieszkalnego, budynku mieszkalnego albo udziału we współwłasności budynku mieszkalnego.</t>
  </si>
  <si>
    <t xml:space="preserve">F. Kupno lokalu mieszkalnego, budynku mieszkalnego albo udziału we współwłasności budynku mieszkalnego połączone z remontem tego lokalu lub budynku mieszkalnego. </t>
  </si>
  <si>
    <t>G. Budowa infrastruktury technicznej lub infrastruktury społecznej.</t>
  </si>
  <si>
    <t>H. Przebudowa infrastruktury technicznej lub infrastruktury społecznej.</t>
  </si>
  <si>
    <t xml:space="preserve">B. Liczba mieszkań treningowych. </t>
  </si>
  <si>
    <t xml:space="preserve">B. Liczba mieszkań wspomaganych. </t>
  </si>
  <si>
    <t>E. Liczba lokali mieszkalnych na wynajem tworzonych z udziałem gminy albo związku międzygminnego w wyniku realizacji inwestycji przez inwestora, w przypadku gdy z realizacją przedsięwzięcia jest związane zawarcie umowy, o której mowa w art. 5 ust. 2 pkt 1 ustawy.</t>
  </si>
  <si>
    <r>
      <t>F. Liczba mieszkań pozyskiwanych w wyniku realizacji inwestycji przez społeczną agencję najmu, w przypadku gdy z realizacją przedsięwzięcia związane jest zawarcie umowy, o której mowa w art. 22b ustawy z dnia 26 października 1995 r. o społecznych formach rozwoju mieszkalnictwa.</t>
    </r>
    <r>
      <rPr>
        <sz val="8"/>
        <color theme="1"/>
        <rFont val="Calibri"/>
        <family val="2"/>
        <charset val="238"/>
        <scheme val="minor"/>
      </rPr>
      <t> </t>
    </r>
  </si>
  <si>
    <t>G. Liczba miejsc w noclegowniach.</t>
  </si>
  <si>
    <t xml:space="preserve">H. Liczba miejsc w schroniskach dla osób bezdomnych. </t>
  </si>
  <si>
    <t>I. Liczba miejsc w ogrzewalniach.</t>
  </si>
  <si>
    <t>J. Wskazanie, które z zadań własnych gminy, o których mowa w art. 7 ust. 1 pkt 2, 3, 4–6, 8–10 i 12 ustawy z dnia 8 marca 1990 r. o samorządzie gminnym, lub zadań publicznych powiatu, o których mowa w art. 4 ust. 1 pkt 1–3, 6–8 i 12 ustawy z dnia 5 czerwca 1998 r. o samorządzie powiatowym, jest realizowane w ramach przedsięwzięcia, o którym mowa w art. 5c ust. 1 lub 2 ustawy.</t>
  </si>
  <si>
    <t xml:space="preserve">A. W przypadku budowy budynku, remontu, przebudowy lub zmiany sposobu użytkowania budynku lub jego części: </t>
  </si>
  <si>
    <t>C. W przypadku tworzenia lokali mieszkalnych na wynajem, powstających w wyniku realizacji przez inwestora innego niż gmina albo związek międzygminny budowy budynku, remontu lub przebudowy budynku lub jego części:</t>
  </si>
  <si>
    <t>B. W przypadku kupna lokali mieszkalnych, budynku mieszkalnego albo udziału we współwłasności budynku mieszkalnego w tym kupna połączonego z remontem tych lokali lub budynku mieszkalnego:</t>
  </si>
  <si>
    <t xml:space="preserve">A. W przypadku budowy budynku, jego remontu, przebudowy lub zmiany sposobu jego użytkowania: </t>
  </si>
  <si>
    <t xml:space="preserve">B. Remont, przebudowa, rozbudowa lub nadbudowa istniejącej noclegowni, istniejącego schroniska dla osób bezdomnych lub istniejącej ogrzewalni, w wyniku których nastąpi dostosowanie noclegowni, schroniska dla osób bezdomnych lub ogrzewalni do standardów, o których mowa w przepisach wydanych na podstawie art. 48a ust. 14 ustawy z dnia 12 marca 2004 r. o pomocy społecznej – zakres informacji taki jak w lit. A. </t>
  </si>
  <si>
    <t>Informuję, że przedsięwzięcie jest realizowane przy udziale finansowania zwrotnego, o którym mowa w art. 15a ust. 1 ustawy z dnia 26 października 1995 r. o społecznych formach rozwoju mieszkalnictwa oraz wysokość środków publicznych przekazanych inwestorowi na tworzenie lokali mieszkalnych na wynajem z udziałem gminy albo związku międzygminnego z tytułu finansowego wsparcia udzielanego na zasadach określonych w ustawie oraz finansowania zwrotnego nie przekracza dopuszczalnej wysokości rekompensaty, o której mowa w art. 5 ust 5 ustawy – w przypadku gdy z realizacją przedsięwzięcia jest związane zawarcie umowy, o której mowa w art. 5 ust. 2 pkt 1 ustawy.</t>
  </si>
  <si>
    <t>Informuję, że przedsięwzięcie nie jest realizowane przy udziale finansowania zwrotnego, o którym mowa w art. 15a ust. 1 ustawy z dnia 26 października 1995 r. o społecznych formach rozwoju mieszkalnictwa, a wysokość środków publicznych przekazanych inwestorowi na tworzenie lokali mieszkalnych na wynajem z udziałem gminy albo związku międzygminnego z tytułu finansowego wsparcia udzielanego na zasadach określonych w ustawie nie przekracza dopuszczalnej wysokości rekompensaty, o której mowa w art. 5 ust 5 ustawy – w przypadku gdy z realizacją przedsięwzięcia jest związane zawarcie umowy, o której mowa w art. 5 ust. 2 pkt 1 ustawy.</t>
  </si>
  <si>
    <t>Koszt zakup, montażu lub budowy instalacji OZE</t>
  </si>
  <si>
    <r>
      <rPr>
        <b/>
        <sz val="11"/>
        <color rgb="FF000000"/>
        <rFont val="Calibri"/>
        <family val="2"/>
        <charset val="238"/>
        <scheme val="minor"/>
      </rPr>
      <t>G.</t>
    </r>
    <r>
      <rPr>
        <sz val="11"/>
        <color rgb="FF000000"/>
        <rFont val="Calibri"/>
        <family val="2"/>
        <charset val="238"/>
        <scheme val="minor"/>
      </rPr>
      <t xml:space="preserve"> Informacja o sposobie wyodrębnienia kosztów przedsięwzięcia, o których mowa w art. 14 ust. 1 ustawy, które nie podlegają sfinansowaniu w ramach danego wniosku, lub też kosztów innych niż te, o których mowa w art. 14 ust. 1 ustawy.</t>
    </r>
  </si>
  <si>
    <t>Część lokali będzie przeznaczona dla rodzin z dziećmi posiadającymi zaświadczenie, o którym mowa w art. 4 ust. 3 ustawy z dnia 4 listopada 2016 r. o wsparciu kobiet w ciąży i rodzin „Za życiem” (Dz. U. z 2023 r. poz. 1923).</t>
  </si>
  <si>
    <t>Żaden lokal nie będzie przeznaczony dla rodzin z dziećmi posiadającymi zaświadczenie, o którym mowa w art. 4 ust. 3 ustawy z dnia 4 listopada 2016 r. o wsparciu kobiet w ciąży i rodzin „Za życiem” (Dz. U. z 2023 r. poz. 1923).</t>
  </si>
  <si>
    <t xml:space="preserve">Informuję, że przedsięwzięcie spełnia standardy, o których mowa w przepisach wydanych na podstawie art. 53 ust. 24 ustawy z dnia 12 marca 2004 r. o pomocy społecznej – w przypadku przedsięwzięcia, o którym mowa w art. 6 ustawy. </t>
  </si>
  <si>
    <t>3) liczbie kondygnacji w budynkach przewidzianych w ramach przedsięwzięcia, w tym kondygnacji naziemnych i podziemnych (w przypadku różnej liczby kondygnacji, należy wskazać je dla każdego budynku osobno)</t>
  </si>
  <si>
    <t>4) tym, czy w każdym budynku oraz każdej wydzielonej w pionie odrębnej części budynku zaprojektowano dźwig przystosowany do przewozu mebli, chorych na noszach i osób niepełnosprawnych (jeżeli nie w każdym – należy wskazać, w których budynkach zostały zaprojektowane i w jakiej liczbie)</t>
  </si>
  <si>
    <t>6) minimalnej liczbie stanowisk i garaży, o których mowa w pkt 5, wynikającej z ustaleń miejscowego planu zagospodarowania przestrzennego albo decyzji o warunkach zabudowy, w tym przypadających na lokale mieszkalne objęte wnioskiem.</t>
  </si>
  <si>
    <r>
      <rPr>
        <b/>
        <sz val="11"/>
        <color rgb="FF000000"/>
        <rFont val="Calibri"/>
        <family val="2"/>
        <charset val="238"/>
        <scheme val="minor"/>
      </rPr>
      <t>ZJ.</t>
    </r>
    <r>
      <rPr>
        <sz val="11"/>
        <color rgb="FF000000"/>
        <rFont val="Calibri"/>
        <family val="2"/>
        <charset val="238"/>
        <scheme val="minor"/>
      </rPr>
      <t xml:space="preserve"> Informacja, czy przed złożeniem danego wniosku o finansowe wsparcie, budynek lub jego część, które są aktualnie przedmiotem przedsięwzięcia, podlegał finansowaniu ze środków Funduszu Dopłat. Jeżeli tak, to informacja czy przedsięwzięcie, w ramach którego finansowany był ten budynek lub ta część zostało rozliczone i czy nastąpiło to na więcej niż 15 lat przez złożeniem niniejszego wniosku.</t>
    </r>
  </si>
  <si>
    <t>Społeczna agencja najmu</t>
  </si>
  <si>
    <t>Informuję, że tworzone lokale mieszkalne na wynajem będą wynajmowane i użytkowane na zasadach wskazanych w art. 7a–7d oraz 7f ustawy.</t>
  </si>
  <si>
    <t>Informacja, że inwestor, któremu powierzy się świadczenie usługi publicznej w ogólnym interesie gospodarczym, świadczyć będzie usługę polegającą na najmie lokali mieszkalnych na warunkach określonych w art. 7a–7d oraz 7f ustawy.</t>
  </si>
  <si>
    <t>Informacja, że inwestor, któremu powierzy się świadczenie usługi publicznej w ogólnym interesie gospodarczym, nie będzie świadczyć usługi polegającej na najmie lokali mieszkalnych na warunkach określonych w art. 7a–7d oraz 7f ustawy.</t>
  </si>
  <si>
    <t>Informuję, że inwestor, któremu powierzy się świadczenie usługi publicznej w ogólnym interesie gospodarczym, świadczyć będzie usługę polegającą na najmie lokali mieszkalnych na warunkach określonych w art. 7a–7f ustawy.</t>
  </si>
  <si>
    <t>Informuję, że inwestor, któremu powierzy się świadczenie usługi publicznej w ogólnym interesie gospodarczym, nie będzie świadczyć usługi polegającej na najmie lokali mieszkalnych na warunkach określonych w art. 7a–7f ustawy.</t>
  </si>
  <si>
    <t>Art.. 5 - SAN</t>
  </si>
  <si>
    <t>Informuję, że (inwestor) posiada prawo własności lokalu mieszkalnego, budynku mieszkalnego jednorodzinnego, budynku innego niż mieszkalny albo części takiego budynku, w którym realizowane jest przedsięwzięcie.</t>
  </si>
  <si>
    <r>
      <t>ZH.</t>
    </r>
    <r>
      <rPr>
        <sz val="11"/>
        <color rgb="FF000000"/>
        <rFont val="Calibri"/>
        <family val="2"/>
        <charset val="238"/>
        <scheme val="minor"/>
      </rPr>
      <t xml:space="preserve"> W przypadku przedsięwzięcia, o którym mowa w art. 5 ust. 1 albo art. 5c ust. 2 ustawy, informacja o dacie bądź planowanej dacie zawarcia umowy, o której mowa w art. 5 ust. 2 pkt 1 albo pkt 2 lit. a albo art. 5c ust. 3 ustawy, oraz okresie, na jaki została bądź zostanie zawarta ta umowa.  </t>
    </r>
  </si>
  <si>
    <t xml:space="preserve">Okres, na jaki została zawarta ta umowa.  </t>
  </si>
  <si>
    <t xml:space="preserve">Okres, na jaki zostanie zawarta ta umowa.  </t>
  </si>
  <si>
    <t xml:space="preserve">Informuję, że gmina określiła kryteria, o których mowa w art. 22e ust. 1 pkt 1 ustawy z dnia 26 października 1995 r. o społecznych formach rozwoju mieszkalnictwa. </t>
  </si>
  <si>
    <t xml:space="preserve">Informuję, że gmina nieokreśliła kryteriów, o których mowa w art. 22e ust. 1 pkt 1 ustawy z dnia 26 października 1995 r. o społecznych formach rozwoju mieszkalnictwa. </t>
  </si>
  <si>
    <t>objęte wnioskiem</t>
  </si>
  <si>
    <t>realizowane</t>
  </si>
  <si>
    <t>Wybrać "nie dotyczy realizowanego przedsięwzięcia" w przypadku przedsięwzięć, o których mowa w art. 3 ust. 1 pkt 5 ustawy</t>
  </si>
  <si>
    <t xml:space="preserve">Informuję, że (beneficjent wsparcia) ubiegam się o finansowe wsparcie na przedsięwzięcie, o którym mowa w art. 3 ust. 1 pkt 5 i 6 ustawy, którego przedmiotem zakupu są byłe mieszkania zakładowe, wraz z ich wykazem, których lokatorami są:
1) osoby, które przed dniem 7 lutego 2001 r. były pracownikami przedsiębiorstwa państwowego lub spółki handlowej, w których Skarb Państwa był podmiotem dominującym w rozumieniu ustawy z dnia 29 lipca 2005 r. o ofercie publicznej i warunkach wprowadzania instrumentów finansowych do zorganizowanego systemu obrotu oraz o spółkach publicznych (Dz. U. z 2021 r. poz. 1983 i 2140 oraz z 2022 r. poz. 872 i 1488);
2) zstępni, wstępni, małżonek lokatora, osoby przysposabiające lokatora i przysposobione przez niego oraz osoby, które pozostawały z lokatorem w faktycznym wspólnym pożyciu, zamieszkujące z lokatorem w chwili jego śmierci, którzy wstąpili w stosunek najmu po śmierci osób wskazanych w pkt 1. </t>
  </si>
  <si>
    <t>zgodnie z przepisami ustawy z dnia 8 grudnia 2006 r. o finansowym wsparciu niektórych przedsięwzięć mieszkaniowych (t.j. Dz.U. 2024 poz. 304 z późn. zm.)</t>
  </si>
  <si>
    <t>Weryfikacji poprawności adresu można dokonać na stronie internetowej -&gt; https://eteryt.stat.gov.pl/eTeryt/rejestr_teryt/udostepnianie_danych/baza_teryt/uzytkownicy_indywidualni/wyszukiwanie/wyszukiwanie.aspx?contrast=default</t>
  </si>
  <si>
    <t>Przedsięwzięcie jest objęte gminnym programem rewitalizacji w rozumieniu przepisu art. 15 ustawy z dnia 9 października 2015 r. o rewitalizacji (Dz. U. z 2024 r. poz. 278).</t>
  </si>
  <si>
    <t>Przedsięwzięcie nie jest objęte gminnym programem rewitalizacji w rozumieniu przepisu art. 15 ustawy z dnia 9 października 2015 r. o rewitalizacji (Dz. U. z 2024 r. poz. 278).</t>
  </si>
  <si>
    <t>Wybierz właściwe</t>
  </si>
  <si>
    <t>Nowy wniosek</t>
  </si>
  <si>
    <t>Korekta wniosku</t>
  </si>
  <si>
    <t>Jeżeli składasz korektę wniosku wpisz numer pisma z wezwania do uzupełnienia</t>
  </si>
  <si>
    <t>Wpisz nie dotyczy jeżeli skąłdasz nowy wniosek</t>
  </si>
  <si>
    <t>Najczęściej zadawane pytania i odpowiedzi o e-Doręczeniach</t>
  </si>
  <si>
    <t>Numer NIP i numer REGON powinny być zgodne z bazą regon przypisaną do nazwy wnioskodacy</t>
  </si>
  <si>
    <t>Nazwa wnioskodawcy powinna być zgodna z bazą REGON</t>
  </si>
  <si>
    <t>Informuję o wyrażeniu zgody na przekazywanie przez Bank Gospodarstwa Krajowego wszelkich informacji o realizowanym przedsięwzięciu oraz na udostępnianie i przekazywanie dokumentacji fotograficznej przedsięwzięcia ministrowi właściwemu do spraw budownictwa, planowania i zagospodarowania przestrzennego oraz mieszkalnictwa.</t>
  </si>
  <si>
    <t>Adres wnioskodawcy [kod pocztowy, nazwa miejscowości, nazwa ulicy, numer porządkowy budynku, numer lokalu] zgodnie z nazwami miejscowości i ulicy w Rejestrze TERYT</t>
  </si>
  <si>
    <t xml:space="preserve">2) mieszkania treningowe lub wspomagane. </t>
  </si>
  <si>
    <t>D. Liczba mieszkań pozyskiwanych w wyniku realizacji inwestycji przez społeczną inicjatywę mieszkaniową albo spółkę gminną, gdy z realizacją przedsięwzięcia jest związane zawarcie umowy, o której mowa w art. 5 ust. 2 pkt 1 ustawy, w przypadku, o którym mowa w art. 5a ust. 1 ustawy:
1) mieszkania przeznaczone do podnajmowania osobom spełniającym warunki otrzymania lokalu wchodzącego w skład mieszkaniowego zasobu gminy.</t>
  </si>
  <si>
    <t>Informuję, że przedsięwzięcie jest realizowane na podstawie dokumentacji projektowej opracowanej z wykorzystaniem zasobu projektów, o którym mowa w art. 7g ustawy.</t>
  </si>
  <si>
    <t>Nie posiadam adresu do doręczeń elektronicznych</t>
  </si>
  <si>
    <t>Koszty materiałów i robót budowlanych budynku</t>
  </si>
  <si>
    <t>Koszty hali garażowej w budynku mieszkalnym</t>
  </si>
  <si>
    <t>Koszty stanowisk postojowych lub garaży</t>
  </si>
  <si>
    <r>
      <t xml:space="preserve">Wskaźnik (I.) powierzchniowy, zgodny z art. 15 ww. ustawy należy zastosować - jeżeli w budynku lub części budynku, w których w wyniku realizacji przedsięwzięcia powstaną lokale mieszkalne, </t>
    </r>
    <r>
      <rPr>
        <u/>
        <sz val="11"/>
        <rFont val="Calibri"/>
        <family val="2"/>
        <charset val="238"/>
        <scheme val="minor"/>
      </rPr>
      <t>znajdują się lub powstaną również lokale nieobjęte finansowym wsparciem</t>
    </r>
    <r>
      <rPr>
        <sz val="11"/>
        <rFont val="Calibri"/>
        <family val="2"/>
        <charset val="238"/>
        <scheme val="minor"/>
      </rPr>
      <t>, koszty, o których mowa w art. 14 ust. 1 pkt 1 i 2 ww. ustawy, których nie można wyodrębnić jako kosztów poniesionych wyłącznie na realizację przedsięwzięcia, zalicza się do kosztów przedsięwzięcia w części odpowiadającej udziałowi powierzchni użytkowej lokali mieszkalnych, w powierzchni stanowiącej sumę powierzchni użytkowej lokali, oraz powierzchni użytkowej lokali nieobjętych finansowym wsparciem. Wartość wskaźnika równa się (liczbie wskazanej w pkt V.A.A.2</t>
    </r>
    <r>
      <rPr>
        <b/>
        <sz val="11"/>
        <rFont val="Calibri"/>
        <family val="2"/>
        <charset val="238"/>
        <scheme val="minor"/>
      </rPr>
      <t>/</t>
    </r>
    <r>
      <rPr>
        <sz val="11"/>
        <rFont val="Calibri"/>
        <family val="2"/>
        <charset val="238"/>
        <scheme val="minor"/>
      </rPr>
      <t>(liczbie wskazanej w pkt V.A.A.2+liczbie wskazanej w pkt V.A.A.3)).</t>
    </r>
  </si>
  <si>
    <t>Koszty materiałów i robót budowlanych zagospodarowanie terenu</t>
  </si>
  <si>
    <t>operat szacunkowy</t>
  </si>
  <si>
    <t>Przewidywana data rozpoczęcia realizacji przedsięwzięcia /Data rozpoczęcia realizacji przedsięwzięcia (dzień, miesiąc (słownie) i rok).</t>
  </si>
  <si>
    <t>Przewidywana data zakończenia realizacji przedsięwzięcia / Data zakończenia realizacji przedsięwzięcia (dzień, miesiąc (słownie) i rok).</t>
  </si>
  <si>
    <t>Przewidywana data rozpoczęcia realizacji przedsięwzięcia / Data rozpoczęcia realizacji przedsięwzięcia (dzień, miesiąc (słownie) i rok).</t>
  </si>
  <si>
    <t>Jednocześnie potwierdzam za zgodność z oryginałem wszystkie przedłożone do wniosku o finansowe wsparcie dokumenty.</t>
  </si>
  <si>
    <t>A. Liczba lokali wchodzących w skład mieszkaniowego zasobu gminy, w tym liczba lokali, które zostaną utworzone i liczba lokali, które zostaną zmodernizowane.</t>
  </si>
  <si>
    <t>Umowa, o której mowa w art. 5 ust. 2 pkt 1 ustawy będzie obowiązywała przez okres co najmniej 15 lat, licząc od dnia rozliczenia kosztów przedsięwzięcia tj. od dnia wpływu do banku poprawnych i kompletnych dokumentów wynikających m.in. z art. 18 ustawy i zapisów umowy o udzielenie finansowego wsparcia, o której mowa w art. 12 ustawy.</t>
  </si>
  <si>
    <t>kwota rezerwy z stawką VAT 8%</t>
  </si>
  <si>
    <t>kwota rezerwy z stawką VAT 23%</t>
  </si>
  <si>
    <t xml:space="preserve"> Informacja o dacie bądź planowanej dacie zawarcia umowy, o której mowa w art. 5 ust. 2 pkt 1 albo pkt 2 lit. a albo art. 5c ust. 3 ustawy</t>
  </si>
  <si>
    <r>
      <t>Zgodnie z art. 14 ust. 1 pkt 1 lit. a tiret drugie i ust. 2 ww. ustawy przez koszty wykonania stanowisk postojowych lub garaży znajdujących się w budynkach mieszkalnych i wielopoziomowych, rozumie się koszty wykonania stanowisk postojowych lub garaży zlokalizowanych w obrębie finansowanego przedsięwzięcia w liczbie nieprzekraczającej minimalnej liczby wynikającej z ustaleń miejscowego planu zagospodarowania przestrzennego albo decyzji o warunkach zabudowy oraz przypadającej na finansowanie w ramach przedsięwzięcia. Przedstawiamy wskaźnik kosztowy ma on zastosowanie do kosztów realizowanych stanowisk postojowych lub garaży znajdujących się w budynkach mieszkalnych i wielopoziomowych. Koszty te rodzajowo należy wyodrębnić w przynajmniej jednej pozycji (</t>
    </r>
    <r>
      <rPr>
        <b/>
        <sz val="11"/>
        <rFont val="Calibri"/>
        <family val="2"/>
        <charset val="238"/>
        <scheme val="minor"/>
      </rPr>
      <t>Koszty stanowisk postojowych lub garaży, Koszty hali garażowej w budynku mieszkalnym</t>
    </r>
    <r>
      <rPr>
        <sz val="11"/>
        <rFont val="Calibri"/>
        <family val="2"/>
        <charset val="238"/>
        <scheme val="minor"/>
      </rPr>
      <t xml:space="preserve">) w pkt VI.F. i zastosować wskaźnik kosztowy do realizowanych stanowisk postojowych lub garaży. W przypadku gdy w przedsięwzięciu występuje zarówno wskaźnik kosztowy realizowanych stanowisk postojowych lub garaży oraz wskaźnik powierzchniowy, zgodny z art. 15 ww. ustawy to dla pozycji kosztowej stanowiska postojowe i garaże należy zastosować iloczyn obu wskaźników. </t>
    </r>
    <r>
      <rPr>
        <b/>
        <sz val="11"/>
        <rFont val="Calibri"/>
        <family val="2"/>
        <charset val="238"/>
        <scheme val="minor"/>
      </rPr>
      <t>Wskaźnik (II.) kosztowy</t>
    </r>
    <r>
      <rPr>
        <sz val="11"/>
        <rFont val="Calibri"/>
        <family val="2"/>
        <charset val="238"/>
        <scheme val="minor"/>
      </rPr>
      <t xml:space="preserve"> jaki należy zastosować do realizowanych stanowisk postojowych lub garaży znajdujących się w budynkach mieszkalnych i wielopoziomowych to liczba równa ilorazowi (liczby z pkt VI.ZG.6 objęte wnioskiem i liczby z pkt VI.ZG.5 realizowane).</t>
    </r>
  </si>
  <si>
    <t>Jeżeli zastosowane ww. wskaźniki kosztowe I. i II. nie są wystarczające, żeby wyodrębnić wszystkie koszty niekwalifikowane opisz poniżej szczegółowo informację o sposobie wyodrębnienia tych kosztów przedsięwzięcia, o których mowa w art. 14 ust. 1 ustawy, które nie podlegają sfinansowaniu w ramach danego wniosku. Koszty te rodzajowo należy wyodrębnić w pozycji w pkt VI.F. oraz wpisać dla tych pozycji wskaźnik III. kosztowy.</t>
  </si>
  <si>
    <t>Jeżeli zastosowany ww. wskaźniki kosztowy I. nie jest wystarczający, żeby wyodrębnić wszystkie koszty niekwalifikowane opisz poniżej szczegółowo informację o sposobie wyodrębnienia tych kosztów przedsięwzięcia, o których mowa w art. 14 ust. 1 ustawy, które nie podlegają sfinansowaniu w ramach danego wniosku. Koszty te rodzajowo należy wyodrębnić w pozycji w pkt VI.F. oraz wpisać dla tych pozycji wskaźnik II. kosztowy.</t>
  </si>
  <si>
    <t>Jeżeli zastosowany ww. wskaźniki kosztowy I. nie jest wystarczający, żeby wyodrębnić wszystkie koszty niekwalifikowane opisz poniżej szczegółowo informację o sposobie wyodrębnienia tych kosztów przedsięwzięcia, o których mowa w art. 14 ust. 2 ustawy, które nie podlegają sfinansowaniu w ramach danego wniosku. Koszty te rodzajowo należy wyodrębnić w pozycji w pkt VI.F. oraz wpisać dla tych pozycji wskaźnik II. kosztowy.</t>
  </si>
  <si>
    <t>Informuję, że koszty łącznej powierzchni użytkowej lokali znajdujących się lub powstających w budynku, nieobjętych finansowym wsparciem (V.A.A.3) nie zostały ujęte w pozycjach kosztowych pkt VI.F wniosku. Wskazane, w pkt VI.F wniosku, pozycje kosztowe dotyczą tylko i wyłącznie kosztów łącznej powierzchni użytkowej tworzonych w ramach przedsięwzięcia lokali wchodzących w skład mieszkaniowego zasobu gminy, mieszkań treningowych lub wspomaganych oraz tymczasowych pomieszczeń (V.A.A.2) dlatego wskaźnik kosztowy nie został zastosowany.</t>
  </si>
  <si>
    <t>Informuję, że koszty powierzchni użytkowej lokali znajdujących się lub powstających w budynku, nieobjętych finansowym wsparciem (V.A.A.3) zostały ujęte w pozycjach kosztowych pkt VI.F wniosku dlatego wskaźnik kosztowy został zastosowany.</t>
  </si>
  <si>
    <t>Informuję, że koszty łącznej powierzchni użytkowej nabywanych lokali nieobjętych finansowym wsparciem (liczba w komórce AJ97) nie zostały ujęte w pozycjach kosztowych pkt VI.F wniosku. Wskazane, w pkt VI.F wniosku, pozycje kosztowe dotyczą tylko i wyłącznie kosztów łącznej powierzchni użytkowej lokali mieszkalnych nabywanych w ramach przedsięwzięcia (V.A.B.3) dlatego wskaźnik kosztowy nie został zastosowany.</t>
  </si>
  <si>
    <t>Informuję, że koszty łącznej powierzchni użytkowej nabywanych lokali nieobjętych finansowym wsparciem (liczba w komórce AJ97) zostały ujęte w pozycjach kosztowych pkt VI.F wniosku dlatego wskaźnik kosztowy został zastosowany.</t>
  </si>
  <si>
    <t xml:space="preserve">Oświadczam, że wszczęto co najmniej jedno postępowanie o zamówienie publiczne na prace projektowe albo na podstawie umowy rozpoczęto prace projektowe przed dniem 1 stycznia 2024 r. </t>
  </si>
  <si>
    <t xml:space="preserve">Oświadczam, że została wydana decyzja o warunkach zabudowy i zagospodarowania terenu lub wszczęto postępowanie o jej wydanie przed dniem 1 stycznia 2024 r.  </t>
  </si>
  <si>
    <t xml:space="preserve">Oświadczam, że inwestor złożył wniosek o wydanie pozwolenia na budowę albo posiada pozwolenie na budowę przed dniem 1 stycznia 2024 r.  </t>
  </si>
  <si>
    <t>Oświadczam, że zostało dokonane zgłoszenie budowy lub innych robót budowlanych, w przypadku gdy nie jest wymagane uzyskanie pozwolenia na budowę, przed dniem 1 stycznia 2024 r.</t>
  </si>
  <si>
    <r>
      <t>Oświadczam, że wartość wskaźnika rocznego zapotrzebowania na nieodnawialną energię pierwotną EP w budynku realizowanym w ramach przedsięwzięcia nie przekracza 52 kWh/(m</t>
    </r>
    <r>
      <rPr>
        <vertAlign val="superscript"/>
        <sz val="11"/>
        <color theme="1"/>
        <rFont val="Calibri"/>
        <family val="2"/>
        <charset val="238"/>
        <scheme val="minor"/>
      </rPr>
      <t>2</t>
    </r>
    <r>
      <rPr>
        <sz val="11"/>
        <color theme="1"/>
        <rFont val="Calibri"/>
        <family val="2"/>
        <scheme val="minor"/>
      </rPr>
      <t>·rok).</t>
    </r>
  </si>
  <si>
    <t>Informuję o prawdziwości danych zawartych we wniosku.</t>
  </si>
  <si>
    <t>Nie dotyczy realizowanego przedsięwzięcia EP nie przekracza 52 kWh/(m2·rok).</t>
  </si>
  <si>
    <t>Proszę wypełnić niebieskie pola, brak wypełnienia niebieskich pól może spowodować wezwanie do uzupełnienia wniosku, co wydłuży okres rozpatrzenia wniosku.</t>
  </si>
  <si>
    <t>B. Remont budynku albo jego części (remont budynku mieszkalnego będącego własnością gminy lub jednoosobowej spółki gminnej albo części takiego budynku, jeżeli ten remont nie dotyczy lokalu mieszkalnego zajmowanego przez lokatora na podstawie obowiązującej umowy najmu).</t>
  </si>
  <si>
    <t>C. Przebudowa budynku albo jego części (przebudowa budynku mieszkalnego będącego własnością gminy lub jednoosobowej spółki gminnej albo części takiego budynku, jeżeli ta przebudowa nie dotyczy lokalu mieszkalnego zajmowanego przez lokatora na podstawie obowiązującej umowy najmu).</t>
  </si>
  <si>
    <t>B. Remont budynku albo jego części (udziela się również gdy remont dotyczy lokalu mieszkalnego zajmowanego przez lokatora na podstawie obowiązującej umowy najmu, jeżeli beneficjent wsparcia uzyskał premię, o której mowa w art. 11g ust. 1 ustawy z dnia 21 listopada 2008 r. o wspieraniu termomodernizacji i remontów oraz o centralnej ewidencji emisyjności budynków (Dz. U. z 2023 r. poz. 2496), z tytułu realizacji przedsięwzięcia termomodernizacyjnego lub remontowego w budynku, w którym znajdują się te lokale mieszkalne, i realizuje to przedsięwzięcie łącznie z remontem lub przebudową tego lokalu).</t>
  </si>
  <si>
    <t>C. Przebudowa budynku albo jego części (udziela się również gdy przebudowa dotyczy lokalu mieszkalnego zajmowanego przez lokatora na podstawie obowiązującej umowy najmu, jeżeli beneficjent wsparcia uzyskał premię, o której mowa w art. 11g ust. 1 ustawy z dnia 21 listopada 2008 r. o wspieraniu termomodernizacji i remontów oraz o centralnej ewidencji emisyjności budynków (Dz. U. z 2023 r. poz. 2496), z tytułu realizacji przedsięwzięcia termomodernizacyjnego lub remontowego w budynku, w którym znajdują się te lokale mieszkalne, i realizuje to przedsięwzięcie łącznie z remontem lub przebudową tego lokalu).</t>
  </si>
  <si>
    <t>uczelnia publiczna</t>
  </si>
  <si>
    <t>Uczelnia publiczna</t>
  </si>
  <si>
    <t>Adres do doręczeń elektronicznych, o których mowa w ustawie z dnia 18 listopada 2020 r. o doręczeniach elektronicznych (Dz. U. z 2024 r. poz. 1045 i 1841). Adres do doręczeń można sprawdzić klikając w link.</t>
  </si>
  <si>
    <t>Numer identyfikacyjny w krajowym rejestrze urzędowym podmiotów gospodarki narodowej REGON</t>
  </si>
  <si>
    <t xml:space="preserve">Maksymalne finansowe wsparcie jest uzależnione od rodzaju przedsięwzięcia i wynosi dla budowy 80% </t>
  </si>
  <si>
    <t>W przypadku przedsięwzięć realizowanych na podstawie art. 3 ust. 1 pkt 1, art. 4 ust. 1 pkt 1, art. 4a ust. 1 pkt 1, art. 5 ust. 1 pkt 1 i art. 5c ustawy, informacje o dokumentach potwierdzających prawo do prowadzenia robót budowlanych:</t>
  </si>
  <si>
    <t>1) jeżeli planowany zakres robót wymaga pozwolenia na budowę lub zezwolenia na realizację inwestycji drogowej – informacje o organie, który wydał decyzję, dacie wydania decyzji i jej numerze, dacie ostateczności lub wykonalności decyzji oraz o danych podmiotu, na który została wydana decyzja;</t>
  </si>
  <si>
    <t>2) jeżeli planowany zakres robót wymaga zgłoszenia, o którym mowa w art. 30 lub w art. 71 ust. 2 ustawy z dnia 7 lipca 1994 r. – Prawo budowlane (Dz. U. z 2025 r. poz. 418, 1080, 1535 i 1673) – informacje o dacie zgłoszenia, dacie i numerze zaświadczenia organu administracji architektoniczno-budowlanej o braku podstaw do wniesienia sprzeciwu, o którym mowa w art. 30 ust. 5aa i art. 71 ust. 4c ustawy z dnia 7 lipca 1994 r. – Prawo budowlane, albo zaświadczenia organu administracji architektoniczno-budowlanej o niewniesieniu w terminie sprzeciwu wobec zgłoszenia oraz informacja o organie, który to zaświadczenie wydał, oraz o danych podmiotu zgłaszającego.</t>
  </si>
  <si>
    <t>W przypadku przedsięwzięć realizowanych na podstawie art. 3 ust. 1 pkt 1, art. 4 ust. 1 pkt 1, art. 4a ust. 1 pkt 1 i art. 5c ustawy, informacje o dacie rozpoczęcia przedsięwzięcia wynikającej z dziennika budowy i dacie ostatniego wpisu do dziennika budowy dokonanego przed złożeniem wniosku o finansowe wsparcie – jeżeli dla robót budowlanych wymagane jest prowadzenie dziennika budowy, a roboty budowlane zostały już rozpoczęte.</t>
  </si>
  <si>
    <t>I. Kupno budynku mieszkalnego albo udziału we własności budynku mieszkalnego, w tym kupno połączone z remontem lub przebudową tego budynku, w wyniku którego zostaną utworzone lub zmodernizowane pomieszczenia służące zaspokajaniu potrzeb mieszkaniowych studentów i doktorantów.</t>
  </si>
  <si>
    <t>N. Liczba pomieszczeń służących zaspokajaniu potrzeb mieszkaniowych studentów i doktorantów oraz liczba miejsc znajdujących się w tych pomieszczeniach.</t>
  </si>
  <si>
    <t>Liczba pomieszczeń służących zaspokajaniu potrzeb mieszkaniowych studentów i doktorantów</t>
  </si>
  <si>
    <t>Liczba miejsc znajdujących się w tych pomieszczeniach</t>
  </si>
  <si>
    <t>C. Charakterystyka przedsięwzięcia określonego w art. 4a ustawy</t>
  </si>
  <si>
    <r>
      <rPr>
        <b/>
        <sz val="11"/>
        <color rgb="FF000000"/>
        <rFont val="Calibri"/>
        <family val="2"/>
        <charset val="238"/>
        <scheme val="minor"/>
      </rPr>
      <t xml:space="preserve">3) </t>
    </r>
    <r>
      <rPr>
        <sz val="11"/>
        <color rgb="FF000000"/>
        <rFont val="Calibri"/>
        <family val="2"/>
        <charset val="238"/>
        <scheme val="minor"/>
      </rPr>
      <t>powierzchnia mieszkalna pomieszczeń służących zaspokajaniu potrzeb mieszkaniowych studentów i doktorantów [m²]</t>
    </r>
  </si>
  <si>
    <r>
      <rPr>
        <b/>
        <sz val="11"/>
        <color rgb="FF000000"/>
        <rFont val="Calibri"/>
        <family val="2"/>
        <charset val="238"/>
        <scheme val="minor"/>
      </rPr>
      <t>4)</t>
    </r>
    <r>
      <rPr>
        <sz val="11"/>
        <color rgb="FF000000"/>
        <rFont val="Calibri"/>
        <family val="2"/>
        <charset val="238"/>
        <scheme val="minor"/>
      </rPr>
      <t xml:space="preserve"> powierzchnia użytkowa pomieszczeń służących zaspokajaniu potrzeb mieszkaniowych studentów i doktorantów [m²] </t>
    </r>
  </si>
  <si>
    <r>
      <rPr>
        <b/>
        <sz val="11"/>
        <color theme="1"/>
        <rFont val="Calibri"/>
        <family val="2"/>
        <charset val="238"/>
        <scheme val="minor"/>
      </rPr>
      <t>A.</t>
    </r>
    <r>
      <rPr>
        <sz val="11"/>
        <color theme="1"/>
        <rFont val="Calibri"/>
        <family val="2"/>
        <charset val="238"/>
        <scheme val="minor"/>
      </rPr>
      <t xml:space="preserve"> Budowa budynku, remont lub przebudowa budynku albo części budynku, w wyniku których zostaną utworzone lub zostaną zmodernizowane pomieszczenia służące zaspokajaniu potrzeb mieszkaniowych studentów i doktorantów:</t>
    </r>
  </si>
  <si>
    <r>
      <rPr>
        <b/>
        <sz val="11"/>
        <color theme="1"/>
        <rFont val="Calibri"/>
        <family val="2"/>
        <charset val="238"/>
        <scheme val="minor"/>
      </rPr>
      <t>C.</t>
    </r>
    <r>
      <rPr>
        <sz val="11"/>
        <color theme="1"/>
        <rFont val="Calibri"/>
        <family val="2"/>
        <charset val="238"/>
        <scheme val="minor"/>
      </rPr>
      <t xml:space="preserve"> Powierzchnia dodatkowa inna niż powierzchnia pomieszczeń służąca zaspokajaniu potrzeb mieszkaniowych studentów i doktorantów, utworzona bez wykorzystania finansowego wsparcia.</t>
    </r>
  </si>
  <si>
    <r>
      <rPr>
        <b/>
        <sz val="11"/>
        <color rgb="FF000000"/>
        <rFont val="Calibri"/>
        <family val="2"/>
        <charset val="238"/>
        <scheme val="minor"/>
      </rPr>
      <t xml:space="preserve">ZB. </t>
    </r>
    <r>
      <rPr>
        <sz val="11"/>
        <color rgb="FF000000"/>
        <rFont val="Calibri"/>
        <family val="2"/>
        <charset val="238"/>
        <scheme val="minor"/>
      </rPr>
      <t>W przypadku przedsięwzięć, o których mowa w art. 3 ust. 1 pkt 1, art. 4 ust. 1 pkt 1, art. 4a ust. 1 pkt 1 i art. 5 ust. 1 pkt 1 ustawy, informacje o:</t>
    </r>
  </si>
  <si>
    <r>
      <t xml:space="preserve">F. </t>
    </r>
    <r>
      <rPr>
        <sz val="11"/>
        <color rgb="FF000000"/>
        <rFont val="Calibri"/>
        <family val="2"/>
        <charset val="238"/>
        <scheme val="minor"/>
      </rPr>
      <t>Informacja o planowanych kosztach przedsięwzięcia, o których mowa w art. 14 ust. 1 ustawy, z uwzględnieniem wartości netto i brutto oraz ze wskazaniem wysokości przyjętej stawki podatku od towarów i usług, dokumentów, na podstawie których ten koszt określono (w przypadku przedsięwzięcia obejmującego remont lub przebudowę części kilku budynków w rozbiciu na poszczególne lokale mieszkalne znajdujące się w budynkach objętych wnioskiem ze wskazaniem ich adresu), a także jeżeli przedsięwzięcie obejmuje zakup, montaż lub budowę instalacji odnawialnego źródła energii, o której mowa w art. 2 pkt 13 lit. a ustawy z dnia 20 lutego 2015 r. o odnawialnych źródłach energii (Dz. U. z 2024 r. poz. 1361, z późn. zm.), z wyłączeniem magazynu biogazu rolniczego, przyłączonej do sieci dystrybucyjnej za pośrednictwem wewnętrznej instalacji, wskazanie kosztów zakupu, montażu lub budowy tej instalacji.</t>
    </r>
  </si>
  <si>
    <t>Koszty projektowania</t>
  </si>
  <si>
    <t>Informuję, że wszystkie wymienione powyżej koszty są kosztami kwalifikowanymi w rozumieniu art. 14 ust. 1 ustawy o finansowym wsparciu niektórych przedsięwzięć mieszkaniowych. W kosztach kwalifikowanych nie zostały ujęte w szczególności: koszty związane z powierzchnią dodatkową inną niż powierzchnia pomieszczeń służąca zaspokajaniu potrzeb mieszkaniowych studentów i doktorantów, drogami publicznymi, siecią wodociągową, siecią kanalizacji sanitarnej, deszczowej, ogólnospławnej, siecią gazową, siecią energetyczną, siecią cieplną, siecią telekomunikacyjną (w zakresie wykraczającym poza koszty wykonania niezbędnego uzbrojenia terenu na działce, działkach, na których realizowane jest przedsięwzięcie),  koszty sporządzenia operatu szacunkowego oraz inne koszty nie ujęte w art.14 ww. ustawy.</t>
  </si>
  <si>
    <r>
      <rPr>
        <b/>
        <sz val="11"/>
        <color rgb="FF000000"/>
        <rFont val="Calibri"/>
        <family val="2"/>
        <charset val="238"/>
        <scheme val="minor"/>
      </rPr>
      <t>Z.</t>
    </r>
    <r>
      <rPr>
        <sz val="11"/>
        <color rgb="FF000000"/>
        <rFont val="Calibri"/>
        <family val="2"/>
        <charset val="238"/>
        <scheme val="minor"/>
      </rPr>
      <t xml:space="preserve"> W przypadku przedsięwzięć realizowanych na podstawie art. 3 ust. 1 pkt 1, art. 4 ust. 1 pkt 1, art. 4a ust. 1 pkt 1, art. 5 ust. 1 pkt 1 i art. 5c ustawy informacja o numerze księgi wieczystej prowadzonej dla nieruchomości objętej przedsięwzięciem.</t>
    </r>
  </si>
  <si>
    <r>
      <rPr>
        <b/>
        <sz val="11"/>
        <color rgb="FF000000"/>
        <rFont val="Calibri"/>
        <family val="2"/>
        <charset val="238"/>
        <scheme val="minor"/>
      </rPr>
      <t xml:space="preserve">ZE. </t>
    </r>
    <r>
      <rPr>
        <sz val="11"/>
        <color rgb="FF000000"/>
        <rFont val="Calibri"/>
        <family val="2"/>
        <charset val="238"/>
        <scheme val="minor"/>
      </rPr>
      <t>Informacja, czy przed złożeniem danego wniosku o finansowe wsparcie, budynek lub jego część, które są aktualnie przedmiotem przedsięwzięcia, podlegał finansowaniu ze środków Funduszu Dopłat. Jeżeli tak, to informacja czy przedsięwzięcie, w ramach którego finansowany był ten budynek lub ta część zostało rozliczone i kiedy nastąpiło to rozliczenie.</t>
    </r>
  </si>
  <si>
    <t xml:space="preserve">Informuję, że przed złożeniem wniosku o finansowe wsparcie, budynek lub jego część, które są aktualnie przedmiotem przedsięwzięcia, podlegał finansowaniu ze środków Funduszu Dopłat. Jednocześnie informuję, że przedsięwzięcie, w ramach którego finansowany był ten budynek lub ta część nie zostało rozliczone lub rozliczenie to nastąpiło na mniej niż 25 lat przez złożeniem niniejszego wniosku. </t>
  </si>
  <si>
    <t>Informuję, że przed złożeniem wniosku o finansowe wsparcie, budynek lub jego część, które są aktualnie przedmiotem przedsięwzięcia, podlegał finansowaniu ze środków Funduszu Dopłat. Jednocześnie informuję, że przedsięwzięcie, w ramach którego finansowany był ten budynek nie zostało rozliczone lub zostało rozliczone, a rozliczenie to nastąpiło na mniej niż 25 lat przed złożeniem niniejszego wniosku.</t>
  </si>
  <si>
    <t>Informuję, że przed złożeniem wniosku o finansowe wsparcie, budynek lub jego część, które są aktualnie przedmiotem przedsięwzięcia, nie podlegał finansowaniu ze środków Funduszu Dopłat lub rozliczenie to nastąpiło na więcej niż 25 lat przez złożeniem niniejszego wniosku.</t>
  </si>
  <si>
    <r>
      <rPr>
        <b/>
        <sz val="11"/>
        <color rgb="FF000000"/>
        <rFont val="Calibri"/>
        <family val="2"/>
        <charset val="238"/>
        <scheme val="minor"/>
      </rPr>
      <t xml:space="preserve">ZG. </t>
    </r>
    <r>
      <rPr>
        <sz val="11"/>
        <color rgb="FF000000"/>
        <rFont val="Calibri"/>
        <family val="2"/>
        <charset val="238"/>
        <scheme val="minor"/>
      </rPr>
      <t>W przypadku przedsięwzięcia, o którym mowa w art. 4a ustawy, informacja, czy pomieszczenia służące zaspokajaniu potrzeb mieszkaniowych studentów i doktorantów, pozyskanych przy udziale finansowego wsparcia na podstawie ustawy, będą wyposażone w oświetlenie naturalne i elektryczne, możliwość ogrzewania, niezawilgocone przegrody budowlane oraz wyposażone lub obejmujące bezpośredni dostęp do aneksu wyposażonego w źródło zaopatrzenia w wodę, ustęp oraz urządzenie do gotowania posiłków.</t>
    </r>
  </si>
  <si>
    <t>Informuję, że pomieszczenia służące zaspokajaniu potrzeb mieszkaniowych studentów i doktorantów, pozyskanych przy udziale finansowego wsparcia na podstawie ustawy, będą wyposażone w oświetlenie naturalne i elektryczne, możliwość ogrzewania, niezawilgocone przegrody budowlane oraz wyposażone lub obejmujące bezpośredni dostęp do aneksu wyposażonego w źródło zaopatrzenia w wodę, ustęp oraz urządzenie do gotowania posiłków.</t>
  </si>
  <si>
    <t>Informuję, że pomieszczenia służące zaspokajaniu potrzeb mieszkaniowych studentów i doktorantów, pozyskanych przy udziale finansowego wsparcia na podstawie ustawy, nie będą wyposażone w oświetlenie naturalne i elektryczne, możliwość ogrzewania, niezawilgocone przegrody budowlane oraz wyposażone lub obejmujące bezpośredni dostęp do aneksu wyposażonego w źródło zaopatrzenia w wodę, ustęp oraz urządzenie do gotowania posiłków.</t>
  </si>
  <si>
    <r>
      <t xml:space="preserve">ZH. </t>
    </r>
    <r>
      <rPr>
        <sz val="11"/>
        <color rgb="FF000000"/>
        <rFont val="Calibri"/>
        <family val="2"/>
        <charset val="238"/>
        <scheme val="minor"/>
      </rPr>
      <t>Informacja, czy minimalna powierzchnia pomieszczenia służącego zaspokajaniu potrzeb mieszkaniowych studentów i doktorantów wynosi 8 m</t>
    </r>
    <r>
      <rPr>
        <sz val="11"/>
        <color rgb="FF000000"/>
        <rFont val="Aptos Narrow"/>
        <family val="2"/>
      </rPr>
      <t>²</t>
    </r>
    <r>
      <rPr>
        <sz val="11"/>
        <color rgb="FF000000"/>
        <rFont val="Calibri"/>
        <family val="2"/>
        <charset val="238"/>
        <scheme val="minor"/>
      </rPr>
      <t xml:space="preserve"> powierzchni mieszkalnej na jedną osobę.</t>
    </r>
  </si>
  <si>
    <t>Informuję, że minimalna powierzchnia pomieszczenia służącego zaspokajaniu potrzeb mieszkaniowych studentów i doktorantów wynosi przynajmniej 8 m² powierzchni mieszkalnej na jedną osobę.</t>
  </si>
  <si>
    <t>Informuję, że minimalna powierzchnia pomieszczenia służącego zaspokajaniu potrzeb mieszkaniowych studentów i doktorantów wynosi jest mniejsza niż 8 m² powierzchni mieszkalnej na jedną osobę.</t>
  </si>
  <si>
    <r>
      <t xml:space="preserve">ZI. </t>
    </r>
    <r>
      <rPr>
        <sz val="11"/>
        <color rgb="FF000000"/>
        <rFont val="Calibri"/>
        <family val="2"/>
        <charset val="238"/>
        <scheme val="minor"/>
      </rPr>
      <t>W przypadku przedsięwzięcia, o którym mowa w art. 4a ustawy, informacja, czy na realizację przedsięwzięcia została udzielona dotacja celowa na podstawie art. 365 pkt 4 lit. a ustawy z dnia 20 lipca 2018 r. – Prawo o szkolnictwie wyższym i nauce (Dz. U. z 2024 r. poz. 1571, z późn. zm. )).</t>
    </r>
  </si>
  <si>
    <t>Informuję, że na realizację przedsięwzięcia nie została udzielona dotacja celowa na podstawie art. 365 pkt 4 lit. a ustawy z dnia 20 lipca 2018 r. – Prawo o szkolnictwie wyższym i nauce (Dz. U. z 2024 r. poz. 1571, z późn. zm. )).</t>
  </si>
  <si>
    <t>Informuję, że na realizację przedsięwzięcia została udzielona dotacja celowa na podstawie art. 365 pkt 4 lit. a ustawy z dnia 20 lipca 2018 r. – Prawo o szkolnictwie wyższym i nauce (Dz. U. z 2024 r. poz. 1571, z późn. zm. )).</t>
  </si>
  <si>
    <r>
      <t xml:space="preserve">ZL. </t>
    </r>
    <r>
      <rPr>
        <sz val="11"/>
        <color rgb="FF000000"/>
        <rFont val="Calibri"/>
        <family val="2"/>
        <charset val="238"/>
        <scheme val="minor"/>
      </rPr>
      <t>Informacja, czy koszty przedsięwzięcia obejmują koszty związane z zakupem, montażem i uruchomieniem indywidualnego kotła zasilanego paliwami kopalnymi.</t>
    </r>
  </si>
  <si>
    <r>
      <t>Informuję, że wartość wskaźnika rocznego zapotrzebowania na nieodnawialną energię pierwotną EP w budynku powstałym w ramach przedsięwzięcia nie przekracza 52 kWh/(m</t>
    </r>
    <r>
      <rPr>
        <sz val="11"/>
        <color theme="1"/>
        <rFont val="Aptos Narrow"/>
        <family val="2"/>
      </rPr>
      <t>²</t>
    </r>
    <r>
      <rPr>
        <sz val="11"/>
        <color theme="1"/>
        <rFont val="Calibri"/>
        <family val="2"/>
        <charset val="238"/>
        <scheme val="minor"/>
      </rPr>
      <t>×rok).</t>
    </r>
  </si>
  <si>
    <r>
      <t>Informuję, że wartość wskaźnika rocznego zapotrzebowania na nieodnawialną energię pierwotną EP w budynku powstałym w ramach przedsięwzięcia przekracza  n 52 kWh/(m</t>
    </r>
    <r>
      <rPr>
        <sz val="11"/>
        <color theme="1"/>
        <rFont val="Aptos Narrow"/>
        <family val="2"/>
      </rPr>
      <t>²</t>
    </r>
    <r>
      <rPr>
        <sz val="11"/>
        <color theme="1"/>
        <rFont val="Calibri"/>
        <family val="2"/>
        <charset val="238"/>
        <scheme val="minor"/>
      </rPr>
      <t>×rok).</t>
    </r>
  </si>
  <si>
    <r>
      <t xml:space="preserve">ZK. </t>
    </r>
    <r>
      <rPr>
        <sz val="11"/>
        <color rgb="FF000000"/>
        <rFont val="Calibri"/>
        <family val="2"/>
        <charset val="238"/>
        <scheme val="minor"/>
      </rPr>
      <t>W przypadku przedsięwzięć, o których mowa w art. 3 ust. 1 pkt 1 oraz w art. 5 ust. 1 pkt 1 ustawy, informacja, czy wartość wskaźnika rocznego zapotrzebowania na nieodnawialną energię pierwotną EP w budynku powstałym w ramach przedsięwzięcia przekracza czy nie przekracza 52 kWh/(m</t>
    </r>
    <r>
      <rPr>
        <sz val="11"/>
        <color rgb="FF000000"/>
        <rFont val="Aptos Narrow"/>
        <family val="2"/>
      </rPr>
      <t>²</t>
    </r>
    <r>
      <rPr>
        <sz val="11"/>
        <color rgb="FF000000"/>
        <rFont val="Calibri"/>
        <family val="2"/>
        <charset val="238"/>
        <scheme val="minor"/>
      </rPr>
      <t>×rok).</t>
    </r>
  </si>
  <si>
    <t>Informuję, że koszty przedsięwzięcia nie obejmują kosztów związanych z zakupem, montażem i uruchomieniem indywidualnego kotła zasilanego paliwami kopalnymi.</t>
  </si>
  <si>
    <t>Informuję, że koszty przedsięwzięcia obejmują kosztów związanych z zakupem, montażem i uruchomieniem indywidualnego kotła zasilanego paliwami kopalnymi.</t>
  </si>
  <si>
    <r>
      <t xml:space="preserve">2) </t>
    </r>
    <r>
      <rPr>
        <sz val="11"/>
        <color rgb="FF000000"/>
        <rFont val="Calibri"/>
        <family val="2"/>
        <charset val="238"/>
        <scheme val="minor"/>
      </rPr>
      <t>liczba pomieszczeń służących zaspokajaniu potrzeb mieszkaniowych studentów i doktorantów</t>
    </r>
  </si>
  <si>
    <r>
      <t xml:space="preserve">Wskaźnik (I.) powierzchniowy, zgodny z art. 15 ww. ustawy należy zastosować - jeżeli w budynku lub części budynku, w których w wyniku realizacji przedsięwzięcia powstaną lokale mieszkalne, </t>
    </r>
    <r>
      <rPr>
        <u/>
        <sz val="11"/>
        <rFont val="Calibri"/>
        <family val="2"/>
        <charset val="238"/>
        <scheme val="minor"/>
      </rPr>
      <t>znajdują się lub powstaną również lokale nieobjęte finansowym wsparciem</t>
    </r>
    <r>
      <rPr>
        <sz val="11"/>
        <rFont val="Calibri"/>
        <family val="2"/>
        <charset val="238"/>
        <scheme val="minor"/>
      </rPr>
      <t>, koszty, o których mowa w art. 14 ust. 1 pkt 1 i 2 ww. ustawy, których nie można wyodrębnić jako kosztów poniesionych wyłącznie na realizację przedsięwzięcia, zalicza się do kosztów przedsięwzięcia w części odpowiadającej udziałowi powierzchni użytkowej lokali mieszkalnych, w powierzchni stanowiącej sumę powierzchni użytkowej lokali, oraz powierzchni użytkowej lokali nieobjętych finansowym wsparciem. Wartość wskaźnika równa się (liczbie wskazanej w pkt V.A.C.4</t>
    </r>
    <r>
      <rPr>
        <b/>
        <sz val="11"/>
        <rFont val="Calibri"/>
        <family val="2"/>
        <charset val="238"/>
        <scheme val="minor"/>
      </rPr>
      <t>/</t>
    </r>
    <r>
      <rPr>
        <sz val="11"/>
        <rFont val="Calibri"/>
        <family val="2"/>
        <charset val="238"/>
        <scheme val="minor"/>
      </rPr>
      <t>(liczbie wskazanej w pkt V.A.C.4+liczbie wskazanej w pkt V.A.C.C)).</t>
    </r>
  </si>
  <si>
    <t>Informuję, że nie posiadam prawa własności budynku lub części budynku (w tym lokali), w którym realizowane jest przedsięwzięcie.</t>
  </si>
  <si>
    <t>Jeżeli wniosek będzie podpisany przez inną osobę niż wskazaną dla danego rodzaju beneficjenta należy dołączyć do wniosku, dla tej osoby, dokument potwierdzający prawo do reprezentowania beneficjenta. Osoby wskazane do reprezentacji danego typu beneficjenta to:                                                                                                                                                                              
5)	w przypadku uczelni – rektora.</t>
  </si>
  <si>
    <t>Jeżeli wniosek będzie podpisany przez inną osobę niż wskazaną dla danego rodzaju beneficjenta należy dołączyć do wniosku, dla tej osoby, dokument potwierdzający prawo do reprezentowania beneficjenta. Osoby wskazane do reprezentacji danego typu beneficjenta to:                                                                                                                                                                                     5)	w przypadku uczelni – rektora.</t>
  </si>
  <si>
    <t>W przypadku przedsięwzięć, o których mowa w art. 3 ust. 1 pkt 5 i 6 i art. 4a ust. 1 pkt 3 ustawy, informacja o:                                                                                                                                                             1)	przewidywanej cenie sprzedaży, a jeżeli przedsięwzięcie zostało rozpoczęte przed dniem złożenia wniosku o finansowe wsparcie – informacja o dacie sporządzenia umowy sprzedaży i cenie sprzedaży;
2)	wartości gruntu, wynikającej z aktualnego operatu szacunkowego, sporządzonego zgodnie z przepisami ustawy z dnia 21 sierpnia 1997 r. o gospodarce nieruchomościami (Dz. U. z 2024 r. poz. 1145, 1222, 1717 i 1881 oraz z 2025 r. poz. 1077 i 1080).</t>
  </si>
  <si>
    <t>B. Kupno budynku mieszkalnego albo udziału we własności budynku mieszkalnego, w tym kupno połączone z remontem lub przebudową tego budynku, w wyniku którego zostaną utworzone lub zostaną zmodernizowane pomieszczenia służące zaspokajaniu potrzeb mieszkaniowych studentów i doktorantów:</t>
  </si>
  <si>
    <r>
      <rPr>
        <b/>
        <sz val="11"/>
        <color rgb="FF000000"/>
        <rFont val="Calibri"/>
        <family val="2"/>
        <charset val="238"/>
        <scheme val="minor"/>
      </rPr>
      <t xml:space="preserve">5) </t>
    </r>
    <r>
      <rPr>
        <sz val="11"/>
        <color rgb="FF000000"/>
        <rFont val="Calibri"/>
        <family val="2"/>
        <charset val="238"/>
        <scheme val="minor"/>
      </rPr>
      <t xml:space="preserve">powierzchnia użytkowa pomieszczeń służących zaspokajaniu potrzeb mieszkaniowych studentów i doktorantów [m²] </t>
    </r>
  </si>
  <si>
    <r>
      <rPr>
        <b/>
        <sz val="11"/>
        <color rgb="FF000000"/>
        <rFont val="Calibri"/>
        <family val="2"/>
        <charset val="238"/>
        <scheme val="minor"/>
      </rPr>
      <t xml:space="preserve">4) </t>
    </r>
    <r>
      <rPr>
        <sz val="11"/>
        <color rgb="FF000000"/>
        <rFont val="Calibri"/>
        <family val="2"/>
        <charset val="238"/>
        <scheme val="minor"/>
      </rPr>
      <t>powierzchnia mieszkalna pomieszczeń służących zaspokajaniu potrzeb mieszkaniowych studentów i doktorantów [m²]</t>
    </r>
  </si>
  <si>
    <r>
      <t xml:space="preserve">3) </t>
    </r>
    <r>
      <rPr>
        <sz val="11"/>
        <color rgb="FF000000"/>
        <rFont val="Calibri"/>
        <family val="2"/>
        <charset val="238"/>
        <scheme val="minor"/>
      </rPr>
      <t>liczba pomieszczeń służących zaspokajaniu potrzeb mieszkaniowych studentów i doktorantów</t>
    </r>
  </si>
  <si>
    <r>
      <t xml:space="preserve">2) </t>
    </r>
    <r>
      <rPr>
        <sz val="11"/>
        <color rgb="FF000000"/>
        <rFont val="Calibri"/>
        <family val="2"/>
        <charset val="238"/>
        <scheme val="minor"/>
      </rPr>
      <t>wielkość nabywanego udziału we własności budynku mieszkalnego</t>
    </r>
  </si>
  <si>
    <r>
      <t xml:space="preserve">1) </t>
    </r>
    <r>
      <rPr>
        <sz val="11"/>
        <color rgb="FF000000"/>
        <rFont val="Calibri"/>
        <family val="2"/>
        <charset val="238"/>
        <scheme val="minor"/>
      </rPr>
      <t>adres nabywanego budynku mieszkalnego</t>
    </r>
    <r>
      <rPr>
        <b/>
        <sz val="11"/>
        <color rgb="FF000000"/>
        <rFont val="Calibri"/>
        <family val="2"/>
        <charset val="238"/>
        <scheme val="minor"/>
      </rPr>
      <t xml:space="preserve"> </t>
    </r>
    <r>
      <rPr>
        <sz val="11"/>
        <color rgb="FF000000"/>
        <rFont val="Calibri"/>
        <family val="2"/>
        <charset val="238"/>
        <scheme val="minor"/>
      </rPr>
      <t>[ Miejscowość, ulica, nr porządkowy budynku, numer lokalu]</t>
    </r>
  </si>
  <si>
    <r>
      <t xml:space="preserve">Wskaźnik (I.) powierzchniowy, zgodny z art. 15 ww. ustawy należy zastosować - jeżeli w budynku lub części budynku, w których w wyniku realizacji przedsięwzięcia powstaną lokale mieszkalne, </t>
    </r>
    <r>
      <rPr>
        <u/>
        <sz val="11"/>
        <rFont val="Calibri"/>
        <family val="2"/>
        <charset val="238"/>
        <scheme val="minor"/>
      </rPr>
      <t>znajdują się lub powstaną również lokale nieobjęte finansowym wsparciem</t>
    </r>
    <r>
      <rPr>
        <sz val="11"/>
        <rFont val="Calibri"/>
        <family val="2"/>
        <charset val="238"/>
        <scheme val="minor"/>
      </rPr>
      <t>, koszty, o których mowa w art. 14 ust. 1 pkt 1 i 2 ww. ustawy, których nie można wyodrębnić jako kosztów poniesionych wyłącznie na realizację przedsięwzięcia, zalicza się do kosztów przedsięwzięcia w części odpowiadającej udziałowi powierzchni użytkowej lokali mieszkalnych, w powierzchni stanowiącej sumę powierzchni użytkowej lokali, oraz powierzchni użytkowej lokali nieobjętych finansowym wsparciem. Wartość wskaźnika równa się (liczbie wskazanej w pkt V.C.B.5)</t>
    </r>
    <r>
      <rPr>
        <b/>
        <sz val="11"/>
        <rFont val="Calibri"/>
        <family val="2"/>
        <charset val="238"/>
        <scheme val="minor"/>
      </rPr>
      <t>/</t>
    </r>
    <r>
      <rPr>
        <sz val="11"/>
        <rFont val="Calibri"/>
        <family val="2"/>
        <charset val="238"/>
        <scheme val="minor"/>
      </rPr>
      <t>(liczbie wskazanej w pkt V.C.B.5)+liczbie wskazanej w pkt V.C.B.C)).</t>
    </r>
  </si>
  <si>
    <r>
      <t xml:space="preserve">ZJ. </t>
    </r>
    <r>
      <rPr>
        <sz val="11"/>
        <color rgb="FF000000"/>
        <rFont val="Calibri"/>
        <family val="2"/>
        <charset val="238"/>
        <scheme val="minor"/>
      </rPr>
      <t>W przypadku przedsięwzięcia, o którym mowa w art. 4a ustawy, informacja, czy tworzone lokale mieszkalne będą wynajmowane i użytkowane na zasadach wskazanych w art. 7a ust. 1 pkt 1 i art.7c ust. 3a ustawy.</t>
    </r>
  </si>
  <si>
    <t>Informauję, że tworzone lokale mieszkalne będą wynajmowane i użytkowane na zasadach wskazanych w art. 7a ust. 1 pkt 1 i art.7c ust. 3a ustawy.</t>
  </si>
  <si>
    <t>Informauję, że tworzone lokale mieszkalne nie będą wynajmowane i użytkowane na zasadach wskazanych w art. 7a ust. 1 pkt 1 i art.7c ust. 3a ustawy.</t>
  </si>
  <si>
    <r>
      <t xml:space="preserve">ZA. </t>
    </r>
    <r>
      <rPr>
        <sz val="11"/>
        <color rgb="FF000000"/>
        <rFont val="Calibri"/>
        <family val="2"/>
        <charset val="238"/>
        <scheme val="minor"/>
      </rPr>
      <t>Informacja, czy beneficjent wsparcia lub inwestor posiada prawo własności lub użytkowania wieczystego lub dzierżawy lub użyczenia gruntu, na którym realizowane jest przedsięwzięcie, albo prawo własności budynku lub części budynku (w tym lokali), w którym realizowane jest przedsięwzięcie, albo o posiadanym prawie własności lub dzierżawy lub użytkowania wieczystego gruntu (dla przedsięwzięć, o których mowa w art. 3 ust. 1, art. 4, art. 4a ust. 1, art. 5 ust. 1 i art. 5c ustawy)</t>
    </r>
  </si>
  <si>
    <t>5) w przypadku uczelni – rektora</t>
  </si>
  <si>
    <t>* 10% wysokość finansowego wsparcia podwyższa się o 10 punktów procentowych, jeżeli budynek jest wpisany do rejestru zabytków lub znajduje się na obszarze wpisanym do rejestru zabytków</t>
  </si>
  <si>
    <t>pomieszczenia służące zaspokajaniu potrzeb mieszkaniowych studentów i doktorantów</t>
  </si>
  <si>
    <t>80%*</t>
  </si>
  <si>
    <r>
      <t xml:space="preserve">E. </t>
    </r>
    <r>
      <rPr>
        <sz val="11"/>
        <color rgb="FF000000"/>
        <rFont val="Calibri"/>
        <family val="2"/>
        <charset val="238"/>
        <scheme val="minor"/>
      </rPr>
      <t>Informacja, czy przedsięwzięcie zostało zakończone przed dniem złożenia wniosku, o którym mowa w art. 8 ust. 1 ustawy (z wyłączeniem przedsięwzięć, o których mowa w art. 3 ust. 1 pkt 5 i 6 oraz art. 4a ust. 1 pkt 3 ustawy).</t>
    </r>
  </si>
  <si>
    <r>
      <t xml:space="preserve">VIII. Informacje o prawdziwości danych zawartych we wniosku, podpisane przez: </t>
    </r>
    <r>
      <rPr>
        <sz val="11"/>
        <color rgb="FF000000"/>
        <rFont val="Calibri"/>
        <family val="2"/>
        <charset val="238"/>
        <scheme val="minor"/>
      </rPr>
      <t>(Jeżeli podpis składa inna osoba niż rektor należy dołączyć dokument potwierdzający uprawnienia do składania oświadczeń w imieniu beneficjenta wsparcia dla tej osoby.)</t>
    </r>
  </si>
  <si>
    <t>5) łącznej liczbie realizowanych stanowisk postojowych lub garaży znajdujących się w budynkach mieszkalnych i wielopoziomowych, w tym przypadających na lokale mieszkalne objęte wnioskiem</t>
  </si>
  <si>
    <t>Informuję, że wartość wskaźnika rocznego zapotrzebowania na nieodnawialną energię pierwotną EP w budynku powstałym w ramach przedsięwzięcia nie przekracza 52 kWh/(m²×rok).</t>
  </si>
  <si>
    <t>Kupnie budynku mieszkalnego albo udziału we własności budynku mieszkalnego</t>
  </si>
  <si>
    <t>Szanowni Państwo,
przesyłając nowy wniosek w tytule sprawy (w piśmie przewodnim lub technicznym przesyłanym poprzez ePUAP/e-doręczenia wraz z wnioskiem) proszę wpisywać treść „nowy wniosek”, a jeśli przesyłana jest korekta wniosku proszę wpisać „korekta wniosku dla sprawy numer (…)”. Numer sprawy to znak pisma – wezwania do uzupełnienia. Przesyłana korespondencja do banku poprzez ePUAP/e-doręczenia powinna dotyczyć jednej sprawy. Taki sposób oznakowania korespondencji pozwoli nam usprawnić obsługę Państwa wniosków. Dziękujemy za stosowanie się do powyższego.</t>
  </si>
  <si>
    <r>
      <t>Przygotowany wniosek prosimy zapisać do formatu PDF i opatrzeć kwalifikowanym podpisem elektronicznym przez osobę lub osoby upoważnione do składania oświadczeń woli przez wnioskodawcę.                                                                                                                                                                                                 Krótka instrukcja zapisania wniosku do</t>
    </r>
    <r>
      <rPr>
        <b/>
        <sz val="12"/>
        <color theme="1"/>
        <rFont val="Arial"/>
        <family val="2"/>
        <charset val="238"/>
      </rPr>
      <t xml:space="preserve"> pliku PDF</t>
    </r>
    <r>
      <rPr>
        <sz val="12"/>
        <color theme="1"/>
        <rFont val="Arial"/>
        <family val="2"/>
        <charset val="238"/>
      </rPr>
      <t xml:space="preserve">:  Kliknij na górnym pasku  </t>
    </r>
    <r>
      <rPr>
        <b/>
        <sz val="12"/>
        <color theme="1"/>
        <rFont val="Arial"/>
        <family val="2"/>
        <charset val="238"/>
      </rPr>
      <t>Pliki</t>
    </r>
    <r>
      <rPr>
        <sz val="12"/>
        <color theme="1"/>
        <rFont val="Arial"/>
        <family val="2"/>
        <charset val="238"/>
      </rPr>
      <t xml:space="preserve"> -&gt; wybierz </t>
    </r>
    <r>
      <rPr>
        <b/>
        <sz val="12"/>
        <color theme="1"/>
        <rFont val="Arial"/>
        <family val="2"/>
        <charset val="238"/>
      </rPr>
      <t>Zapisz plik</t>
    </r>
    <r>
      <rPr>
        <sz val="12"/>
        <color theme="1"/>
        <rFont val="Arial"/>
        <family val="2"/>
        <charset val="238"/>
      </rPr>
      <t xml:space="preserve"> -&gt; </t>
    </r>
    <r>
      <rPr>
        <b/>
        <sz val="12"/>
        <color theme="1"/>
        <rFont val="Arial"/>
        <family val="2"/>
        <charset val="238"/>
      </rPr>
      <t xml:space="preserve">wybierz folder </t>
    </r>
    <r>
      <rPr>
        <sz val="12"/>
        <color theme="1"/>
        <rFont val="Arial"/>
        <family val="2"/>
        <charset val="238"/>
      </rPr>
      <t xml:space="preserve">docelowy zapisania pliku Wniosku -&gt; </t>
    </r>
    <r>
      <rPr>
        <b/>
        <sz val="12"/>
        <color theme="1"/>
        <rFont val="Arial"/>
        <family val="2"/>
        <charset val="238"/>
      </rPr>
      <t>zmień Zapisz jako typ Skoroszyt programu Excel wybierając z rozwijanej listy plik PDF</t>
    </r>
    <r>
      <rPr>
        <sz val="12"/>
        <color theme="1"/>
        <rFont val="Arial"/>
        <family val="2"/>
        <charset val="238"/>
      </rPr>
      <t xml:space="preserve"> i kliknij </t>
    </r>
    <r>
      <rPr>
        <b/>
        <sz val="12"/>
        <color theme="1"/>
        <rFont val="Arial"/>
        <family val="2"/>
        <charset val="238"/>
      </rPr>
      <t>Zapisz</t>
    </r>
    <r>
      <rPr>
        <sz val="12"/>
        <color theme="1"/>
        <rFont val="Arial"/>
        <family val="2"/>
        <charset val="238"/>
      </rPr>
      <t xml:space="preserve">. Wniosek zapisany w formacie pdf jest gotowy do podpisania. Wniosek podpisany należy wysłać za pomocą środków komunikacji elektronicznej przez elektroniczną skrzynkę podawczą banku ePUAP:  /BGK/DFM lub przez e-doręczenia na adres: AE:PL-61003-21615-HCHHR-20. Na potwierdzenie wysłania wniosku należy pobrać dokument Urzędowego Poświadczenia Przedłożenia (UPP). Po pobraniu UPP należy oczekiwać do 30 dni na korespondencję z banku w przedmiotowej sprawie. Przez ten czas nie należy przesyłać wniosku ponownie lub zmian do niego. </t>
    </r>
  </si>
  <si>
    <t>Łącznie powinno zsumować się na kwalifikowany koszt przedsięwzięcia</t>
  </si>
  <si>
    <t>W imieniu beneficjenta, udzielam pełnomocnictwa osobie wskazanej w pkt I.E. niniejszego wniosku do uzyskiwania informacji oraz wyjaśnień we wszystkich sprawach dotyczących wniosku, w tym w zakresie jego rozpatrywania, uzupełnień, rozstrzygnięć, a w przypadku przyznania finansowego wsparcia– również do uzyskiwania informacji w zakresie zawarcia umowy, jej aneksowania, realizacji przedsięwzięcia, rozliczenia, obowiązków po rozliczeniu oraz kontroli.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</si>
</sst>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zł&quot;_-;\-* #,##0.00\ &quot;zł&quot;_-;_-* &quot;-&quot;??\ &quot;zł&quot;_-;_-@_-"/>
    <numFmt numFmtId="164" formatCode="000\-000\-00\-00"/>
    <numFmt numFmtId="165" formatCode="_-* #,##0.00\ [$zł-415]_-;\-* #,##0.00\ [$zł-415]_-;_-* &quot;-&quot;??\ [$zł-415]_-;_-@_-"/>
    <numFmt numFmtId="166" formatCode="[$-F800]dddd\,\ mmmm\ dd\,\ yyyy"/>
    <numFmt numFmtId="167" formatCode="[$-415]d\ mmmm\ yyyy;@"/>
    <numFmt numFmtId="168" formatCode="0.0000"/>
  </numFmts>
  <fonts count="75"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scheme val="minor"/>
    </font>
    <font>
      <b/>
      <sz val="11"/>
      <color theme="1"/>
      <name val="Calibri"/>
      <family val="2"/>
      <charset val="238"/>
      <scheme val="minor"/>
    </font>
    <font>
      <b/>
      <sz val="9"/>
      <color rgb="FF000000"/>
      <name val="Arial"/>
      <family val="2"/>
      <charset val="238"/>
    </font>
    <font>
      <u/>
      <sz val="11"/>
      <color theme="10"/>
      <name val="Calibri"/>
      <family val="2"/>
      <scheme val="minor"/>
    </font>
    <font>
      <sz val="9"/>
      <color rgb="FF000000"/>
      <name val="Arial"/>
      <family val="2"/>
      <charset val="238"/>
    </font>
    <font>
      <vertAlign val="superscript"/>
      <sz val="9"/>
      <color rgb="FF000000"/>
      <name val="Arial"/>
      <family val="2"/>
      <charset val="238"/>
    </font>
    <font>
      <sz val="11"/>
      <color rgb="FF000000"/>
      <name val="Arial"/>
      <family val="2"/>
      <charset val="238"/>
    </font>
    <font>
      <b/>
      <sz val="11"/>
      <color theme="1"/>
      <name val="Arial"/>
      <family val="2"/>
      <charset val="238"/>
    </font>
    <font>
      <sz val="11"/>
      <color theme="1"/>
      <name val="Arial"/>
      <family val="2"/>
      <charset val="238"/>
    </font>
    <font>
      <b/>
      <sz val="11"/>
      <color rgb="FF000000"/>
      <name val="Arial"/>
      <family val="2"/>
      <charset val="238"/>
    </font>
    <font>
      <sz val="11"/>
      <name val="Arial"/>
      <family val="2"/>
      <charset val="238"/>
    </font>
    <font>
      <sz val="11"/>
      <name val="Calibri"/>
      <family val="2"/>
      <charset val="238"/>
      <scheme val="minor"/>
    </font>
    <font>
      <b/>
      <sz val="11"/>
      <name val="Calibri"/>
      <family val="2"/>
      <charset val="238"/>
      <scheme val="minor"/>
    </font>
    <font>
      <sz val="9"/>
      <color theme="1"/>
      <name val="Arial"/>
      <family val="2"/>
      <charset val="238"/>
    </font>
    <font>
      <b/>
      <sz val="9"/>
      <color theme="1"/>
      <name val="Arial"/>
      <family val="2"/>
      <charset val="238"/>
    </font>
    <font>
      <sz val="11"/>
      <color rgb="FFFFFF00"/>
      <name val="Arial"/>
      <family val="2"/>
      <charset val="238"/>
    </font>
    <font>
      <sz val="11"/>
      <color rgb="FFFFFF00"/>
      <name val="Calibri"/>
      <family val="2"/>
      <charset val="238"/>
      <scheme val="minor"/>
    </font>
    <font>
      <vertAlign val="superscript"/>
      <sz val="8"/>
      <color rgb="FF000000"/>
      <name val="Arial"/>
      <family val="2"/>
      <charset val="238"/>
    </font>
    <font>
      <sz val="11"/>
      <color theme="0"/>
      <name val="Arial"/>
      <family val="2"/>
      <charset val="238"/>
    </font>
    <font>
      <sz val="8"/>
      <color theme="1"/>
      <name val="Arial"/>
      <family val="2"/>
      <charset val="238"/>
    </font>
    <font>
      <sz val="10"/>
      <color theme="1"/>
      <name val="Arial"/>
      <family val="2"/>
      <charset val="238"/>
    </font>
    <font>
      <sz val="10"/>
      <color rgb="FFFFFF00"/>
      <name val="Arial"/>
      <family val="2"/>
      <charset val="238"/>
    </font>
    <font>
      <b/>
      <sz val="10"/>
      <color theme="1"/>
      <name val="Arial"/>
      <family val="2"/>
      <charset val="238"/>
    </font>
    <font>
      <sz val="10"/>
      <color rgb="FF000000"/>
      <name val="Arial"/>
      <family val="2"/>
      <charset val="238"/>
    </font>
    <font>
      <sz val="10"/>
      <name val="Arial"/>
      <family val="2"/>
      <charset val="238"/>
    </font>
    <font>
      <sz val="10"/>
      <color rgb="FFFF0000"/>
      <name val="Arial"/>
      <family val="2"/>
      <charset val="238"/>
    </font>
    <font>
      <sz val="9"/>
      <color theme="1"/>
      <name val="Calibri"/>
      <family val="2"/>
      <charset val="238"/>
      <scheme val="minor"/>
    </font>
    <font>
      <sz val="6"/>
      <color theme="1"/>
      <name val="Calibri"/>
      <family val="2"/>
      <charset val="238"/>
      <scheme val="minor"/>
    </font>
    <font>
      <sz val="7"/>
      <color theme="1"/>
      <name val="Calibri"/>
      <family val="2"/>
      <charset val="238"/>
      <scheme val="minor"/>
    </font>
    <font>
      <sz val="11"/>
      <color rgb="FF000000"/>
      <name val="Calibri"/>
      <family val="2"/>
      <charset val="238"/>
      <scheme val="minor"/>
    </font>
    <font>
      <b/>
      <sz val="11"/>
      <color rgb="FF000000"/>
      <name val="Calibri"/>
      <family val="2"/>
      <charset val="238"/>
      <scheme val="minor"/>
    </font>
    <font>
      <sz val="9"/>
      <color theme="1"/>
      <name val="Calibri"/>
      <family val="2"/>
      <scheme val="minor"/>
    </font>
    <font>
      <b/>
      <sz val="9"/>
      <color theme="1"/>
      <name val="Calibri"/>
      <family val="2"/>
      <scheme val="minor"/>
    </font>
    <font>
      <sz val="11"/>
      <color rgb="FFFF0000"/>
      <name val="Calibri"/>
      <family val="2"/>
      <charset val="238"/>
      <scheme val="minor"/>
    </font>
    <font>
      <sz val="4"/>
      <color theme="1"/>
      <name val="Calibri"/>
      <family val="2"/>
      <scheme val="minor"/>
    </font>
    <font>
      <sz val="12"/>
      <color theme="1"/>
      <name val="Calibri"/>
      <family val="2"/>
      <charset val="238"/>
      <scheme val="minor"/>
    </font>
    <font>
      <sz val="12"/>
      <color theme="1"/>
      <name val="Times New Roman"/>
      <family val="1"/>
      <charset val="238"/>
    </font>
    <font>
      <b/>
      <sz val="12"/>
      <color theme="1"/>
      <name val="Times New Roman"/>
      <family val="1"/>
      <charset val="238"/>
    </font>
    <font>
      <sz val="7"/>
      <color theme="1"/>
      <name val="Calibri"/>
      <family val="2"/>
      <scheme val="minor"/>
    </font>
    <font>
      <sz val="10"/>
      <color theme="1"/>
      <name val="Times New Roman"/>
      <family val="1"/>
      <charset val="238"/>
    </font>
    <font>
      <vertAlign val="superscript"/>
      <sz val="10"/>
      <color theme="1"/>
      <name val="Times New Roman"/>
      <family val="1"/>
      <charset val="238"/>
    </font>
    <font>
      <sz val="12"/>
      <color theme="1"/>
      <name val="Arial"/>
      <family val="2"/>
      <charset val="238"/>
    </font>
    <font>
      <b/>
      <sz val="12"/>
      <color theme="1"/>
      <name val="Arial"/>
      <family val="2"/>
      <charset val="238"/>
    </font>
    <font>
      <sz val="8"/>
      <color theme="1"/>
      <name val="Calibri"/>
      <family val="2"/>
      <scheme val="minor"/>
    </font>
    <font>
      <sz val="8"/>
      <color theme="1"/>
      <name val="Calibri"/>
      <family val="2"/>
      <charset val="238"/>
      <scheme val="minor"/>
    </font>
    <font>
      <sz val="11"/>
      <color theme="1"/>
      <name val="Times New Roman"/>
      <family val="1"/>
      <charset val="238"/>
    </font>
    <font>
      <b/>
      <sz val="7"/>
      <color theme="1"/>
      <name val="Calibri"/>
      <family val="2"/>
      <charset val="238"/>
      <scheme val="minor"/>
    </font>
    <font>
      <u/>
      <sz val="11"/>
      <name val="Calibri"/>
      <family val="2"/>
      <charset val="238"/>
      <scheme val="minor"/>
    </font>
    <font>
      <vertAlign val="superscript"/>
      <sz val="11"/>
      <color theme="1"/>
      <name val="Calibri"/>
      <family val="2"/>
      <charset val="238"/>
      <scheme val="minor"/>
    </font>
    <font>
      <sz val="11"/>
      <color rgb="FF000000"/>
      <name val="Aptos Narrow"/>
      <family val="2"/>
    </font>
    <font>
      <sz val="11"/>
      <color theme="1"/>
      <name val="Aptos Narrow"/>
      <family val="2"/>
    </font>
    <font>
      <b/>
      <sz val="8"/>
      <color theme="1"/>
      <name val="Calibri"/>
      <family val="2"/>
      <scheme val="minor"/>
    </font>
    <font>
      <b/>
      <sz val="7"/>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bgColor indexed="64"/>
      </patternFill>
    </fill>
    <fill>
      <patternFill patternType="solid">
        <fgColor theme="4" tint="0.79998168889431442"/>
        <bgColor indexed="64"/>
      </patternFill>
    </fill>
    <fill>
      <patternFill patternType="solid">
        <fgColor rgb="FF00B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diagonal/>
    </border>
    <border>
      <left/>
      <right style="thin">
        <color indexed="64"/>
      </right>
      <top/>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s>
  <cellStyleXfs count="6">
    <xf numFmtId="0" fontId="0" fillId="0" borderId="0"/>
    <xf numFmtId="9" fontId="22" fillId="0" borderId="0" applyFont="0" applyFill="0" applyBorder="0" applyAlignment="0" applyProtection="0"/>
    <xf numFmtId="0" fontId="25" fillId="0" borderId="0" applyNumberFormat="0" applyFill="0" applyBorder="0" applyAlignment="0" applyProtection="0"/>
    <xf numFmtId="44" fontId="22" fillId="0" borderId="0" applyFont="0" applyFill="0" applyBorder="0" applyAlignment="0" applyProtection="0"/>
    <xf numFmtId="0" fontId="46" fillId="0" borderId="0"/>
    <xf numFmtId="44" fontId="22" fillId="0" borderId="0" applyFont="0" applyFill="0" applyBorder="0" applyAlignment="0" applyProtection="0"/>
  </cellStyleXfs>
  <cellXfs count="363">
    <xf numFmtId="0" fontId="0" fillId="0" borderId="0" xfId="0"/>
    <xf numFmtId="0" fontId="24" fillId="0" borderId="0" xfId="0" applyFont="1"/>
    <xf numFmtId="0" fontId="25" fillId="0" borderId="0" xfId="2" applyAlignment="1">
      <alignment horizontal="justify" vertical="center"/>
    </xf>
    <xf numFmtId="0" fontId="24" fillId="0" borderId="0" xfId="0" applyFont="1" applyAlignment="1">
      <alignment horizontal="justify" vertical="center"/>
    </xf>
    <xf numFmtId="0" fontId="24" fillId="0" borderId="0" xfId="0" applyFont="1" applyAlignment="1">
      <alignment wrapText="1"/>
    </xf>
    <xf numFmtId="0" fontId="25" fillId="0" borderId="0" xfId="2" applyAlignment="1">
      <alignment horizontal="left" vertical="center"/>
    </xf>
    <xf numFmtId="0" fontId="0" fillId="0" borderId="0" xfId="0" applyAlignment="1">
      <alignment wrapText="1"/>
    </xf>
    <xf numFmtId="0" fontId="0" fillId="0" borderId="0" xfId="0" applyAlignment="1">
      <alignment horizontal="left" vertical="center"/>
    </xf>
    <xf numFmtId="0" fontId="26" fillId="0" borderId="0" xfId="0" applyFont="1" applyAlignment="1">
      <alignment horizontal="left" vertical="center"/>
    </xf>
    <xf numFmtId="0" fontId="24" fillId="2" borderId="0" xfId="0" applyFont="1" applyFill="1" applyAlignment="1">
      <alignment horizontal="justify" vertical="center"/>
    </xf>
    <xf numFmtId="0" fontId="24" fillId="3" borderId="0" xfId="0" applyFont="1" applyFill="1" applyAlignment="1">
      <alignment horizontal="justify" vertical="center"/>
    </xf>
    <xf numFmtId="0" fontId="21" fillId="0" borderId="0" xfId="0" applyFont="1"/>
    <xf numFmtId="0" fontId="21" fillId="0" borderId="0" xfId="0" applyFont="1" applyAlignment="1">
      <alignment horizontal="left"/>
    </xf>
    <xf numFmtId="0" fontId="21" fillId="4" borderId="0" xfId="0" applyFont="1" applyFill="1"/>
    <xf numFmtId="0" fontId="21" fillId="0" borderId="0" xfId="0" applyFont="1" applyAlignment="1">
      <alignment horizontal="left" vertical="center" wrapText="1"/>
    </xf>
    <xf numFmtId="0" fontId="21" fillId="0" borderId="0" xfId="0" applyFont="1" applyAlignment="1">
      <alignment horizontal="left" vertical="center"/>
    </xf>
    <xf numFmtId="9" fontId="21" fillId="0" borderId="0" xfId="1" applyFont="1" applyFill="1" applyBorder="1" applyAlignment="1">
      <alignment horizontal="left" vertical="center"/>
    </xf>
    <xf numFmtId="0" fontId="34" fillId="0" borderId="0" xfId="0" applyFont="1" applyAlignment="1">
      <alignment horizontal="left" vertical="center"/>
    </xf>
    <xf numFmtId="0" fontId="21" fillId="4" borderId="0" xfId="0" applyFont="1" applyFill="1" applyAlignment="1">
      <alignment horizontal="left"/>
    </xf>
    <xf numFmtId="9" fontId="0" fillId="0" borderId="5" xfId="1" applyFont="1" applyBorder="1" applyAlignment="1">
      <alignment horizontal="center" vertical="center"/>
    </xf>
    <xf numFmtId="9" fontId="0" fillId="0" borderId="15" xfId="1" applyFont="1" applyBorder="1" applyAlignment="1">
      <alignment horizontal="center" vertical="center"/>
    </xf>
    <xf numFmtId="9" fontId="0" fillId="0" borderId="16" xfId="1" applyFont="1" applyBorder="1" applyAlignment="1">
      <alignment horizontal="center" vertical="center"/>
    </xf>
    <xf numFmtId="9" fontId="0" fillId="0" borderId="17" xfId="1" applyFont="1" applyBorder="1" applyAlignment="1">
      <alignment horizontal="center" vertical="center"/>
    </xf>
    <xf numFmtId="9" fontId="0" fillId="0" borderId="18" xfId="1" applyFont="1" applyBorder="1" applyAlignment="1">
      <alignment horizontal="center" vertical="center"/>
    </xf>
    <xf numFmtId="9" fontId="0" fillId="0" borderId="19" xfId="1" applyFont="1" applyBorder="1" applyAlignment="1">
      <alignment horizontal="center" vertical="center"/>
    </xf>
    <xf numFmtId="9" fontId="0" fillId="0" borderId="10" xfId="1" applyFont="1" applyBorder="1" applyAlignment="1">
      <alignment horizontal="center" vertical="center"/>
    </xf>
    <xf numFmtId="0" fontId="25" fillId="0" borderId="0" xfId="2"/>
    <xf numFmtId="9" fontId="0" fillId="0" borderId="20" xfId="1" applyFont="1" applyBorder="1" applyAlignment="1">
      <alignment horizontal="center" vertical="center"/>
    </xf>
    <xf numFmtId="0" fontId="23" fillId="6" borderId="12" xfId="0" applyFont="1" applyFill="1" applyBorder="1" applyAlignment="1">
      <alignment horizontal="left" vertical="center"/>
    </xf>
    <xf numFmtId="0" fontId="30" fillId="0" borderId="0" xfId="0" applyFont="1" applyProtection="1">
      <protection locked="0"/>
    </xf>
    <xf numFmtId="0" fontId="35" fillId="0" borderId="0" xfId="0" applyFont="1" applyProtection="1">
      <protection locked="0"/>
    </xf>
    <xf numFmtId="0" fontId="35" fillId="0" borderId="8" xfId="0" applyFont="1" applyBorder="1" applyProtection="1">
      <protection locked="0"/>
    </xf>
    <xf numFmtId="0" fontId="35" fillId="0" borderId="9" xfId="0" applyFont="1" applyBorder="1" applyProtection="1">
      <protection locked="0"/>
    </xf>
    <xf numFmtId="0" fontId="29" fillId="0" borderId="0" xfId="0" applyFont="1" applyProtection="1">
      <protection locked="0"/>
    </xf>
    <xf numFmtId="0" fontId="36" fillId="0" borderId="0" xfId="0" applyFont="1" applyProtection="1">
      <protection locked="0"/>
    </xf>
    <xf numFmtId="0" fontId="26" fillId="0" borderId="0" xfId="0" applyFont="1" applyAlignment="1" applyProtection="1">
      <alignment vertical="center" wrapText="1"/>
      <protection locked="0"/>
    </xf>
    <xf numFmtId="0" fontId="37" fillId="4" borderId="0" xfId="0" applyFont="1" applyFill="1" applyProtection="1">
      <protection locked="0"/>
    </xf>
    <xf numFmtId="0" fontId="37" fillId="0" borderId="0" xfId="0" applyFont="1" applyProtection="1">
      <protection locked="0"/>
    </xf>
    <xf numFmtId="0" fontId="40" fillId="0" borderId="0" xfId="0" applyFont="1" applyProtection="1">
      <protection locked="0"/>
    </xf>
    <xf numFmtId="0" fontId="32" fillId="0" borderId="0" xfId="0" applyFont="1" applyProtection="1">
      <protection locked="0"/>
    </xf>
    <xf numFmtId="0" fontId="31" fillId="0" borderId="0" xfId="0" applyFont="1" applyAlignment="1" applyProtection="1">
      <alignment vertical="center" wrapText="1"/>
      <protection locked="0"/>
    </xf>
    <xf numFmtId="0" fontId="28" fillId="0" borderId="0" xfId="0" applyFont="1" applyAlignment="1" applyProtection="1">
      <alignment vertical="center" wrapText="1"/>
      <protection locked="0"/>
    </xf>
    <xf numFmtId="0" fontId="43" fillId="0" borderId="0" xfId="0" applyFont="1" applyProtection="1">
      <protection locked="0"/>
    </xf>
    <xf numFmtId="0" fontId="42" fillId="0" borderId="22" xfId="0" applyFont="1" applyBorder="1" applyProtection="1">
      <protection locked="0"/>
    </xf>
    <xf numFmtId="0" fontId="42" fillId="0" borderId="0" xfId="0" applyFont="1" applyProtection="1">
      <protection locked="0"/>
    </xf>
    <xf numFmtId="0" fontId="44" fillId="0" borderId="22" xfId="0" applyFont="1" applyBorder="1" applyProtection="1">
      <protection locked="0"/>
    </xf>
    <xf numFmtId="0" fontId="45" fillId="0" borderId="0" xfId="0" applyFont="1" applyAlignment="1" applyProtection="1">
      <alignment vertical="center"/>
      <protection locked="0"/>
    </xf>
    <xf numFmtId="0" fontId="47" fillId="0" borderId="0" xfId="0" applyFont="1" applyAlignment="1" applyProtection="1">
      <alignment horizontal="left" vertical="center"/>
      <protection locked="0"/>
    </xf>
    <xf numFmtId="0" fontId="46" fillId="0" borderId="22" xfId="0" applyFont="1" applyBorder="1" applyProtection="1">
      <protection locked="0"/>
    </xf>
    <xf numFmtId="0" fontId="44" fillId="0" borderId="0" xfId="0" applyFont="1" applyProtection="1">
      <protection locked="0"/>
    </xf>
    <xf numFmtId="0" fontId="46" fillId="0" borderId="0" xfId="0" applyFont="1" applyProtection="1">
      <protection locked="0"/>
    </xf>
    <xf numFmtId="0" fontId="19" fillId="0" borderId="0" xfId="0" applyFont="1" applyProtection="1">
      <protection locked="0"/>
    </xf>
    <xf numFmtId="14" fontId="48" fillId="5" borderId="0" xfId="0" applyNumberFormat="1" applyFont="1" applyFill="1" applyAlignment="1" applyProtection="1">
      <alignment vertical="center"/>
      <protection locked="0"/>
    </xf>
    <xf numFmtId="14" fontId="19" fillId="5" borderId="0" xfId="0" applyNumberFormat="1" applyFont="1" applyFill="1" applyAlignment="1" applyProtection="1">
      <alignment vertical="center"/>
      <protection locked="0"/>
    </xf>
    <xf numFmtId="0" fontId="49" fillId="5" borderId="0" xfId="0" applyFont="1" applyFill="1" applyProtection="1">
      <protection locked="0"/>
    </xf>
    <xf numFmtId="0" fontId="20" fillId="0" borderId="14" xfId="0" applyFont="1" applyBorder="1" applyAlignment="1">
      <alignment vertical="center" wrapText="1"/>
    </xf>
    <xf numFmtId="9" fontId="0" fillId="0" borderId="0" xfId="0" applyNumberFormat="1"/>
    <xf numFmtId="9" fontId="0" fillId="0" borderId="0" xfId="1" applyFont="1"/>
    <xf numFmtId="0" fontId="25" fillId="0" borderId="0" xfId="2" applyFill="1" applyBorder="1" applyProtection="1">
      <protection locked="0"/>
    </xf>
    <xf numFmtId="0" fontId="42" fillId="0" borderId="0" xfId="0" applyFont="1" applyAlignment="1" applyProtection="1">
      <alignment horizontal="left" vertical="center"/>
      <protection locked="0"/>
    </xf>
    <xf numFmtId="0" fontId="44"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0" fontId="41" fillId="0" borderId="0" xfId="0" applyFont="1" applyAlignment="1" applyProtection="1">
      <alignment horizontal="right"/>
      <protection locked="0"/>
    </xf>
    <xf numFmtId="0" fontId="46" fillId="0" borderId="22" xfId="0" applyFont="1" applyBorder="1" applyAlignment="1" applyProtection="1">
      <alignment horizontal="left" vertical="center"/>
      <protection locked="0"/>
    </xf>
    <xf numFmtId="0" fontId="25" fillId="0" borderId="0" xfId="2" applyFill="1" applyAlignment="1" applyProtection="1">
      <alignment horizontal="left" vertical="center"/>
      <protection locked="0"/>
    </xf>
    <xf numFmtId="0" fontId="45" fillId="0" borderId="0" xfId="0" applyFont="1" applyAlignment="1" applyProtection="1">
      <alignment horizontal="left" vertical="center"/>
      <protection locked="0"/>
    </xf>
    <xf numFmtId="0" fontId="42" fillId="0" borderId="0" xfId="0" applyFont="1" applyAlignment="1" applyProtection="1">
      <alignment horizontal="center"/>
      <protection locked="0"/>
    </xf>
    <xf numFmtId="9" fontId="42" fillId="0" borderId="0" xfId="1" applyFont="1" applyFill="1" applyProtection="1">
      <protection locked="0"/>
    </xf>
    <xf numFmtId="9" fontId="42" fillId="0" borderId="0" xfId="1" applyFont="1" applyFill="1" applyAlignment="1" applyProtection="1">
      <alignment horizontal="center" vertical="center"/>
      <protection locked="0"/>
    </xf>
    <xf numFmtId="0" fontId="42" fillId="0" borderId="0" xfId="0" applyFont="1" applyAlignment="1" applyProtection="1">
      <alignment horizontal="right"/>
      <protection locked="0"/>
    </xf>
    <xf numFmtId="0" fontId="26" fillId="0" borderId="0" xfId="0" applyFont="1"/>
    <xf numFmtId="0" fontId="35" fillId="0" borderId="1" xfId="0" applyFont="1" applyBorder="1" applyAlignment="1" applyProtection="1">
      <alignment horizontal="center" vertical="center" wrapText="1"/>
      <protection locked="0"/>
    </xf>
    <xf numFmtId="0" fontId="35" fillId="0" borderId="0" xfId="0" applyFont="1" applyAlignment="1" applyProtection="1">
      <alignment horizontal="center" vertical="center" wrapText="1"/>
      <protection locked="0"/>
    </xf>
    <xf numFmtId="2" fontId="54" fillId="0" borderId="0" xfId="0" applyNumberFormat="1" applyFont="1" applyAlignment="1" applyProtection="1">
      <alignment horizontal="center" vertical="center"/>
      <protection locked="0"/>
    </xf>
    <xf numFmtId="0" fontId="54" fillId="0" borderId="0" xfId="0" applyFont="1" applyAlignment="1" applyProtection="1">
      <alignment horizontal="center" vertical="center"/>
      <protection locked="0"/>
    </xf>
    <xf numFmtId="0" fontId="24" fillId="0" borderId="0" xfId="0" applyFont="1" applyAlignment="1" applyProtection="1">
      <alignment horizontal="justify" vertical="center"/>
      <protection locked="0"/>
    </xf>
    <xf numFmtId="0" fontId="25" fillId="0" borderId="0" xfId="2" applyProtection="1">
      <protection locked="0"/>
    </xf>
    <xf numFmtId="0" fontId="33" fillId="0" borderId="0" xfId="0" applyFont="1" applyAlignment="1">
      <alignment vertical="center"/>
    </xf>
    <xf numFmtId="0" fontId="35" fillId="0" borderId="1" xfId="0" applyFont="1" applyBorder="1" applyAlignment="1">
      <alignment horizontal="center" vertical="center" wrapText="1"/>
    </xf>
    <xf numFmtId="0" fontId="51" fillId="0" borderId="0" xfId="0" applyFont="1" applyAlignment="1" applyProtection="1">
      <alignment vertical="center" wrapText="1"/>
      <protection locked="0"/>
    </xf>
    <xf numFmtId="0" fontId="42" fillId="0" borderId="0" xfId="0" applyFont="1" applyAlignment="1" applyProtection="1">
      <alignment horizontal="left"/>
      <protection locked="0"/>
    </xf>
    <xf numFmtId="0" fontId="23" fillId="6" borderId="22" xfId="0" applyFont="1" applyFill="1" applyBorder="1" applyAlignment="1">
      <alignment horizontal="center" vertical="center"/>
    </xf>
    <xf numFmtId="0" fontId="23" fillId="6" borderId="23" xfId="0" applyFont="1" applyFill="1" applyBorder="1" applyAlignment="1">
      <alignment horizontal="center" vertical="center"/>
    </xf>
    <xf numFmtId="0" fontId="49" fillId="0" borderId="0" xfId="0" applyFont="1" applyAlignment="1" applyProtection="1">
      <alignment wrapText="1"/>
      <protection locked="0"/>
    </xf>
    <xf numFmtId="0" fontId="26" fillId="0" borderId="0" xfId="0" applyFont="1" applyAlignment="1" applyProtection="1">
      <alignment horizontal="left" vertical="center" wrapText="1"/>
      <protection locked="0"/>
    </xf>
    <xf numFmtId="0" fontId="55" fillId="0" borderId="0" xfId="0" applyFont="1" applyAlignment="1" applyProtection="1">
      <alignment vertical="center" wrapText="1"/>
      <protection locked="0"/>
    </xf>
    <xf numFmtId="0" fontId="23" fillId="5" borderId="0" xfId="0" applyFont="1" applyFill="1" applyAlignment="1" applyProtection="1">
      <alignment horizontal="left"/>
      <protection locked="0"/>
    </xf>
    <xf numFmtId="0" fontId="56" fillId="5" borderId="0" xfId="0" applyFont="1" applyFill="1" applyProtection="1">
      <protection locked="0"/>
    </xf>
    <xf numFmtId="0" fontId="30" fillId="0" borderId="0" xfId="0" applyFont="1"/>
    <xf numFmtId="0" fontId="19" fillId="0" borderId="0" xfId="0" applyFont="1"/>
    <xf numFmtId="0" fontId="23" fillId="0" borderId="0" xfId="0" applyFont="1" applyAlignment="1">
      <alignment horizontal="center" vertical="center"/>
    </xf>
    <xf numFmtId="0" fontId="23" fillId="0" borderId="0" xfId="0" applyFont="1"/>
    <xf numFmtId="0" fontId="49" fillId="5" borderId="0" xfId="0" applyFont="1" applyFill="1"/>
    <xf numFmtId="0" fontId="49" fillId="0" borderId="0" xfId="0" applyFont="1" applyAlignment="1">
      <alignment wrapText="1"/>
    </xf>
    <xf numFmtId="0" fontId="49" fillId="0" borderId="0" xfId="0" applyFont="1"/>
    <xf numFmtId="0" fontId="57" fillId="0" borderId="0" xfId="0" applyFont="1" applyAlignment="1">
      <alignment horizontal="justify" vertical="center"/>
    </xf>
    <xf numFmtId="0" fontId="58" fillId="0" borderId="0" xfId="0" applyFont="1" applyAlignment="1">
      <alignment horizontal="justify" vertical="center"/>
    </xf>
    <xf numFmtId="0" fontId="59" fillId="0" borderId="0" xfId="0" applyFont="1"/>
    <xf numFmtId="0" fontId="0" fillId="0" borderId="0" xfId="0" applyAlignment="1">
      <alignment horizontal="center" vertical="center" wrapText="1"/>
    </xf>
    <xf numFmtId="166" fontId="0" fillId="0" borderId="0" xfId="0" applyNumberFormat="1"/>
    <xf numFmtId="0" fontId="59" fillId="0" borderId="0" xfId="0" applyFont="1" applyAlignment="1">
      <alignment vertical="center"/>
    </xf>
    <xf numFmtId="0" fontId="42" fillId="0" borderId="0" xfId="0" applyFont="1" applyAlignment="1" applyProtection="1">
      <alignment horizontal="left" vertical="center" wrapText="1"/>
      <protection locked="0"/>
    </xf>
    <xf numFmtId="0" fontId="24" fillId="7" borderId="0" xfId="0" applyFont="1" applyFill="1" applyAlignment="1">
      <alignment horizontal="justify" vertical="center" wrapText="1"/>
    </xf>
    <xf numFmtId="0" fontId="0" fillId="7" borderId="0" xfId="0" applyFill="1" applyAlignment="1">
      <alignment horizontal="left" vertical="center"/>
    </xf>
    <xf numFmtId="0" fontId="24" fillId="7" borderId="0" xfId="0" applyFont="1" applyFill="1" applyAlignment="1">
      <alignment horizontal="justify" vertical="center"/>
    </xf>
    <xf numFmtId="0" fontId="24" fillId="7" borderId="0" xfId="0" applyFont="1" applyFill="1" applyAlignment="1">
      <alignment horizontal="left" vertical="center" wrapText="1"/>
    </xf>
    <xf numFmtId="0" fontId="58" fillId="7" borderId="0" xfId="0" applyFont="1" applyFill="1" applyAlignment="1">
      <alignment wrapText="1"/>
    </xf>
    <xf numFmtId="0" fontId="0" fillId="0" borderId="1" xfId="0" applyBorder="1" applyAlignment="1">
      <alignment horizontal="left" vertical="center"/>
    </xf>
    <xf numFmtId="0" fontId="0" fillId="0" borderId="1" xfId="0" applyBorder="1"/>
    <xf numFmtId="0" fontId="33" fillId="0" borderId="1" xfId="0" applyFont="1" applyBorder="1" applyAlignment="1">
      <alignment vertical="center"/>
    </xf>
    <xf numFmtId="0" fontId="33" fillId="0" borderId="1" xfId="0" applyFont="1" applyBorder="1" applyAlignment="1">
      <alignment horizontal="center" vertical="center"/>
    </xf>
    <xf numFmtId="0" fontId="0" fillId="0" borderId="1" xfId="0" applyBorder="1" applyAlignment="1">
      <alignment wrapText="1"/>
    </xf>
    <xf numFmtId="0" fontId="0" fillId="0" borderId="0" xfId="0" applyAlignment="1">
      <alignment horizontal="left" vertical="center" wrapText="1"/>
    </xf>
    <xf numFmtId="0" fontId="62" fillId="0" borderId="0" xfId="0" applyFont="1" applyAlignment="1">
      <alignment horizontal="justify" vertical="center"/>
    </xf>
    <xf numFmtId="0" fontId="61" fillId="0" borderId="0" xfId="0" applyFont="1" applyAlignment="1">
      <alignment horizontal="justify" vertical="center"/>
    </xf>
    <xf numFmtId="0" fontId="58" fillId="0" borderId="0" xfId="0" applyFont="1" applyAlignment="1">
      <alignment horizontal="left" wrapText="1"/>
    </xf>
    <xf numFmtId="0" fontId="23" fillId="0" borderId="0" xfId="0" applyFont="1" applyAlignment="1">
      <alignment wrapText="1"/>
    </xf>
    <xf numFmtId="0" fontId="10" fillId="0" borderId="0" xfId="0" applyFont="1" applyAlignment="1">
      <alignment horizontal="justify" vertical="center"/>
    </xf>
    <xf numFmtId="0" fontId="0" fillId="7" borderId="1" xfId="0" applyFill="1" applyBorder="1" applyAlignment="1">
      <alignment wrapText="1"/>
    </xf>
    <xf numFmtId="0" fontId="58" fillId="0" borderId="0" xfId="0" applyFont="1" applyAlignment="1">
      <alignment horizontal="left" vertical="center" wrapText="1"/>
    </xf>
    <xf numFmtId="0" fontId="0" fillId="2" borderId="1" xfId="0" applyFill="1" applyBorder="1" applyAlignment="1">
      <alignment wrapText="1"/>
    </xf>
    <xf numFmtId="0" fontId="58" fillId="0" borderId="0" xfId="0" applyFont="1" applyAlignment="1">
      <alignment wrapText="1"/>
    </xf>
    <xf numFmtId="0" fontId="42" fillId="0" borderId="0" xfId="0" applyFont="1" applyAlignment="1" applyProtection="1">
      <alignment wrapText="1"/>
      <protection locked="0"/>
    </xf>
    <xf numFmtId="0" fontId="35" fillId="0" borderId="0" xfId="0" applyFont="1" applyAlignment="1" applyProtection="1">
      <alignment wrapText="1"/>
      <protection locked="0"/>
    </xf>
    <xf numFmtId="0" fontId="30" fillId="0" borderId="0" xfId="0" applyFont="1" applyAlignment="1" applyProtection="1">
      <alignment wrapText="1"/>
      <protection locked="0"/>
    </xf>
    <xf numFmtId="1" fontId="31" fillId="0" borderId="0" xfId="0" applyNumberFormat="1" applyFont="1" applyAlignment="1" applyProtection="1">
      <alignment vertical="center" wrapText="1"/>
      <protection locked="0"/>
    </xf>
    <xf numFmtId="0" fontId="53" fillId="0" borderId="1" xfId="0" applyFont="1" applyBorder="1" applyAlignment="1" applyProtection="1">
      <alignment vertical="center" wrapText="1"/>
      <protection locked="0"/>
    </xf>
    <xf numFmtId="0" fontId="58" fillId="0" borderId="0" xfId="0" applyFont="1"/>
    <xf numFmtId="0" fontId="67" fillId="0" borderId="0" xfId="0" applyFont="1" applyAlignment="1">
      <alignment horizontal="left" vertical="center"/>
    </xf>
    <xf numFmtId="0" fontId="0" fillId="0" borderId="0" xfId="0" applyAlignment="1">
      <alignment vertical="center" wrapText="1"/>
    </xf>
    <xf numFmtId="0" fontId="23" fillId="0" borderId="0" xfId="0" applyFont="1" applyAlignment="1">
      <alignment horizontal="left" vertical="center" wrapText="1"/>
    </xf>
    <xf numFmtId="0" fontId="68" fillId="0" borderId="0" xfId="0" applyFont="1" applyAlignment="1">
      <alignment horizontal="left" vertical="center" wrapText="1"/>
    </xf>
    <xf numFmtId="0" fontId="52" fillId="0" borderId="0" xfId="0" applyFont="1" applyAlignment="1" applyProtection="1">
      <alignment vertical="center" wrapText="1"/>
      <protection locked="0"/>
    </xf>
    <xf numFmtId="0" fontId="25" fillId="0" borderId="0" xfId="2" applyFill="1" applyBorder="1" applyAlignment="1" applyProtection="1">
      <alignment wrapText="1"/>
      <protection locked="0"/>
    </xf>
    <xf numFmtId="0" fontId="53" fillId="0" borderId="11" xfId="0" applyFont="1" applyBorder="1" applyAlignment="1" applyProtection="1">
      <alignment vertical="center" wrapText="1"/>
      <protection locked="0"/>
    </xf>
    <xf numFmtId="0" fontId="0" fillId="2" borderId="0" xfId="0" applyFill="1" applyAlignment="1">
      <alignment horizontal="left" vertical="center" wrapText="1"/>
    </xf>
    <xf numFmtId="0" fontId="0" fillId="2" borderId="0" xfId="0" applyFill="1" applyAlignment="1">
      <alignment vertical="center" wrapText="1"/>
    </xf>
    <xf numFmtId="0" fontId="23" fillId="6" borderId="24" xfId="0" applyFont="1" applyFill="1" applyBorder="1" applyAlignment="1">
      <alignment horizontal="center" vertical="center"/>
    </xf>
    <xf numFmtId="0" fontId="23" fillId="6" borderId="7" xfId="0" applyFont="1" applyFill="1" applyBorder="1" applyAlignment="1">
      <alignment horizontal="center" vertical="center"/>
    </xf>
    <xf numFmtId="0" fontId="2" fillId="0" borderId="0" xfId="0" applyFont="1" applyAlignment="1">
      <alignment horizontal="justify" vertical="center"/>
    </xf>
    <xf numFmtId="0" fontId="2" fillId="0" borderId="14"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3" fillId="6" borderId="14" xfId="0" applyFont="1" applyFill="1" applyBorder="1" applyAlignment="1">
      <alignment horizontal="center" vertical="center"/>
    </xf>
    <xf numFmtId="0" fontId="23" fillId="6" borderId="8" xfId="0" applyFont="1" applyFill="1" applyBorder="1" applyAlignment="1">
      <alignment horizontal="center" vertical="center"/>
    </xf>
    <xf numFmtId="0" fontId="23" fillId="6" borderId="13" xfId="0" applyFont="1" applyFill="1" applyBorder="1" applyAlignment="1">
      <alignment horizontal="center" vertical="center"/>
    </xf>
    <xf numFmtId="0" fontId="23" fillId="6" borderId="21" xfId="0" applyFont="1" applyFill="1" applyBorder="1" applyAlignment="1">
      <alignment horizontal="center" vertical="center"/>
    </xf>
    <xf numFmtId="0" fontId="23" fillId="6" borderId="22" xfId="0" applyFont="1" applyFill="1" applyBorder="1" applyAlignment="1">
      <alignment horizontal="center" vertical="center"/>
    </xf>
    <xf numFmtId="0" fontId="23" fillId="6" borderId="23" xfId="0" applyFont="1" applyFill="1" applyBorder="1" applyAlignment="1">
      <alignment horizontal="center" vertical="center"/>
    </xf>
    <xf numFmtId="0" fontId="52" fillId="0" borderId="0" xfId="0" applyFont="1" applyAlignment="1">
      <alignment horizontal="left" vertical="center" wrapText="1"/>
    </xf>
    <xf numFmtId="0" fontId="38" fillId="4" borderId="0" xfId="0" applyFont="1" applyFill="1" applyAlignment="1" applyProtection="1">
      <alignment horizontal="left" vertical="center" wrapText="1"/>
      <protection locked="0"/>
    </xf>
    <xf numFmtId="0" fontId="23" fillId="0" borderId="0" xfId="0" applyFont="1" applyAlignment="1">
      <alignment horizontal="left" vertical="center" wrapText="1"/>
    </xf>
    <xf numFmtId="0" fontId="23" fillId="0" borderId="0" xfId="0" applyFont="1" applyAlignment="1" applyProtection="1">
      <alignment horizontal="center" vertical="center" wrapText="1"/>
      <protection locked="0"/>
    </xf>
    <xf numFmtId="0" fontId="4" fillId="0" borderId="0" xfId="0" applyFont="1" applyAlignment="1">
      <alignment horizontal="left" vertical="center" wrapText="1"/>
    </xf>
    <xf numFmtId="0" fontId="7" fillId="0" borderId="0" xfId="0" applyFont="1" applyAlignment="1" applyProtection="1">
      <alignment horizontal="left" vertical="center"/>
      <protection locked="0"/>
    </xf>
    <xf numFmtId="49" fontId="2" fillId="0" borderId="1" xfId="0" applyNumberFormat="1" applyFont="1" applyBorder="1" applyAlignment="1" applyProtection="1">
      <alignment horizontal="left" vertical="center" wrapText="1"/>
      <protection locked="0"/>
    </xf>
    <xf numFmtId="49" fontId="10" fillId="0" borderId="1" xfId="0" applyNumberFormat="1" applyFont="1" applyBorder="1" applyAlignment="1" applyProtection="1">
      <alignment horizontal="left" vertical="center" wrapText="1"/>
      <protection locked="0"/>
    </xf>
    <xf numFmtId="49" fontId="7" fillId="0" borderId="1" xfId="0" applyNumberFormat="1" applyFont="1" applyBorder="1" applyAlignment="1" applyProtection="1">
      <alignment horizontal="center" wrapText="1"/>
      <protection locked="0"/>
    </xf>
    <xf numFmtId="49" fontId="10" fillId="0" borderId="1" xfId="0" applyNumberFormat="1" applyFont="1" applyBorder="1" applyAlignment="1" applyProtection="1">
      <alignment horizontal="center" wrapText="1"/>
      <protection locked="0"/>
    </xf>
    <xf numFmtId="4" fontId="53" fillId="2" borderId="0" xfId="1" applyNumberFormat="1" applyFont="1" applyFill="1" applyBorder="1" applyAlignment="1" applyProtection="1">
      <alignment horizontal="center" vertical="center"/>
    </xf>
    <xf numFmtId="49" fontId="53" fillId="0" borderId="3" xfId="1" applyNumberFormat="1" applyFont="1" applyBorder="1" applyAlignment="1" applyProtection="1">
      <alignment horizontal="center" vertical="center" wrapText="1"/>
      <protection locked="0"/>
    </xf>
    <xf numFmtId="49" fontId="53" fillId="0" borderId="4" xfId="1" applyNumberFormat="1" applyFont="1" applyBorder="1" applyAlignment="1" applyProtection="1">
      <alignment horizontal="center" vertical="center" wrapText="1"/>
      <protection locked="0"/>
    </xf>
    <xf numFmtId="49" fontId="53" fillId="0" borderId="5" xfId="1" applyNumberFormat="1" applyFont="1" applyBorder="1" applyAlignment="1" applyProtection="1">
      <alignment horizontal="center" vertical="center" wrapText="1"/>
      <protection locked="0"/>
    </xf>
    <xf numFmtId="44" fontId="53" fillId="0" borderId="3" xfId="3" applyFont="1" applyBorder="1" applyAlignment="1" applyProtection="1">
      <alignment horizontal="center" vertical="center" wrapText="1"/>
      <protection locked="0"/>
    </xf>
    <xf numFmtId="44" fontId="53" fillId="0" borderId="4" xfId="3" applyFont="1" applyBorder="1" applyAlignment="1" applyProtection="1">
      <alignment horizontal="center" vertical="center" wrapText="1"/>
      <protection locked="0"/>
    </xf>
    <xf numFmtId="4" fontId="53" fillId="2" borderId="3" xfId="1" applyNumberFormat="1" applyFont="1" applyFill="1" applyBorder="1" applyAlignment="1" applyProtection="1">
      <alignment horizontal="center" vertical="center"/>
    </xf>
    <xf numFmtId="4" fontId="53" fillId="2" borderId="5" xfId="1" applyNumberFormat="1" applyFont="1" applyFill="1" applyBorder="1" applyAlignment="1" applyProtection="1">
      <alignment horizontal="center" vertical="center"/>
    </xf>
    <xf numFmtId="10" fontId="53" fillId="0" borderId="3" xfId="1" applyNumberFormat="1" applyFont="1" applyBorder="1" applyAlignment="1" applyProtection="1">
      <alignment horizontal="center" vertical="center"/>
      <protection locked="0"/>
    </xf>
    <xf numFmtId="10" fontId="53" fillId="0" borderId="4" xfId="1" applyNumberFormat="1" applyFont="1" applyBorder="1" applyAlignment="1" applyProtection="1">
      <alignment horizontal="center" vertical="center"/>
      <protection locked="0"/>
    </xf>
    <xf numFmtId="10" fontId="53" fillId="0" borderId="5" xfId="1" applyNumberFormat="1" applyFont="1" applyBorder="1" applyAlignment="1" applyProtection="1">
      <alignment horizontal="center" vertical="center"/>
      <protection locked="0"/>
    </xf>
    <xf numFmtId="49" fontId="65" fillId="0" borderId="3" xfId="1" applyNumberFormat="1" applyFont="1" applyBorder="1" applyAlignment="1" applyProtection="1">
      <alignment horizontal="center" vertical="center" wrapText="1"/>
      <protection locked="0"/>
    </xf>
    <xf numFmtId="49" fontId="65" fillId="0" borderId="4" xfId="1" applyNumberFormat="1" applyFont="1" applyBorder="1" applyAlignment="1" applyProtection="1">
      <alignment horizontal="center" vertical="center" wrapText="1"/>
      <protection locked="0"/>
    </xf>
    <xf numFmtId="49" fontId="65" fillId="0" borderId="5" xfId="1" applyNumberFormat="1" applyFont="1" applyBorder="1" applyAlignment="1" applyProtection="1">
      <alignment horizontal="center" vertical="center" wrapText="1"/>
      <protection locked="0"/>
    </xf>
    <xf numFmtId="4" fontId="53" fillId="2" borderId="4" xfId="1" applyNumberFormat="1" applyFont="1" applyFill="1" applyBorder="1" applyAlignment="1" applyProtection="1">
      <alignment horizontal="center" vertical="center"/>
    </xf>
    <xf numFmtId="10" fontId="60" fillId="0" borderId="4" xfId="1" applyNumberFormat="1" applyFont="1" applyFill="1" applyBorder="1" applyAlignment="1" applyProtection="1">
      <alignment horizontal="center" vertical="center"/>
      <protection locked="0"/>
    </xf>
    <xf numFmtId="10" fontId="60" fillId="0" borderId="5" xfId="1" applyNumberFormat="1" applyFont="1" applyFill="1" applyBorder="1" applyAlignment="1" applyProtection="1">
      <alignment horizontal="center" vertical="center"/>
      <protection locked="0"/>
    </xf>
    <xf numFmtId="9" fontId="53" fillId="0" borderId="3" xfId="1" applyFont="1" applyBorder="1" applyAlignment="1" applyProtection="1">
      <alignment horizontal="center" vertical="center" wrapText="1"/>
      <protection locked="0"/>
    </xf>
    <xf numFmtId="9" fontId="53" fillId="0" borderId="4" xfId="1" applyFont="1" applyBorder="1" applyAlignment="1" applyProtection="1">
      <alignment horizontal="center" vertical="center" wrapText="1"/>
      <protection locked="0"/>
    </xf>
    <xf numFmtId="4" fontId="54" fillId="2" borderId="1" xfId="0" applyNumberFormat="1" applyFont="1" applyFill="1" applyBorder="1" applyAlignment="1">
      <alignment horizontal="center" vertical="center"/>
    </xf>
    <xf numFmtId="0" fontId="35" fillId="0" borderId="2" xfId="0" applyFont="1" applyBorder="1" applyAlignment="1">
      <alignment horizontal="left" vertical="center" wrapText="1"/>
    </xf>
    <xf numFmtId="0" fontId="54" fillId="0" borderId="0" xfId="0" applyFont="1" applyAlignment="1">
      <alignment horizontal="center" vertical="center" wrapText="1"/>
    </xf>
    <xf numFmtId="0" fontId="47" fillId="0" borderId="0" xfId="0" applyFont="1" applyAlignment="1" applyProtection="1">
      <alignment horizontal="left" vertical="center" wrapText="1"/>
      <protection locked="0"/>
    </xf>
    <xf numFmtId="0" fontId="47" fillId="0" borderId="0" xfId="0" applyFont="1" applyAlignment="1" applyProtection="1">
      <alignment horizontal="left" vertical="center"/>
      <protection locked="0"/>
    </xf>
    <xf numFmtId="0" fontId="51" fillId="0" borderId="0" xfId="0" applyFont="1" applyAlignment="1">
      <alignment horizontal="left" vertical="center" wrapText="1"/>
    </xf>
    <xf numFmtId="0" fontId="52" fillId="0" borderId="0" xfId="0" applyFont="1" applyAlignment="1" applyProtection="1">
      <alignment horizontal="left" vertical="center" wrapText="1"/>
      <protection locked="0"/>
    </xf>
    <xf numFmtId="0" fontId="51" fillId="0" borderId="2" xfId="0" applyFont="1" applyBorder="1" applyAlignment="1">
      <alignment horizontal="left" vertical="center" wrapText="1"/>
    </xf>
    <xf numFmtId="0" fontId="51" fillId="0" borderId="0" xfId="0" applyFont="1" applyAlignment="1" applyProtection="1">
      <alignment horizontal="center" vertical="center" wrapText="1"/>
      <protection locked="0"/>
    </xf>
    <xf numFmtId="0" fontId="54" fillId="0" borderId="1" xfId="0" applyFont="1" applyBorder="1" applyAlignment="1" applyProtection="1">
      <alignment horizontal="center" vertical="center"/>
      <protection locked="0"/>
    </xf>
    <xf numFmtId="10" fontId="53" fillId="0" borderId="0" xfId="1" applyNumberFormat="1" applyFont="1" applyFill="1" applyBorder="1" applyAlignment="1" applyProtection="1">
      <alignment horizontal="center" vertical="center"/>
      <protection locked="0"/>
    </xf>
    <xf numFmtId="10" fontId="53" fillId="0" borderId="1" xfId="1" applyNumberFormat="1" applyFont="1" applyBorder="1" applyAlignment="1" applyProtection="1">
      <alignment horizontal="center" vertical="center"/>
      <protection locked="0"/>
    </xf>
    <xf numFmtId="4" fontId="53" fillId="2" borderId="1" xfId="1" applyNumberFormat="1" applyFont="1" applyFill="1" applyBorder="1" applyAlignment="1" applyProtection="1">
      <alignment horizontal="center" vertical="center"/>
    </xf>
    <xf numFmtId="0" fontId="63" fillId="0" borderId="2" xfId="0" applyFont="1" applyBorder="1" applyAlignment="1" applyProtection="1">
      <alignment horizontal="left" vertical="center" wrapText="1"/>
      <protection locked="0"/>
    </xf>
    <xf numFmtId="0" fontId="63" fillId="0" borderId="0" xfId="0" applyFont="1" applyAlignment="1" applyProtection="1">
      <alignment horizontal="left" vertical="center" wrapText="1"/>
      <protection locked="0"/>
    </xf>
    <xf numFmtId="0" fontId="53" fillId="0" borderId="3" xfId="0" applyFont="1" applyBorder="1" applyAlignment="1" applyProtection="1">
      <alignment horizontal="center" vertical="center" wrapText="1"/>
      <protection locked="0"/>
    </xf>
    <xf numFmtId="0" fontId="53" fillId="0" borderId="4" xfId="0" applyFont="1" applyBorder="1" applyAlignment="1" applyProtection="1">
      <alignment horizontal="center" vertical="center" wrapText="1"/>
      <protection locked="0"/>
    </xf>
    <xf numFmtId="0" fontId="52" fillId="0" borderId="1" xfId="0" applyFont="1" applyBorder="1" applyAlignment="1">
      <alignment horizontal="right" wrapText="1"/>
    </xf>
    <xf numFmtId="49" fontId="5" fillId="0" borderId="3" xfId="0" applyNumberFormat="1" applyFont="1" applyBorder="1" applyAlignment="1" applyProtection="1">
      <alignment horizontal="left" vertical="center" wrapText="1"/>
      <protection locked="0"/>
    </xf>
    <xf numFmtId="49" fontId="10" fillId="0" borderId="4" xfId="0" applyNumberFormat="1" applyFont="1" applyBorder="1" applyAlignment="1" applyProtection="1">
      <alignment horizontal="left" vertical="center" wrapText="1"/>
      <protection locked="0"/>
    </xf>
    <xf numFmtId="49" fontId="10" fillId="0" borderId="5" xfId="0" applyNumberFormat="1" applyFont="1" applyBorder="1" applyAlignment="1" applyProtection="1">
      <alignment horizontal="left" vertical="center" wrapText="1"/>
      <protection locked="0"/>
    </xf>
    <xf numFmtId="49" fontId="7" fillId="0" borderId="3" xfId="0" applyNumberFormat="1" applyFont="1" applyBorder="1" applyAlignment="1" applyProtection="1">
      <alignment horizontal="center" wrapText="1"/>
      <protection locked="0"/>
    </xf>
    <xf numFmtId="49" fontId="7" fillId="0" borderId="4" xfId="0" applyNumberFormat="1" applyFont="1" applyBorder="1" applyAlignment="1" applyProtection="1">
      <alignment horizontal="center" wrapText="1"/>
      <protection locked="0"/>
    </xf>
    <xf numFmtId="49" fontId="7" fillId="0" borderId="5" xfId="0" applyNumberFormat="1" applyFont="1" applyBorder="1" applyAlignment="1" applyProtection="1">
      <alignment horizontal="center" wrapText="1"/>
      <protection locked="0"/>
    </xf>
    <xf numFmtId="0" fontId="23" fillId="0" borderId="3" xfId="0" applyFont="1" applyBorder="1" applyAlignment="1" applyProtection="1">
      <alignment horizontal="center" vertical="center"/>
      <protection locked="0"/>
    </xf>
    <xf numFmtId="0" fontId="23" fillId="0" borderId="4" xfId="0" applyFont="1" applyBorder="1" applyAlignment="1" applyProtection="1">
      <alignment horizontal="center" vertical="center"/>
      <protection locked="0"/>
    </xf>
    <xf numFmtId="0" fontId="23" fillId="0" borderId="5" xfId="0" applyFont="1" applyBorder="1" applyAlignment="1" applyProtection="1">
      <alignment horizontal="center" vertical="center"/>
      <protection locked="0"/>
    </xf>
    <xf numFmtId="0" fontId="6" fillId="0" borderId="1" xfId="0" applyFont="1" applyBorder="1" applyAlignment="1">
      <alignment horizontal="center" vertical="center" wrapText="1"/>
    </xf>
    <xf numFmtId="49" fontId="10" fillId="0" borderId="1" xfId="0" applyNumberFormat="1" applyFont="1" applyBorder="1" applyAlignment="1" applyProtection="1">
      <alignment wrapText="1"/>
      <protection locked="0"/>
    </xf>
    <xf numFmtId="49" fontId="10" fillId="0" borderId="27" xfId="0" applyNumberFormat="1" applyFont="1" applyBorder="1" applyAlignment="1" applyProtection="1">
      <alignment horizontal="left" wrapText="1"/>
      <protection locked="0"/>
    </xf>
    <xf numFmtId="10" fontId="19" fillId="2" borderId="1" xfId="1" applyNumberFormat="1" applyFont="1" applyFill="1" applyBorder="1" applyAlignment="1" applyProtection="1">
      <alignment horizontal="center"/>
    </xf>
    <xf numFmtId="165" fontId="19" fillId="0" borderId="1" xfId="0" applyNumberFormat="1" applyFont="1" applyBorder="1" applyAlignment="1" applyProtection="1">
      <alignment horizontal="center"/>
      <protection locked="0"/>
    </xf>
    <xf numFmtId="165" fontId="19" fillId="2" borderId="1" xfId="0" applyNumberFormat="1" applyFont="1" applyFill="1" applyBorder="1" applyAlignment="1">
      <alignment horizontal="center"/>
    </xf>
    <xf numFmtId="167" fontId="18" fillId="0" borderId="0" xfId="0" applyNumberFormat="1" applyFont="1" applyAlignment="1" applyProtection="1">
      <alignment horizontal="left" vertical="center"/>
      <protection locked="0"/>
    </xf>
    <xf numFmtId="0" fontId="39" fillId="0" borderId="0" xfId="0" applyFont="1" applyAlignment="1" applyProtection="1">
      <alignment horizontal="left" vertical="center" wrapText="1"/>
      <protection locked="0"/>
    </xf>
    <xf numFmtId="0" fontId="53" fillId="0" borderId="1" xfId="0" applyFont="1" applyBorder="1" applyAlignment="1">
      <alignment horizontal="center" vertical="center" wrapText="1"/>
    </xf>
    <xf numFmtId="49" fontId="23" fillId="0" borderId="3" xfId="0" applyNumberFormat="1" applyFont="1" applyBorder="1" applyAlignment="1" applyProtection="1">
      <alignment horizontal="center" vertical="center"/>
      <protection locked="0"/>
    </xf>
    <xf numFmtId="49" fontId="23" fillId="0" borderId="4" xfId="0" applyNumberFormat="1" applyFont="1" applyBorder="1" applyAlignment="1" applyProtection="1">
      <alignment horizontal="center" vertical="center"/>
      <protection locked="0"/>
    </xf>
    <xf numFmtId="0" fontId="52" fillId="0" borderId="0" xfId="0" applyFont="1" applyAlignment="1">
      <alignment horizontal="left" vertical="center"/>
    </xf>
    <xf numFmtId="0" fontId="10" fillId="0" borderId="0" xfId="0" applyFont="1" applyAlignment="1">
      <alignment horizontal="center" vertical="center"/>
    </xf>
    <xf numFmtId="49" fontId="10" fillId="0" borderId="1" xfId="0" applyNumberFormat="1" applyFont="1" applyBorder="1" applyAlignment="1" applyProtection="1">
      <alignment horizontal="left" wrapText="1"/>
      <protection locked="0"/>
    </xf>
    <xf numFmtId="0" fontId="2" fillId="0" borderId="3" xfId="0" applyFont="1" applyBorder="1" applyAlignment="1" applyProtection="1">
      <alignment horizontal="left" vertical="center" wrapText="1"/>
      <protection locked="0"/>
    </xf>
    <xf numFmtId="0" fontId="19" fillId="0" borderId="4" xfId="0" applyFont="1" applyBorder="1" applyAlignment="1" applyProtection="1">
      <alignment horizontal="left" vertical="center" wrapText="1"/>
      <protection locked="0"/>
    </xf>
    <xf numFmtId="0" fontId="19" fillId="0" borderId="5" xfId="0" applyFont="1" applyBorder="1" applyAlignment="1" applyProtection="1">
      <alignment horizontal="left" vertical="center" wrapText="1"/>
      <protection locked="0"/>
    </xf>
    <xf numFmtId="0" fontId="23" fillId="0" borderId="1" xfId="0" applyFont="1" applyBorder="1" applyAlignment="1" applyProtection="1">
      <alignment horizontal="center" vertical="center"/>
      <protection locked="0"/>
    </xf>
    <xf numFmtId="49" fontId="2" fillId="0" borderId="1" xfId="0" applyNumberFormat="1" applyFont="1" applyBorder="1" applyAlignment="1" applyProtection="1">
      <alignment horizontal="left" wrapText="1"/>
      <protection locked="0"/>
    </xf>
    <xf numFmtId="0" fontId="51" fillId="0" borderId="3" xfId="0" applyFont="1" applyBorder="1" applyAlignment="1">
      <alignment horizontal="center" vertical="center" wrapText="1"/>
    </xf>
    <xf numFmtId="0" fontId="51" fillId="0" borderId="4" xfId="0" applyFont="1" applyBorder="1" applyAlignment="1">
      <alignment horizontal="center" vertical="center" wrapText="1"/>
    </xf>
    <xf numFmtId="0" fontId="51" fillId="0" borderId="5" xfId="0" applyFont="1" applyBorder="1" applyAlignment="1">
      <alignment horizontal="center" vertical="center" wrapText="1"/>
    </xf>
    <xf numFmtId="1" fontId="23" fillId="0" borderId="0" xfId="0" applyNumberFormat="1" applyFont="1" applyAlignment="1" applyProtection="1">
      <alignment horizontal="center" vertical="center"/>
      <protection locked="0"/>
    </xf>
    <xf numFmtId="14" fontId="7" fillId="0" borderId="0" xfId="0" applyNumberFormat="1" applyFont="1" applyAlignment="1" applyProtection="1">
      <alignment horizontal="center" wrapText="1"/>
      <protection locked="0"/>
    </xf>
    <xf numFmtId="14" fontId="10" fillId="0" borderId="0" xfId="0" applyNumberFormat="1" applyFont="1" applyAlignment="1" applyProtection="1">
      <alignment horizontal="center" wrapText="1"/>
      <protection locked="0"/>
    </xf>
    <xf numFmtId="0" fontId="11" fillId="0" borderId="0" xfId="0" applyFont="1" applyAlignment="1" applyProtection="1">
      <alignment horizontal="left" vertical="center" wrapText="1"/>
      <protection locked="0"/>
    </xf>
    <xf numFmtId="0" fontId="5" fillId="0" borderId="0" xfId="0" applyFont="1" applyAlignment="1">
      <alignment horizontal="center" vertical="center"/>
    </xf>
    <xf numFmtId="0" fontId="19" fillId="0" borderId="0" xfId="0" applyFont="1" applyAlignment="1">
      <alignment horizontal="center" vertical="center"/>
    </xf>
    <xf numFmtId="0" fontId="5" fillId="0" borderId="0" xfId="0" applyFont="1" applyAlignment="1">
      <alignment horizontal="left" vertical="center"/>
    </xf>
    <xf numFmtId="0" fontId="10" fillId="0" borderId="0" xfId="0" applyFont="1" applyAlignment="1">
      <alignment horizontal="left" vertical="center"/>
    </xf>
    <xf numFmtId="0" fontId="19" fillId="0" borderId="0" xfId="0" applyFont="1" applyAlignment="1">
      <alignment horizontal="left" vertical="center"/>
    </xf>
    <xf numFmtId="0" fontId="15" fillId="0" borderId="0" xfId="0" applyFont="1" applyAlignment="1">
      <alignment horizontal="left" vertical="center"/>
    </xf>
    <xf numFmtId="0" fontId="5" fillId="0" borderId="0" xfId="0" applyFont="1" applyAlignment="1" applyProtection="1">
      <alignment horizontal="left" vertical="center" wrapText="1"/>
      <protection locked="0"/>
    </xf>
    <xf numFmtId="0" fontId="10" fillId="0" borderId="1" xfId="0" applyFont="1" applyBorder="1" applyAlignment="1">
      <alignment horizontal="center" vertical="center"/>
    </xf>
    <xf numFmtId="0" fontId="19" fillId="0" borderId="1" xfId="0" applyFont="1" applyBorder="1" applyAlignment="1">
      <alignment horizontal="center" vertical="center"/>
    </xf>
    <xf numFmtId="0" fontId="23" fillId="0" borderId="0" xfId="0" applyFont="1" applyAlignment="1">
      <alignment horizontal="left" vertical="center"/>
    </xf>
    <xf numFmtId="165" fontId="25" fillId="2" borderId="0" xfId="2" applyNumberFormat="1" applyFill="1" applyAlignment="1" applyProtection="1">
      <alignment horizontal="center"/>
    </xf>
    <xf numFmtId="0" fontId="10" fillId="0" borderId="0" xfId="0" applyFont="1" applyAlignment="1">
      <alignment horizontal="left" vertical="center" wrapText="1"/>
    </xf>
    <xf numFmtId="0" fontId="10" fillId="0" borderId="25" xfId="0" applyFont="1" applyBorder="1" applyAlignment="1">
      <alignment horizontal="left" vertical="center" wrapText="1"/>
    </xf>
    <xf numFmtId="0" fontId="51" fillId="0" borderId="0" xfId="0" applyFont="1" applyAlignment="1">
      <alignmen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51" fillId="0" borderId="5" xfId="0" applyFont="1" applyBorder="1" applyAlignment="1">
      <alignment horizontal="left" vertical="center" wrapText="1"/>
    </xf>
    <xf numFmtId="0" fontId="51" fillId="0" borderId="1" xfId="0" applyFont="1" applyBorder="1" applyAlignment="1">
      <alignment horizontal="left" vertical="center" wrapText="1"/>
    </xf>
    <xf numFmtId="0" fontId="52" fillId="0" borderId="3" xfId="0" applyFont="1" applyBorder="1" applyAlignment="1" applyProtection="1">
      <alignment horizontal="center" wrapText="1"/>
      <protection locked="0"/>
    </xf>
    <xf numFmtId="0" fontId="52" fillId="0" borderId="4" xfId="0" applyFont="1" applyBorder="1" applyAlignment="1" applyProtection="1">
      <alignment horizontal="center" wrapText="1"/>
      <protection locked="0"/>
    </xf>
    <xf numFmtId="1" fontId="52" fillId="0" borderId="3" xfId="0" applyNumberFormat="1" applyFont="1" applyBorder="1" applyAlignment="1" applyProtection="1">
      <alignment horizontal="center" wrapText="1"/>
      <protection locked="0"/>
    </xf>
    <xf numFmtId="1" fontId="52" fillId="0" borderId="4" xfId="0" applyNumberFormat="1" applyFont="1" applyBorder="1" applyAlignment="1" applyProtection="1">
      <alignment horizontal="center" wrapText="1"/>
      <protection locked="0"/>
    </xf>
    <xf numFmtId="0" fontId="51" fillId="0" borderId="29" xfId="0" applyFont="1" applyBorder="1" applyAlignment="1">
      <alignment horizontal="left" vertical="center" wrapText="1"/>
    </xf>
    <xf numFmtId="0" fontId="51" fillId="0" borderId="30" xfId="0" applyFont="1" applyBorder="1" applyAlignment="1">
      <alignment horizontal="left" vertical="center" wrapText="1"/>
    </xf>
    <xf numFmtId="0" fontId="51" fillId="0" borderId="6" xfId="0" applyFont="1" applyBorder="1" applyAlignment="1">
      <alignment horizontal="left" vertical="center" wrapText="1"/>
    </xf>
    <xf numFmtId="1" fontId="23" fillId="0" borderId="3" xfId="0" applyNumberFormat="1" applyFont="1" applyBorder="1" applyAlignment="1" applyProtection="1">
      <alignment horizontal="center"/>
      <protection locked="0"/>
    </xf>
    <xf numFmtId="1" fontId="23" fillId="0" borderId="4" xfId="0" applyNumberFormat="1" applyFont="1" applyBorder="1" applyAlignment="1" applyProtection="1">
      <alignment horizontal="center"/>
      <protection locked="0"/>
    </xf>
    <xf numFmtId="1" fontId="23" fillId="0" borderId="5" xfId="0" applyNumberFormat="1" applyFont="1" applyBorder="1" applyAlignment="1" applyProtection="1">
      <alignment horizontal="center"/>
      <protection locked="0"/>
    </xf>
    <xf numFmtId="2" fontId="23" fillId="0" borderId="0" xfId="0" applyNumberFormat="1" applyFont="1" applyAlignment="1" applyProtection="1">
      <alignment horizontal="center" vertical="center"/>
      <protection locked="0"/>
    </xf>
    <xf numFmtId="0" fontId="52" fillId="0" borderId="1" xfId="0" applyFont="1" applyBorder="1" applyAlignment="1">
      <alignment horizontal="left" vertical="center" wrapText="1"/>
    </xf>
    <xf numFmtId="0" fontId="52" fillId="0" borderId="1" xfId="0" applyFont="1" applyBorder="1" applyAlignment="1" applyProtection="1">
      <alignment horizontal="left" vertical="center"/>
      <protection locked="0"/>
    </xf>
    <xf numFmtId="49" fontId="10" fillId="0" borderId="0" xfId="0" applyNumberFormat="1" applyFont="1" applyAlignment="1" applyProtection="1">
      <alignment horizontal="center" wrapText="1"/>
      <protection locked="0"/>
    </xf>
    <xf numFmtId="0" fontId="33" fillId="0" borderId="2" xfId="0" applyFont="1" applyBorder="1" applyAlignment="1">
      <alignment horizontal="left" vertical="center" wrapText="1"/>
    </xf>
    <xf numFmtId="0" fontId="33" fillId="0" borderId="31" xfId="0" applyFont="1" applyBorder="1" applyAlignment="1">
      <alignment horizontal="left" vertical="center" wrapText="1"/>
    </xf>
    <xf numFmtId="0" fontId="33" fillId="0" borderId="6" xfId="0" applyFont="1" applyBorder="1" applyAlignment="1">
      <alignment horizontal="left" vertical="center" wrapText="1"/>
    </xf>
    <xf numFmtId="0" fontId="33" fillId="0" borderId="28" xfId="0" applyFont="1" applyBorder="1" applyAlignment="1">
      <alignment horizontal="left" vertical="center" wrapText="1"/>
    </xf>
    <xf numFmtId="1" fontId="52" fillId="0" borderId="3" xfId="0" applyNumberFormat="1" applyFont="1" applyBorder="1" applyAlignment="1" applyProtection="1">
      <alignment horizontal="left" vertical="center" wrapText="1"/>
      <protection locked="0"/>
    </xf>
    <xf numFmtId="1" fontId="52" fillId="0" borderId="4" xfId="0" applyNumberFormat="1" applyFont="1" applyBorder="1" applyAlignment="1" applyProtection="1">
      <alignment horizontal="left" vertical="center" wrapText="1"/>
      <protection locked="0"/>
    </xf>
    <xf numFmtId="0" fontId="13" fillId="0" borderId="0" xfId="0" applyFont="1" applyAlignment="1" applyProtection="1">
      <alignment horizontal="center"/>
      <protection locked="0"/>
    </xf>
    <xf numFmtId="0" fontId="19" fillId="0" borderId="0" xfId="0" applyFont="1" applyAlignment="1" applyProtection="1">
      <alignment horizontal="center"/>
      <protection locked="0"/>
    </xf>
    <xf numFmtId="14" fontId="19" fillId="0" borderId="0" xfId="0" applyNumberFormat="1" applyFont="1" applyAlignment="1" applyProtection="1">
      <alignment horizontal="center"/>
      <protection locked="0"/>
    </xf>
    <xf numFmtId="0" fontId="49" fillId="5" borderId="0" xfId="0" applyFont="1" applyFill="1" applyAlignment="1" applyProtection="1">
      <alignment horizontal="center" vertical="top" wrapText="1"/>
      <protection locked="0"/>
    </xf>
    <xf numFmtId="0" fontId="7" fillId="0" borderId="0" xfId="0" applyFont="1" applyAlignment="1" applyProtection="1">
      <alignment horizontal="center" vertical="center"/>
      <protection locked="0"/>
    </xf>
    <xf numFmtId="0" fontId="19" fillId="0" borderId="0" xfId="0" applyFont="1" applyAlignment="1" applyProtection="1">
      <alignment horizontal="center" vertical="center"/>
      <protection locked="0"/>
    </xf>
    <xf numFmtId="0" fontId="19" fillId="0" borderId="0" xfId="0" applyFont="1" applyAlignment="1">
      <alignment horizontal="center" vertical="center" wrapText="1"/>
    </xf>
    <xf numFmtId="0" fontId="50" fillId="0" borderId="0" xfId="0" applyFont="1" applyAlignment="1">
      <alignment horizontal="center" vertical="center" wrapText="1"/>
    </xf>
    <xf numFmtId="0" fontId="23" fillId="0" borderId="0" xfId="0" applyFont="1" applyAlignment="1">
      <alignment horizontal="left"/>
    </xf>
    <xf numFmtId="0" fontId="51" fillId="0" borderId="0" xfId="0" applyFont="1" applyAlignment="1">
      <alignment horizontal="left" vertical="center"/>
    </xf>
    <xf numFmtId="0" fontId="23" fillId="0" borderId="0" xfId="0" applyFont="1" applyAlignment="1" applyProtection="1">
      <alignment horizontal="left" vertical="center"/>
      <protection locked="0"/>
    </xf>
    <xf numFmtId="0" fontId="26" fillId="0" borderId="0" xfId="0" applyFont="1" applyAlignment="1" applyProtection="1">
      <alignment horizontal="left" vertical="center" wrapText="1"/>
      <protection locked="0"/>
    </xf>
    <xf numFmtId="0" fontId="2" fillId="0" borderId="0" xfId="0" applyFont="1" applyAlignment="1">
      <alignment horizontal="left" vertical="center" wrapText="1"/>
    </xf>
    <xf numFmtId="0" fontId="19" fillId="0" borderId="0" xfId="0" applyFont="1" applyAlignment="1">
      <alignment horizontal="left" vertical="center" wrapText="1"/>
    </xf>
    <xf numFmtId="0" fontId="6" fillId="0" borderId="1" xfId="0" applyFont="1" applyBorder="1" applyAlignment="1">
      <alignment horizontal="center" vertical="center"/>
    </xf>
    <xf numFmtId="0" fontId="2" fillId="0" borderId="0" xfId="0" applyFont="1" applyAlignment="1" applyProtection="1">
      <alignment horizontal="left" vertical="center" wrapText="1"/>
      <protection locked="0"/>
    </xf>
    <xf numFmtId="0" fontId="12"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0" fillId="0" borderId="0" xfId="0" applyAlignment="1">
      <alignment horizontal="left" vertical="center" wrapText="1"/>
    </xf>
    <xf numFmtId="0" fontId="8" fillId="0" borderId="0" xfId="0" applyFont="1" applyAlignment="1">
      <alignment horizontal="left" vertical="center"/>
    </xf>
    <xf numFmtId="2" fontId="23" fillId="2" borderId="1" xfId="0" applyNumberFormat="1" applyFont="1" applyFill="1" applyBorder="1" applyAlignment="1">
      <alignment horizontal="center"/>
    </xf>
    <xf numFmtId="0" fontId="14" fillId="0" borderId="0" xfId="0" applyFont="1" applyAlignment="1">
      <alignment horizontal="left" vertical="center"/>
    </xf>
    <xf numFmtId="164" fontId="23" fillId="0" borderId="0" xfId="0" applyNumberFormat="1" applyFont="1" applyAlignment="1" applyProtection="1">
      <alignment horizontal="center"/>
      <protection locked="0"/>
    </xf>
    <xf numFmtId="49" fontId="23" fillId="0" borderId="0" xfId="0" applyNumberFormat="1" applyFont="1" applyAlignment="1" applyProtection="1">
      <alignment horizontal="center"/>
      <protection locked="0"/>
    </xf>
    <xf numFmtId="49" fontId="23" fillId="0" borderId="1" xfId="0" applyNumberFormat="1" applyFont="1" applyBorder="1" applyAlignment="1" applyProtection="1">
      <alignment horizontal="center"/>
      <protection locked="0"/>
    </xf>
    <xf numFmtId="165" fontId="19" fillId="2" borderId="1" xfId="1" applyNumberFormat="1" applyFont="1" applyFill="1" applyBorder="1" applyAlignment="1" applyProtection="1">
      <alignment horizontal="center"/>
    </xf>
    <xf numFmtId="0" fontId="53" fillId="0" borderId="3" xfId="0" applyFont="1" applyBorder="1" applyAlignment="1">
      <alignment horizontal="center" vertical="center" wrapText="1"/>
    </xf>
    <xf numFmtId="0" fontId="53" fillId="0" borderId="4" xfId="0" applyFont="1" applyBorder="1" applyAlignment="1">
      <alignment horizontal="center" vertical="center" wrapText="1"/>
    </xf>
    <xf numFmtId="0" fontId="53" fillId="0" borderId="5" xfId="0" applyFont="1" applyBorder="1" applyAlignment="1">
      <alignment horizontal="center" vertical="center" wrapText="1"/>
    </xf>
    <xf numFmtId="0" fontId="33" fillId="0" borderId="3" xfId="0" applyFont="1" applyBorder="1" applyAlignment="1" applyProtection="1">
      <alignment horizontal="left" vertical="center" wrapText="1"/>
      <protection locked="0"/>
    </xf>
    <xf numFmtId="0" fontId="33" fillId="0" borderId="4" xfId="0" applyFont="1" applyBorder="1" applyAlignment="1" applyProtection="1">
      <alignment horizontal="left" vertical="center" wrapText="1"/>
      <protection locked="0"/>
    </xf>
    <xf numFmtId="0" fontId="33" fillId="0" borderId="3" xfId="0" applyFont="1" applyBorder="1" applyAlignment="1">
      <alignment horizontal="left" vertical="center" wrapText="1"/>
    </xf>
    <xf numFmtId="0" fontId="33" fillId="0" borderId="4" xfId="0" applyFont="1" applyBorder="1" applyAlignment="1">
      <alignment horizontal="left" vertical="center" wrapText="1"/>
    </xf>
    <xf numFmtId="0" fontId="33" fillId="0" borderId="5" xfId="0" applyFont="1" applyBorder="1" applyAlignment="1">
      <alignment horizontal="left" vertical="center" wrapText="1"/>
    </xf>
    <xf numFmtId="168" fontId="52" fillId="2" borderId="3" xfId="0" applyNumberFormat="1" applyFont="1" applyFill="1" applyBorder="1" applyAlignment="1">
      <alignment horizontal="center" wrapText="1"/>
    </xf>
    <xf numFmtId="168" fontId="52" fillId="2" borderId="4" xfId="0" applyNumberFormat="1" applyFont="1" applyFill="1" applyBorder="1" applyAlignment="1">
      <alignment horizontal="center" wrapText="1"/>
    </xf>
    <xf numFmtId="168" fontId="34" fillId="2" borderId="3" xfId="0" applyNumberFormat="1" applyFont="1" applyFill="1" applyBorder="1" applyAlignment="1">
      <alignment horizontal="center" wrapText="1"/>
    </xf>
    <xf numFmtId="168" fontId="34" fillId="2" borderId="4" xfId="0" applyNumberFormat="1" applyFont="1" applyFill="1" applyBorder="1" applyAlignment="1">
      <alignment horizontal="center" wrapText="1"/>
    </xf>
    <xf numFmtId="0" fontId="42" fillId="0" borderId="0" xfId="0" applyFont="1" applyAlignment="1" applyProtection="1">
      <alignment horizontal="left" vertical="center" wrapText="1"/>
      <protection locked="0"/>
    </xf>
    <xf numFmtId="4" fontId="54" fillId="2" borderId="4" xfId="0" applyNumberFormat="1" applyFont="1" applyFill="1" applyBorder="1" applyAlignment="1">
      <alignment horizontal="center" vertical="center"/>
    </xf>
    <xf numFmtId="4" fontId="54" fillId="2" borderId="5" xfId="0" applyNumberFormat="1" applyFont="1" applyFill="1" applyBorder="1" applyAlignment="1">
      <alignment horizontal="center" vertical="center"/>
    </xf>
    <xf numFmtId="0" fontId="25" fillId="0" borderId="0" xfId="2" applyAlignment="1">
      <alignment horizontal="left" vertical="center" wrapText="1"/>
    </xf>
    <xf numFmtId="2" fontId="2" fillId="0" borderId="0" xfId="0" applyNumberFormat="1" applyFont="1" applyAlignment="1" applyProtection="1">
      <alignment horizontal="left" vertical="center" wrapText="1"/>
      <protection locked="0"/>
    </xf>
    <xf numFmtId="0" fontId="19" fillId="0" borderId="1" xfId="0" applyFont="1" applyBorder="1" applyAlignment="1" applyProtection="1">
      <alignment horizontal="left" vertical="center" wrapText="1"/>
      <protection locked="0"/>
    </xf>
    <xf numFmtId="0" fontId="9" fillId="0" borderId="0" xfId="0" applyFont="1" applyAlignment="1">
      <alignment horizontal="center" vertical="center"/>
    </xf>
    <xf numFmtId="0" fontId="5" fillId="0" borderId="0" xfId="0" applyFont="1" applyAlignment="1">
      <alignment horizontal="left" vertical="center" wrapText="1"/>
    </xf>
    <xf numFmtId="0" fontId="9" fillId="0" borderId="0" xfId="0" applyFont="1" applyAlignment="1">
      <alignment horizontal="left" vertical="center" wrapText="1"/>
    </xf>
    <xf numFmtId="0" fontId="9" fillId="0" borderId="9" xfId="0" applyFont="1" applyBorder="1" applyAlignment="1">
      <alignment horizontal="left" vertical="center" wrapText="1"/>
    </xf>
    <xf numFmtId="0" fontId="52" fillId="0" borderId="6" xfId="0" applyFont="1" applyBorder="1" applyAlignment="1">
      <alignment horizontal="left" vertical="center"/>
    </xf>
    <xf numFmtId="0" fontId="52" fillId="0" borderId="26" xfId="0" applyFont="1" applyBorder="1" applyAlignment="1">
      <alignment horizontal="left" vertical="center"/>
    </xf>
    <xf numFmtId="0" fontId="17" fillId="0" borderId="0" xfId="0" applyFont="1" applyAlignment="1">
      <alignment horizontal="left" vertical="center"/>
    </xf>
    <xf numFmtId="0" fontId="3" fillId="0" borderId="0" xfId="0" applyFont="1" applyAlignment="1" applyProtection="1">
      <alignment horizontal="left" vertical="center" wrapText="1"/>
      <protection locked="0"/>
    </xf>
    <xf numFmtId="0" fontId="23" fillId="0" borderId="0" xfId="0" applyFont="1" applyAlignment="1">
      <alignment horizontal="center" vertical="center" wrapText="1"/>
    </xf>
    <xf numFmtId="0" fontId="16" fillId="0" borderId="6" xfId="0" applyFont="1" applyBorder="1" applyAlignment="1" applyProtection="1">
      <alignment horizontal="center"/>
      <protection locked="0"/>
    </xf>
    <xf numFmtId="0" fontId="19" fillId="0" borderId="6" xfId="0" applyFont="1" applyBorder="1" applyAlignment="1" applyProtection="1">
      <alignment horizontal="center"/>
      <protection locked="0"/>
    </xf>
    <xf numFmtId="14" fontId="19" fillId="0" borderId="6" xfId="0" applyNumberFormat="1" applyFont="1" applyBorder="1" applyAlignment="1" applyProtection="1">
      <alignment horizontal="center"/>
      <protection locked="0"/>
    </xf>
    <xf numFmtId="0" fontId="49" fillId="5" borderId="2" xfId="0" applyFont="1" applyFill="1" applyBorder="1" applyAlignment="1">
      <alignment horizontal="center" vertical="top" wrapText="1"/>
    </xf>
    <xf numFmtId="9" fontId="53" fillId="0" borderId="0" xfId="1" applyFont="1" applyFill="1" applyBorder="1" applyAlignment="1" applyProtection="1">
      <alignment horizontal="center" vertical="center"/>
      <protection locked="0"/>
    </xf>
    <xf numFmtId="0" fontId="2" fillId="0" borderId="0" xfId="0" applyFont="1" applyAlignment="1">
      <alignment horizontal="center" vertical="center"/>
    </xf>
    <xf numFmtId="49" fontId="2" fillId="0" borderId="1" xfId="0" applyNumberFormat="1" applyFont="1" applyBorder="1" applyAlignment="1" applyProtection="1">
      <alignment wrapText="1"/>
      <protection locked="0"/>
    </xf>
    <xf numFmtId="49" fontId="2" fillId="0" borderId="1" xfId="0" applyNumberFormat="1" applyFont="1" applyBorder="1" applyAlignment="1" applyProtection="1">
      <alignment horizontal="center" vertical="center" wrapText="1"/>
      <protection locked="0"/>
    </xf>
    <xf numFmtId="49" fontId="2" fillId="0" borderId="1" xfId="0" applyNumberFormat="1" applyFont="1" applyBorder="1" applyAlignment="1" applyProtection="1">
      <alignment horizontal="center" wrapText="1"/>
      <protection locked="0"/>
    </xf>
    <xf numFmtId="10" fontId="53" fillId="0" borderId="3" xfId="1" applyNumberFormat="1" applyFont="1" applyBorder="1" applyAlignment="1" applyProtection="1">
      <alignment horizontal="center" vertical="center" wrapText="1"/>
      <protection locked="0"/>
    </xf>
    <xf numFmtId="10" fontId="53" fillId="0" borderId="4" xfId="1" applyNumberFormat="1" applyFont="1" applyBorder="1" applyAlignment="1" applyProtection="1">
      <alignment horizontal="center" vertical="center" wrapText="1"/>
      <protection locked="0"/>
    </xf>
    <xf numFmtId="10" fontId="53" fillId="0" borderId="5" xfId="1" applyNumberFormat="1" applyFont="1" applyBorder="1" applyAlignment="1" applyProtection="1">
      <alignment horizontal="center" vertical="center" wrapText="1"/>
      <protection locked="0"/>
    </xf>
    <xf numFmtId="10" fontId="60" fillId="0" borderId="4" xfId="1" applyNumberFormat="1" applyFont="1" applyFill="1" applyBorder="1" applyAlignment="1" applyProtection="1">
      <alignment horizontal="center" vertical="center" wrapText="1"/>
      <protection locked="0"/>
    </xf>
    <xf numFmtId="10" fontId="60" fillId="0" borderId="5" xfId="1" applyNumberFormat="1" applyFont="1" applyFill="1" applyBorder="1" applyAlignment="1" applyProtection="1">
      <alignment horizontal="center" vertical="center" wrapText="1"/>
      <protection locked="0"/>
    </xf>
    <xf numFmtId="4" fontId="53" fillId="2" borderId="3" xfId="1" applyNumberFormat="1" applyFont="1" applyFill="1" applyBorder="1" applyAlignment="1" applyProtection="1">
      <alignment horizontal="center" vertical="center" wrapText="1"/>
    </xf>
    <xf numFmtId="4" fontId="53" fillId="2" borderId="4" xfId="1" applyNumberFormat="1" applyFont="1" applyFill="1" applyBorder="1" applyAlignment="1" applyProtection="1">
      <alignment horizontal="center" vertical="center" wrapText="1"/>
    </xf>
    <xf numFmtId="4" fontId="53" fillId="2" borderId="5" xfId="1" applyNumberFormat="1" applyFont="1" applyFill="1" applyBorder="1" applyAlignment="1" applyProtection="1">
      <alignment horizontal="center" vertical="center" wrapText="1"/>
    </xf>
    <xf numFmtId="0" fontId="2" fillId="0" borderId="1" xfId="0" applyFont="1" applyBorder="1" applyAlignment="1" applyProtection="1">
      <alignment horizontal="left" vertical="center" wrapText="1"/>
      <protection locked="0"/>
    </xf>
    <xf numFmtId="0" fontId="10" fillId="0" borderId="6" xfId="0" applyFont="1" applyBorder="1" applyAlignment="1">
      <alignment horizontal="left" vertical="center" wrapText="1"/>
    </xf>
    <xf numFmtId="0" fontId="10" fillId="0" borderId="28" xfId="0" applyFont="1" applyBorder="1" applyAlignment="1">
      <alignment horizontal="left" vertical="center" wrapText="1"/>
    </xf>
    <xf numFmtId="0" fontId="51" fillId="0" borderId="9" xfId="0" applyFont="1" applyBorder="1" applyAlignment="1">
      <alignment horizontal="left" vertical="center" wrapText="1"/>
    </xf>
    <xf numFmtId="49" fontId="8" fillId="0" borderId="1" xfId="0" applyNumberFormat="1" applyFont="1" applyBorder="1" applyAlignment="1" applyProtection="1">
      <alignment wrapText="1"/>
      <protection locked="0"/>
    </xf>
    <xf numFmtId="0" fontId="8" fillId="0" borderId="0" xfId="0" applyFont="1" applyAlignment="1">
      <alignment horizontal="center" vertical="center"/>
    </xf>
    <xf numFmtId="0" fontId="13" fillId="0" borderId="0" xfId="0" applyFont="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10" fontId="19" fillId="2" borderId="27" xfId="1" applyNumberFormat="1" applyFont="1" applyFill="1" applyBorder="1" applyAlignment="1" applyProtection="1">
      <alignment horizontal="center"/>
    </xf>
    <xf numFmtId="0" fontId="2" fillId="0" borderId="1" xfId="0" applyFont="1" applyBorder="1" applyAlignment="1">
      <alignment horizontal="left" vertical="center" wrapText="1"/>
    </xf>
    <xf numFmtId="0" fontId="10" fillId="0" borderId="1" xfId="0" applyFont="1" applyBorder="1" applyAlignment="1">
      <alignment horizontal="left" vertical="center" wrapText="1"/>
    </xf>
    <xf numFmtId="165" fontId="19" fillId="2" borderId="27" xfId="0" applyNumberFormat="1" applyFont="1" applyFill="1" applyBorder="1" applyAlignment="1">
      <alignment horizontal="center"/>
    </xf>
    <xf numFmtId="0" fontId="19" fillId="0" borderId="1" xfId="0" applyFont="1" applyBorder="1" applyAlignment="1" applyProtection="1">
      <alignment horizontal="center"/>
      <protection locked="0"/>
    </xf>
    <xf numFmtId="14" fontId="19" fillId="0" borderId="1" xfId="0" applyNumberFormat="1" applyFont="1" applyBorder="1" applyAlignment="1" applyProtection="1">
      <alignment horizontal="center"/>
      <protection locked="0"/>
    </xf>
    <xf numFmtId="44" fontId="10" fillId="0" borderId="1" xfId="0" applyNumberFormat="1" applyFont="1" applyBorder="1" applyAlignment="1" applyProtection="1">
      <alignment horizontal="center" wrapText="1"/>
      <protection locked="0"/>
    </xf>
    <xf numFmtId="0" fontId="52" fillId="2" borderId="0" xfId="0" applyFont="1" applyFill="1" applyAlignment="1">
      <alignment horizontal="left" vertical="center" wrapText="1"/>
    </xf>
    <xf numFmtId="0" fontId="51" fillId="2" borderId="0" xfId="0" applyFont="1" applyFill="1" applyAlignment="1">
      <alignment horizontal="left" vertical="center" wrapText="1"/>
    </xf>
    <xf numFmtId="4" fontId="73" fillId="2" borderId="1" xfId="0" applyNumberFormat="1" applyFont="1" applyFill="1" applyBorder="1" applyAlignment="1">
      <alignment horizontal="center" vertical="center"/>
    </xf>
    <xf numFmtId="4" fontId="53" fillId="0" borderId="3" xfId="3" applyNumberFormat="1" applyFont="1" applyBorder="1" applyAlignment="1" applyProtection="1">
      <alignment horizontal="center" vertical="center" wrapText="1"/>
      <protection locked="0"/>
    </xf>
    <xf numFmtId="4" fontId="53" fillId="0" borderId="4" xfId="3" applyNumberFormat="1" applyFont="1" applyBorder="1" applyAlignment="1" applyProtection="1">
      <alignment horizontal="center" vertical="center" wrapText="1"/>
      <protection locked="0"/>
    </xf>
    <xf numFmtId="4" fontId="60" fillId="0" borderId="3" xfId="3" applyNumberFormat="1" applyFont="1" applyBorder="1" applyAlignment="1" applyProtection="1">
      <alignment horizontal="center" vertical="center" wrapText="1"/>
      <protection locked="0"/>
    </xf>
    <xf numFmtId="4" fontId="60" fillId="0" borderId="4" xfId="3" applyNumberFormat="1" applyFont="1" applyBorder="1" applyAlignment="1" applyProtection="1">
      <alignment horizontal="center" vertical="center" wrapText="1"/>
      <protection locked="0"/>
    </xf>
    <xf numFmtId="4" fontId="74" fillId="2" borderId="4" xfId="0" applyNumberFormat="1" applyFont="1" applyFill="1" applyBorder="1" applyAlignment="1">
      <alignment horizontal="center" vertical="center"/>
    </xf>
    <xf numFmtId="4" fontId="74" fillId="2" borderId="5" xfId="0" applyNumberFormat="1" applyFont="1" applyFill="1" applyBorder="1" applyAlignment="1">
      <alignment horizontal="center" vertical="center"/>
    </xf>
  </cellXfs>
  <cellStyles count="6">
    <cellStyle name="Hiperłącze" xfId="2" builtinId="8"/>
    <cellStyle name="Normalny" xfId="0" builtinId="0"/>
    <cellStyle name="Normalny 2" xfId="4" xr:uid="{00000000-0005-0000-0000-000002000000}"/>
    <cellStyle name="Procentowy" xfId="1" builtinId="5"/>
    <cellStyle name="Walutowy" xfId="3" builtinId="4"/>
    <cellStyle name="Walutowy 2" xfId="5" xr:uid="{00000000-0005-0000-0000-000005000000}"/>
  </cellStyles>
  <dxfs count="155">
    <dxf>
      <fill>
        <patternFill>
          <bgColor rgb="FFFF0000"/>
        </patternFill>
      </fill>
    </dxf>
    <dxf>
      <font>
        <strike/>
      </font>
    </dxf>
    <dxf>
      <fill>
        <patternFill>
          <bgColor theme="4" tint="-0.24994659260841701"/>
        </patternFill>
      </fill>
    </dxf>
    <dxf>
      <font>
        <strike/>
      </font>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patternType="darkGray">
          <bgColor theme="0" tint="-0.499984740745262"/>
        </patternFill>
      </fill>
    </dxf>
    <dxf>
      <fill>
        <patternFill>
          <bgColor theme="4" tint="-0.24994659260841701"/>
        </patternFill>
      </fill>
    </dxf>
    <dxf>
      <fill>
        <patternFill patternType="darkGray">
          <bgColor theme="0" tint="-0.499984740745262"/>
        </patternFill>
      </fill>
    </dxf>
    <dxf>
      <fill>
        <patternFill>
          <bgColor rgb="FF0070C0"/>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0"/>
        </patternFill>
      </fill>
    </dxf>
    <dxf>
      <fill>
        <patternFill>
          <bgColor theme="4" tint="-0.24994659260841701"/>
        </patternFill>
      </fill>
    </dxf>
    <dxf>
      <fill>
        <patternFill>
          <bgColor theme="4" tint="-0.24994659260841701"/>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patternType="none">
          <bgColor auto="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FF0000"/>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rgb="FF0070C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strike/>
      </font>
    </dxf>
    <dxf>
      <font>
        <b/>
        <i val="0"/>
        <strike/>
        <color theme="1"/>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0"/>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
      <fill>
        <patternFill patternType="lightTrellis"/>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35</xdr:col>
      <xdr:colOff>101600</xdr:colOff>
      <xdr:row>2</xdr:row>
      <xdr:rowOff>20638</xdr:rowOff>
    </xdr:from>
    <xdr:to>
      <xdr:col>37</xdr:col>
      <xdr:colOff>363004</xdr:colOff>
      <xdr:row>6</xdr:row>
      <xdr:rowOff>172072</xdr:rowOff>
    </xdr:to>
    <xdr:pic>
      <xdr:nvPicPr>
        <xdr:cNvPr id="2" name="Obraz 1" descr="http://intranet/dokumenty/Documents/BGK_Logo_RGB-BMP.bmp">
          <a:extLst>
            <a:ext uri="{FF2B5EF4-FFF2-40B4-BE49-F238E27FC236}">
              <a16:creationId xmlns:a16="http://schemas.microsoft.com/office/drawing/2014/main" id="{1C959767-F9FE-43B2-9CAF-AC68F396A8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54038"/>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36</xdr:col>
      <xdr:colOff>63500</xdr:colOff>
      <xdr:row>2</xdr:row>
      <xdr:rowOff>0</xdr:rowOff>
    </xdr:from>
    <xdr:to>
      <xdr:col>37</xdr:col>
      <xdr:colOff>601129</xdr:colOff>
      <xdr:row>6</xdr:row>
      <xdr:rowOff>151434</xdr:rowOff>
    </xdr:to>
    <xdr:pic>
      <xdr:nvPicPr>
        <xdr:cNvPr id="4" name="Obraz 3" descr="http://intranet/dokumenty/Documents/BGK_Logo_RGB-BMP.bmp">
          <a:extLst>
            <a:ext uri="{FF2B5EF4-FFF2-40B4-BE49-F238E27FC236}">
              <a16:creationId xmlns:a16="http://schemas.microsoft.com/office/drawing/2014/main" id="{D2C536F7-9AE0-48B3-AC49-C2368F148B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527050"/>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127001</xdr:colOff>
      <xdr:row>2</xdr:row>
      <xdr:rowOff>15874</xdr:rowOff>
    </xdr:from>
    <xdr:to>
      <xdr:col>37</xdr:col>
      <xdr:colOff>388405</xdr:colOff>
      <xdr:row>6</xdr:row>
      <xdr:rowOff>160958</xdr:rowOff>
    </xdr:to>
    <xdr:pic>
      <xdr:nvPicPr>
        <xdr:cNvPr id="2" name="Obraz 1" descr="http://intranet/dokumenty/Documents/BGK_Logo_RGB-BMP.bmp">
          <a:extLst>
            <a:ext uri="{FF2B5EF4-FFF2-40B4-BE49-F238E27FC236}">
              <a16:creationId xmlns:a16="http://schemas.microsoft.com/office/drawing/2014/main" id="{760EEC10-126B-4582-80DB-D5D879BAA5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9501" y="539749"/>
          <a:ext cx="1182154" cy="881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1" displayName="Tabela1" ref="A1:A17" totalsRowShown="0">
  <autoFilter ref="A1:A17" xr:uid="{00000000-0009-0000-0100-000001000000}"/>
  <tableColumns count="1">
    <tableColumn id="1" xr3:uid="{00000000-0010-0000-0000-000001000000}" name="Kategoria"/>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a3" displayName="Tabela3" ref="E1:F381" totalsRowShown="0">
  <autoFilter ref="E1:F381" xr:uid="{00000000-0009-0000-0100-000003000000}"/>
  <tableColumns count="2">
    <tableColumn id="1" xr3:uid="{00000000-0010-0000-0100-000001000000}" name="Kategoria"/>
    <tableColumn id="2" xr3:uid="{00000000-0010-0000-0100-000002000000}" name="Podkategoria"/>
  </tableColumns>
  <tableStyleInfo name="TableStyleLight1"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yszukiwarkaregon.stat.gov.pl/appBIR/index.aspx" TargetMode="External"/><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yszukiwarkaregon.stat.gov.pl/appBIR/index.aspx"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yszukiwarkaregon.stat.gov.pl/appBIR/index.aspx" TargetMode="External"/><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https://wyszukiwarkaregon.stat.gov.pl/appBIR/index.aspx"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yszukiwarkaregon.stat.gov.pl/appBIR/index.aspx" TargetMode="External"/><Relationship Id="rId2" Type="http://schemas.openxmlformats.org/officeDocument/2006/relationships/hyperlink" Target="https://www.gov.pl/web/e-doreczenia/pytania-i-odpowiedzi" TargetMode="External"/><Relationship Id="rId1" Type="http://schemas.openxmlformats.org/officeDocument/2006/relationships/hyperlink" Target="https://eteryt.stat.gov.pl/eTeryt/rejestr_teryt/udostepnianie_danych/baza_teryt/uzytkownicy_indywidualni/wyszukiwanie/wyszukiwanie.aspx?contrast=default" TargetMode="External"/><Relationship Id="rId6" Type="http://schemas.openxmlformats.org/officeDocument/2006/relationships/drawing" Target="../drawings/drawing3.xml"/><Relationship Id="rId5" Type="http://schemas.openxmlformats.org/officeDocument/2006/relationships/printerSettings" Target="../printerSettings/printerSettings4.bin"/><Relationship Id="rId4" Type="http://schemas.openxmlformats.org/officeDocument/2006/relationships/hyperlink" Target="https://wyszukiwarkaregon.stat.gov.pl/appBIR/index.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usz3"/>
  <dimension ref="A1:AL303"/>
  <sheetViews>
    <sheetView tabSelected="1" zoomScale="60" zoomScaleNormal="60" workbookViewId="0">
      <selection activeCell="A24" sqref="A24"/>
    </sheetView>
  </sheetViews>
  <sheetFormatPr defaultColWidth="9.1796875" defaultRowHeight="14.5" x14ac:dyDescent="0.35"/>
  <cols>
    <col min="1" max="1" width="68.54296875" style="11" customWidth="1"/>
    <col min="2" max="2" width="76.7265625" style="11" customWidth="1"/>
    <col min="3" max="3" width="28.453125" style="11" bestFit="1" customWidth="1"/>
    <col min="4" max="38" width="9.1796875" style="13"/>
    <col min="39" max="16384" width="9.1796875" style="11"/>
  </cols>
  <sheetData>
    <row r="1" spans="1:12" ht="15" thickBot="1" x14ac:dyDescent="0.4">
      <c r="A1" s="143" t="s">
        <v>106</v>
      </c>
      <c r="B1" s="146" t="s">
        <v>172</v>
      </c>
      <c r="C1" s="137" t="s">
        <v>63</v>
      </c>
    </row>
    <row r="2" spans="1:12" ht="15" thickBot="1" x14ac:dyDescent="0.4">
      <c r="A2" s="144"/>
      <c r="B2" s="147"/>
      <c r="C2" s="28" t="s">
        <v>852</v>
      </c>
    </row>
    <row r="3" spans="1:12" ht="15" thickBot="1" x14ac:dyDescent="0.4">
      <c r="A3" s="145"/>
      <c r="B3" s="148"/>
      <c r="C3" s="138" t="s">
        <v>174</v>
      </c>
    </row>
    <row r="4" spans="1:12" x14ac:dyDescent="0.35">
      <c r="A4" s="140" t="s">
        <v>912</v>
      </c>
      <c r="B4" s="26" t="s">
        <v>127</v>
      </c>
      <c r="C4" s="27">
        <v>0.8</v>
      </c>
    </row>
    <row r="5" spans="1:12" x14ac:dyDescent="0.35">
      <c r="A5" s="141"/>
      <c r="B5" s="26" t="s">
        <v>742</v>
      </c>
      <c r="C5" s="27" t="s">
        <v>913</v>
      </c>
    </row>
    <row r="6" spans="1:12" ht="15" thickBot="1" x14ac:dyDescent="0.4">
      <c r="A6" s="142"/>
      <c r="B6" s="26" t="s">
        <v>918</v>
      </c>
      <c r="C6" s="27">
        <v>0.8</v>
      </c>
    </row>
    <row r="7" spans="1:12" x14ac:dyDescent="0.35">
      <c r="A7" s="14"/>
      <c r="B7" s="15"/>
      <c r="C7" s="16"/>
    </row>
    <row r="8" spans="1:12" x14ac:dyDescent="0.35">
      <c r="A8" s="17" t="s">
        <v>107</v>
      </c>
      <c r="B8" s="12"/>
      <c r="C8" s="12"/>
      <c r="D8" s="18"/>
      <c r="E8" s="18"/>
      <c r="F8" s="18"/>
      <c r="G8" s="18"/>
      <c r="H8" s="18"/>
      <c r="I8" s="18"/>
      <c r="J8" s="18"/>
      <c r="K8" s="18"/>
      <c r="L8" s="18"/>
    </row>
    <row r="9" spans="1:12" x14ac:dyDescent="0.35">
      <c r="A9" s="77" t="s">
        <v>911</v>
      </c>
      <c r="B9" s="77"/>
      <c r="C9" s="77"/>
      <c r="D9" s="18"/>
      <c r="E9" s="18"/>
      <c r="F9" s="18"/>
      <c r="G9" s="18"/>
      <c r="H9" s="18"/>
      <c r="I9" s="18"/>
      <c r="J9" s="18"/>
      <c r="K9" s="18"/>
      <c r="L9" s="18"/>
    </row>
    <row r="10" spans="1:12" s="13" customFormat="1" x14ac:dyDescent="0.35"/>
    <row r="11" spans="1:12" s="13" customFormat="1" x14ac:dyDescent="0.35"/>
    <row r="12" spans="1:12" s="13" customFormat="1" x14ac:dyDescent="0.35"/>
    <row r="13" spans="1:12" s="13" customFormat="1" x14ac:dyDescent="0.35"/>
    <row r="14" spans="1:12" s="13" customFormat="1" x14ac:dyDescent="0.35"/>
    <row r="15" spans="1:12" s="13" customFormat="1" x14ac:dyDescent="0.35"/>
    <row r="16" spans="1:12" s="13" customFormat="1" x14ac:dyDescent="0.35"/>
    <row r="17" s="13" customFormat="1" x14ac:dyDescent="0.35"/>
    <row r="18" s="13" customFormat="1" x14ac:dyDescent="0.35"/>
    <row r="19" s="13" customFormat="1" x14ac:dyDescent="0.35"/>
    <row r="20" s="13" customFormat="1" x14ac:dyDescent="0.35"/>
    <row r="21" s="13" customFormat="1" x14ac:dyDescent="0.35"/>
    <row r="22" s="13" customFormat="1" x14ac:dyDescent="0.35"/>
    <row r="23" s="13" customFormat="1" x14ac:dyDescent="0.35"/>
    <row r="24" s="13" customFormat="1" x14ac:dyDescent="0.35"/>
    <row r="25" s="13" customFormat="1" x14ac:dyDescent="0.35"/>
    <row r="26" s="13" customFormat="1" x14ac:dyDescent="0.35"/>
    <row r="27" s="13" customFormat="1" x14ac:dyDescent="0.35"/>
    <row r="28" s="13" customFormat="1" x14ac:dyDescent="0.35"/>
    <row r="29" s="13" customFormat="1" x14ac:dyDescent="0.35"/>
    <row r="30" s="13" customFormat="1" x14ac:dyDescent="0.35"/>
    <row r="31" s="13" customFormat="1" x14ac:dyDescent="0.35"/>
    <row r="32" s="13" customFormat="1" x14ac:dyDescent="0.35"/>
    <row r="33" s="13" customFormat="1" x14ac:dyDescent="0.35"/>
    <row r="34" s="13" customFormat="1" x14ac:dyDescent="0.35"/>
    <row r="35" s="13" customFormat="1" x14ac:dyDescent="0.35"/>
    <row r="36" s="13" customFormat="1" x14ac:dyDescent="0.35"/>
    <row r="37" s="13" customFormat="1" x14ac:dyDescent="0.35"/>
    <row r="38" s="13" customFormat="1" x14ac:dyDescent="0.35"/>
    <row r="39" s="13" customFormat="1" x14ac:dyDescent="0.35"/>
    <row r="40" s="13" customFormat="1" x14ac:dyDescent="0.35"/>
    <row r="41" s="13" customFormat="1" x14ac:dyDescent="0.35"/>
    <row r="42" s="13" customFormat="1" x14ac:dyDescent="0.35"/>
    <row r="43" s="13" customFormat="1" x14ac:dyDescent="0.35"/>
    <row r="44" s="13" customFormat="1" x14ac:dyDescent="0.35"/>
    <row r="45" s="13" customFormat="1" x14ac:dyDescent="0.35"/>
    <row r="46" s="13" customFormat="1" x14ac:dyDescent="0.35"/>
    <row r="47" s="13" customFormat="1" x14ac:dyDescent="0.35"/>
    <row r="48" s="13" customFormat="1" x14ac:dyDescent="0.35"/>
    <row r="49" s="13" customFormat="1" x14ac:dyDescent="0.35"/>
    <row r="50" s="13" customFormat="1" x14ac:dyDescent="0.35"/>
    <row r="51" s="13" customFormat="1" x14ac:dyDescent="0.35"/>
    <row r="52" s="13" customFormat="1" x14ac:dyDescent="0.35"/>
    <row r="53" s="13" customFormat="1" x14ac:dyDescent="0.35"/>
    <row r="54" s="13" customFormat="1" x14ac:dyDescent="0.35"/>
    <row r="55" s="13" customFormat="1" x14ac:dyDescent="0.35"/>
    <row r="56" s="13" customFormat="1" x14ac:dyDescent="0.35"/>
    <row r="57" s="13" customFormat="1" x14ac:dyDescent="0.35"/>
    <row r="58" s="13" customFormat="1" x14ac:dyDescent="0.35"/>
    <row r="59" s="13" customFormat="1" x14ac:dyDescent="0.35"/>
    <row r="60" s="13" customFormat="1" x14ac:dyDescent="0.35"/>
    <row r="61" s="13" customFormat="1" x14ac:dyDescent="0.35"/>
    <row r="62" s="13" customFormat="1" x14ac:dyDescent="0.35"/>
    <row r="63" s="13" customFormat="1" x14ac:dyDescent="0.35"/>
    <row r="64" s="13" customFormat="1" x14ac:dyDescent="0.35"/>
    <row r="65" s="13" customFormat="1" x14ac:dyDescent="0.35"/>
    <row r="66" s="13" customFormat="1" x14ac:dyDescent="0.35"/>
    <row r="67" s="13" customFormat="1" x14ac:dyDescent="0.35"/>
    <row r="68" s="13" customFormat="1" x14ac:dyDescent="0.35"/>
    <row r="69" s="13" customFormat="1" x14ac:dyDescent="0.35"/>
    <row r="70" s="13" customFormat="1" x14ac:dyDescent="0.35"/>
    <row r="71" s="13" customFormat="1" x14ac:dyDescent="0.35"/>
    <row r="72" s="13" customFormat="1" x14ac:dyDescent="0.35"/>
    <row r="73" s="13" customFormat="1" x14ac:dyDescent="0.35"/>
    <row r="74" s="13" customFormat="1" x14ac:dyDescent="0.35"/>
    <row r="75" s="13" customFormat="1" x14ac:dyDescent="0.35"/>
    <row r="76" s="13" customFormat="1" x14ac:dyDescent="0.35"/>
    <row r="77" s="13" customFormat="1" x14ac:dyDescent="0.35"/>
    <row r="78" s="13" customFormat="1" x14ac:dyDescent="0.35"/>
    <row r="79" s="13" customFormat="1" x14ac:dyDescent="0.35"/>
    <row r="80" s="13" customFormat="1" x14ac:dyDescent="0.35"/>
    <row r="81" s="13" customFormat="1" x14ac:dyDescent="0.35"/>
    <row r="82" s="13" customFormat="1" x14ac:dyDescent="0.35"/>
    <row r="83" s="13" customFormat="1" x14ac:dyDescent="0.35"/>
    <row r="84" s="13" customFormat="1" x14ac:dyDescent="0.35"/>
    <row r="85" s="13" customFormat="1" x14ac:dyDescent="0.35"/>
    <row r="86" s="13" customFormat="1" x14ac:dyDescent="0.35"/>
    <row r="87" s="13" customFormat="1" x14ac:dyDescent="0.35"/>
    <row r="88" s="13" customFormat="1" x14ac:dyDescent="0.35"/>
    <row r="89" s="13" customFormat="1" x14ac:dyDescent="0.35"/>
    <row r="90" s="13" customFormat="1" x14ac:dyDescent="0.35"/>
    <row r="91" s="13" customFormat="1" x14ac:dyDescent="0.35"/>
    <row r="92" s="13" customFormat="1" x14ac:dyDescent="0.35"/>
    <row r="93" s="13" customFormat="1" x14ac:dyDescent="0.35"/>
    <row r="94" s="13" customFormat="1" x14ac:dyDescent="0.35"/>
    <row r="95" s="13" customFormat="1" x14ac:dyDescent="0.35"/>
    <row r="96" s="13" customFormat="1" x14ac:dyDescent="0.35"/>
    <row r="97" s="13" customFormat="1" x14ac:dyDescent="0.35"/>
    <row r="98" s="13" customFormat="1" x14ac:dyDescent="0.35"/>
    <row r="99" s="13" customFormat="1" x14ac:dyDescent="0.35"/>
    <row r="100" s="13" customFormat="1" x14ac:dyDescent="0.35"/>
    <row r="101" s="13" customFormat="1" x14ac:dyDescent="0.35"/>
    <row r="102" s="13" customFormat="1" x14ac:dyDescent="0.35"/>
    <row r="103" s="13" customFormat="1" x14ac:dyDescent="0.35"/>
    <row r="104" s="13" customFormat="1" x14ac:dyDescent="0.35"/>
    <row r="105" s="13" customFormat="1" x14ac:dyDescent="0.35"/>
    <row r="106" s="13" customFormat="1" x14ac:dyDescent="0.35"/>
    <row r="107" s="13" customFormat="1" x14ac:dyDescent="0.35"/>
    <row r="108" s="13" customFormat="1" x14ac:dyDescent="0.35"/>
    <row r="109" s="13" customFormat="1" x14ac:dyDescent="0.35"/>
    <row r="110" s="13" customFormat="1" x14ac:dyDescent="0.35"/>
    <row r="111" s="13" customFormat="1" x14ac:dyDescent="0.35"/>
    <row r="112" s="13" customFormat="1" x14ac:dyDescent="0.35"/>
    <row r="113" s="13" customFormat="1" x14ac:dyDescent="0.35"/>
    <row r="114" s="13" customFormat="1" x14ac:dyDescent="0.35"/>
    <row r="115" s="13" customFormat="1" x14ac:dyDescent="0.35"/>
    <row r="116" s="13" customFormat="1" x14ac:dyDescent="0.35"/>
    <row r="117" s="13" customFormat="1" x14ac:dyDescent="0.35"/>
    <row r="118" s="13" customFormat="1" x14ac:dyDescent="0.35"/>
    <row r="119" s="13" customFormat="1" x14ac:dyDescent="0.35"/>
    <row r="120" s="13" customFormat="1" x14ac:dyDescent="0.35"/>
    <row r="121" s="13" customFormat="1" x14ac:dyDescent="0.35"/>
    <row r="122" s="13" customFormat="1" x14ac:dyDescent="0.35"/>
    <row r="123" s="13" customFormat="1" x14ac:dyDescent="0.35"/>
    <row r="124" s="13" customFormat="1" x14ac:dyDescent="0.35"/>
    <row r="125" s="13" customFormat="1" x14ac:dyDescent="0.35"/>
    <row r="126" s="13" customFormat="1" x14ac:dyDescent="0.35"/>
    <row r="127" s="13" customFormat="1" x14ac:dyDescent="0.35"/>
    <row r="128" s="13" customFormat="1" x14ac:dyDescent="0.35"/>
    <row r="129" s="13" customFormat="1" x14ac:dyDescent="0.35"/>
    <row r="130" s="13" customFormat="1" x14ac:dyDescent="0.35"/>
    <row r="131" s="13" customFormat="1" x14ac:dyDescent="0.35"/>
    <row r="132" s="13" customFormat="1" x14ac:dyDescent="0.35"/>
    <row r="133" s="13" customFormat="1" x14ac:dyDescent="0.35"/>
    <row r="134" s="13" customFormat="1" x14ac:dyDescent="0.35"/>
    <row r="135" s="13" customFormat="1" x14ac:dyDescent="0.35"/>
    <row r="136" s="13" customFormat="1" x14ac:dyDescent="0.35"/>
    <row r="137" s="13" customFormat="1" x14ac:dyDescent="0.35"/>
    <row r="138" s="13" customFormat="1" x14ac:dyDescent="0.35"/>
    <row r="139" s="13" customFormat="1" x14ac:dyDescent="0.35"/>
    <row r="140" s="13" customFormat="1" x14ac:dyDescent="0.35"/>
    <row r="141" s="13" customFormat="1" x14ac:dyDescent="0.35"/>
    <row r="142" s="13" customFormat="1" x14ac:dyDescent="0.35"/>
    <row r="143" s="13" customFormat="1" x14ac:dyDescent="0.35"/>
    <row r="144" s="13" customFormat="1" x14ac:dyDescent="0.35"/>
    <row r="145" s="13" customFormat="1" x14ac:dyDescent="0.35"/>
    <row r="146" s="13" customFormat="1" x14ac:dyDescent="0.35"/>
    <row r="147" s="13" customFormat="1" x14ac:dyDescent="0.35"/>
    <row r="148" s="13" customFormat="1" x14ac:dyDescent="0.35"/>
    <row r="149" s="13" customFormat="1" x14ac:dyDescent="0.35"/>
    <row r="150" s="13" customFormat="1" x14ac:dyDescent="0.35"/>
    <row r="151" s="13" customFormat="1" x14ac:dyDescent="0.35"/>
    <row r="152" s="13" customFormat="1" x14ac:dyDescent="0.35"/>
    <row r="153" s="13" customFormat="1" x14ac:dyDescent="0.35"/>
    <row r="154" s="13" customFormat="1" x14ac:dyDescent="0.35"/>
    <row r="155" s="13" customFormat="1" x14ac:dyDescent="0.35"/>
    <row r="156" s="13" customFormat="1" x14ac:dyDescent="0.35"/>
    <row r="157" s="13" customFormat="1" x14ac:dyDescent="0.35"/>
    <row r="158" s="13" customFormat="1" x14ac:dyDescent="0.35"/>
    <row r="159" s="13" customFormat="1" x14ac:dyDescent="0.35"/>
    <row r="160" s="13" customFormat="1" x14ac:dyDescent="0.35"/>
    <row r="161" s="13" customFormat="1" x14ac:dyDescent="0.35"/>
    <row r="162" s="13" customFormat="1" x14ac:dyDescent="0.35"/>
    <row r="163" s="13" customFormat="1" x14ac:dyDescent="0.35"/>
    <row r="164" s="13" customFormat="1" x14ac:dyDescent="0.35"/>
    <row r="165" s="13" customFormat="1" x14ac:dyDescent="0.35"/>
    <row r="166" s="13" customFormat="1" x14ac:dyDescent="0.35"/>
    <row r="167" s="13" customFormat="1" x14ac:dyDescent="0.35"/>
    <row r="168" s="13" customFormat="1" x14ac:dyDescent="0.35"/>
    <row r="169" s="13" customFormat="1" x14ac:dyDescent="0.35"/>
    <row r="170" s="13" customFormat="1" x14ac:dyDescent="0.35"/>
    <row r="171" s="13" customFormat="1" x14ac:dyDescent="0.35"/>
    <row r="172" s="13" customFormat="1" x14ac:dyDescent="0.35"/>
    <row r="173" s="13" customFormat="1" x14ac:dyDescent="0.35"/>
    <row r="174" s="13" customFormat="1" x14ac:dyDescent="0.35"/>
    <row r="175" s="13" customFormat="1" x14ac:dyDescent="0.35"/>
    <row r="176" s="13" customFormat="1" x14ac:dyDescent="0.35"/>
    <row r="177" s="13" customFormat="1" x14ac:dyDescent="0.35"/>
    <row r="178" s="13" customFormat="1" x14ac:dyDescent="0.35"/>
    <row r="179" s="13" customFormat="1" x14ac:dyDescent="0.35"/>
    <row r="180" s="13" customFormat="1" x14ac:dyDescent="0.35"/>
    <row r="181" s="13" customFormat="1" x14ac:dyDescent="0.35"/>
    <row r="182" s="13" customFormat="1" x14ac:dyDescent="0.35"/>
    <row r="183" s="13" customFormat="1" x14ac:dyDescent="0.35"/>
    <row r="184" s="13" customFormat="1" x14ac:dyDescent="0.35"/>
    <row r="185" s="13" customFormat="1" x14ac:dyDescent="0.35"/>
    <row r="186" s="13" customFormat="1" x14ac:dyDescent="0.35"/>
    <row r="187" s="13" customFormat="1" x14ac:dyDescent="0.35"/>
    <row r="188" s="13" customFormat="1" x14ac:dyDescent="0.35"/>
    <row r="189" s="13" customFormat="1" x14ac:dyDescent="0.35"/>
    <row r="190" s="13" customFormat="1" x14ac:dyDescent="0.35"/>
    <row r="191" s="13" customFormat="1" x14ac:dyDescent="0.35"/>
    <row r="192" s="13" customFormat="1" x14ac:dyDescent="0.35"/>
    <row r="193" s="13" customFormat="1" x14ac:dyDescent="0.35"/>
    <row r="194" s="13" customFormat="1" x14ac:dyDescent="0.35"/>
    <row r="195" s="13" customFormat="1" x14ac:dyDescent="0.35"/>
    <row r="196" s="13" customFormat="1" x14ac:dyDescent="0.35"/>
    <row r="197" s="13" customFormat="1" x14ac:dyDescent="0.35"/>
    <row r="198" s="13" customFormat="1" x14ac:dyDescent="0.35"/>
    <row r="199" s="13" customFormat="1" x14ac:dyDescent="0.35"/>
    <row r="200" s="13" customFormat="1" x14ac:dyDescent="0.35"/>
    <row r="201" s="13" customFormat="1" x14ac:dyDescent="0.35"/>
    <row r="202" s="13" customFormat="1" x14ac:dyDescent="0.35"/>
    <row r="203" s="13" customFormat="1" x14ac:dyDescent="0.35"/>
    <row r="204" s="13" customFormat="1" x14ac:dyDescent="0.35"/>
    <row r="205" s="13" customFormat="1" x14ac:dyDescent="0.35"/>
    <row r="206" s="13" customFormat="1" x14ac:dyDescent="0.35"/>
    <row r="207" s="13" customFormat="1" x14ac:dyDescent="0.35"/>
    <row r="208" s="13" customFormat="1" x14ac:dyDescent="0.35"/>
    <row r="209" s="13" customFormat="1" x14ac:dyDescent="0.35"/>
    <row r="210" s="13" customFormat="1" x14ac:dyDescent="0.35"/>
    <row r="211" s="13" customFormat="1" x14ac:dyDescent="0.35"/>
    <row r="212" s="13" customFormat="1" x14ac:dyDescent="0.35"/>
    <row r="213" s="13" customFormat="1" x14ac:dyDescent="0.35"/>
    <row r="214" s="13" customFormat="1" x14ac:dyDescent="0.35"/>
    <row r="215" s="13" customFormat="1" x14ac:dyDescent="0.35"/>
    <row r="216" s="13" customFormat="1" x14ac:dyDescent="0.35"/>
    <row r="217" s="13" customFormat="1" x14ac:dyDescent="0.35"/>
    <row r="218" s="13" customFormat="1" x14ac:dyDescent="0.35"/>
    <row r="219" s="13" customFormat="1" x14ac:dyDescent="0.35"/>
    <row r="220" s="13" customFormat="1" x14ac:dyDescent="0.35"/>
    <row r="221" s="13" customFormat="1" x14ac:dyDescent="0.35"/>
    <row r="222" s="13" customFormat="1" x14ac:dyDescent="0.35"/>
    <row r="223" s="13" customFormat="1" x14ac:dyDescent="0.35"/>
    <row r="224" s="13" customFormat="1" x14ac:dyDescent="0.35"/>
    <row r="225" s="13" customFormat="1" x14ac:dyDescent="0.35"/>
    <row r="226" s="13" customFormat="1" x14ac:dyDescent="0.35"/>
    <row r="227" s="13" customFormat="1" x14ac:dyDescent="0.35"/>
    <row r="228" s="13" customFormat="1" x14ac:dyDescent="0.35"/>
    <row r="229" s="13" customFormat="1" x14ac:dyDescent="0.35"/>
    <row r="230" s="13" customFormat="1" x14ac:dyDescent="0.35"/>
    <row r="231" s="13" customFormat="1" x14ac:dyDescent="0.35"/>
    <row r="232" s="13" customFormat="1" x14ac:dyDescent="0.35"/>
    <row r="233" s="13" customFormat="1" x14ac:dyDescent="0.35"/>
    <row r="234" s="13" customFormat="1" x14ac:dyDescent="0.35"/>
    <row r="235" s="13" customFormat="1" x14ac:dyDescent="0.35"/>
    <row r="236" s="13" customFormat="1" x14ac:dyDescent="0.35"/>
    <row r="237" s="13" customFormat="1" x14ac:dyDescent="0.35"/>
    <row r="238" s="13" customFormat="1" x14ac:dyDescent="0.35"/>
    <row r="239" s="13" customFormat="1" x14ac:dyDescent="0.35"/>
    <row r="240" s="13" customFormat="1" x14ac:dyDescent="0.35"/>
    <row r="241" s="13" customFormat="1" x14ac:dyDescent="0.35"/>
    <row r="242" s="13" customFormat="1" x14ac:dyDescent="0.35"/>
    <row r="243" s="13" customFormat="1" x14ac:dyDescent="0.35"/>
    <row r="244" s="13" customFormat="1" x14ac:dyDescent="0.35"/>
    <row r="245" s="13" customFormat="1" x14ac:dyDescent="0.35"/>
    <row r="246" s="13" customFormat="1" x14ac:dyDescent="0.35"/>
    <row r="247" s="13" customFormat="1" x14ac:dyDescent="0.35"/>
    <row r="248" s="13" customFormat="1" x14ac:dyDescent="0.35"/>
    <row r="249" s="13" customFormat="1" x14ac:dyDescent="0.35"/>
    <row r="250" s="13" customFormat="1" x14ac:dyDescent="0.35"/>
    <row r="251" s="13" customFormat="1" x14ac:dyDescent="0.35"/>
    <row r="252" s="13" customFormat="1" x14ac:dyDescent="0.35"/>
    <row r="253" s="13" customFormat="1" x14ac:dyDescent="0.35"/>
    <row r="254" s="13" customFormat="1" x14ac:dyDescent="0.35"/>
    <row r="255" s="13" customFormat="1" x14ac:dyDescent="0.35"/>
    <row r="256" s="13" customFormat="1" x14ac:dyDescent="0.35"/>
    <row r="257" s="13" customFormat="1" x14ac:dyDescent="0.35"/>
    <row r="258" s="13" customFormat="1" x14ac:dyDescent="0.35"/>
    <row r="259" s="13" customFormat="1" x14ac:dyDescent="0.35"/>
    <row r="260" s="13" customFormat="1" x14ac:dyDescent="0.35"/>
    <row r="261" s="13" customFormat="1" x14ac:dyDescent="0.35"/>
    <row r="262" s="13" customFormat="1" x14ac:dyDescent="0.35"/>
    <row r="263" s="13" customFormat="1" x14ac:dyDescent="0.35"/>
    <row r="264" s="13" customFormat="1" x14ac:dyDescent="0.35"/>
    <row r="265" s="13" customFormat="1" x14ac:dyDescent="0.35"/>
    <row r="266" s="13" customFormat="1" x14ac:dyDescent="0.35"/>
    <row r="267" s="13" customFormat="1" x14ac:dyDescent="0.35"/>
    <row r="268" s="13" customFormat="1" x14ac:dyDescent="0.35"/>
    <row r="269" s="13" customFormat="1" x14ac:dyDescent="0.35"/>
    <row r="270" s="13" customFormat="1" x14ac:dyDescent="0.35"/>
    <row r="271" s="13" customFormat="1" x14ac:dyDescent="0.35"/>
    <row r="272" s="13" customFormat="1" x14ac:dyDescent="0.35"/>
    <row r="273" s="13" customFormat="1" x14ac:dyDescent="0.35"/>
    <row r="274" s="13" customFormat="1" x14ac:dyDescent="0.35"/>
    <row r="275" s="13" customFormat="1" x14ac:dyDescent="0.35"/>
    <row r="276" s="13" customFormat="1" x14ac:dyDescent="0.35"/>
    <row r="277" s="13" customFormat="1" x14ac:dyDescent="0.35"/>
    <row r="278" s="13" customFormat="1" x14ac:dyDescent="0.35"/>
    <row r="279" s="13" customFormat="1" x14ac:dyDescent="0.35"/>
    <row r="280" s="13" customFormat="1" x14ac:dyDescent="0.35"/>
    <row r="281" s="13" customFormat="1" x14ac:dyDescent="0.35"/>
    <row r="282" s="13" customFormat="1" x14ac:dyDescent="0.35"/>
    <row r="283" s="13" customFormat="1" x14ac:dyDescent="0.35"/>
    <row r="284" s="13" customFormat="1" x14ac:dyDescent="0.35"/>
    <row r="285" s="13" customFormat="1" x14ac:dyDescent="0.35"/>
    <row r="286" s="13" customFormat="1" x14ac:dyDescent="0.35"/>
    <row r="287" s="13" customFormat="1" x14ac:dyDescent="0.35"/>
    <row r="288" s="13" customFormat="1" x14ac:dyDescent="0.35"/>
    <row r="289" s="13" customFormat="1" x14ac:dyDescent="0.35"/>
    <row r="290" s="13" customFormat="1" x14ac:dyDescent="0.35"/>
    <row r="291" s="13" customFormat="1" x14ac:dyDescent="0.35"/>
    <row r="292" s="13" customFormat="1" x14ac:dyDescent="0.35"/>
    <row r="293" s="13" customFormat="1" x14ac:dyDescent="0.35"/>
    <row r="294" s="13" customFormat="1" x14ac:dyDescent="0.35"/>
    <row r="295" s="13" customFormat="1" x14ac:dyDescent="0.35"/>
    <row r="296" s="13" customFormat="1" x14ac:dyDescent="0.35"/>
    <row r="297" s="13" customFormat="1" x14ac:dyDescent="0.35"/>
    <row r="298" s="13" customFormat="1" x14ac:dyDescent="0.35"/>
    <row r="299" s="13" customFormat="1" x14ac:dyDescent="0.35"/>
    <row r="300" s="13" customFormat="1" x14ac:dyDescent="0.35"/>
    <row r="301" s="13" customFormat="1" x14ac:dyDescent="0.35"/>
    <row r="302" s="13" customFormat="1" x14ac:dyDescent="0.35"/>
    <row r="303" s="13" customFormat="1" x14ac:dyDescent="0.35"/>
  </sheetData>
  <mergeCells count="3">
    <mergeCell ref="A4:A6"/>
    <mergeCell ref="A1:A3"/>
    <mergeCell ref="B1:B3"/>
  </mergeCells>
  <conditionalFormatting sqref="A4:C4 C4:C6 B5:C6">
    <cfRule type="expression" dxfId="152" priority="7467">
      <formula>IF(#REF!=#REF!,1,0)</formula>
    </cfRule>
  </conditionalFormatting>
  <hyperlinks>
    <hyperlink ref="B4" location="'Wniosek art 4a budowa'!A4" display="Budowa budynku" xr:uid="{00000000-0004-0000-0000-000014000000}"/>
    <hyperlink ref="B5" location="'Wniosek art 4a remont-przebudo'!A4" display="Remont lub przebudowa budynku" xr:uid="{00000000-0004-0000-0000-000016000000}"/>
    <hyperlink ref="B6" location="'Wniosek art. 4a kupno'!A4" display="kupnie budynku mieszkalnego albo udziału we własności budynku mieszkalnego" xr:uid="{00000000-0004-0000-0000-000027000000}"/>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39" id="{C18F1B9C-274B-4DF0-90AD-B0D31B9F94DC}">
            <xm:f>IF(#REF!=Słowniki!$A$29,1,0)</xm:f>
            <x14:dxf>
              <fill>
                <patternFill patternType="lightTrellis"/>
              </fill>
            </x14:dxf>
          </x14:cfRule>
          <x14:cfRule type="expression" priority="41" id="{3386B421-0B6C-456F-B878-C4C55DE4C4E6}">
            <xm:f>IF(#REF!=Słowniki!$A$24,1,0)</xm:f>
            <x14:dxf>
              <fill>
                <patternFill patternType="lightTrellis"/>
              </fill>
            </x14:dxf>
          </x14:cfRule>
          <xm:sqref>A4:C4 B5:C6</xm:sqref>
        </x14:conditionalFormatting>
        <x14:conditionalFormatting xmlns:xm="http://schemas.microsoft.com/office/excel/2006/main">
          <x14:cfRule type="expression" priority="43" id="{3B1EDE5B-4B1A-44D0-A492-ABD094936698}">
            <xm:f>IF(#REF!=Słowniki!$A$22,1,0)</xm:f>
            <x14:dxf>
              <fill>
                <patternFill patternType="lightTrellis"/>
              </fill>
            </x14:dxf>
          </x14:cfRule>
          <xm:sqref>B4:C4</xm:sqref>
        </x14:conditionalFormatting>
        <x14:conditionalFormatting xmlns:xm="http://schemas.microsoft.com/office/excel/2006/main">
          <x14:cfRule type="expression" priority="42" id="{C6897992-9F67-4E07-A39D-735FBA1AFF9E}">
            <xm:f>IF(#REF!=Słowniki!$A$23,1,0)</xm:f>
            <x14:dxf>
              <fill>
                <patternFill patternType="lightTrellis"/>
              </fill>
            </x14:dxf>
          </x14:cfRule>
          <xm:sqref>B4:C6</xm:sqref>
        </x14:conditionalFormatting>
        <x14:conditionalFormatting xmlns:xm="http://schemas.microsoft.com/office/excel/2006/main">
          <x14:cfRule type="expression" priority="44" id="{02BDF076-9FD4-4E79-8275-58D74A039CAE}">
            <xm:f>IF(#REF!=Słowniki!$A$21,1,0)</xm:f>
            <x14:dxf>
              <fill>
                <patternFill patternType="lightTrellis"/>
              </fill>
            </x14:dxf>
          </x14:cfRule>
          <xm:sqref>B5:C6</xm:sqref>
        </x14:conditionalFormatting>
        <x14:conditionalFormatting xmlns:xm="http://schemas.microsoft.com/office/excel/2006/main">
          <x14:cfRule type="expression" priority="1" id="{DD2E918F-E5E2-4B7A-8248-3212008BBBE8}">
            <xm:f>IF(#REF!=Słowniki!$A$22,1,0)</xm:f>
            <x14:dxf>
              <fill>
                <patternFill patternType="lightTrellis"/>
              </fill>
            </x14:dxf>
          </x14:cfRule>
          <xm:sqref>C5:C6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usz2"/>
  <dimension ref="A1:BB171"/>
  <sheetViews>
    <sheetView showGridLines="0" zoomScale="80" zoomScaleNormal="80" workbookViewId="0">
      <selection activeCell="A4" sqref="A4:F4"/>
    </sheetView>
  </sheetViews>
  <sheetFormatPr defaultColWidth="9.1796875" defaultRowHeight="14" x14ac:dyDescent="0.3"/>
  <cols>
    <col min="1" max="1" width="3.26953125" style="29" customWidth="1"/>
    <col min="2" max="2" width="4" style="29" customWidth="1"/>
    <col min="3" max="3" width="2.1796875" style="29" customWidth="1"/>
    <col min="4" max="4" width="2.54296875" style="29" customWidth="1"/>
    <col min="5" max="5" width="2" style="29" customWidth="1"/>
    <col min="6" max="6" width="1.7265625" style="29" customWidth="1"/>
    <col min="7" max="7" width="1.453125" style="29" customWidth="1"/>
    <col min="8" max="8" width="2.26953125" style="29" customWidth="1"/>
    <col min="9" max="9" width="2.453125" style="29" customWidth="1"/>
    <col min="10" max="10" width="1.54296875" style="29" customWidth="1"/>
    <col min="11" max="11" width="1.7265625" style="29" customWidth="1"/>
    <col min="12" max="12" width="5.26953125" style="29" customWidth="1"/>
    <col min="13" max="13" width="0.81640625" style="29" customWidth="1"/>
    <col min="14" max="14" width="3.453125" style="29" customWidth="1"/>
    <col min="15" max="15" width="2.54296875" style="29" customWidth="1"/>
    <col min="16" max="17" width="1.54296875" style="29" customWidth="1"/>
    <col min="18" max="18" width="1.26953125" style="29" customWidth="1"/>
    <col min="19" max="19" width="2.1796875" style="29" customWidth="1"/>
    <col min="20" max="20" width="1.26953125" style="29" customWidth="1"/>
    <col min="21" max="21" width="1" style="29" customWidth="1"/>
    <col min="22" max="22" width="0.81640625" style="29" customWidth="1"/>
    <col min="23" max="23" width="3" style="29" customWidth="1"/>
    <col min="24" max="24" width="1.26953125" style="29" customWidth="1"/>
    <col min="25" max="25" width="1.453125" style="29" customWidth="1"/>
    <col min="26" max="26" width="1.26953125" style="29" customWidth="1"/>
    <col min="27" max="27" width="1.1796875" style="29" customWidth="1"/>
    <col min="28" max="28" width="2" style="29" customWidth="1"/>
    <col min="29" max="29" width="1" style="29" customWidth="1"/>
    <col min="30" max="30" width="1.81640625" style="29" customWidth="1"/>
    <col min="31" max="31" width="1.7265625" style="29" customWidth="1"/>
    <col min="32" max="32" width="1.1796875" style="29" customWidth="1"/>
    <col min="33" max="33" width="1.81640625" style="29" customWidth="1"/>
    <col min="34" max="34" width="2.26953125" style="29" customWidth="1"/>
    <col min="35" max="35" width="1.453125" style="29" customWidth="1"/>
    <col min="36" max="36" width="4" style="29" customWidth="1"/>
    <col min="37" max="37" width="9.1796875" style="29" customWidth="1"/>
    <col min="38" max="38" width="5.7265625" style="29" customWidth="1"/>
    <col min="39" max="39" width="114.1796875" style="44" customWidth="1"/>
    <col min="40" max="41" width="10.81640625" style="30" bestFit="1" customWidth="1"/>
    <col min="42" max="42" width="10.453125" style="29" bestFit="1" customWidth="1"/>
    <col min="43" max="16384" width="9.1796875" style="29"/>
  </cols>
  <sheetData>
    <row r="1" spans="1:54" ht="29" customHeight="1" x14ac:dyDescent="0.3">
      <c r="A1" s="150" t="s">
        <v>846</v>
      </c>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42"/>
      <c r="AN1" s="37"/>
      <c r="AO1" s="37"/>
      <c r="AP1" s="37"/>
      <c r="AQ1" s="37"/>
      <c r="AR1" s="37"/>
      <c r="AS1" s="37"/>
      <c r="AT1" s="37"/>
      <c r="AU1" s="37"/>
      <c r="AV1" s="37"/>
      <c r="AW1" s="37"/>
      <c r="AX1" s="37"/>
      <c r="AY1" s="37"/>
      <c r="AZ1" s="37"/>
      <c r="BA1" s="37"/>
      <c r="BB1" s="37"/>
    </row>
    <row r="2" spans="1:54" x14ac:dyDescent="0.3">
      <c r="A2" s="36" t="s">
        <v>115</v>
      </c>
      <c r="B2" s="36"/>
      <c r="C2" s="36"/>
      <c r="D2" s="36"/>
      <c r="E2" s="36"/>
      <c r="F2" s="36"/>
      <c r="G2" s="36"/>
      <c r="H2" s="36"/>
      <c r="I2" s="36"/>
      <c r="J2" s="36"/>
      <c r="K2" s="36"/>
      <c r="L2" s="36"/>
      <c r="M2" s="36"/>
      <c r="N2" s="36"/>
      <c r="O2" s="36"/>
      <c r="P2" s="36"/>
      <c r="Q2" s="37"/>
      <c r="R2" s="37"/>
      <c r="S2" s="37"/>
      <c r="T2" s="37"/>
      <c r="U2" s="38"/>
      <c r="V2" s="38"/>
      <c r="W2" s="38"/>
      <c r="X2" s="38"/>
      <c r="Y2" s="39"/>
      <c r="Z2" s="38"/>
      <c r="AB2" s="38"/>
      <c r="AC2" s="38"/>
      <c r="AD2" s="38"/>
      <c r="AE2" s="38"/>
      <c r="AF2" s="38"/>
      <c r="AG2" s="38"/>
      <c r="AH2" s="38"/>
      <c r="AI2" s="38"/>
      <c r="AJ2" s="38"/>
      <c r="AK2" s="38"/>
      <c r="AL2" s="38"/>
      <c r="AM2" s="42"/>
      <c r="AN2" s="37"/>
      <c r="AO2" s="37"/>
      <c r="AP2" s="37"/>
      <c r="AQ2" s="37"/>
      <c r="AR2" s="37"/>
      <c r="AS2" s="37"/>
      <c r="AT2" s="37"/>
      <c r="AU2" s="37"/>
      <c r="AV2" s="37"/>
      <c r="AW2" s="37"/>
      <c r="AX2" s="37"/>
      <c r="AY2" s="37"/>
      <c r="AZ2" s="37"/>
      <c r="BA2" s="37"/>
      <c r="BB2" s="37"/>
    </row>
    <row r="3" spans="1:54" x14ac:dyDescent="0.3">
      <c r="AM3" s="49" t="s">
        <v>133</v>
      </c>
    </row>
    <row r="4" spans="1:54" ht="14.5" x14ac:dyDescent="0.35">
      <c r="A4" s="269"/>
      <c r="B4" s="270"/>
      <c r="C4" s="270"/>
      <c r="D4" s="270"/>
      <c r="E4" s="270"/>
      <c r="F4" s="270"/>
      <c r="G4" s="52"/>
      <c r="H4" s="271">
        <f ca="1">TODAY()</f>
        <v>46059</v>
      </c>
      <c r="I4" s="271"/>
      <c r="J4" s="271"/>
      <c r="K4" s="271"/>
      <c r="L4" s="271"/>
      <c r="M4" s="51"/>
      <c r="N4"/>
      <c r="O4"/>
      <c r="P4"/>
      <c r="Q4"/>
      <c r="R4"/>
      <c r="S4"/>
      <c r="T4"/>
      <c r="U4"/>
      <c r="V4"/>
      <c r="W4"/>
      <c r="X4"/>
      <c r="Y4"/>
      <c r="Z4"/>
      <c r="AA4" s="51"/>
      <c r="AB4" s="51"/>
      <c r="AC4" s="51"/>
      <c r="AD4" s="51"/>
      <c r="AE4" s="51"/>
      <c r="AF4" s="51"/>
      <c r="AG4" s="51"/>
      <c r="AH4" s="51"/>
      <c r="AI4" s="51"/>
      <c r="AJ4" s="51"/>
      <c r="AK4" s="51"/>
      <c r="AL4" s="51"/>
    </row>
    <row r="5" spans="1:54" ht="14.5" x14ac:dyDescent="0.35">
      <c r="A5" s="272" t="s">
        <v>117</v>
      </c>
      <c r="B5" s="272"/>
      <c r="C5" s="272"/>
      <c r="D5" s="272"/>
      <c r="E5" s="272"/>
      <c r="F5" s="272"/>
      <c r="G5" s="54"/>
      <c r="H5" s="272" t="s">
        <v>116</v>
      </c>
      <c r="I5" s="272"/>
      <c r="J5" s="272"/>
      <c r="K5" s="272"/>
      <c r="L5" s="272"/>
      <c r="M5" s="51"/>
      <c r="N5"/>
      <c r="O5"/>
      <c r="P5"/>
      <c r="Q5"/>
      <c r="R5"/>
      <c r="S5"/>
      <c r="T5"/>
      <c r="U5"/>
      <c r="V5"/>
      <c r="W5"/>
      <c r="X5"/>
      <c r="Y5"/>
      <c r="Z5"/>
      <c r="AA5" s="51"/>
      <c r="AB5" s="51"/>
      <c r="AC5" s="51"/>
      <c r="AD5" s="51"/>
      <c r="AE5" s="51"/>
      <c r="AF5" s="51"/>
      <c r="AG5" s="51"/>
      <c r="AH5" s="51"/>
      <c r="AI5" s="51"/>
      <c r="AJ5" s="51"/>
      <c r="AK5" s="51"/>
      <c r="AL5" s="51"/>
      <c r="AM5" s="212"/>
      <c r="AN5" s="212"/>
      <c r="AO5" s="212"/>
      <c r="AP5" s="212"/>
      <c r="AQ5" s="212"/>
      <c r="AR5" s="212"/>
    </row>
    <row r="6" spans="1:54" ht="14.5" x14ac:dyDescent="0.35">
      <c r="A6" s="83"/>
      <c r="B6" s="83"/>
      <c r="C6" s="83"/>
      <c r="D6" s="83"/>
      <c r="E6" s="83"/>
      <c r="F6" s="83"/>
      <c r="G6" s="54"/>
      <c r="H6" s="51"/>
      <c r="I6" s="51"/>
      <c r="J6" s="51"/>
      <c r="K6" s="51"/>
      <c r="L6" s="51"/>
      <c r="M6" s="51"/>
      <c r="N6"/>
      <c r="O6"/>
      <c r="P6"/>
      <c r="Q6"/>
      <c r="R6"/>
      <c r="S6"/>
      <c r="T6"/>
      <c r="U6"/>
      <c r="V6"/>
      <c r="W6"/>
      <c r="X6"/>
      <c r="Y6"/>
      <c r="Z6"/>
      <c r="AA6" s="51"/>
      <c r="AB6" s="51"/>
      <c r="AC6" s="51"/>
      <c r="AD6" s="51"/>
      <c r="AE6" s="51"/>
      <c r="AF6" s="51"/>
      <c r="AG6" s="51"/>
      <c r="AH6" s="51"/>
      <c r="AI6" s="51"/>
      <c r="AJ6" s="51"/>
      <c r="AK6" s="51"/>
      <c r="AL6" s="51"/>
    </row>
    <row r="7" spans="1:54" ht="27.5" customHeight="1" x14ac:dyDescent="0.3">
      <c r="A7" s="151" t="s">
        <v>802</v>
      </c>
      <c r="B7" s="151"/>
      <c r="C7" s="151"/>
      <c r="D7" s="151"/>
      <c r="E7" s="151"/>
      <c r="F7" s="151"/>
      <c r="G7" s="151" t="s">
        <v>803</v>
      </c>
      <c r="H7" s="151"/>
      <c r="I7" s="151"/>
      <c r="J7" s="151"/>
      <c r="K7" s="151"/>
      <c r="L7" s="151"/>
      <c r="M7" s="130"/>
      <c r="N7" s="279"/>
      <c r="O7" s="279"/>
      <c r="P7" s="279"/>
      <c r="Q7" s="131"/>
      <c r="R7" s="151" t="s">
        <v>804</v>
      </c>
      <c r="S7" s="151"/>
      <c r="T7" s="151"/>
      <c r="U7" s="151"/>
      <c r="V7" s="151"/>
      <c r="W7" s="151"/>
      <c r="X7" s="151"/>
      <c r="Y7" s="151"/>
      <c r="Z7" s="151"/>
      <c r="AA7" s="151"/>
      <c r="AB7" s="279"/>
      <c r="AC7" s="279"/>
      <c r="AD7" s="279"/>
      <c r="AE7" s="279"/>
      <c r="AF7" s="131"/>
      <c r="AG7" s="131"/>
      <c r="AH7" s="131"/>
      <c r="AI7" s="131"/>
      <c r="AJ7" s="131"/>
      <c r="AK7" s="131"/>
      <c r="AL7" s="131"/>
    </row>
    <row r="8" spans="1:54" ht="32" customHeight="1" x14ac:dyDescent="0.3">
      <c r="A8" s="151" t="s">
        <v>805</v>
      </c>
      <c r="B8" s="151"/>
      <c r="C8" s="151"/>
      <c r="D8" s="151"/>
      <c r="E8" s="151"/>
      <c r="F8" s="151"/>
      <c r="G8" s="151"/>
      <c r="H8" s="151"/>
      <c r="I8" s="151"/>
      <c r="J8" s="151"/>
      <c r="K8" s="151"/>
      <c r="L8" s="151"/>
      <c r="M8" s="151"/>
      <c r="N8" s="151"/>
      <c r="O8" s="151"/>
      <c r="P8" s="151"/>
      <c r="Q8" s="152"/>
      <c r="R8" s="152"/>
      <c r="S8" s="152"/>
      <c r="T8" s="152"/>
      <c r="U8" s="152"/>
      <c r="V8" s="152"/>
      <c r="W8" s="152"/>
      <c r="X8" s="152"/>
      <c r="Y8" s="152"/>
      <c r="Z8" s="152"/>
      <c r="AA8" s="152"/>
      <c r="AB8" s="152"/>
      <c r="AC8" s="152"/>
      <c r="AD8" s="152"/>
      <c r="AE8" s="152"/>
      <c r="AF8" s="152"/>
      <c r="AG8" s="152"/>
      <c r="AH8" s="152"/>
      <c r="AI8" s="152"/>
      <c r="AJ8" s="152"/>
      <c r="AK8" s="152"/>
      <c r="AL8" s="152"/>
      <c r="AM8" s="44" t="s">
        <v>806</v>
      </c>
    </row>
    <row r="9" spans="1:54" ht="105" customHeight="1" x14ac:dyDescent="0.3">
      <c r="A9" s="151" t="s">
        <v>919</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row>
    <row r="10" spans="1:54" ht="14.5" x14ac:dyDescent="0.35">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row>
    <row r="11" spans="1:54" ht="14.5" x14ac:dyDescent="0.3">
      <c r="A11" s="275" t="s">
        <v>104</v>
      </c>
      <c r="B11" s="275"/>
      <c r="C11" s="275"/>
      <c r="D11" s="275"/>
      <c r="E11" s="275"/>
      <c r="F11" s="275"/>
      <c r="G11" s="275"/>
      <c r="H11" s="275"/>
      <c r="I11" s="275"/>
      <c r="J11" s="275"/>
      <c r="K11" s="275"/>
      <c r="L11" s="275"/>
      <c r="M11" s="275"/>
      <c r="N11" s="275"/>
      <c r="O11" s="275"/>
      <c r="P11" s="275"/>
      <c r="Q11" s="275"/>
      <c r="R11" s="275"/>
      <c r="S11" s="275"/>
      <c r="T11" s="275"/>
      <c r="U11" s="275"/>
      <c r="V11" s="275"/>
      <c r="W11" s="275"/>
      <c r="X11" s="275"/>
      <c r="Y11" s="275"/>
      <c r="Z11" s="275"/>
      <c r="AA11" s="275"/>
      <c r="AB11" s="275"/>
      <c r="AC11" s="275"/>
      <c r="AD11" s="275"/>
      <c r="AE11" s="275"/>
      <c r="AF11" s="275"/>
      <c r="AG11" s="275"/>
      <c r="AH11" s="275"/>
      <c r="AI11" s="275"/>
      <c r="AJ11" s="275"/>
      <c r="AK11" s="275"/>
      <c r="AL11" s="275"/>
    </row>
    <row r="12" spans="1:54" ht="14.5" x14ac:dyDescent="0.3">
      <c r="A12" s="232" t="s">
        <v>105</v>
      </c>
      <c r="B12" s="232"/>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32"/>
      <c r="AH12" s="232"/>
      <c r="AI12" s="232"/>
      <c r="AJ12" s="232"/>
      <c r="AK12" s="232"/>
      <c r="AL12" s="232"/>
    </row>
    <row r="13" spans="1:54" ht="17.25" customHeight="1" x14ac:dyDescent="0.3">
      <c r="A13" s="276" t="s">
        <v>798</v>
      </c>
      <c r="B13" s="276"/>
      <c r="C13" s="276"/>
      <c r="D13" s="276"/>
      <c r="E13" s="276"/>
      <c r="F13" s="276"/>
      <c r="G13" s="276"/>
      <c r="H13" s="276"/>
      <c r="I13" s="276"/>
      <c r="J13" s="276"/>
      <c r="K13" s="276"/>
      <c r="L13" s="276"/>
      <c r="M13" s="276"/>
      <c r="N13" s="276"/>
      <c r="O13" s="276"/>
      <c r="P13" s="276"/>
      <c r="Q13" s="276"/>
      <c r="R13" s="276"/>
      <c r="S13" s="276"/>
      <c r="T13" s="276"/>
      <c r="U13" s="276"/>
      <c r="V13" s="276"/>
      <c r="W13" s="276"/>
      <c r="X13" s="276"/>
      <c r="Y13" s="276"/>
      <c r="Z13" s="276"/>
      <c r="AA13" s="276"/>
      <c r="AB13" s="276"/>
      <c r="AC13" s="276"/>
      <c r="AD13" s="276"/>
      <c r="AE13" s="276"/>
      <c r="AF13" s="276"/>
      <c r="AG13" s="276"/>
      <c r="AH13" s="276"/>
      <c r="AI13" s="276"/>
      <c r="AJ13" s="276"/>
      <c r="AK13" s="276"/>
      <c r="AL13" s="276"/>
    </row>
    <row r="14" spans="1:54" x14ac:dyDescent="0.3">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row>
    <row r="15" spans="1:54" ht="14.5" x14ac:dyDescent="0.35">
      <c r="A15" s="277" t="s">
        <v>71</v>
      </c>
      <c r="B15" s="277"/>
      <c r="C15" s="277"/>
      <c r="D15" s="277"/>
      <c r="E15" s="277"/>
      <c r="F15" s="277"/>
      <c r="G15" s="277"/>
      <c r="H15" s="277"/>
      <c r="I15" s="277"/>
      <c r="J15" s="277"/>
      <c r="K15" s="277"/>
      <c r="L15" s="277"/>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89"/>
    </row>
    <row r="16" spans="1:54" ht="14.5" x14ac:dyDescent="0.3">
      <c r="A16" s="232" t="s">
        <v>1</v>
      </c>
      <c r="B16" s="278" t="s">
        <v>63</v>
      </c>
      <c r="C16" s="278"/>
      <c r="D16" s="278"/>
      <c r="E16" s="278"/>
      <c r="F16" s="278"/>
      <c r="G16" s="278"/>
      <c r="H16" s="278"/>
      <c r="I16" s="278"/>
      <c r="J16" s="278"/>
      <c r="K16" s="278"/>
      <c r="L16" s="278"/>
      <c r="M16" s="278"/>
      <c r="N16" s="278"/>
      <c r="O16" s="278"/>
      <c r="P16" s="278"/>
      <c r="Q16" s="278"/>
      <c r="R16" s="278"/>
      <c r="S16" s="278"/>
      <c r="T16" s="278"/>
      <c r="U16" s="278"/>
      <c r="V16" s="278"/>
      <c r="W16" s="278"/>
      <c r="X16" s="278"/>
      <c r="Y16" s="278"/>
      <c r="Z16" s="278"/>
      <c r="AA16" s="278"/>
      <c r="AB16" s="278"/>
      <c r="AC16" s="278"/>
      <c r="AD16" s="278"/>
      <c r="AE16" s="278"/>
      <c r="AF16" s="278"/>
      <c r="AG16" s="278"/>
      <c r="AH16" s="278"/>
      <c r="AI16" s="278"/>
      <c r="AJ16" s="278"/>
      <c r="AK16" s="278"/>
      <c r="AL16" s="278"/>
    </row>
    <row r="17" spans="1:39" ht="19.5" customHeight="1" x14ac:dyDescent="0.3">
      <c r="A17" s="232"/>
      <c r="B17" s="152" t="s">
        <v>852</v>
      </c>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row>
    <row r="18" spans="1:39" ht="14.5" x14ac:dyDescent="0.35">
      <c r="A18" s="232" t="s">
        <v>4</v>
      </c>
      <c r="B18" s="235" t="s">
        <v>64</v>
      </c>
      <c r="C18" s="235"/>
      <c r="D18" s="235"/>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c r="AC18" s="235"/>
      <c r="AD18" s="235"/>
      <c r="AE18" s="235"/>
      <c r="AF18" s="235"/>
      <c r="AG18" s="235"/>
      <c r="AH18" s="235"/>
      <c r="AI18" s="235"/>
      <c r="AJ18" s="235"/>
      <c r="AK18" s="235"/>
      <c r="AL18" s="235"/>
      <c r="AM18" s="58" t="s">
        <v>809</v>
      </c>
    </row>
    <row r="19" spans="1:39" ht="14.5" x14ac:dyDescent="0.3">
      <c r="A19" s="232"/>
      <c r="B19" s="273"/>
      <c r="C19" s="274"/>
      <c r="D19" s="274"/>
      <c r="E19" s="274"/>
      <c r="F19" s="274"/>
      <c r="G19" s="274"/>
      <c r="H19" s="274"/>
      <c r="I19" s="274"/>
      <c r="J19" s="274"/>
      <c r="K19" s="274"/>
      <c r="L19" s="274"/>
      <c r="M19" s="274"/>
      <c r="N19" s="274"/>
      <c r="O19" s="274"/>
      <c r="P19" s="274"/>
      <c r="Q19" s="274"/>
      <c r="R19" s="274"/>
      <c r="S19" s="274"/>
      <c r="T19" s="274"/>
      <c r="U19" s="274"/>
      <c r="V19" s="274"/>
      <c r="W19" s="274"/>
      <c r="X19" s="274"/>
      <c r="Y19" s="274"/>
      <c r="Z19" s="274"/>
      <c r="AA19" s="274"/>
      <c r="AB19" s="274"/>
      <c r="AC19" s="274"/>
      <c r="AD19" s="274"/>
      <c r="AE19" s="274"/>
      <c r="AF19" s="274"/>
      <c r="AG19" s="274"/>
      <c r="AH19" s="274"/>
      <c r="AI19" s="274"/>
      <c r="AJ19" s="274"/>
      <c r="AK19" s="274"/>
      <c r="AL19" s="274"/>
    </row>
    <row r="20" spans="1:39" ht="29" customHeight="1" x14ac:dyDescent="0.35">
      <c r="A20" s="232" t="s">
        <v>6</v>
      </c>
      <c r="B20" s="153" t="s">
        <v>811</v>
      </c>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58" t="s">
        <v>799</v>
      </c>
    </row>
    <row r="21" spans="1:39" ht="14.5" x14ac:dyDescent="0.3">
      <c r="A21" s="232"/>
      <c r="B21" s="154"/>
      <c r="C21" s="154"/>
      <c r="D21" s="154"/>
      <c r="E21" s="154"/>
      <c r="F21" s="154"/>
      <c r="G21" s="154"/>
      <c r="H21" s="154"/>
      <c r="I21" s="154"/>
      <c r="J21" s="154"/>
      <c r="K21" s="154"/>
      <c r="L21" s="154"/>
      <c r="M21" s="154"/>
      <c r="N21" s="154"/>
      <c r="O21" s="154"/>
      <c r="P21" s="154"/>
      <c r="Q21" s="154"/>
      <c r="R21" s="154"/>
      <c r="S21" s="154"/>
      <c r="T21" s="154"/>
      <c r="U21" s="154"/>
      <c r="V21" s="154"/>
      <c r="W21" s="154"/>
      <c r="X21" s="154"/>
      <c r="Y21" s="154"/>
      <c r="Z21" s="154"/>
      <c r="AA21" s="154"/>
      <c r="AB21" s="154"/>
      <c r="AC21" s="154"/>
      <c r="AD21" s="154"/>
      <c r="AE21" s="154"/>
      <c r="AF21" s="154"/>
      <c r="AG21" s="154"/>
      <c r="AH21" s="154"/>
      <c r="AI21" s="154"/>
      <c r="AJ21" s="154"/>
      <c r="AK21" s="154"/>
      <c r="AL21" s="154"/>
    </row>
    <row r="22" spans="1:39" ht="44" customHeight="1" x14ac:dyDescent="0.35">
      <c r="A22" s="232"/>
      <c r="B22" s="310" t="s">
        <v>853</v>
      </c>
      <c r="C22" s="310"/>
      <c r="D22" s="310"/>
      <c r="E22" s="310"/>
      <c r="F22" s="310"/>
      <c r="G22" s="310"/>
      <c r="H22" s="310"/>
      <c r="I22" s="310"/>
      <c r="J22" s="310"/>
      <c r="K22" s="310"/>
      <c r="L22" s="310"/>
      <c r="M22" s="310"/>
      <c r="N22" s="310"/>
      <c r="O22" s="310"/>
      <c r="P22" s="310"/>
      <c r="Q22" s="310"/>
      <c r="R22" s="310"/>
      <c r="S22" s="310"/>
      <c r="T22" s="310"/>
      <c r="U22" s="310"/>
      <c r="V22" s="310"/>
      <c r="W22" s="310"/>
      <c r="X22" s="310"/>
      <c r="Y22" s="310"/>
      <c r="Z22" s="310"/>
      <c r="AA22" s="310"/>
      <c r="AB22" s="310"/>
      <c r="AC22" s="310"/>
      <c r="AD22" s="310"/>
      <c r="AE22" s="310"/>
      <c r="AF22" s="310"/>
      <c r="AG22" s="310"/>
      <c r="AH22" s="310"/>
      <c r="AI22" s="310"/>
      <c r="AJ22" s="310"/>
      <c r="AK22" s="310"/>
      <c r="AL22" s="310"/>
      <c r="AM22" s="133" t="s">
        <v>807</v>
      </c>
    </row>
    <row r="23" spans="1:39" ht="14.5" x14ac:dyDescent="0.3">
      <c r="A23" s="232"/>
      <c r="B23" s="273"/>
      <c r="C23" s="273"/>
      <c r="D23" s="273"/>
      <c r="E23" s="273"/>
      <c r="F23" s="273"/>
      <c r="G23" s="273"/>
      <c r="H23" s="273"/>
      <c r="I23" s="273"/>
      <c r="J23" s="273"/>
      <c r="K23" s="273"/>
      <c r="L23" s="273"/>
      <c r="M23" s="273"/>
      <c r="N23" s="273"/>
      <c r="O23" s="273"/>
      <c r="P23" s="273"/>
      <c r="Q23" s="273"/>
      <c r="R23" s="273"/>
      <c r="S23" s="273"/>
      <c r="T23" s="273"/>
      <c r="U23" s="273"/>
      <c r="V23" s="273"/>
      <c r="W23" s="273"/>
      <c r="X23" s="273"/>
      <c r="Y23" s="273"/>
      <c r="Z23" s="273"/>
      <c r="AA23" s="273"/>
      <c r="AB23" s="273"/>
      <c r="AC23" s="273"/>
      <c r="AD23" s="273"/>
      <c r="AE23" s="273"/>
      <c r="AF23" s="273"/>
      <c r="AG23" s="273"/>
      <c r="AH23" s="273"/>
      <c r="AI23" s="273"/>
      <c r="AJ23" s="273"/>
      <c r="AK23" s="273"/>
      <c r="AL23" s="273"/>
    </row>
    <row r="24" spans="1:39" ht="14.5" x14ac:dyDescent="0.35">
      <c r="A24" s="231" t="s">
        <v>7</v>
      </c>
      <c r="B24" s="235" t="s">
        <v>65</v>
      </c>
      <c r="C24" s="235"/>
      <c r="D24" s="235"/>
      <c r="E24" s="235"/>
      <c r="F24" s="235"/>
      <c r="G24" s="235"/>
      <c r="H24" s="235"/>
      <c r="I24" s="235"/>
      <c r="J24" s="235"/>
      <c r="K24" s="235"/>
      <c r="L24" s="235"/>
      <c r="M24" s="235"/>
      <c r="N24" s="235"/>
      <c r="O24" s="235"/>
      <c r="P24" s="235"/>
      <c r="Q24" s="235"/>
      <c r="R24" s="235"/>
      <c r="S24" s="235"/>
      <c r="T24" s="235"/>
      <c r="U24" s="235"/>
      <c r="V24" s="235"/>
      <c r="W24" s="290" t="s">
        <v>178</v>
      </c>
      <c r="X24" s="235"/>
      <c r="Y24" s="235"/>
      <c r="Z24" s="235"/>
      <c r="AA24" s="235"/>
      <c r="AB24" s="235"/>
      <c r="AC24" s="235"/>
      <c r="AD24" s="235"/>
      <c r="AE24" s="235"/>
      <c r="AF24" s="235"/>
      <c r="AG24" s="235"/>
      <c r="AH24" s="235"/>
      <c r="AI24" s="235"/>
      <c r="AJ24" s="235"/>
      <c r="AK24" s="235"/>
      <c r="AL24" s="235"/>
      <c r="AM24" s="58" t="s">
        <v>808</v>
      </c>
    </row>
    <row r="25" spans="1:39" ht="14.5" x14ac:dyDescent="0.35">
      <c r="A25" s="231"/>
      <c r="B25" s="291"/>
      <c r="C25" s="291"/>
      <c r="D25" s="291"/>
      <c r="E25" s="291"/>
      <c r="F25" s="291"/>
      <c r="G25" s="291"/>
      <c r="H25" s="291"/>
      <c r="I25" s="291"/>
      <c r="J25" s="291"/>
      <c r="K25" s="291"/>
      <c r="L25" s="291"/>
      <c r="M25" s="291"/>
      <c r="N25" s="291"/>
      <c r="O25" s="291"/>
      <c r="P25" s="291"/>
      <c r="Q25" s="291"/>
      <c r="R25" s="291"/>
      <c r="S25" s="291"/>
      <c r="T25" s="291"/>
      <c r="U25" s="291"/>
      <c r="V25" s="291"/>
      <c r="W25" s="292"/>
      <c r="X25" s="292"/>
      <c r="Y25" s="292"/>
      <c r="Z25" s="292"/>
      <c r="AA25" s="292"/>
      <c r="AB25" s="292"/>
      <c r="AC25" s="292"/>
      <c r="AD25" s="292"/>
      <c r="AE25" s="292"/>
      <c r="AF25" s="292"/>
      <c r="AG25" s="292"/>
      <c r="AH25" s="292"/>
      <c r="AI25" s="292"/>
      <c r="AJ25" s="292"/>
      <c r="AK25" s="292"/>
      <c r="AL25" s="292"/>
    </row>
    <row r="26" spans="1:39" ht="14.5" x14ac:dyDescent="0.3">
      <c r="A26" s="231" t="s">
        <v>9</v>
      </c>
      <c r="B26" s="235" t="s">
        <v>66</v>
      </c>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row>
    <row r="27" spans="1:39" ht="14.5" x14ac:dyDescent="0.3">
      <c r="A27" s="232"/>
      <c r="B27" s="235" t="s">
        <v>137</v>
      </c>
      <c r="C27" s="235"/>
      <c r="D27" s="235"/>
      <c r="E27" s="235"/>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235"/>
      <c r="AJ27" s="235"/>
      <c r="AK27" s="235"/>
      <c r="AL27" s="235"/>
    </row>
    <row r="28" spans="1:39" ht="14.5" x14ac:dyDescent="0.3">
      <c r="A28" s="232"/>
      <c r="B28" s="154"/>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row>
    <row r="29" spans="1:39" ht="14.5" x14ac:dyDescent="0.3">
      <c r="A29" s="232"/>
      <c r="B29" s="234" t="s">
        <v>621</v>
      </c>
      <c r="C29" s="235"/>
      <c r="D29" s="235"/>
      <c r="E29" s="235"/>
      <c r="F29" s="235"/>
      <c r="G29" s="235"/>
      <c r="H29" s="235"/>
      <c r="I29" s="235"/>
      <c r="J29" s="235"/>
      <c r="K29" s="235"/>
      <c r="L29" s="235"/>
      <c r="M29" s="235"/>
      <c r="N29" s="235"/>
      <c r="O29" s="235"/>
      <c r="P29" s="235"/>
      <c r="Q29" s="235"/>
      <c r="R29" s="235"/>
      <c r="S29" s="235"/>
      <c r="T29" s="235"/>
      <c r="U29" s="235"/>
      <c r="V29" s="235"/>
      <c r="W29" s="235"/>
      <c r="X29" s="235"/>
      <c r="Y29" s="235"/>
      <c r="Z29" s="235"/>
      <c r="AA29" s="235"/>
      <c r="AB29" s="235"/>
      <c r="AC29" s="235"/>
      <c r="AD29" s="235"/>
      <c r="AE29" s="235"/>
      <c r="AF29" s="235"/>
      <c r="AG29" s="235"/>
      <c r="AH29" s="235"/>
      <c r="AI29" s="235"/>
      <c r="AJ29" s="235"/>
      <c r="AK29" s="235"/>
      <c r="AL29" s="235"/>
    </row>
    <row r="30" spans="1:39" ht="14.5" x14ac:dyDescent="0.3">
      <c r="A30" s="232"/>
      <c r="B30" s="154"/>
      <c r="C30" s="286"/>
      <c r="D30" s="286"/>
      <c r="E30" s="286"/>
      <c r="F30" s="286"/>
      <c r="G30" s="286"/>
      <c r="H30" s="286"/>
      <c r="I30" s="286"/>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row>
    <row r="31" spans="1:39" ht="14.5" x14ac:dyDescent="0.3">
      <c r="A31" s="232"/>
      <c r="B31" s="235" t="s">
        <v>138</v>
      </c>
      <c r="C31" s="235"/>
      <c r="D31" s="235"/>
      <c r="E31" s="235"/>
      <c r="F31" s="235"/>
      <c r="G31" s="235"/>
      <c r="H31" s="235"/>
      <c r="I31" s="235"/>
      <c r="J31" s="235"/>
      <c r="K31" s="235"/>
      <c r="L31" s="235"/>
      <c r="M31" s="235"/>
      <c r="N31" s="235"/>
      <c r="O31" s="235"/>
      <c r="P31" s="235"/>
      <c r="Q31" s="235"/>
      <c r="R31" s="235"/>
      <c r="S31" s="235"/>
      <c r="T31" s="235"/>
      <c r="U31" s="235"/>
      <c r="V31" s="235"/>
      <c r="W31" s="235"/>
      <c r="X31" s="235"/>
      <c r="Y31" s="235"/>
      <c r="Z31" s="235"/>
      <c r="AA31" s="235"/>
      <c r="AB31" s="235"/>
      <c r="AC31" s="235"/>
      <c r="AD31" s="235"/>
      <c r="AE31" s="235"/>
      <c r="AF31" s="235"/>
      <c r="AG31" s="235"/>
      <c r="AH31" s="235"/>
      <c r="AI31" s="235"/>
      <c r="AJ31" s="235"/>
      <c r="AK31" s="235"/>
      <c r="AL31" s="235"/>
    </row>
    <row r="32" spans="1:39" ht="14.5" x14ac:dyDescent="0.3">
      <c r="A32" s="232"/>
      <c r="B32" s="154"/>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59" t="s">
        <v>139</v>
      </c>
    </row>
    <row r="33" spans="1:43" ht="14.5" x14ac:dyDescent="0.3">
      <c r="A33" s="232"/>
      <c r="B33" s="288" t="s">
        <v>673</v>
      </c>
      <c r="C33" s="235"/>
      <c r="D33" s="235"/>
      <c r="E33" s="235"/>
      <c r="F33" s="235"/>
      <c r="G33" s="235"/>
      <c r="H33" s="235"/>
      <c r="I33" s="235"/>
      <c r="J33" s="235"/>
      <c r="K33" s="235"/>
      <c r="L33" s="235"/>
      <c r="M33" s="235"/>
      <c r="N33" s="235"/>
      <c r="O33" s="235"/>
      <c r="P33" s="235"/>
      <c r="Q33" s="235"/>
      <c r="R33" s="235"/>
      <c r="S33" s="235"/>
      <c r="T33" s="235"/>
      <c r="U33" s="235"/>
      <c r="V33" s="235"/>
      <c r="W33" s="235"/>
      <c r="X33" s="235"/>
      <c r="Y33" s="235"/>
      <c r="Z33" s="235"/>
      <c r="AA33" s="235"/>
      <c r="AB33" s="235"/>
      <c r="AC33" s="235"/>
      <c r="AD33" s="235"/>
      <c r="AE33" s="235"/>
      <c r="AF33" s="235"/>
      <c r="AG33" s="235"/>
      <c r="AH33" s="235"/>
      <c r="AI33" s="235"/>
      <c r="AJ33" s="235"/>
      <c r="AK33" s="235"/>
      <c r="AL33" s="235"/>
      <c r="AM33" s="59"/>
    </row>
    <row r="34" spans="1:43" ht="14.5" x14ac:dyDescent="0.3">
      <c r="A34" s="232"/>
      <c r="B34" s="154"/>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59" t="s">
        <v>139</v>
      </c>
    </row>
    <row r="35" spans="1:43" ht="37.5" customHeight="1" x14ac:dyDescent="0.3">
      <c r="A35" s="231" t="s">
        <v>581</v>
      </c>
      <c r="B35" s="287" t="s">
        <v>668</v>
      </c>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c r="AF35" s="287"/>
      <c r="AG35" s="287"/>
      <c r="AH35" s="287"/>
      <c r="AI35" s="287"/>
      <c r="AJ35" s="287"/>
      <c r="AK35" s="287"/>
      <c r="AL35" s="287"/>
      <c r="AM35" s="59"/>
    </row>
    <row r="36" spans="1:43" ht="14.5" x14ac:dyDescent="0.35">
      <c r="A36" s="232"/>
      <c r="B36" s="293"/>
      <c r="C36" s="293"/>
      <c r="D36" s="293"/>
      <c r="E36" s="293"/>
      <c r="F36" s="293"/>
      <c r="G36" s="293"/>
      <c r="H36" s="293"/>
      <c r="I36" s="293"/>
      <c r="J36" s="293"/>
      <c r="K36" s="293"/>
      <c r="L36" s="293"/>
      <c r="M36" s="293"/>
      <c r="N36" s="293"/>
      <c r="O36" s="293"/>
      <c r="P36" s="293"/>
      <c r="Q36" s="293"/>
      <c r="R36" s="293"/>
      <c r="S36" s="293"/>
      <c r="T36" s="289" t="str" cm="1">
        <f t="array" ref="T36">LEFT(B36,2)&amp;" "&amp;_xlfn.TEXTJOIN(" ",,MID(B36,{3,7,11,15,19,23},4))</f>
        <v xml:space="preserve"> </v>
      </c>
      <c r="U36" s="289"/>
      <c r="V36" s="289"/>
      <c r="W36" s="289"/>
      <c r="X36" s="289"/>
      <c r="Y36" s="289"/>
      <c r="Z36" s="289"/>
      <c r="AA36" s="289"/>
      <c r="AB36" s="289"/>
      <c r="AC36" s="289"/>
      <c r="AD36" s="289"/>
      <c r="AE36" s="289"/>
      <c r="AF36" s="289"/>
      <c r="AG36" s="289"/>
      <c r="AH36" s="289"/>
      <c r="AI36" s="289"/>
      <c r="AJ36" s="289"/>
      <c r="AK36" s="289"/>
      <c r="AL36" s="289"/>
      <c r="AM36" s="59"/>
    </row>
    <row r="37" spans="1:43" ht="14.5" x14ac:dyDescent="0.3">
      <c r="A37" s="90" t="s">
        <v>67</v>
      </c>
      <c r="B37" s="240" t="s">
        <v>68</v>
      </c>
      <c r="C37" s="240"/>
      <c r="D37" s="240"/>
      <c r="E37" s="240"/>
      <c r="F37" s="240"/>
      <c r="G37" s="240"/>
      <c r="H37" s="240"/>
      <c r="I37" s="240"/>
      <c r="J37" s="240"/>
      <c r="K37" s="240"/>
      <c r="L37" s="240"/>
      <c r="M37" s="240"/>
      <c r="N37" s="240"/>
      <c r="O37" s="240"/>
      <c r="P37" s="240"/>
      <c r="Q37" s="240"/>
      <c r="R37" s="240"/>
      <c r="S37" s="240"/>
      <c r="T37" s="240"/>
      <c r="U37" s="240"/>
      <c r="V37" s="240"/>
      <c r="W37" s="240"/>
      <c r="X37" s="240"/>
      <c r="Y37" s="240"/>
      <c r="Z37" s="240"/>
      <c r="AA37" s="240"/>
      <c r="AB37" s="240"/>
      <c r="AC37" s="240"/>
      <c r="AD37" s="240"/>
      <c r="AE37" s="240"/>
      <c r="AF37" s="240"/>
      <c r="AG37" s="240"/>
      <c r="AH37" s="240"/>
      <c r="AI37" s="240"/>
      <c r="AJ37" s="240"/>
      <c r="AK37" s="240"/>
      <c r="AL37" s="240"/>
    </row>
    <row r="38" spans="1:43" ht="14.5" x14ac:dyDescent="0.3">
      <c r="A38" s="232" t="s">
        <v>1</v>
      </c>
      <c r="B38" s="240" t="s">
        <v>140</v>
      </c>
      <c r="C38" s="240"/>
      <c r="D38" s="240"/>
      <c r="E38" s="240"/>
      <c r="F38" s="240"/>
      <c r="G38" s="240"/>
      <c r="H38" s="240"/>
      <c r="I38" s="240"/>
      <c r="J38" s="240"/>
      <c r="K38" s="240"/>
      <c r="L38" s="240"/>
      <c r="M38" s="240"/>
      <c r="N38" s="240"/>
      <c r="O38" s="240"/>
      <c r="P38" s="240"/>
      <c r="Q38" s="240"/>
      <c r="R38" s="240"/>
      <c r="S38" s="240"/>
      <c r="T38" s="240"/>
      <c r="U38" s="240"/>
      <c r="V38" s="240"/>
      <c r="W38" s="240"/>
      <c r="X38" s="240"/>
      <c r="Y38" s="240"/>
      <c r="Z38" s="240"/>
      <c r="AA38" s="240"/>
      <c r="AB38" s="240"/>
      <c r="AC38" s="240"/>
      <c r="AD38" s="240"/>
      <c r="AE38" s="240"/>
      <c r="AF38" s="240"/>
      <c r="AG38" s="240"/>
      <c r="AH38" s="240"/>
      <c r="AI38" s="240"/>
      <c r="AJ38" s="240"/>
      <c r="AK38" s="240"/>
      <c r="AL38" s="240"/>
    </row>
    <row r="39" spans="1:43" ht="14.5" x14ac:dyDescent="0.35">
      <c r="A39" s="232"/>
      <c r="B39" s="241" t="e">
        <f>T136</f>
        <v>#DIV/0!</v>
      </c>
      <c r="C39" s="241"/>
      <c r="D39" s="241"/>
      <c r="E39" s="241"/>
      <c r="F39" s="241"/>
      <c r="G39" s="241"/>
      <c r="H39" s="241"/>
      <c r="I39" s="241"/>
      <c r="J39" s="241"/>
      <c r="K39" s="241"/>
      <c r="L39" s="241"/>
      <c r="M39" s="241"/>
      <c r="N39" s="241"/>
      <c r="O39" s="241"/>
      <c r="P39" s="241"/>
      <c r="Q39" s="241"/>
      <c r="R39" s="241"/>
      <c r="S39" s="241"/>
      <c r="T39" s="241"/>
      <c r="U39" s="241"/>
      <c r="V39" s="241"/>
      <c r="W39" s="241"/>
      <c r="X39" s="241"/>
      <c r="Y39" s="241"/>
      <c r="Z39" s="241"/>
      <c r="AA39" s="241"/>
      <c r="AB39" s="241"/>
      <c r="AC39" s="241"/>
      <c r="AD39" s="241"/>
      <c r="AE39" s="241"/>
      <c r="AF39" s="241"/>
      <c r="AG39" s="241"/>
      <c r="AH39" s="241"/>
      <c r="AI39" s="241"/>
      <c r="AJ39" s="241"/>
      <c r="AK39" s="241"/>
      <c r="AL39" s="241"/>
      <c r="AM39" s="76" t="s">
        <v>170</v>
      </c>
    </row>
    <row r="40" spans="1:43" ht="32.5" customHeight="1" x14ac:dyDescent="0.3">
      <c r="A40" s="217" t="s">
        <v>6</v>
      </c>
      <c r="B40" s="237" t="s">
        <v>822</v>
      </c>
      <c r="C40" s="237"/>
      <c r="D40" s="237"/>
      <c r="E40" s="237"/>
      <c r="F40" s="237"/>
      <c r="G40" s="237"/>
      <c r="H40" s="237"/>
      <c r="I40" s="237"/>
      <c r="J40" s="237"/>
      <c r="K40" s="237"/>
      <c r="L40" s="237"/>
      <c r="M40" s="237"/>
      <c r="N40" s="237"/>
      <c r="O40" s="237"/>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row>
    <row r="41" spans="1:43" ht="14.5" x14ac:dyDescent="0.3">
      <c r="A41" s="232"/>
      <c r="B41" s="211"/>
      <c r="C41" s="211"/>
      <c r="D41" s="211"/>
      <c r="E41" s="211"/>
      <c r="F41" s="211"/>
      <c r="G41" s="211"/>
      <c r="H41" s="211"/>
      <c r="I41" s="211"/>
      <c r="J41" s="211"/>
      <c r="K41" s="211"/>
      <c r="L41" s="211"/>
      <c r="M41" s="211"/>
      <c r="N41" s="211"/>
      <c r="O41" s="211"/>
      <c r="P41" s="211"/>
      <c r="Q41" s="211"/>
      <c r="R41" s="211"/>
      <c r="S41" s="211"/>
      <c r="T41" s="211"/>
      <c r="U41" s="211"/>
      <c r="V41" s="211"/>
      <c r="W41" s="211"/>
      <c r="X41" s="211"/>
      <c r="Y41" s="211"/>
      <c r="Z41" s="211"/>
      <c r="AA41" s="211"/>
      <c r="AB41" s="211"/>
      <c r="AC41" s="211"/>
      <c r="AD41" s="211"/>
      <c r="AE41" s="211"/>
      <c r="AF41" s="211"/>
      <c r="AG41" s="211"/>
      <c r="AH41" s="211"/>
      <c r="AI41" s="211"/>
      <c r="AJ41" s="211"/>
      <c r="AK41" s="211"/>
      <c r="AL41" s="211"/>
      <c r="AM41" s="44" t="s">
        <v>135</v>
      </c>
    </row>
    <row r="42" spans="1:43" ht="14.5" x14ac:dyDescent="0.3">
      <c r="A42" s="217" t="s">
        <v>7</v>
      </c>
      <c r="B42" s="233" t="s">
        <v>745</v>
      </c>
      <c r="C42" s="233"/>
      <c r="D42" s="233"/>
      <c r="E42" s="233"/>
      <c r="F42" s="233"/>
      <c r="G42" s="233"/>
      <c r="H42" s="233"/>
      <c r="I42" s="233"/>
      <c r="J42" s="233"/>
      <c r="K42" s="233"/>
      <c r="L42" s="233"/>
      <c r="M42" s="233"/>
      <c r="N42" s="233"/>
      <c r="O42" s="233"/>
      <c r="P42" s="233"/>
      <c r="Q42" s="233"/>
      <c r="R42" s="233"/>
      <c r="S42" s="233"/>
      <c r="T42" s="233"/>
      <c r="U42" s="233"/>
      <c r="V42" s="233"/>
      <c r="W42" s="233"/>
      <c r="X42" s="233"/>
      <c r="Y42" s="233"/>
      <c r="Z42" s="233"/>
      <c r="AA42" s="233"/>
      <c r="AB42" s="233"/>
      <c r="AC42" s="233"/>
      <c r="AD42" s="233"/>
      <c r="AE42" s="233"/>
      <c r="AF42" s="233"/>
      <c r="AG42" s="233"/>
      <c r="AH42" s="233"/>
      <c r="AI42" s="233"/>
      <c r="AJ42" s="233"/>
      <c r="AK42" s="233"/>
      <c r="AL42" s="233"/>
    </row>
    <row r="43" spans="1:43" ht="14.5" x14ac:dyDescent="0.3">
      <c r="A43" s="232"/>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1"/>
      <c r="AJ43" s="211"/>
      <c r="AK43" s="211"/>
      <c r="AL43" s="211"/>
      <c r="AM43" s="44" t="s">
        <v>579</v>
      </c>
    </row>
    <row r="44" spans="1:43" ht="14.5" x14ac:dyDescent="0.3">
      <c r="A44" s="234" t="s">
        <v>9</v>
      </c>
      <c r="B44" s="236" t="s">
        <v>177</v>
      </c>
      <c r="C44" s="235"/>
      <c r="D44" s="235"/>
      <c r="E44" s="235"/>
      <c r="F44" s="235"/>
      <c r="G44" s="235"/>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5"/>
      <c r="AI44" s="235"/>
      <c r="AJ44" s="235"/>
      <c r="AK44" s="235"/>
      <c r="AL44" s="235"/>
    </row>
    <row r="45" spans="1:43" ht="14.5" customHeight="1" x14ac:dyDescent="0.3">
      <c r="A45" s="235"/>
      <c r="B45" s="242" t="s">
        <v>622</v>
      </c>
      <c r="C45" s="242"/>
      <c r="D45" s="242"/>
      <c r="E45" s="242"/>
      <c r="F45" s="242"/>
      <c r="G45" s="242"/>
      <c r="H45" s="242"/>
      <c r="I45" s="242"/>
      <c r="J45" s="242"/>
      <c r="K45" s="242"/>
      <c r="L45" s="242"/>
      <c r="M45" s="242"/>
      <c r="N45" s="242"/>
      <c r="O45" s="242"/>
      <c r="P45" s="242"/>
      <c r="Q45" s="242"/>
      <c r="R45" s="242"/>
      <c r="S45" s="242"/>
      <c r="T45" s="242"/>
      <c r="U45" s="242"/>
      <c r="V45" s="242"/>
      <c r="W45" s="242"/>
      <c r="X45" s="242"/>
      <c r="Y45" s="243"/>
      <c r="Z45" s="238" t="s">
        <v>624</v>
      </c>
      <c r="AA45" s="239"/>
      <c r="AB45" s="239"/>
      <c r="AC45" s="239"/>
      <c r="AD45" s="239"/>
      <c r="AE45" s="239"/>
      <c r="AF45" s="239"/>
      <c r="AG45" s="239"/>
      <c r="AH45" s="239"/>
      <c r="AI45" s="239"/>
      <c r="AJ45" s="239"/>
      <c r="AK45" s="238" t="s">
        <v>623</v>
      </c>
      <c r="AL45" s="239"/>
    </row>
    <row r="46" spans="1:43" ht="26" customHeight="1" x14ac:dyDescent="0.35">
      <c r="A46" s="235"/>
      <c r="B46" s="242" t="s">
        <v>176</v>
      </c>
      <c r="C46" s="242"/>
      <c r="D46" s="242"/>
      <c r="E46" s="242"/>
      <c r="F46" s="242"/>
      <c r="G46" s="242"/>
      <c r="H46" s="242"/>
      <c r="I46" s="242"/>
      <c r="J46" s="242"/>
      <c r="K46" s="242"/>
      <c r="L46" s="242"/>
      <c r="M46" s="242"/>
      <c r="N46" s="242"/>
      <c r="O46" s="242"/>
      <c r="P46" s="242"/>
      <c r="Q46" s="242"/>
      <c r="R46" s="242"/>
      <c r="S46" s="242"/>
      <c r="T46" s="242"/>
      <c r="U46" s="242"/>
      <c r="V46" s="242"/>
      <c r="W46" s="242"/>
      <c r="X46" s="242"/>
      <c r="Y46" s="243"/>
      <c r="Z46" s="209"/>
      <c r="AA46" s="209"/>
      <c r="AB46" s="209"/>
      <c r="AC46" s="209"/>
      <c r="AD46" s="209"/>
      <c r="AE46" s="209"/>
      <c r="AF46" s="209"/>
      <c r="AG46" s="209"/>
      <c r="AH46" s="209"/>
      <c r="AI46" s="209"/>
      <c r="AJ46" s="209"/>
      <c r="AK46" s="208" t="e">
        <f>ROUND(Z46/Z$49,5)</f>
        <v>#DIV/0!</v>
      </c>
      <c r="AL46" s="208"/>
      <c r="AM46" s="44" t="s">
        <v>855</v>
      </c>
    </row>
    <row r="47" spans="1:43" ht="19" customHeight="1" x14ac:dyDescent="0.35">
      <c r="A47" s="235"/>
      <c r="B47" s="242" t="s">
        <v>87</v>
      </c>
      <c r="C47" s="242"/>
      <c r="D47" s="242"/>
      <c r="E47" s="242"/>
      <c r="F47" s="242"/>
      <c r="G47" s="242"/>
      <c r="H47" s="242"/>
      <c r="I47" s="242"/>
      <c r="J47" s="242"/>
      <c r="K47" s="242"/>
      <c r="L47" s="242"/>
      <c r="M47" s="242"/>
      <c r="N47" s="242"/>
      <c r="O47" s="242"/>
      <c r="P47" s="242"/>
      <c r="Q47" s="242"/>
      <c r="R47" s="242"/>
      <c r="S47" s="242"/>
      <c r="T47" s="242"/>
      <c r="U47" s="242"/>
      <c r="V47" s="242"/>
      <c r="W47" s="242"/>
      <c r="X47" s="242"/>
      <c r="Y47" s="243"/>
      <c r="Z47" s="294" t="e">
        <f>B$39</f>
        <v>#DIV/0!</v>
      </c>
      <c r="AA47" s="208"/>
      <c r="AB47" s="208"/>
      <c r="AC47" s="208"/>
      <c r="AD47" s="208"/>
      <c r="AE47" s="208"/>
      <c r="AF47" s="208"/>
      <c r="AG47" s="208"/>
      <c r="AH47" s="208"/>
      <c r="AI47" s="208"/>
      <c r="AJ47" s="208"/>
      <c r="AK47" s="208" t="e">
        <f>ROUND(Z47/Z$49,5)</f>
        <v>#DIV/0!</v>
      </c>
      <c r="AL47" s="208"/>
      <c r="AQ47" s="31"/>
    </row>
    <row r="48" spans="1:43" ht="14.5" customHeight="1" x14ac:dyDescent="0.35">
      <c r="A48" s="235"/>
      <c r="B48" s="242" t="s">
        <v>91</v>
      </c>
      <c r="C48" s="242"/>
      <c r="D48" s="242"/>
      <c r="E48" s="242"/>
      <c r="F48" s="242"/>
      <c r="G48" s="242"/>
      <c r="H48" s="242"/>
      <c r="I48" s="242"/>
      <c r="J48" s="242"/>
      <c r="K48" s="242"/>
      <c r="L48" s="242"/>
      <c r="M48" s="242"/>
      <c r="N48" s="242"/>
      <c r="O48" s="242"/>
      <c r="P48" s="242"/>
      <c r="Q48" s="242"/>
      <c r="R48" s="242"/>
      <c r="S48" s="242"/>
      <c r="T48" s="242"/>
      <c r="U48" s="242"/>
      <c r="V48" s="242"/>
      <c r="W48" s="242"/>
      <c r="X48" s="242"/>
      <c r="Y48" s="243"/>
      <c r="Z48" s="209"/>
      <c r="AA48" s="209"/>
      <c r="AB48" s="209"/>
      <c r="AC48" s="209"/>
      <c r="AD48" s="209"/>
      <c r="AE48" s="209"/>
      <c r="AF48" s="209"/>
      <c r="AG48" s="209"/>
      <c r="AH48" s="209"/>
      <c r="AI48" s="209"/>
      <c r="AJ48" s="209"/>
      <c r="AK48" s="208" t="e">
        <f>ROUND(Z48/Z$49,5)</f>
        <v>#DIV/0!</v>
      </c>
      <c r="AL48" s="208"/>
      <c r="AQ48" s="31"/>
    </row>
    <row r="49" spans="1:43" ht="14.5" customHeight="1" x14ac:dyDescent="0.35">
      <c r="A49" s="235"/>
      <c r="B49" s="242" t="s">
        <v>88</v>
      </c>
      <c r="C49" s="242"/>
      <c r="D49" s="242"/>
      <c r="E49" s="242"/>
      <c r="F49" s="242"/>
      <c r="G49" s="242"/>
      <c r="H49" s="242"/>
      <c r="I49" s="242"/>
      <c r="J49" s="242"/>
      <c r="K49" s="242"/>
      <c r="L49" s="242"/>
      <c r="M49" s="242"/>
      <c r="N49" s="242"/>
      <c r="O49" s="242"/>
      <c r="P49" s="242"/>
      <c r="Q49" s="242"/>
      <c r="R49" s="242"/>
      <c r="S49" s="242"/>
      <c r="T49" s="242"/>
      <c r="U49" s="242"/>
      <c r="V49" s="242"/>
      <c r="W49" s="242"/>
      <c r="X49" s="242"/>
      <c r="Y49" s="243"/>
      <c r="Z49" s="210" t="e">
        <f>SUM(Z46:AJ48)</f>
        <v>#DIV/0!</v>
      </c>
      <c r="AA49" s="210"/>
      <c r="AB49" s="210"/>
      <c r="AC49" s="210"/>
      <c r="AD49" s="210"/>
      <c r="AE49" s="210"/>
      <c r="AF49" s="210"/>
      <c r="AG49" s="210"/>
      <c r="AH49" s="210"/>
      <c r="AI49" s="210"/>
      <c r="AJ49" s="210"/>
      <c r="AK49" s="208" t="e">
        <f>SUM(AK46:AL48)</f>
        <v>#DIV/0!</v>
      </c>
      <c r="AL49" s="208"/>
      <c r="AM49" s="44" t="s">
        <v>921</v>
      </c>
      <c r="AQ49" s="31"/>
    </row>
    <row r="50" spans="1:43" ht="54.5" customHeight="1" x14ac:dyDescent="0.3">
      <c r="A50" s="217" t="s">
        <v>11</v>
      </c>
      <c r="B50" s="151" t="s">
        <v>856</v>
      </c>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c r="AH50" s="151"/>
      <c r="AI50" s="151"/>
      <c r="AJ50" s="151"/>
      <c r="AK50" s="151"/>
      <c r="AL50" s="151"/>
      <c r="AQ50" s="30"/>
    </row>
    <row r="51" spans="1:43" ht="65" customHeight="1" x14ac:dyDescent="0.3">
      <c r="A51" s="217"/>
      <c r="B51" s="155" t="s">
        <v>857</v>
      </c>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c r="AA51" s="156"/>
      <c r="AB51" s="156"/>
      <c r="AC51" s="156"/>
      <c r="AD51" s="156"/>
      <c r="AE51" s="156"/>
      <c r="AF51" s="156"/>
      <c r="AG51" s="156"/>
      <c r="AH51" s="156"/>
      <c r="AI51" s="156"/>
      <c r="AJ51" s="156"/>
      <c r="AK51" s="156"/>
      <c r="AL51" s="156"/>
      <c r="AQ51" s="30"/>
    </row>
    <row r="52" spans="1:43" ht="14.5" customHeight="1" x14ac:dyDescent="0.35">
      <c r="A52" s="217"/>
      <c r="B52" s="206" t="s">
        <v>625</v>
      </c>
      <c r="C52" s="206"/>
      <c r="D52" s="206"/>
      <c r="E52" s="206"/>
      <c r="F52" s="206"/>
      <c r="G52" s="206"/>
      <c r="H52" s="206"/>
      <c r="I52" s="206"/>
      <c r="J52" s="206"/>
      <c r="K52" s="206"/>
      <c r="L52" s="206"/>
      <c r="M52" s="206"/>
      <c r="N52" s="206"/>
      <c r="O52" s="206"/>
      <c r="P52" s="206"/>
      <c r="Q52" s="206"/>
      <c r="R52" s="206"/>
      <c r="S52" s="157"/>
      <c r="T52" s="158"/>
      <c r="U52" s="158"/>
      <c r="V52" s="158"/>
      <c r="W52" s="158"/>
      <c r="X52" s="158"/>
      <c r="Y52" s="158"/>
      <c r="Z52" s="158"/>
      <c r="AA52" s="158"/>
      <c r="AB52" s="158"/>
      <c r="AC52" s="158"/>
      <c r="AD52" s="158"/>
      <c r="AE52" s="158"/>
      <c r="AF52" s="158"/>
      <c r="AG52" s="158"/>
      <c r="AH52" s="158"/>
      <c r="AI52" s="158"/>
      <c r="AJ52" s="158"/>
      <c r="AK52" s="158"/>
      <c r="AL52" s="158"/>
      <c r="AQ52" s="30"/>
    </row>
    <row r="53" spans="1:43" ht="14.5" customHeight="1" x14ac:dyDescent="0.35">
      <c r="A53" s="217"/>
      <c r="B53" s="206" t="s">
        <v>626</v>
      </c>
      <c r="C53" s="206"/>
      <c r="D53" s="206"/>
      <c r="E53" s="206"/>
      <c r="F53" s="206"/>
      <c r="G53" s="206"/>
      <c r="H53" s="206"/>
      <c r="I53" s="206"/>
      <c r="J53" s="206"/>
      <c r="K53" s="206"/>
      <c r="L53" s="206"/>
      <c r="M53" s="206"/>
      <c r="N53" s="206"/>
      <c r="O53" s="206"/>
      <c r="P53" s="206"/>
      <c r="Q53" s="206"/>
      <c r="R53" s="206"/>
      <c r="S53" s="157"/>
      <c r="T53" s="158"/>
      <c r="U53" s="158"/>
      <c r="V53" s="158"/>
      <c r="W53" s="158"/>
      <c r="X53" s="158"/>
      <c r="Y53" s="158"/>
      <c r="Z53" s="158"/>
      <c r="AA53" s="158"/>
      <c r="AB53" s="158"/>
      <c r="AC53" s="158"/>
      <c r="AD53" s="158"/>
      <c r="AE53" s="158"/>
      <c r="AF53" s="158"/>
      <c r="AG53" s="158"/>
      <c r="AH53" s="158"/>
      <c r="AI53" s="158"/>
      <c r="AJ53" s="158"/>
      <c r="AK53" s="158"/>
      <c r="AL53" s="158"/>
      <c r="AQ53" s="30"/>
    </row>
    <row r="54" spans="1:43" ht="14.5" customHeight="1" x14ac:dyDescent="0.35">
      <c r="A54" s="217"/>
      <c r="B54" s="206" t="s">
        <v>627</v>
      </c>
      <c r="C54" s="206"/>
      <c r="D54" s="206"/>
      <c r="E54" s="206"/>
      <c r="F54" s="206"/>
      <c r="G54" s="206"/>
      <c r="H54" s="206"/>
      <c r="I54" s="206"/>
      <c r="J54" s="206"/>
      <c r="K54" s="206"/>
      <c r="L54" s="206"/>
      <c r="M54" s="206"/>
      <c r="N54" s="206"/>
      <c r="O54" s="206"/>
      <c r="P54" s="206"/>
      <c r="Q54" s="206"/>
      <c r="R54" s="206"/>
      <c r="S54" s="157"/>
      <c r="T54" s="158"/>
      <c r="U54" s="158"/>
      <c r="V54" s="158"/>
      <c r="W54" s="158"/>
      <c r="X54" s="158"/>
      <c r="Y54" s="158"/>
      <c r="Z54" s="158"/>
      <c r="AA54" s="158"/>
      <c r="AB54" s="158"/>
      <c r="AC54" s="158"/>
      <c r="AD54" s="158"/>
      <c r="AE54" s="158"/>
      <c r="AF54" s="158"/>
      <c r="AG54" s="158"/>
      <c r="AH54" s="158"/>
      <c r="AI54" s="158"/>
      <c r="AJ54" s="158"/>
      <c r="AK54" s="158"/>
      <c r="AL54" s="158"/>
      <c r="AQ54" s="30"/>
    </row>
    <row r="55" spans="1:43" ht="14.5" customHeight="1" x14ac:dyDescent="0.35">
      <c r="A55" s="217"/>
      <c r="B55" s="218" t="s">
        <v>628</v>
      </c>
      <c r="C55" s="218"/>
      <c r="D55" s="218"/>
      <c r="E55" s="218"/>
      <c r="F55" s="218"/>
      <c r="G55" s="218"/>
      <c r="H55" s="218"/>
      <c r="I55" s="218"/>
      <c r="J55" s="218"/>
      <c r="K55" s="218"/>
      <c r="L55" s="218"/>
      <c r="M55" s="218"/>
      <c r="N55" s="218"/>
      <c r="O55" s="218"/>
      <c r="P55" s="218"/>
      <c r="Q55" s="218"/>
      <c r="R55" s="218"/>
      <c r="S55" s="157"/>
      <c r="T55" s="158"/>
      <c r="U55" s="158"/>
      <c r="V55" s="158"/>
      <c r="W55" s="158"/>
      <c r="X55" s="158"/>
      <c r="Y55" s="158"/>
      <c r="Z55" s="158"/>
      <c r="AA55" s="158"/>
      <c r="AB55" s="158"/>
      <c r="AC55" s="158"/>
      <c r="AD55" s="158"/>
      <c r="AE55" s="158"/>
      <c r="AF55" s="158"/>
      <c r="AG55" s="158"/>
      <c r="AH55" s="158"/>
      <c r="AI55" s="158"/>
      <c r="AJ55" s="158"/>
      <c r="AK55" s="158"/>
      <c r="AL55" s="158"/>
      <c r="AQ55" s="30"/>
    </row>
    <row r="56" spans="1:43" ht="28.5" customHeight="1" x14ac:dyDescent="0.35">
      <c r="A56" s="217"/>
      <c r="B56" s="196" t="s">
        <v>747</v>
      </c>
      <c r="C56" s="197"/>
      <c r="D56" s="197"/>
      <c r="E56" s="197"/>
      <c r="F56" s="197"/>
      <c r="G56" s="197"/>
      <c r="H56" s="197"/>
      <c r="I56" s="197"/>
      <c r="J56" s="197"/>
      <c r="K56" s="197"/>
      <c r="L56" s="197"/>
      <c r="M56" s="197"/>
      <c r="N56" s="197"/>
      <c r="O56" s="197"/>
      <c r="P56" s="197"/>
      <c r="Q56" s="197"/>
      <c r="R56" s="198"/>
      <c r="S56" s="199"/>
      <c r="T56" s="200"/>
      <c r="U56" s="200"/>
      <c r="V56" s="200"/>
      <c r="W56" s="200"/>
      <c r="X56" s="200"/>
      <c r="Y56" s="200"/>
      <c r="Z56" s="200"/>
      <c r="AA56" s="200"/>
      <c r="AB56" s="200"/>
      <c r="AC56" s="200"/>
      <c r="AD56" s="200"/>
      <c r="AE56" s="200"/>
      <c r="AF56" s="200"/>
      <c r="AG56" s="200"/>
      <c r="AH56" s="200"/>
      <c r="AI56" s="200"/>
      <c r="AJ56" s="200"/>
      <c r="AK56" s="200"/>
      <c r="AL56" s="201"/>
      <c r="AQ56" s="30"/>
    </row>
    <row r="57" spans="1:43" ht="105" customHeight="1" x14ac:dyDescent="0.3">
      <c r="A57" s="217"/>
      <c r="B57" s="155" t="s">
        <v>858</v>
      </c>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c r="AA57" s="156"/>
      <c r="AB57" s="156"/>
      <c r="AC57" s="156"/>
      <c r="AD57" s="156"/>
      <c r="AE57" s="156"/>
      <c r="AF57" s="156"/>
      <c r="AG57" s="156"/>
      <c r="AH57" s="156"/>
      <c r="AI57" s="156"/>
      <c r="AJ57" s="156"/>
      <c r="AK57" s="156"/>
      <c r="AL57" s="156"/>
      <c r="AQ57" s="30"/>
    </row>
    <row r="58" spans="1:43" ht="14.5" customHeight="1" x14ac:dyDescent="0.35">
      <c r="A58" s="217"/>
      <c r="B58" s="206" t="s">
        <v>629</v>
      </c>
      <c r="C58" s="206"/>
      <c r="D58" s="206"/>
      <c r="E58" s="206"/>
      <c r="F58" s="206"/>
      <c r="G58" s="206"/>
      <c r="H58" s="206"/>
      <c r="I58" s="206"/>
      <c r="J58" s="206"/>
      <c r="K58" s="206"/>
      <c r="L58" s="206"/>
      <c r="M58" s="206"/>
      <c r="N58" s="206"/>
      <c r="O58" s="206"/>
      <c r="P58" s="206"/>
      <c r="Q58" s="206"/>
      <c r="R58" s="206"/>
      <c r="S58" s="157"/>
      <c r="T58" s="158"/>
      <c r="U58" s="158"/>
      <c r="V58" s="158"/>
      <c r="W58" s="158"/>
      <c r="X58" s="158"/>
      <c r="Y58" s="158"/>
      <c r="Z58" s="158"/>
      <c r="AA58" s="158"/>
      <c r="AB58" s="158"/>
      <c r="AC58" s="158"/>
      <c r="AD58" s="158"/>
      <c r="AE58" s="158"/>
      <c r="AF58" s="158"/>
      <c r="AG58" s="158"/>
      <c r="AH58" s="158"/>
      <c r="AI58" s="158"/>
      <c r="AJ58" s="158"/>
      <c r="AK58" s="158"/>
      <c r="AL58" s="158"/>
      <c r="AQ58" s="30"/>
    </row>
    <row r="59" spans="1:43" ht="41.5" customHeight="1" x14ac:dyDescent="0.35">
      <c r="A59" s="217"/>
      <c r="B59" s="206" t="s">
        <v>632</v>
      </c>
      <c r="C59" s="206"/>
      <c r="D59" s="206"/>
      <c r="E59" s="206"/>
      <c r="F59" s="206"/>
      <c r="G59" s="206"/>
      <c r="H59" s="206"/>
      <c r="I59" s="206"/>
      <c r="J59" s="206"/>
      <c r="K59" s="206"/>
      <c r="L59" s="206"/>
      <c r="M59" s="206"/>
      <c r="N59" s="206"/>
      <c r="O59" s="206"/>
      <c r="P59" s="206"/>
      <c r="Q59" s="206"/>
      <c r="R59" s="206"/>
      <c r="S59" s="157"/>
      <c r="T59" s="158"/>
      <c r="U59" s="158"/>
      <c r="V59" s="158"/>
      <c r="W59" s="158"/>
      <c r="X59" s="158"/>
      <c r="Y59" s="158"/>
      <c r="Z59" s="158"/>
      <c r="AA59" s="158"/>
      <c r="AB59" s="158"/>
      <c r="AC59" s="158"/>
      <c r="AD59" s="158"/>
      <c r="AE59" s="158"/>
      <c r="AF59" s="158"/>
      <c r="AG59" s="158"/>
      <c r="AH59" s="158"/>
      <c r="AI59" s="158"/>
      <c r="AJ59" s="158"/>
      <c r="AK59" s="158"/>
      <c r="AL59" s="158"/>
      <c r="AQ59" s="30"/>
    </row>
    <row r="60" spans="1:43" ht="56.5" customHeight="1" x14ac:dyDescent="0.35">
      <c r="A60" s="217"/>
      <c r="B60" s="206" t="s">
        <v>631</v>
      </c>
      <c r="C60" s="206"/>
      <c r="D60" s="206"/>
      <c r="E60" s="206"/>
      <c r="F60" s="206"/>
      <c r="G60" s="206"/>
      <c r="H60" s="206"/>
      <c r="I60" s="206"/>
      <c r="J60" s="206"/>
      <c r="K60" s="206"/>
      <c r="L60" s="206"/>
      <c r="M60" s="206"/>
      <c r="N60" s="206"/>
      <c r="O60" s="206"/>
      <c r="P60" s="206"/>
      <c r="Q60" s="206"/>
      <c r="R60" s="206"/>
      <c r="S60" s="157"/>
      <c r="T60" s="158"/>
      <c r="U60" s="158"/>
      <c r="V60" s="158"/>
      <c r="W60" s="158"/>
      <c r="X60" s="158"/>
      <c r="Y60" s="158"/>
      <c r="Z60" s="158"/>
      <c r="AA60" s="158"/>
      <c r="AB60" s="158"/>
      <c r="AC60" s="158"/>
      <c r="AD60" s="158"/>
      <c r="AE60" s="158"/>
      <c r="AF60" s="158"/>
      <c r="AG60" s="158"/>
      <c r="AH60" s="158"/>
      <c r="AI60" s="158"/>
      <c r="AJ60" s="158"/>
      <c r="AK60" s="158"/>
      <c r="AL60" s="158"/>
      <c r="AQ60" s="30"/>
    </row>
    <row r="61" spans="1:43" ht="14.5" customHeight="1" x14ac:dyDescent="0.35">
      <c r="A61" s="217"/>
      <c r="B61" s="206" t="s">
        <v>630</v>
      </c>
      <c r="C61" s="206"/>
      <c r="D61" s="206"/>
      <c r="E61" s="206"/>
      <c r="F61" s="206"/>
      <c r="G61" s="206"/>
      <c r="H61" s="206"/>
      <c r="I61" s="206"/>
      <c r="J61" s="206"/>
      <c r="K61" s="206"/>
      <c r="L61" s="206"/>
      <c r="M61" s="206"/>
      <c r="N61" s="206"/>
      <c r="O61" s="206"/>
      <c r="P61" s="206"/>
      <c r="Q61" s="206"/>
      <c r="R61" s="206"/>
      <c r="S61" s="157"/>
      <c r="T61" s="158"/>
      <c r="U61" s="158"/>
      <c r="V61" s="158"/>
      <c r="W61" s="158"/>
      <c r="X61" s="158"/>
      <c r="Y61" s="158"/>
      <c r="Z61" s="158"/>
      <c r="AA61" s="158"/>
      <c r="AB61" s="158"/>
      <c r="AC61" s="158"/>
      <c r="AD61" s="158"/>
      <c r="AE61" s="158"/>
      <c r="AF61" s="158"/>
      <c r="AG61" s="158"/>
      <c r="AH61" s="158"/>
      <c r="AI61" s="158"/>
      <c r="AJ61" s="158"/>
      <c r="AK61" s="158"/>
      <c r="AL61" s="158"/>
      <c r="AQ61" s="30"/>
    </row>
    <row r="62" spans="1:43" ht="33.5" customHeight="1" x14ac:dyDescent="0.35">
      <c r="A62" s="217"/>
      <c r="B62" s="196" t="s">
        <v>748</v>
      </c>
      <c r="C62" s="197"/>
      <c r="D62" s="197"/>
      <c r="E62" s="197"/>
      <c r="F62" s="197"/>
      <c r="G62" s="197"/>
      <c r="H62" s="197"/>
      <c r="I62" s="197"/>
      <c r="J62" s="197"/>
      <c r="K62" s="197"/>
      <c r="L62" s="197"/>
      <c r="M62" s="197"/>
      <c r="N62" s="197"/>
      <c r="O62" s="197"/>
      <c r="P62" s="197"/>
      <c r="Q62" s="197"/>
      <c r="R62" s="198"/>
      <c r="S62" s="199"/>
      <c r="T62" s="200"/>
      <c r="U62" s="200"/>
      <c r="V62" s="200"/>
      <c r="W62" s="200"/>
      <c r="X62" s="200"/>
      <c r="Y62" s="200"/>
      <c r="Z62" s="200"/>
      <c r="AA62" s="200"/>
      <c r="AB62" s="200"/>
      <c r="AC62" s="200"/>
      <c r="AD62" s="200"/>
      <c r="AE62" s="200"/>
      <c r="AF62" s="200"/>
      <c r="AG62" s="200"/>
      <c r="AH62" s="200"/>
      <c r="AI62" s="200"/>
      <c r="AJ62" s="200"/>
      <c r="AK62" s="200"/>
      <c r="AL62" s="201"/>
      <c r="AQ62" s="30"/>
    </row>
    <row r="63" spans="1:43" ht="69.5" customHeight="1" x14ac:dyDescent="0.35">
      <c r="A63" s="217" t="s">
        <v>581</v>
      </c>
      <c r="B63" s="223" t="s">
        <v>859</v>
      </c>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c r="AH63" s="218"/>
      <c r="AI63" s="218"/>
      <c r="AJ63" s="218"/>
      <c r="AK63" s="218"/>
      <c r="AL63" s="218"/>
      <c r="AQ63" s="30"/>
    </row>
    <row r="64" spans="1:43" ht="14.5" customHeight="1" x14ac:dyDescent="0.35">
      <c r="A64" s="217"/>
      <c r="B64" s="218" t="s">
        <v>633</v>
      </c>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c r="AA64" s="218"/>
      <c r="AB64" s="262" t="s">
        <v>121</v>
      </c>
      <c r="AC64" s="262"/>
      <c r="AD64" s="262"/>
      <c r="AE64" s="262"/>
      <c r="AF64" s="262"/>
      <c r="AG64" s="262"/>
      <c r="AH64" s="262"/>
      <c r="AI64" s="262"/>
      <c r="AJ64" s="262"/>
      <c r="AK64" s="262"/>
      <c r="AL64" s="262"/>
      <c r="AQ64" s="30"/>
    </row>
    <row r="65" spans="1:47" ht="14.5" customHeight="1" x14ac:dyDescent="0.35">
      <c r="A65" s="217"/>
      <c r="B65" s="218" t="s">
        <v>634</v>
      </c>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c r="AA65" s="218"/>
      <c r="AB65" s="262" t="s">
        <v>122</v>
      </c>
      <c r="AC65" s="262"/>
      <c r="AD65" s="262"/>
      <c r="AE65" s="262"/>
      <c r="AF65" s="262"/>
      <c r="AG65" s="262"/>
      <c r="AH65" s="262"/>
      <c r="AI65" s="262"/>
      <c r="AJ65" s="262"/>
      <c r="AK65" s="262"/>
      <c r="AL65" s="262"/>
      <c r="AQ65" s="30"/>
    </row>
    <row r="66" spans="1:47" ht="27.5" customHeight="1" x14ac:dyDescent="0.35">
      <c r="A66" s="217"/>
      <c r="B66" s="218" t="s">
        <v>635</v>
      </c>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c r="AA66" s="218"/>
      <c r="AB66" s="228"/>
      <c r="AC66" s="229"/>
      <c r="AD66" s="229"/>
      <c r="AE66" s="229"/>
      <c r="AF66" s="229"/>
      <c r="AG66" s="229"/>
      <c r="AH66" s="229"/>
      <c r="AI66" s="229"/>
      <c r="AJ66" s="229"/>
      <c r="AK66" s="229"/>
      <c r="AL66" s="229"/>
      <c r="AQ66" s="30"/>
    </row>
    <row r="67" spans="1:47" ht="27.5" customHeight="1" x14ac:dyDescent="0.35">
      <c r="A67" s="217"/>
      <c r="B67" s="207" t="s">
        <v>636</v>
      </c>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c r="AA67" s="207"/>
      <c r="AB67" s="228"/>
      <c r="AC67" s="229"/>
      <c r="AD67" s="229"/>
      <c r="AE67" s="229"/>
      <c r="AF67" s="229"/>
      <c r="AG67" s="229"/>
      <c r="AH67" s="229"/>
      <c r="AI67" s="229"/>
      <c r="AJ67" s="229"/>
      <c r="AK67" s="229"/>
      <c r="AL67" s="229"/>
      <c r="AQ67" s="30"/>
    </row>
    <row r="68" spans="1:47" ht="14.5" x14ac:dyDescent="0.35">
      <c r="A68" s="91" t="s">
        <v>69</v>
      </c>
      <c r="B68" s="216" t="s">
        <v>70</v>
      </c>
      <c r="C68" s="216"/>
      <c r="D68" s="216"/>
      <c r="E68" s="216"/>
      <c r="F68" s="216"/>
      <c r="G68" s="216"/>
      <c r="H68" s="216"/>
      <c r="I68" s="216"/>
      <c r="J68" s="216"/>
      <c r="K68" s="216"/>
      <c r="L68" s="216"/>
      <c r="M68" s="216"/>
      <c r="N68" s="216"/>
      <c r="O68" s="216"/>
      <c r="P68" s="216"/>
      <c r="Q68" s="216"/>
      <c r="R68" s="216"/>
      <c r="S68" s="216"/>
      <c r="T68" s="216"/>
      <c r="U68" s="216"/>
      <c r="V68" s="216"/>
      <c r="W68" s="216"/>
      <c r="X68" s="216"/>
      <c r="Y68" s="216"/>
      <c r="Z68" s="216"/>
      <c r="AA68" s="216"/>
      <c r="AB68" s="216"/>
      <c r="AC68" s="216"/>
      <c r="AD68" s="216"/>
      <c r="AE68" s="216"/>
      <c r="AF68" s="216"/>
      <c r="AG68" s="216"/>
      <c r="AH68" s="216"/>
      <c r="AI68" s="216"/>
      <c r="AJ68" s="216"/>
      <c r="AK68" s="216"/>
      <c r="AL68" s="216"/>
    </row>
    <row r="69" spans="1:47" ht="33.5" customHeight="1" x14ac:dyDescent="0.3">
      <c r="A69" s="230" t="s">
        <v>749</v>
      </c>
      <c r="B69" s="230"/>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c r="AA69" s="230"/>
      <c r="AB69" s="230"/>
      <c r="AC69" s="230"/>
      <c r="AD69" s="230"/>
      <c r="AE69" s="230"/>
      <c r="AF69" s="230"/>
      <c r="AG69" s="230"/>
      <c r="AH69" s="230"/>
      <c r="AI69" s="230"/>
      <c r="AJ69" s="230"/>
      <c r="AK69" s="230"/>
      <c r="AL69" s="230"/>
    </row>
    <row r="70" spans="1:47" ht="35" customHeight="1" x14ac:dyDescent="0.3">
      <c r="A70" s="230"/>
      <c r="B70" s="230"/>
      <c r="C70" s="230"/>
      <c r="D70" s="230"/>
      <c r="E70" s="230"/>
      <c r="F70" s="230"/>
      <c r="G70" s="230"/>
      <c r="H70" s="230"/>
      <c r="I70" s="230"/>
      <c r="J70" s="230"/>
      <c r="K70" s="230"/>
      <c r="L70" s="230"/>
      <c r="M70" s="230"/>
      <c r="N70" s="230"/>
      <c r="O70" s="230"/>
      <c r="P70" s="230"/>
      <c r="Q70" s="230"/>
      <c r="R70" s="230"/>
      <c r="S70" s="230"/>
      <c r="T70" s="230"/>
      <c r="U70" s="230"/>
      <c r="V70" s="230"/>
      <c r="W70" s="230"/>
      <c r="X70" s="230"/>
      <c r="Y70" s="230"/>
      <c r="Z70" s="230"/>
      <c r="AA70" s="230"/>
      <c r="AB70" s="230"/>
      <c r="AC70" s="230"/>
      <c r="AD70" s="230"/>
      <c r="AE70" s="230"/>
      <c r="AF70" s="230"/>
      <c r="AG70" s="230"/>
      <c r="AH70" s="230"/>
      <c r="AI70" s="230"/>
      <c r="AJ70" s="230"/>
      <c r="AK70" s="230"/>
      <c r="AL70" s="230"/>
    </row>
    <row r="71" spans="1:47" s="33" customFormat="1" ht="14.5" x14ac:dyDescent="0.35">
      <c r="A71" s="91" t="s">
        <v>89</v>
      </c>
      <c r="B71" s="216" t="s">
        <v>607</v>
      </c>
      <c r="C71" s="216"/>
      <c r="D71" s="216"/>
      <c r="E71" s="216"/>
      <c r="F71" s="216"/>
      <c r="G71" s="216"/>
      <c r="H71" s="216"/>
      <c r="I71" s="216"/>
      <c r="J71" s="216"/>
      <c r="K71" s="216"/>
      <c r="L71" s="216"/>
      <c r="M71" s="216"/>
      <c r="N71" s="216"/>
      <c r="O71" s="216"/>
      <c r="P71" s="216"/>
      <c r="Q71" s="216"/>
      <c r="R71" s="216"/>
      <c r="S71" s="216"/>
      <c r="T71" s="216"/>
      <c r="U71" s="216"/>
      <c r="V71" s="216"/>
      <c r="W71" s="216"/>
      <c r="X71" s="216"/>
      <c r="Y71" s="216"/>
      <c r="Z71" s="216"/>
      <c r="AA71" s="216"/>
      <c r="AB71" s="216"/>
      <c r="AC71" s="216"/>
      <c r="AD71" s="216"/>
      <c r="AE71" s="216"/>
      <c r="AF71" s="216"/>
      <c r="AG71" s="216"/>
      <c r="AH71" s="216"/>
      <c r="AI71" s="216"/>
      <c r="AJ71" s="216"/>
      <c r="AK71" s="216"/>
      <c r="AL71" s="216"/>
      <c r="AM71" s="49"/>
      <c r="AN71" s="34"/>
      <c r="AO71" s="34"/>
    </row>
    <row r="72" spans="1:47" ht="39.5" customHeight="1" x14ac:dyDescent="0.3">
      <c r="A72" s="281" t="s">
        <v>861</v>
      </c>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307"/>
    </row>
    <row r="73" spans="1:47" ht="27.5" customHeight="1" x14ac:dyDescent="0.3">
      <c r="A73" s="219" t="s">
        <v>862</v>
      </c>
      <c r="B73" s="220"/>
      <c r="C73" s="220"/>
      <c r="D73" s="220"/>
      <c r="E73" s="220"/>
      <c r="F73" s="220"/>
      <c r="G73" s="220"/>
      <c r="H73" s="220"/>
      <c r="I73" s="220"/>
      <c r="J73" s="220"/>
      <c r="K73" s="220"/>
      <c r="L73" s="220"/>
      <c r="M73" s="220"/>
      <c r="N73" s="220"/>
      <c r="O73" s="220"/>
      <c r="P73" s="220"/>
      <c r="Q73" s="220"/>
      <c r="R73" s="220"/>
      <c r="S73" s="221"/>
      <c r="T73" s="219" t="s">
        <v>863</v>
      </c>
      <c r="U73" s="220"/>
      <c r="V73" s="220"/>
      <c r="W73" s="220"/>
      <c r="X73" s="220"/>
      <c r="Y73" s="220"/>
      <c r="Z73" s="220"/>
      <c r="AA73" s="220"/>
      <c r="AB73" s="220"/>
      <c r="AC73" s="220"/>
      <c r="AD73" s="220"/>
      <c r="AE73" s="220"/>
      <c r="AF73" s="220"/>
      <c r="AG73" s="220"/>
      <c r="AH73" s="220"/>
      <c r="AI73" s="220"/>
      <c r="AJ73" s="220"/>
      <c r="AK73" s="220"/>
      <c r="AL73" s="221"/>
      <c r="AM73" s="307"/>
    </row>
    <row r="74" spans="1:47" ht="14.5" x14ac:dyDescent="0.35">
      <c r="A74" s="256"/>
      <c r="B74" s="257"/>
      <c r="C74" s="257"/>
      <c r="D74" s="257"/>
      <c r="E74" s="257"/>
      <c r="F74" s="257"/>
      <c r="G74" s="257"/>
      <c r="H74" s="257"/>
      <c r="I74" s="257"/>
      <c r="J74" s="257"/>
      <c r="K74" s="257"/>
      <c r="L74" s="257"/>
      <c r="M74" s="257"/>
      <c r="N74" s="257"/>
      <c r="O74" s="257"/>
      <c r="P74" s="257"/>
      <c r="Q74" s="257"/>
      <c r="R74" s="257"/>
      <c r="S74" s="258"/>
      <c r="T74" s="256"/>
      <c r="U74" s="257"/>
      <c r="V74" s="257"/>
      <c r="W74" s="257"/>
      <c r="X74" s="257"/>
      <c r="Y74" s="257"/>
      <c r="Z74" s="257"/>
      <c r="AA74" s="257"/>
      <c r="AB74" s="257"/>
      <c r="AC74" s="257"/>
      <c r="AD74" s="257"/>
      <c r="AE74" s="257"/>
      <c r="AF74" s="257"/>
      <c r="AG74" s="257"/>
      <c r="AH74" s="257"/>
      <c r="AI74" s="257"/>
      <c r="AJ74" s="257"/>
      <c r="AK74" s="257"/>
      <c r="AL74" s="258"/>
      <c r="AM74" s="307"/>
    </row>
    <row r="75" spans="1:47" ht="14.5" x14ac:dyDescent="0.3">
      <c r="A75" s="90" t="s">
        <v>90</v>
      </c>
      <c r="B75" s="240" t="s">
        <v>864</v>
      </c>
      <c r="C75" s="240"/>
      <c r="D75" s="240"/>
      <c r="E75" s="240"/>
      <c r="F75" s="240"/>
      <c r="G75" s="240"/>
      <c r="H75" s="240"/>
      <c r="I75" s="240"/>
      <c r="J75" s="240"/>
      <c r="K75" s="240"/>
      <c r="L75" s="240"/>
      <c r="M75" s="240"/>
      <c r="N75" s="240"/>
      <c r="O75" s="240"/>
      <c r="P75" s="240"/>
      <c r="Q75" s="240"/>
      <c r="R75" s="240"/>
      <c r="S75" s="240"/>
      <c r="T75" s="240"/>
      <c r="U75" s="240"/>
      <c r="V75" s="240"/>
      <c r="W75" s="240"/>
      <c r="X75" s="240"/>
      <c r="Y75" s="240"/>
      <c r="Z75" s="240"/>
      <c r="AA75" s="240"/>
      <c r="AB75" s="240"/>
      <c r="AC75" s="240"/>
      <c r="AD75" s="240"/>
      <c r="AE75" s="240"/>
      <c r="AF75" s="240"/>
      <c r="AG75" s="240"/>
      <c r="AH75" s="240"/>
      <c r="AI75" s="240"/>
      <c r="AJ75" s="240"/>
      <c r="AK75" s="240"/>
      <c r="AL75" s="240"/>
      <c r="AM75" s="280"/>
      <c r="AN75" s="280"/>
      <c r="AO75" s="280"/>
      <c r="AP75" s="280"/>
      <c r="AQ75" s="280"/>
      <c r="AR75" s="280"/>
      <c r="AS75" s="280"/>
      <c r="AT75" s="280"/>
      <c r="AU75" s="280"/>
    </row>
    <row r="76" spans="1:47" ht="72" customHeight="1" x14ac:dyDescent="0.3">
      <c r="A76" s="284" t="s">
        <v>867</v>
      </c>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285"/>
      <c r="AL76" s="285"/>
      <c r="AM76" s="280"/>
      <c r="AN76" s="280"/>
      <c r="AO76" s="280"/>
      <c r="AP76" s="280"/>
      <c r="AQ76" s="280"/>
      <c r="AR76" s="280"/>
      <c r="AS76" s="280"/>
      <c r="AT76" s="280"/>
      <c r="AU76" s="280"/>
    </row>
    <row r="77" spans="1:47" ht="126.5" customHeight="1" x14ac:dyDescent="0.3">
      <c r="A77" s="149" t="s">
        <v>740</v>
      </c>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c r="AB77" s="149"/>
      <c r="AC77" s="149"/>
      <c r="AD77" s="149"/>
      <c r="AE77" s="149"/>
      <c r="AF77" s="149"/>
      <c r="AG77" s="149"/>
      <c r="AH77" s="149"/>
      <c r="AI77" s="149"/>
      <c r="AJ77" s="149"/>
      <c r="AK77" s="149"/>
      <c r="AL77" s="149"/>
    </row>
    <row r="78" spans="1:47" ht="141" customHeight="1" x14ac:dyDescent="0.3">
      <c r="A78" s="283" t="s">
        <v>117</v>
      </c>
      <c r="B78" s="283"/>
      <c r="C78" s="283"/>
      <c r="D78" s="283"/>
      <c r="E78" s="283"/>
      <c r="F78" s="283"/>
      <c r="G78" s="283"/>
      <c r="H78" s="283"/>
      <c r="I78" s="205" t="s">
        <v>735</v>
      </c>
      <c r="J78" s="205"/>
      <c r="K78" s="205"/>
      <c r="L78" s="205"/>
      <c r="M78" s="205"/>
      <c r="N78" s="205"/>
      <c r="O78" s="205"/>
      <c r="P78" s="205"/>
      <c r="Q78" s="205"/>
      <c r="R78" s="205"/>
      <c r="S78" s="205"/>
      <c r="T78" s="205" t="s">
        <v>736</v>
      </c>
      <c r="U78" s="205"/>
      <c r="V78" s="205"/>
      <c r="W78" s="205"/>
      <c r="X78" s="205"/>
      <c r="Y78" s="205"/>
      <c r="Z78" s="205"/>
      <c r="AA78" s="205"/>
      <c r="AB78" s="205"/>
      <c r="AC78" s="205"/>
      <c r="AD78" s="205"/>
      <c r="AE78" s="205" t="s">
        <v>737</v>
      </c>
      <c r="AF78" s="205"/>
      <c r="AG78" s="205"/>
      <c r="AH78" s="205"/>
      <c r="AI78" s="205"/>
      <c r="AJ78" s="205"/>
      <c r="AK78" s="205" t="s">
        <v>738</v>
      </c>
      <c r="AL78" s="205"/>
    </row>
    <row r="79" spans="1:47" ht="19.5" customHeight="1" x14ac:dyDescent="0.3">
      <c r="A79" s="222"/>
      <c r="B79" s="222"/>
      <c r="C79" s="222"/>
      <c r="D79" s="222"/>
      <c r="E79" s="222"/>
      <c r="F79" s="222"/>
      <c r="G79" s="222"/>
      <c r="H79" s="222"/>
      <c r="I79" s="202"/>
      <c r="J79" s="203"/>
      <c r="K79" s="203"/>
      <c r="L79" s="203"/>
      <c r="M79" s="203"/>
      <c r="N79" s="203"/>
      <c r="O79" s="203"/>
      <c r="P79" s="203"/>
      <c r="Q79" s="203"/>
      <c r="R79" s="203"/>
      <c r="S79" s="204"/>
      <c r="T79" s="202"/>
      <c r="U79" s="203"/>
      <c r="V79" s="203"/>
      <c r="W79" s="203"/>
      <c r="X79" s="203"/>
      <c r="Y79" s="203"/>
      <c r="Z79" s="203"/>
      <c r="AA79" s="203"/>
      <c r="AB79" s="203"/>
      <c r="AC79" s="203"/>
      <c r="AD79" s="204"/>
      <c r="AE79" s="202"/>
      <c r="AF79" s="203"/>
      <c r="AG79" s="203"/>
      <c r="AH79" s="203"/>
      <c r="AI79" s="203"/>
      <c r="AJ79" s="203"/>
      <c r="AK79" s="214"/>
      <c r="AL79" s="215"/>
      <c r="AM79" s="44" t="s">
        <v>739</v>
      </c>
    </row>
    <row r="80" spans="1:47" ht="24" customHeight="1" x14ac:dyDescent="0.3">
      <c r="A80" s="149" t="s">
        <v>893</v>
      </c>
      <c r="B80" s="183"/>
      <c r="C80" s="183"/>
      <c r="D80" s="183"/>
      <c r="E80" s="183"/>
      <c r="F80" s="183"/>
      <c r="G80" s="183"/>
      <c r="H80" s="183"/>
      <c r="I80" s="183"/>
      <c r="J80" s="183"/>
      <c r="K80" s="183"/>
      <c r="L80" s="183"/>
      <c r="M80" s="183"/>
      <c r="N80" s="183"/>
      <c r="O80" s="183"/>
      <c r="P80" s="183"/>
      <c r="Q80" s="183"/>
      <c r="R80" s="183"/>
      <c r="S80" s="183"/>
      <c r="T80" s="183"/>
      <c r="U80" s="183"/>
      <c r="V80" s="183"/>
      <c r="W80" s="183"/>
      <c r="X80" s="183"/>
      <c r="Y80" s="183"/>
      <c r="Z80" s="183"/>
      <c r="AA80" s="183"/>
      <c r="AB80" s="183"/>
      <c r="AC80" s="183"/>
      <c r="AD80" s="183"/>
      <c r="AE80" s="183"/>
      <c r="AF80" s="183"/>
      <c r="AG80" s="183"/>
      <c r="AH80" s="183"/>
      <c r="AI80" s="183"/>
      <c r="AJ80" s="183"/>
      <c r="AK80" s="183"/>
      <c r="AL80" s="183"/>
      <c r="AM80" s="280"/>
      <c r="AN80" s="280"/>
      <c r="AO80" s="280"/>
      <c r="AP80" s="280"/>
      <c r="AQ80" s="280"/>
      <c r="AR80" s="280"/>
      <c r="AS80" s="280"/>
      <c r="AT80" s="280"/>
    </row>
    <row r="81" spans="1:52" ht="14.5" x14ac:dyDescent="0.3">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c r="AA81" s="227"/>
      <c r="AB81" s="227"/>
      <c r="AC81" s="227"/>
      <c r="AD81" s="227"/>
      <c r="AE81" s="227"/>
      <c r="AF81" s="227"/>
      <c r="AG81" s="227"/>
      <c r="AH81" s="227"/>
      <c r="AI81" s="227"/>
      <c r="AJ81" s="227"/>
      <c r="AK81" s="227"/>
      <c r="AL81" s="227"/>
    </row>
    <row r="82" spans="1:52" ht="42" customHeight="1" x14ac:dyDescent="0.3">
      <c r="A82" s="183" t="s">
        <v>865</v>
      </c>
      <c r="B82" s="183"/>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c r="AA82" s="183"/>
      <c r="AB82" s="183"/>
      <c r="AC82" s="183"/>
      <c r="AD82" s="183"/>
      <c r="AE82" s="183"/>
      <c r="AF82" s="183"/>
      <c r="AG82" s="183"/>
      <c r="AH82" s="183"/>
      <c r="AI82" s="183"/>
      <c r="AJ82" s="183"/>
      <c r="AK82" s="183"/>
      <c r="AL82" s="183"/>
      <c r="AM82" s="280"/>
      <c r="AN82" s="280"/>
      <c r="AO82" s="280"/>
      <c r="AP82" s="280"/>
      <c r="AQ82" s="280"/>
      <c r="AR82" s="280"/>
      <c r="AS82" s="280"/>
      <c r="AT82" s="280"/>
      <c r="AU82" s="280"/>
      <c r="AV82" s="280"/>
    </row>
    <row r="83" spans="1:52" ht="14.5" x14ac:dyDescent="0.3">
      <c r="A83" s="259"/>
      <c r="B83" s="259"/>
      <c r="C83" s="259"/>
      <c r="D83" s="259"/>
      <c r="E83" s="259"/>
      <c r="F83" s="259"/>
      <c r="G83" s="259"/>
      <c r="H83" s="259"/>
      <c r="I83" s="259"/>
      <c r="J83" s="259"/>
      <c r="K83" s="259"/>
      <c r="L83" s="259"/>
      <c r="M83" s="259"/>
      <c r="N83" s="259"/>
      <c r="O83" s="259"/>
      <c r="P83" s="259"/>
      <c r="Q83" s="259"/>
      <c r="R83" s="259"/>
      <c r="S83" s="259"/>
      <c r="T83" s="259"/>
      <c r="U83" s="259"/>
      <c r="V83" s="259"/>
      <c r="W83" s="259"/>
      <c r="X83" s="259"/>
      <c r="Y83" s="259"/>
      <c r="Z83" s="259"/>
      <c r="AA83" s="259"/>
      <c r="AB83" s="259"/>
      <c r="AC83" s="259"/>
      <c r="AD83" s="259"/>
      <c r="AE83" s="259"/>
      <c r="AF83" s="259"/>
      <c r="AG83" s="259"/>
      <c r="AH83" s="259"/>
      <c r="AI83" s="259"/>
      <c r="AJ83" s="259"/>
      <c r="AK83" s="259"/>
      <c r="AL83" s="259"/>
      <c r="AP83" s="30"/>
      <c r="AQ83" s="30"/>
      <c r="AR83" s="30"/>
      <c r="AS83" s="30"/>
      <c r="AT83" s="30"/>
      <c r="AU83" s="30"/>
      <c r="AV83" s="30"/>
    </row>
    <row r="84" spans="1:52" ht="34.5" customHeight="1" x14ac:dyDescent="0.3">
      <c r="A84" s="183" t="s">
        <v>866</v>
      </c>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c r="AB84" s="149"/>
      <c r="AC84" s="149"/>
      <c r="AD84" s="149"/>
      <c r="AE84" s="149"/>
      <c r="AF84" s="149"/>
      <c r="AG84" s="149"/>
      <c r="AH84" s="149"/>
      <c r="AI84" s="149"/>
      <c r="AJ84" s="149"/>
      <c r="AK84" s="149"/>
      <c r="AL84" s="149"/>
      <c r="AP84" s="30"/>
      <c r="AQ84" s="30"/>
      <c r="AR84" s="30"/>
      <c r="AS84" s="30"/>
      <c r="AT84" s="30"/>
      <c r="AU84" s="30"/>
      <c r="AV84" s="30"/>
    </row>
    <row r="85" spans="1:52" ht="14.5" x14ac:dyDescent="0.3">
      <c r="A85" s="259"/>
      <c r="B85" s="259"/>
      <c r="C85" s="259"/>
      <c r="D85" s="259"/>
      <c r="E85" s="259"/>
      <c r="F85" s="259"/>
      <c r="G85" s="259"/>
      <c r="H85" s="259"/>
      <c r="I85" s="259"/>
      <c r="J85" s="259"/>
      <c r="K85" s="259"/>
      <c r="L85" s="259"/>
      <c r="M85" s="259"/>
      <c r="N85" s="259"/>
      <c r="O85" s="259"/>
      <c r="P85" s="259"/>
      <c r="Q85" s="259"/>
      <c r="R85" s="259"/>
      <c r="S85" s="259"/>
      <c r="T85" s="259"/>
      <c r="U85" s="259"/>
      <c r="V85" s="259"/>
      <c r="W85" s="259"/>
      <c r="X85" s="259"/>
      <c r="Y85" s="259"/>
      <c r="Z85" s="259"/>
      <c r="AA85" s="259"/>
      <c r="AB85" s="259"/>
      <c r="AC85" s="259"/>
      <c r="AD85" s="259"/>
      <c r="AE85" s="259"/>
      <c r="AF85" s="259"/>
      <c r="AG85" s="259"/>
      <c r="AH85" s="259"/>
      <c r="AI85" s="259"/>
      <c r="AJ85" s="259"/>
      <c r="AK85" s="259"/>
      <c r="AL85" s="259"/>
      <c r="AM85" s="280"/>
      <c r="AN85" s="280"/>
      <c r="AO85" s="280"/>
      <c r="AP85" s="280"/>
      <c r="AQ85" s="280"/>
      <c r="AR85" s="280"/>
      <c r="AS85" s="280"/>
      <c r="AT85" s="280"/>
      <c r="AU85" s="280"/>
      <c r="AV85" s="280"/>
    </row>
    <row r="86" spans="1:52" ht="29.5" customHeight="1" x14ac:dyDescent="0.3">
      <c r="A86" s="311" t="s">
        <v>868</v>
      </c>
      <c r="B86" s="311"/>
      <c r="C86" s="311"/>
      <c r="D86" s="311"/>
      <c r="E86" s="311"/>
      <c r="F86" s="311"/>
      <c r="G86" s="311"/>
      <c r="H86" s="311"/>
      <c r="I86" s="311"/>
      <c r="J86" s="311"/>
      <c r="K86" s="311"/>
      <c r="L86" s="311"/>
      <c r="M86" s="311"/>
      <c r="N86" s="311"/>
      <c r="O86" s="311"/>
      <c r="P86" s="311"/>
      <c r="Q86" s="311"/>
      <c r="R86" s="311"/>
      <c r="S86" s="311"/>
      <c r="T86" s="311"/>
      <c r="U86" s="311"/>
      <c r="V86" s="311"/>
      <c r="W86" s="311"/>
      <c r="X86" s="311"/>
      <c r="Y86" s="311"/>
      <c r="Z86" s="311"/>
      <c r="AA86" s="311"/>
      <c r="AB86" s="311"/>
      <c r="AC86" s="311"/>
      <c r="AD86" s="311"/>
      <c r="AE86" s="311"/>
      <c r="AF86" s="311"/>
      <c r="AG86" s="311"/>
      <c r="AH86" s="311"/>
      <c r="AI86" s="311"/>
      <c r="AJ86" s="311"/>
      <c r="AK86" s="311"/>
      <c r="AL86" s="311"/>
      <c r="AM86" s="84"/>
      <c r="AN86" s="84"/>
      <c r="AO86" s="84"/>
      <c r="AP86" s="84"/>
      <c r="AQ86" s="84"/>
      <c r="AR86" s="84"/>
      <c r="AS86" s="84"/>
      <c r="AT86" s="84"/>
      <c r="AU86" s="84"/>
      <c r="AV86" s="84"/>
    </row>
    <row r="87" spans="1:52" ht="14.5" x14ac:dyDescent="0.3">
      <c r="A87" s="259"/>
      <c r="B87" s="259"/>
      <c r="C87" s="259"/>
      <c r="D87" s="259"/>
      <c r="E87" s="259"/>
      <c r="F87" s="259"/>
      <c r="G87" s="259"/>
      <c r="H87" s="259"/>
      <c r="I87" s="259"/>
      <c r="J87" s="259"/>
      <c r="K87" s="259"/>
      <c r="L87" s="259"/>
      <c r="M87" s="259"/>
      <c r="N87" s="259"/>
      <c r="O87" s="259"/>
      <c r="P87" s="259"/>
      <c r="Q87" s="259"/>
      <c r="R87" s="259"/>
      <c r="S87" s="259"/>
      <c r="T87" s="259"/>
      <c r="U87" s="259"/>
      <c r="V87" s="259"/>
      <c r="W87" s="259"/>
      <c r="X87" s="259"/>
      <c r="Y87" s="259"/>
      <c r="Z87" s="259"/>
      <c r="AA87" s="259"/>
      <c r="AB87" s="259"/>
      <c r="AC87" s="259"/>
      <c r="AD87" s="259"/>
      <c r="AE87" s="259"/>
      <c r="AF87" s="259"/>
      <c r="AG87" s="259"/>
      <c r="AH87" s="259"/>
      <c r="AI87" s="259"/>
      <c r="AJ87" s="259"/>
      <c r="AK87" s="259"/>
      <c r="AL87" s="259"/>
      <c r="AM87" s="84"/>
      <c r="AN87" s="84"/>
      <c r="AO87" s="84"/>
      <c r="AP87" s="84"/>
      <c r="AQ87" s="84"/>
      <c r="AR87" s="84"/>
      <c r="AS87" s="84"/>
      <c r="AT87" s="84"/>
      <c r="AU87" s="84"/>
      <c r="AV87" s="84"/>
    </row>
    <row r="88" spans="1:52" ht="14.5" x14ac:dyDescent="0.3">
      <c r="A88" s="216" t="s">
        <v>611</v>
      </c>
      <c r="B88" s="216"/>
      <c r="C88" s="216"/>
      <c r="D88" s="216"/>
      <c r="E88" s="216"/>
      <c r="F88" s="216"/>
      <c r="G88" s="216"/>
      <c r="H88" s="216"/>
      <c r="I88" s="216"/>
      <c r="J88" s="216"/>
      <c r="K88" s="216"/>
      <c r="L88" s="216"/>
      <c r="M88" s="216"/>
      <c r="N88" s="216"/>
      <c r="O88" s="216"/>
      <c r="P88" s="216"/>
      <c r="Q88" s="216"/>
      <c r="R88" s="216"/>
      <c r="S88" s="216"/>
      <c r="T88" s="216"/>
      <c r="U88" s="216"/>
      <c r="V88" s="216"/>
      <c r="W88" s="216"/>
      <c r="X88" s="216"/>
      <c r="Y88" s="216"/>
      <c r="Z88" s="216"/>
      <c r="AA88" s="216"/>
      <c r="AB88" s="216"/>
      <c r="AC88" s="216"/>
      <c r="AD88" s="216"/>
      <c r="AE88" s="216"/>
      <c r="AF88" s="216"/>
      <c r="AG88" s="216"/>
      <c r="AH88" s="216"/>
      <c r="AI88" s="216"/>
      <c r="AJ88" s="216"/>
      <c r="AK88" s="216"/>
      <c r="AL88" s="216"/>
      <c r="AM88" s="46"/>
      <c r="AN88" s="35"/>
      <c r="AO88" s="35"/>
      <c r="AP88" s="35"/>
      <c r="AQ88" s="35"/>
      <c r="AR88" s="35"/>
      <c r="AS88" s="35"/>
      <c r="AT88" s="35"/>
      <c r="AU88" s="35"/>
      <c r="AV88" s="35"/>
      <c r="AW88" s="35"/>
      <c r="AX88" s="35"/>
      <c r="AY88" s="35"/>
      <c r="AZ88" s="35"/>
    </row>
    <row r="89" spans="1:52" ht="34.5" customHeight="1" x14ac:dyDescent="0.3">
      <c r="A89" s="260" t="s">
        <v>654</v>
      </c>
      <c r="B89" s="260"/>
      <c r="C89" s="260"/>
      <c r="D89" s="260"/>
      <c r="E89" s="260"/>
      <c r="F89" s="260"/>
      <c r="G89" s="260"/>
      <c r="H89" s="260"/>
      <c r="I89" s="260"/>
      <c r="J89" s="260"/>
      <c r="K89" s="260"/>
      <c r="L89" s="260"/>
      <c r="M89" s="260"/>
      <c r="N89" s="260"/>
      <c r="O89" s="260"/>
      <c r="P89" s="260"/>
      <c r="Q89" s="260"/>
      <c r="R89" s="260"/>
      <c r="S89" s="260"/>
      <c r="T89" s="260"/>
      <c r="U89" s="260"/>
      <c r="V89" s="260"/>
      <c r="W89" s="260"/>
      <c r="X89" s="260"/>
      <c r="Y89" s="260"/>
      <c r="Z89" s="260"/>
      <c r="AA89" s="260"/>
      <c r="AB89" s="260"/>
      <c r="AC89" s="260"/>
      <c r="AD89" s="260"/>
      <c r="AE89" s="260"/>
      <c r="AF89" s="260"/>
      <c r="AG89" s="260"/>
      <c r="AH89" s="260"/>
      <c r="AI89" s="260"/>
      <c r="AJ89" s="260"/>
      <c r="AK89" s="260"/>
      <c r="AL89" s="260"/>
    </row>
    <row r="90" spans="1:52" ht="45" customHeight="1" x14ac:dyDescent="0.3">
      <c r="A90" s="261" t="s">
        <v>655</v>
      </c>
      <c r="B90" s="261"/>
      <c r="C90" s="261"/>
      <c r="D90" s="261"/>
      <c r="E90" s="261"/>
      <c r="F90" s="261"/>
      <c r="G90" s="261"/>
      <c r="H90" s="261"/>
      <c r="I90" s="261"/>
      <c r="J90" s="261"/>
      <c r="K90" s="261"/>
      <c r="L90" s="261"/>
      <c r="M90" s="261"/>
      <c r="N90" s="261"/>
      <c r="O90" s="261"/>
      <c r="P90" s="261"/>
      <c r="Q90" s="261"/>
      <c r="R90" s="261"/>
      <c r="S90" s="261"/>
      <c r="T90" s="261"/>
      <c r="U90" s="261"/>
      <c r="V90" s="261"/>
      <c r="W90" s="261"/>
      <c r="X90" s="261"/>
      <c r="Y90" s="261"/>
      <c r="Z90" s="261"/>
      <c r="AA90" s="261"/>
      <c r="AB90" s="261"/>
      <c r="AC90" s="261"/>
      <c r="AD90" s="261"/>
      <c r="AE90" s="261"/>
      <c r="AF90" s="261"/>
      <c r="AG90" s="261"/>
      <c r="AH90" s="261"/>
      <c r="AI90" s="261"/>
      <c r="AJ90" s="261"/>
      <c r="AK90" s="261"/>
      <c r="AL90" s="261"/>
      <c r="AM90" s="50" t="s">
        <v>665</v>
      </c>
    </row>
    <row r="91" spans="1:52" ht="40.5" customHeight="1" x14ac:dyDescent="0.3">
      <c r="A91" s="149" t="s">
        <v>914</v>
      </c>
      <c r="B91" s="183"/>
      <c r="C91" s="183"/>
      <c r="D91" s="183"/>
      <c r="E91" s="183"/>
      <c r="F91" s="183"/>
      <c r="G91" s="183"/>
      <c r="H91" s="183"/>
      <c r="I91" s="183"/>
      <c r="J91" s="183"/>
      <c r="K91" s="183"/>
      <c r="L91" s="183"/>
      <c r="M91" s="183"/>
      <c r="N91" s="183"/>
      <c r="O91" s="183"/>
      <c r="P91" s="183"/>
      <c r="Q91" s="183"/>
      <c r="R91" s="183"/>
      <c r="S91" s="183"/>
      <c r="T91" s="183"/>
      <c r="U91" s="183"/>
      <c r="V91" s="183"/>
      <c r="W91" s="183"/>
      <c r="X91" s="183"/>
      <c r="Y91" s="183"/>
      <c r="Z91" s="183"/>
      <c r="AA91" s="183"/>
      <c r="AB91" s="183"/>
      <c r="AC91" s="183"/>
      <c r="AD91" s="183"/>
      <c r="AE91" s="183"/>
      <c r="AF91" s="183"/>
      <c r="AG91" s="183"/>
      <c r="AH91" s="183"/>
      <c r="AI91" s="183"/>
      <c r="AJ91" s="183"/>
      <c r="AK91" s="183"/>
      <c r="AL91" s="183"/>
    </row>
    <row r="92" spans="1:52" ht="45" customHeight="1" x14ac:dyDescent="0.3">
      <c r="A92" s="184" t="s">
        <v>660</v>
      </c>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c r="AA92" s="184"/>
      <c r="AB92" s="184"/>
      <c r="AC92" s="184"/>
      <c r="AD92" s="184"/>
      <c r="AE92" s="184"/>
      <c r="AF92" s="184"/>
      <c r="AG92" s="184"/>
      <c r="AH92" s="184"/>
      <c r="AI92" s="184"/>
      <c r="AJ92" s="184"/>
      <c r="AK92" s="184"/>
      <c r="AL92" s="184"/>
      <c r="AM92" s="50" t="s">
        <v>665</v>
      </c>
    </row>
    <row r="93" spans="1:52" ht="36.5" customHeight="1" x14ac:dyDescent="0.3">
      <c r="A93" s="245" t="s">
        <v>869</v>
      </c>
      <c r="B93" s="246"/>
      <c r="C93" s="246"/>
      <c r="D93" s="246"/>
      <c r="E93" s="246"/>
      <c r="F93" s="246"/>
      <c r="G93" s="246"/>
      <c r="H93" s="246"/>
      <c r="I93" s="246"/>
      <c r="J93" s="246"/>
      <c r="K93" s="246"/>
      <c r="L93" s="246"/>
      <c r="M93" s="246"/>
      <c r="N93" s="246"/>
      <c r="O93" s="246"/>
      <c r="P93" s="246"/>
      <c r="Q93" s="246"/>
      <c r="R93" s="246"/>
      <c r="S93" s="246"/>
      <c r="T93" s="246"/>
      <c r="U93" s="246"/>
      <c r="V93" s="246"/>
      <c r="W93" s="246"/>
      <c r="X93" s="246"/>
      <c r="Y93" s="246"/>
      <c r="Z93" s="246"/>
      <c r="AA93" s="246"/>
      <c r="AB93" s="246"/>
      <c r="AC93" s="246"/>
      <c r="AD93" s="246"/>
      <c r="AE93" s="246"/>
      <c r="AF93" s="246"/>
      <c r="AG93" s="246"/>
      <c r="AH93" s="246"/>
      <c r="AI93" s="246"/>
      <c r="AJ93" s="246"/>
      <c r="AK93" s="246"/>
      <c r="AL93" s="247"/>
    </row>
    <row r="94" spans="1:52" ht="46.5" customHeight="1" x14ac:dyDescent="0.35">
      <c r="A94" s="248" t="s">
        <v>663</v>
      </c>
      <c r="B94" s="248"/>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248"/>
      <c r="AA94" s="249"/>
      <c r="AB94" s="250"/>
      <c r="AC94" s="250"/>
      <c r="AD94" s="250"/>
      <c r="AE94" s="250"/>
      <c r="AF94" s="250"/>
      <c r="AG94" s="250"/>
      <c r="AH94" s="250"/>
      <c r="AI94" s="250"/>
      <c r="AJ94" s="250"/>
      <c r="AK94" s="250"/>
      <c r="AL94" s="250"/>
    </row>
    <row r="95" spans="1:52" ht="27" customHeight="1" x14ac:dyDescent="0.35">
      <c r="A95" s="245" t="s">
        <v>664</v>
      </c>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7"/>
      <c r="AA95" s="251"/>
      <c r="AB95" s="252"/>
      <c r="AC95" s="252"/>
      <c r="AD95" s="252"/>
      <c r="AE95" s="252"/>
      <c r="AF95" s="252"/>
      <c r="AG95" s="252"/>
      <c r="AH95" s="252"/>
      <c r="AI95" s="252"/>
      <c r="AJ95" s="252"/>
      <c r="AK95" s="252"/>
      <c r="AL95" s="252"/>
    </row>
    <row r="96" spans="1:52" ht="45" customHeight="1" x14ac:dyDescent="0.35">
      <c r="A96" s="253" t="s">
        <v>777</v>
      </c>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c r="Z96" s="185"/>
      <c r="AA96" s="224" t="s">
        <v>731</v>
      </c>
      <c r="AB96" s="225"/>
      <c r="AC96" s="225"/>
      <c r="AD96" s="225"/>
      <c r="AE96" s="225"/>
      <c r="AF96" s="225"/>
      <c r="AG96" s="225"/>
      <c r="AH96" s="225"/>
      <c r="AI96" s="226"/>
      <c r="AJ96" s="249"/>
      <c r="AK96" s="250"/>
      <c r="AL96" s="250"/>
    </row>
    <row r="97" spans="1:40" ht="46" customHeight="1" x14ac:dyDescent="0.35">
      <c r="A97" s="254"/>
      <c r="B97" s="255"/>
      <c r="C97" s="255"/>
      <c r="D97" s="255"/>
      <c r="E97" s="255"/>
      <c r="F97" s="255"/>
      <c r="G97" s="255"/>
      <c r="H97" s="255"/>
      <c r="I97" s="255"/>
      <c r="J97" s="255"/>
      <c r="K97" s="255"/>
      <c r="L97" s="255"/>
      <c r="M97" s="255"/>
      <c r="N97" s="255"/>
      <c r="O97" s="255"/>
      <c r="P97" s="255"/>
      <c r="Q97" s="255"/>
      <c r="R97" s="255"/>
      <c r="S97" s="255"/>
      <c r="T97" s="255"/>
      <c r="U97" s="255"/>
      <c r="V97" s="255"/>
      <c r="W97" s="255"/>
      <c r="X97" s="255"/>
      <c r="Y97" s="255"/>
      <c r="Z97" s="255"/>
      <c r="AA97" s="224" t="s">
        <v>732</v>
      </c>
      <c r="AB97" s="225"/>
      <c r="AC97" s="225"/>
      <c r="AD97" s="225"/>
      <c r="AE97" s="225"/>
      <c r="AF97" s="225"/>
      <c r="AG97" s="225"/>
      <c r="AH97" s="225"/>
      <c r="AI97" s="226"/>
      <c r="AJ97" s="249"/>
      <c r="AK97" s="250"/>
      <c r="AL97" s="250"/>
    </row>
    <row r="98" spans="1:40" ht="96.5" customHeight="1" x14ac:dyDescent="0.3">
      <c r="A98" s="245" t="s">
        <v>778</v>
      </c>
      <c r="B98" s="246"/>
      <c r="C98" s="246"/>
      <c r="D98" s="246"/>
      <c r="E98" s="246"/>
      <c r="F98" s="246"/>
      <c r="G98" s="246"/>
      <c r="H98" s="246"/>
      <c r="I98" s="246"/>
      <c r="J98" s="246"/>
      <c r="K98" s="246"/>
      <c r="L98" s="246"/>
      <c r="M98" s="246"/>
      <c r="N98" s="246"/>
      <c r="O98" s="246"/>
      <c r="P98" s="246"/>
      <c r="Q98" s="246"/>
      <c r="R98" s="246"/>
      <c r="S98" s="246"/>
      <c r="T98" s="246"/>
      <c r="U98" s="246"/>
      <c r="V98" s="246"/>
      <c r="W98" s="246"/>
      <c r="X98" s="246"/>
      <c r="Y98" s="246"/>
      <c r="Z98" s="247"/>
      <c r="AA98" s="267"/>
      <c r="AB98" s="268"/>
      <c r="AC98" s="268"/>
      <c r="AD98" s="268"/>
      <c r="AE98" s="268"/>
      <c r="AF98" s="268"/>
      <c r="AG98" s="268"/>
      <c r="AH98" s="268"/>
      <c r="AI98" s="268"/>
      <c r="AJ98" s="268"/>
      <c r="AK98" s="268"/>
      <c r="AL98" s="268"/>
    </row>
    <row r="99" spans="1:40" ht="59" customHeight="1" x14ac:dyDescent="0.35">
      <c r="A99" s="263" t="s">
        <v>916</v>
      </c>
      <c r="B99" s="263"/>
      <c r="C99" s="263"/>
      <c r="D99" s="263"/>
      <c r="E99" s="263"/>
      <c r="F99" s="263"/>
      <c r="G99" s="263"/>
      <c r="H99" s="263"/>
      <c r="I99" s="263"/>
      <c r="J99" s="263"/>
      <c r="K99" s="263"/>
      <c r="L99" s="263"/>
      <c r="M99" s="263"/>
      <c r="N99" s="263"/>
      <c r="O99" s="263"/>
      <c r="P99" s="263"/>
      <c r="Q99" s="263"/>
      <c r="R99" s="263"/>
      <c r="S99" s="263"/>
      <c r="T99" s="263"/>
      <c r="U99" s="263"/>
      <c r="V99" s="263"/>
      <c r="W99" s="263"/>
      <c r="X99" s="263"/>
      <c r="Y99" s="263"/>
      <c r="Z99" s="264"/>
      <c r="AA99" s="224" t="s">
        <v>795</v>
      </c>
      <c r="AB99" s="225"/>
      <c r="AC99" s="225"/>
      <c r="AD99" s="225"/>
      <c r="AE99" s="225"/>
      <c r="AF99" s="225"/>
      <c r="AG99" s="225"/>
      <c r="AH99" s="225"/>
      <c r="AI99" s="226"/>
      <c r="AJ99" s="249"/>
      <c r="AK99" s="250"/>
      <c r="AL99" s="250"/>
    </row>
    <row r="100" spans="1:40" ht="59" customHeight="1" x14ac:dyDescent="0.35">
      <c r="A100" s="265"/>
      <c r="B100" s="265"/>
      <c r="C100" s="265"/>
      <c r="D100" s="265"/>
      <c r="E100" s="265"/>
      <c r="F100" s="265"/>
      <c r="G100" s="265"/>
      <c r="H100" s="265"/>
      <c r="I100" s="265"/>
      <c r="J100" s="265"/>
      <c r="K100" s="265"/>
      <c r="L100" s="265"/>
      <c r="M100" s="265"/>
      <c r="N100" s="265"/>
      <c r="O100" s="265"/>
      <c r="P100" s="265"/>
      <c r="Q100" s="265"/>
      <c r="R100" s="265"/>
      <c r="S100" s="265"/>
      <c r="T100" s="265"/>
      <c r="U100" s="265"/>
      <c r="V100" s="265"/>
      <c r="W100" s="265"/>
      <c r="X100" s="265"/>
      <c r="Y100" s="265"/>
      <c r="Z100" s="266"/>
      <c r="AA100" s="224" t="s">
        <v>794</v>
      </c>
      <c r="AB100" s="225"/>
      <c r="AC100" s="225"/>
      <c r="AD100" s="225"/>
      <c r="AE100" s="225"/>
      <c r="AF100" s="225"/>
      <c r="AG100" s="225"/>
      <c r="AH100" s="225"/>
      <c r="AI100" s="226"/>
      <c r="AJ100" s="251"/>
      <c r="AK100" s="252"/>
      <c r="AL100" s="252"/>
    </row>
    <row r="101" spans="1:40" ht="59.5" customHeight="1" x14ac:dyDescent="0.35">
      <c r="A101" s="185" t="s">
        <v>779</v>
      </c>
      <c r="B101" s="185"/>
      <c r="C101" s="185"/>
      <c r="D101" s="185"/>
      <c r="E101" s="185"/>
      <c r="F101" s="185"/>
      <c r="G101" s="185"/>
      <c r="H101" s="185"/>
      <c r="I101" s="185"/>
      <c r="J101" s="185"/>
      <c r="K101" s="185"/>
      <c r="L101" s="185"/>
      <c r="M101" s="185"/>
      <c r="N101" s="185"/>
      <c r="O101" s="185"/>
      <c r="P101" s="185"/>
      <c r="Q101" s="185"/>
      <c r="R101" s="185"/>
      <c r="S101" s="185"/>
      <c r="T101" s="185"/>
      <c r="U101" s="185"/>
      <c r="V101" s="185"/>
      <c r="W101" s="185"/>
      <c r="X101" s="185"/>
      <c r="Y101" s="185"/>
      <c r="Z101" s="185"/>
      <c r="AA101" s="224" t="s">
        <v>795</v>
      </c>
      <c r="AB101" s="225"/>
      <c r="AC101" s="225"/>
      <c r="AD101" s="225"/>
      <c r="AE101" s="225"/>
      <c r="AF101" s="225"/>
      <c r="AG101" s="225"/>
      <c r="AH101" s="225"/>
      <c r="AI101" s="226"/>
      <c r="AJ101" s="249"/>
      <c r="AK101" s="250"/>
      <c r="AL101" s="250"/>
    </row>
    <row r="102" spans="1:40" ht="59.5" customHeight="1" x14ac:dyDescent="0.35">
      <c r="A102" s="255"/>
      <c r="B102" s="255"/>
      <c r="C102" s="255"/>
      <c r="D102" s="255"/>
      <c r="E102" s="255"/>
      <c r="F102" s="255"/>
      <c r="G102" s="255"/>
      <c r="H102" s="255"/>
      <c r="I102" s="255"/>
      <c r="J102" s="255"/>
      <c r="K102" s="255"/>
      <c r="L102" s="255"/>
      <c r="M102" s="255"/>
      <c r="N102" s="255"/>
      <c r="O102" s="255"/>
      <c r="P102" s="255"/>
      <c r="Q102" s="255"/>
      <c r="R102" s="255"/>
      <c r="S102" s="255"/>
      <c r="T102" s="255"/>
      <c r="U102" s="255"/>
      <c r="V102" s="255"/>
      <c r="W102" s="255"/>
      <c r="X102" s="255"/>
      <c r="Y102" s="255"/>
      <c r="Z102" s="255"/>
      <c r="AA102" s="224" t="s">
        <v>794</v>
      </c>
      <c r="AB102" s="225"/>
      <c r="AC102" s="225"/>
      <c r="AD102" s="225"/>
      <c r="AE102" s="225"/>
      <c r="AF102" s="225"/>
      <c r="AG102" s="225"/>
      <c r="AH102" s="225"/>
      <c r="AI102" s="226"/>
      <c r="AJ102" s="249"/>
      <c r="AK102" s="250"/>
      <c r="AL102" s="250"/>
    </row>
    <row r="103" spans="1:40" ht="45" customHeight="1" x14ac:dyDescent="0.3">
      <c r="A103" s="244" t="s">
        <v>773</v>
      </c>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50"/>
    </row>
    <row r="104" spans="1:40" ht="169" customHeight="1" x14ac:dyDescent="0.35">
      <c r="A104" s="300" t="s">
        <v>894</v>
      </c>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2"/>
      <c r="AJ104" s="303" t="e">
        <f>ROUNDDOWN(A85/(A85+A87),6)</f>
        <v>#DIV/0!</v>
      </c>
      <c r="AK104" s="304"/>
      <c r="AL104" s="304"/>
      <c r="AM104" s="50"/>
    </row>
    <row r="105" spans="1:40" ht="317.5" customHeight="1" x14ac:dyDescent="0.35">
      <c r="A105" s="300" t="s">
        <v>831</v>
      </c>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2"/>
      <c r="AJ105" s="305" t="e">
        <f>ROUNDDOWN(AJ102/AJ99,6)</f>
        <v>#DIV/0!</v>
      </c>
      <c r="AK105" s="306"/>
      <c r="AL105" s="306"/>
      <c r="AM105" s="50"/>
    </row>
    <row r="106" spans="1:40" ht="70.5" customHeight="1" x14ac:dyDescent="0.3">
      <c r="A106" s="253" t="s">
        <v>832</v>
      </c>
      <c r="B106" s="185"/>
      <c r="C106" s="185"/>
      <c r="D106" s="185"/>
      <c r="E106" s="185"/>
      <c r="F106" s="185"/>
      <c r="G106" s="185"/>
      <c r="H106" s="185"/>
      <c r="I106" s="185"/>
      <c r="J106" s="185"/>
      <c r="K106" s="185"/>
      <c r="L106" s="185"/>
      <c r="M106" s="185"/>
      <c r="N106" s="185"/>
      <c r="O106" s="185"/>
      <c r="P106" s="185"/>
      <c r="Q106" s="185"/>
      <c r="R106" s="185"/>
      <c r="S106" s="185"/>
      <c r="T106" s="185"/>
      <c r="U106" s="185"/>
      <c r="V106" s="185"/>
      <c r="W106" s="185"/>
      <c r="X106" s="185"/>
      <c r="Y106" s="185"/>
      <c r="Z106" s="185"/>
      <c r="AA106" s="185"/>
      <c r="AB106" s="185"/>
      <c r="AC106" s="185"/>
      <c r="AD106" s="185"/>
      <c r="AE106" s="185"/>
      <c r="AF106" s="185"/>
      <c r="AG106" s="185"/>
      <c r="AH106" s="185"/>
      <c r="AI106" s="185"/>
      <c r="AJ106" s="185"/>
      <c r="AK106" s="185"/>
      <c r="AL106" s="185"/>
      <c r="AM106" s="50"/>
    </row>
    <row r="107" spans="1:40" ht="112" customHeight="1" x14ac:dyDescent="0.3">
      <c r="A107" s="298"/>
      <c r="B107" s="299"/>
      <c r="C107" s="299"/>
      <c r="D107" s="299"/>
      <c r="E107" s="299"/>
      <c r="F107" s="299"/>
      <c r="G107" s="299"/>
      <c r="H107" s="299"/>
      <c r="I107" s="299"/>
      <c r="J107" s="299"/>
      <c r="K107" s="299"/>
      <c r="L107" s="299"/>
      <c r="M107" s="299"/>
      <c r="N107" s="299"/>
      <c r="O107" s="299"/>
      <c r="P107" s="299"/>
      <c r="Q107" s="299"/>
      <c r="R107" s="299"/>
      <c r="S107" s="299"/>
      <c r="T107" s="299"/>
      <c r="U107" s="299"/>
      <c r="V107" s="299"/>
      <c r="W107" s="299"/>
      <c r="X107" s="299"/>
      <c r="Y107" s="299"/>
      <c r="Z107" s="299"/>
      <c r="AA107" s="299"/>
      <c r="AB107" s="299"/>
      <c r="AC107" s="299"/>
      <c r="AD107" s="299"/>
      <c r="AE107" s="299"/>
      <c r="AF107" s="299"/>
      <c r="AG107" s="299"/>
      <c r="AH107" s="299"/>
      <c r="AI107" s="299"/>
      <c r="AJ107" s="299"/>
      <c r="AK107" s="299"/>
      <c r="AL107" s="299"/>
      <c r="AM107" s="50"/>
    </row>
    <row r="108" spans="1:40" ht="161" customHeight="1" x14ac:dyDescent="0.3">
      <c r="A108" s="149" t="s">
        <v>870</v>
      </c>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c r="AA108" s="149"/>
      <c r="AB108" s="149"/>
      <c r="AC108" s="149"/>
      <c r="AD108" s="149"/>
      <c r="AE108" s="149"/>
      <c r="AF108" s="149"/>
      <c r="AG108" s="149"/>
      <c r="AH108" s="149"/>
      <c r="AI108" s="149"/>
      <c r="AJ108" s="149"/>
      <c r="AK108" s="149"/>
      <c r="AL108" s="149"/>
    </row>
    <row r="109" spans="1:40" ht="83.5" customHeight="1" x14ac:dyDescent="0.3">
      <c r="A109" s="78" t="s">
        <v>118</v>
      </c>
      <c r="B109" s="295" t="s">
        <v>704</v>
      </c>
      <c r="C109" s="296"/>
      <c r="D109" s="296"/>
      <c r="E109" s="296"/>
      <c r="F109" s="297"/>
      <c r="G109" s="213" t="s">
        <v>705</v>
      </c>
      <c r="H109" s="213"/>
      <c r="I109" s="213"/>
      <c r="J109" s="213"/>
      <c r="K109" s="213"/>
      <c r="L109" s="213" t="s">
        <v>147</v>
      </c>
      <c r="M109" s="213"/>
      <c r="N109" s="213"/>
      <c r="O109" s="213"/>
      <c r="P109" s="213" t="s">
        <v>146</v>
      </c>
      <c r="Q109" s="213"/>
      <c r="R109" s="213"/>
      <c r="S109" s="213"/>
      <c r="T109" s="213" t="s">
        <v>600</v>
      </c>
      <c r="U109" s="213"/>
      <c r="V109" s="213"/>
      <c r="W109" s="213"/>
      <c r="X109" s="213"/>
      <c r="Y109" s="213"/>
      <c r="Z109" s="213"/>
      <c r="AA109" s="213" t="s">
        <v>599</v>
      </c>
      <c r="AB109" s="213"/>
      <c r="AC109" s="213"/>
      <c r="AD109" s="213"/>
      <c r="AE109" s="213"/>
      <c r="AF109" s="213"/>
      <c r="AG109" s="213"/>
      <c r="AH109" s="213" t="s">
        <v>142</v>
      </c>
      <c r="AI109" s="213"/>
      <c r="AJ109" s="213"/>
      <c r="AK109" s="213" t="s">
        <v>148</v>
      </c>
      <c r="AL109" s="213"/>
      <c r="AM109" s="85" t="s">
        <v>175</v>
      </c>
    </row>
    <row r="110" spans="1:40" ht="14.15" customHeight="1" x14ac:dyDescent="0.3">
      <c r="A110" s="78">
        <v>1</v>
      </c>
      <c r="B110" s="295">
        <v>2</v>
      </c>
      <c r="C110" s="296"/>
      <c r="D110" s="296"/>
      <c r="E110" s="296"/>
      <c r="F110" s="296"/>
      <c r="G110" s="295">
        <v>3</v>
      </c>
      <c r="H110" s="296"/>
      <c r="I110" s="296"/>
      <c r="J110" s="296"/>
      <c r="K110" s="297"/>
      <c r="L110" s="295">
        <v>4</v>
      </c>
      <c r="M110" s="296"/>
      <c r="N110" s="296"/>
      <c r="O110" s="297"/>
      <c r="P110" s="295">
        <v>5</v>
      </c>
      <c r="Q110" s="296"/>
      <c r="R110" s="296"/>
      <c r="S110" s="297"/>
      <c r="T110" s="295">
        <v>6</v>
      </c>
      <c r="U110" s="296"/>
      <c r="V110" s="296"/>
      <c r="W110" s="296"/>
      <c r="X110" s="296"/>
      <c r="Y110" s="296"/>
      <c r="Z110" s="297"/>
      <c r="AA110" s="295" t="s">
        <v>711</v>
      </c>
      <c r="AB110" s="296"/>
      <c r="AC110" s="296"/>
      <c r="AD110" s="296"/>
      <c r="AE110" s="296"/>
      <c r="AF110" s="296"/>
      <c r="AG110" s="297"/>
      <c r="AH110" s="295">
        <v>8</v>
      </c>
      <c r="AI110" s="296"/>
      <c r="AJ110" s="297"/>
      <c r="AK110" s="295" t="s">
        <v>601</v>
      </c>
      <c r="AL110" s="297"/>
      <c r="AM110" s="85"/>
    </row>
    <row r="111" spans="1:40" ht="42.5" customHeight="1" x14ac:dyDescent="0.3">
      <c r="A111" s="71">
        <v>1</v>
      </c>
      <c r="B111" s="170"/>
      <c r="C111" s="171"/>
      <c r="D111" s="171"/>
      <c r="E111" s="171"/>
      <c r="F111" s="172"/>
      <c r="G111" s="160"/>
      <c r="H111" s="161"/>
      <c r="I111" s="161"/>
      <c r="J111" s="161"/>
      <c r="K111" s="162"/>
      <c r="L111" s="357"/>
      <c r="M111" s="358"/>
      <c r="N111" s="358"/>
      <c r="O111" s="358"/>
      <c r="P111" s="176">
        <f>IF(OR(B111=Słowniki!A$46,B111=Słowniki!A$56,B111=Słowniki!A$58,B111=Słowniki!A$59),0.08,0.23)</f>
        <v>0.23</v>
      </c>
      <c r="Q111" s="177"/>
      <c r="R111" s="177"/>
      <c r="S111" s="177"/>
      <c r="T111" s="174">
        <v>1</v>
      </c>
      <c r="U111" s="174"/>
      <c r="V111" s="174"/>
      <c r="W111" s="174"/>
      <c r="X111" s="174"/>
      <c r="Y111" s="174"/>
      <c r="Z111" s="175"/>
      <c r="AA111" s="165">
        <f>L111+ROUND(L111*P111*T111,2)</f>
        <v>0</v>
      </c>
      <c r="AB111" s="173"/>
      <c r="AC111" s="173"/>
      <c r="AD111" s="173"/>
      <c r="AE111" s="173"/>
      <c r="AF111" s="173"/>
      <c r="AG111" s="166"/>
      <c r="AH111" s="167" t="e">
        <f>IF(OR(B111=Słowniki!A$57,B111=Słowniki!A$58),(AJ$104*AJ$105),AJ$104)</f>
        <v>#DIV/0!</v>
      </c>
      <c r="AI111" s="168"/>
      <c r="AJ111" s="169"/>
      <c r="AK111" s="165" t="e">
        <f>ROUND(AA111*AH111,2)</f>
        <v>#DIV/0!</v>
      </c>
      <c r="AL111" s="166"/>
      <c r="AN111" s="44"/>
    </row>
    <row r="112" spans="1:40" ht="36" customHeight="1" x14ac:dyDescent="0.3">
      <c r="A112" s="71">
        <v>2</v>
      </c>
      <c r="B112" s="170"/>
      <c r="C112" s="171"/>
      <c r="D112" s="171"/>
      <c r="E112" s="171"/>
      <c r="F112" s="172"/>
      <c r="G112" s="160"/>
      <c r="H112" s="161"/>
      <c r="I112" s="161"/>
      <c r="J112" s="161"/>
      <c r="K112" s="162"/>
      <c r="L112" s="357"/>
      <c r="M112" s="358"/>
      <c r="N112" s="358"/>
      <c r="O112" s="358"/>
      <c r="P112" s="176">
        <f>IF(OR(B112=Słowniki!A$46,B112=Słowniki!A$56,B112=Słowniki!A$58,B112=Słowniki!A$59),0.08,0.23)</f>
        <v>0.23</v>
      </c>
      <c r="Q112" s="177"/>
      <c r="R112" s="177"/>
      <c r="S112" s="177"/>
      <c r="T112" s="174">
        <v>1</v>
      </c>
      <c r="U112" s="174"/>
      <c r="V112" s="174"/>
      <c r="W112" s="174"/>
      <c r="X112" s="174"/>
      <c r="Y112" s="174"/>
      <c r="Z112" s="175"/>
      <c r="AA112" s="165">
        <f t="shared" ref="AA112:AA132" si="0">L112+ROUND(L112*P112*T112,2)</f>
        <v>0</v>
      </c>
      <c r="AB112" s="173"/>
      <c r="AC112" s="173"/>
      <c r="AD112" s="173"/>
      <c r="AE112" s="173"/>
      <c r="AF112" s="173"/>
      <c r="AG112" s="166"/>
      <c r="AH112" s="167" t="e">
        <f>IF(OR(B112=Słowniki!A$57,B112=Słowniki!A$58),(AJ$104*AJ$105),AJ$104)</f>
        <v>#DIV/0!</v>
      </c>
      <c r="AI112" s="168"/>
      <c r="AJ112" s="169"/>
      <c r="AK112" s="165" t="e">
        <f t="shared" ref="AK112:AK129" si="1">ROUND(AA112*AH112,2)</f>
        <v>#DIV/0!</v>
      </c>
      <c r="AL112" s="166"/>
      <c r="AN112" s="44"/>
    </row>
    <row r="113" spans="1:40" ht="36" customHeight="1" x14ac:dyDescent="0.3">
      <c r="A113" s="71">
        <v>3</v>
      </c>
      <c r="B113" s="170"/>
      <c r="C113" s="171"/>
      <c r="D113" s="171"/>
      <c r="E113" s="171"/>
      <c r="F113" s="172"/>
      <c r="G113" s="160"/>
      <c r="H113" s="161"/>
      <c r="I113" s="161"/>
      <c r="J113" s="161"/>
      <c r="K113" s="162"/>
      <c r="L113" s="357"/>
      <c r="M113" s="358"/>
      <c r="N113" s="358"/>
      <c r="O113" s="358"/>
      <c r="P113" s="176">
        <f>IF(OR(B113=Słowniki!A$46,B113=Słowniki!A$56,B113=Słowniki!A$58,B113=Słowniki!A$59),0.08,0.23)</f>
        <v>0.23</v>
      </c>
      <c r="Q113" s="177"/>
      <c r="R113" s="177"/>
      <c r="S113" s="177"/>
      <c r="T113" s="174">
        <v>1</v>
      </c>
      <c r="U113" s="174"/>
      <c r="V113" s="174"/>
      <c r="W113" s="174"/>
      <c r="X113" s="174"/>
      <c r="Y113" s="174"/>
      <c r="Z113" s="175"/>
      <c r="AA113" s="165">
        <f t="shared" si="0"/>
        <v>0</v>
      </c>
      <c r="AB113" s="173"/>
      <c r="AC113" s="173"/>
      <c r="AD113" s="173"/>
      <c r="AE113" s="173"/>
      <c r="AF113" s="173"/>
      <c r="AG113" s="166"/>
      <c r="AH113" s="167" t="e">
        <f>IF(OR(B113=Słowniki!A$57,B113=Słowniki!A$58),(AJ$104*AJ$105),AJ$104)</f>
        <v>#DIV/0!</v>
      </c>
      <c r="AI113" s="168"/>
      <c r="AJ113" s="169"/>
      <c r="AK113" s="165" t="e">
        <f t="shared" si="1"/>
        <v>#DIV/0!</v>
      </c>
      <c r="AL113" s="166"/>
      <c r="AN113" s="44"/>
    </row>
    <row r="114" spans="1:40" ht="36" customHeight="1" x14ac:dyDescent="0.3">
      <c r="A114" s="71">
        <v>4</v>
      </c>
      <c r="B114" s="170"/>
      <c r="C114" s="171"/>
      <c r="D114" s="171"/>
      <c r="E114" s="171"/>
      <c r="F114" s="172"/>
      <c r="G114" s="160"/>
      <c r="H114" s="161"/>
      <c r="I114" s="161"/>
      <c r="J114" s="161"/>
      <c r="K114" s="162"/>
      <c r="L114" s="357"/>
      <c r="M114" s="358"/>
      <c r="N114" s="358"/>
      <c r="O114" s="358"/>
      <c r="P114" s="176">
        <f>IF(OR(B114=Słowniki!A$46,B114=Słowniki!A$56,B114=Słowniki!A$58,B114=Słowniki!A$59),0.08,0.23)</f>
        <v>0.23</v>
      </c>
      <c r="Q114" s="177"/>
      <c r="R114" s="177"/>
      <c r="S114" s="177"/>
      <c r="T114" s="174">
        <v>1</v>
      </c>
      <c r="U114" s="174"/>
      <c r="V114" s="174"/>
      <c r="W114" s="174"/>
      <c r="X114" s="174"/>
      <c r="Y114" s="174"/>
      <c r="Z114" s="175"/>
      <c r="AA114" s="165">
        <f t="shared" si="0"/>
        <v>0</v>
      </c>
      <c r="AB114" s="173"/>
      <c r="AC114" s="173"/>
      <c r="AD114" s="173"/>
      <c r="AE114" s="173"/>
      <c r="AF114" s="173"/>
      <c r="AG114" s="166"/>
      <c r="AH114" s="167" t="e">
        <f>IF(OR(B114=Słowniki!A$57,B114=Słowniki!A$58),(AJ$104*AJ$105),AJ$104)</f>
        <v>#DIV/0!</v>
      </c>
      <c r="AI114" s="168"/>
      <c r="AJ114" s="169"/>
      <c r="AK114" s="165" t="e">
        <f t="shared" si="1"/>
        <v>#DIV/0!</v>
      </c>
      <c r="AL114" s="166"/>
      <c r="AN114" s="44"/>
    </row>
    <row r="115" spans="1:40" ht="36" customHeight="1" x14ac:dyDescent="0.3">
      <c r="A115" s="71">
        <v>5</v>
      </c>
      <c r="B115" s="170"/>
      <c r="C115" s="171"/>
      <c r="D115" s="171"/>
      <c r="E115" s="171"/>
      <c r="F115" s="172"/>
      <c r="G115" s="160"/>
      <c r="H115" s="161"/>
      <c r="I115" s="161"/>
      <c r="J115" s="161"/>
      <c r="K115" s="162"/>
      <c r="L115" s="357"/>
      <c r="M115" s="358"/>
      <c r="N115" s="358"/>
      <c r="O115" s="358"/>
      <c r="P115" s="176">
        <f>IF(OR(B115=Słowniki!A$46,B115=Słowniki!A$56,B115=Słowniki!A$58,B115=Słowniki!A$59),0.08,0.23)</f>
        <v>0.23</v>
      </c>
      <c r="Q115" s="177"/>
      <c r="R115" s="177"/>
      <c r="S115" s="177"/>
      <c r="T115" s="174">
        <v>1</v>
      </c>
      <c r="U115" s="174"/>
      <c r="V115" s="174"/>
      <c r="W115" s="174"/>
      <c r="X115" s="174"/>
      <c r="Y115" s="174"/>
      <c r="Z115" s="175"/>
      <c r="AA115" s="165">
        <f t="shared" si="0"/>
        <v>0</v>
      </c>
      <c r="AB115" s="173"/>
      <c r="AC115" s="173"/>
      <c r="AD115" s="173"/>
      <c r="AE115" s="173"/>
      <c r="AF115" s="173"/>
      <c r="AG115" s="166"/>
      <c r="AH115" s="167" t="e">
        <f>IF(OR(B115=Słowniki!A$57,B115=Słowniki!A$58),(AJ$104*AJ$105),AJ$104)</f>
        <v>#DIV/0!</v>
      </c>
      <c r="AI115" s="168"/>
      <c r="AJ115" s="169"/>
      <c r="AK115" s="165" t="e">
        <f t="shared" si="1"/>
        <v>#DIV/0!</v>
      </c>
      <c r="AL115" s="166"/>
      <c r="AN115" s="44"/>
    </row>
    <row r="116" spans="1:40" ht="36" customHeight="1" x14ac:dyDescent="0.3">
      <c r="A116" s="71">
        <v>6</v>
      </c>
      <c r="B116" s="170"/>
      <c r="C116" s="171"/>
      <c r="D116" s="171"/>
      <c r="E116" s="171"/>
      <c r="F116" s="172"/>
      <c r="G116" s="160"/>
      <c r="H116" s="161"/>
      <c r="I116" s="161"/>
      <c r="J116" s="161"/>
      <c r="K116" s="162"/>
      <c r="L116" s="357"/>
      <c r="M116" s="358"/>
      <c r="N116" s="358"/>
      <c r="O116" s="358"/>
      <c r="P116" s="176">
        <f>IF(OR(B116=Słowniki!A$46,B116=Słowniki!A$56,B116=Słowniki!A$58,B116=Słowniki!A$59),0.08,0.23)</f>
        <v>0.23</v>
      </c>
      <c r="Q116" s="177"/>
      <c r="R116" s="177"/>
      <c r="S116" s="177"/>
      <c r="T116" s="174">
        <v>1</v>
      </c>
      <c r="U116" s="174"/>
      <c r="V116" s="174"/>
      <c r="W116" s="174"/>
      <c r="X116" s="174"/>
      <c r="Y116" s="174"/>
      <c r="Z116" s="175"/>
      <c r="AA116" s="165">
        <f t="shared" si="0"/>
        <v>0</v>
      </c>
      <c r="AB116" s="173"/>
      <c r="AC116" s="173"/>
      <c r="AD116" s="173"/>
      <c r="AE116" s="173"/>
      <c r="AF116" s="173"/>
      <c r="AG116" s="166"/>
      <c r="AH116" s="167" t="e">
        <f>IF(OR(B116=Słowniki!A$57,B116=Słowniki!A$58),(AJ$104*AJ$105),AJ$104)</f>
        <v>#DIV/0!</v>
      </c>
      <c r="AI116" s="168"/>
      <c r="AJ116" s="169"/>
      <c r="AK116" s="165" t="e">
        <f t="shared" si="1"/>
        <v>#DIV/0!</v>
      </c>
      <c r="AL116" s="166"/>
      <c r="AN116" s="44"/>
    </row>
    <row r="117" spans="1:40" ht="36" customHeight="1" x14ac:dyDescent="0.3">
      <c r="A117" s="71">
        <v>7</v>
      </c>
      <c r="B117" s="170"/>
      <c r="C117" s="171"/>
      <c r="D117" s="171"/>
      <c r="E117" s="171"/>
      <c r="F117" s="172"/>
      <c r="G117" s="160"/>
      <c r="H117" s="161"/>
      <c r="I117" s="161"/>
      <c r="J117" s="161"/>
      <c r="K117" s="162"/>
      <c r="L117" s="357"/>
      <c r="M117" s="358"/>
      <c r="N117" s="358"/>
      <c r="O117" s="358"/>
      <c r="P117" s="176">
        <f>IF(OR(B117=Słowniki!A$46,B117=Słowniki!A$56,B117=Słowniki!A$58,B117=Słowniki!A$59),0.08,0.23)</f>
        <v>0.23</v>
      </c>
      <c r="Q117" s="177"/>
      <c r="R117" s="177"/>
      <c r="S117" s="177"/>
      <c r="T117" s="174">
        <v>1</v>
      </c>
      <c r="U117" s="174"/>
      <c r="V117" s="174"/>
      <c r="W117" s="174"/>
      <c r="X117" s="174"/>
      <c r="Y117" s="174"/>
      <c r="Z117" s="175"/>
      <c r="AA117" s="165">
        <f t="shared" si="0"/>
        <v>0</v>
      </c>
      <c r="AB117" s="173"/>
      <c r="AC117" s="173"/>
      <c r="AD117" s="173"/>
      <c r="AE117" s="173"/>
      <c r="AF117" s="173"/>
      <c r="AG117" s="166"/>
      <c r="AH117" s="167" t="e">
        <f>IF(OR(B117=Słowniki!A$57,B117=Słowniki!A$58),(AJ$104*AJ$105),AJ$104)</f>
        <v>#DIV/0!</v>
      </c>
      <c r="AI117" s="168"/>
      <c r="AJ117" s="169"/>
      <c r="AK117" s="165" t="e">
        <f t="shared" si="1"/>
        <v>#DIV/0!</v>
      </c>
      <c r="AL117" s="166"/>
      <c r="AN117" s="44"/>
    </row>
    <row r="118" spans="1:40" ht="36" customHeight="1" x14ac:dyDescent="0.3">
      <c r="A118" s="71">
        <v>8</v>
      </c>
      <c r="B118" s="170"/>
      <c r="C118" s="171"/>
      <c r="D118" s="171"/>
      <c r="E118" s="171"/>
      <c r="F118" s="172"/>
      <c r="G118" s="160"/>
      <c r="H118" s="161"/>
      <c r="I118" s="161"/>
      <c r="J118" s="161"/>
      <c r="K118" s="162"/>
      <c r="L118" s="357"/>
      <c r="M118" s="358"/>
      <c r="N118" s="358"/>
      <c r="O118" s="358"/>
      <c r="P118" s="176">
        <f>IF(OR(B118=Słowniki!A$46,B118=Słowniki!A$56,B118=Słowniki!A$58,B118=Słowniki!A$59),0.08,0.23)</f>
        <v>0.23</v>
      </c>
      <c r="Q118" s="177"/>
      <c r="R118" s="177"/>
      <c r="S118" s="177"/>
      <c r="T118" s="174">
        <v>1</v>
      </c>
      <c r="U118" s="174"/>
      <c r="V118" s="174"/>
      <c r="W118" s="174"/>
      <c r="X118" s="174"/>
      <c r="Y118" s="174"/>
      <c r="Z118" s="175"/>
      <c r="AA118" s="165">
        <f t="shared" si="0"/>
        <v>0</v>
      </c>
      <c r="AB118" s="173"/>
      <c r="AC118" s="173"/>
      <c r="AD118" s="173"/>
      <c r="AE118" s="173"/>
      <c r="AF118" s="173"/>
      <c r="AG118" s="166"/>
      <c r="AH118" s="167" t="e">
        <f>IF(OR(B118=Słowniki!A$57,B118=Słowniki!A$58),(AJ$104*AJ$105),AJ$104)</f>
        <v>#DIV/0!</v>
      </c>
      <c r="AI118" s="168"/>
      <c r="AJ118" s="169"/>
      <c r="AK118" s="165" t="e">
        <f t="shared" si="1"/>
        <v>#DIV/0!</v>
      </c>
      <c r="AL118" s="166"/>
      <c r="AN118" s="44"/>
    </row>
    <row r="119" spans="1:40" ht="36" customHeight="1" x14ac:dyDescent="0.3">
      <c r="A119" s="71">
        <v>9</v>
      </c>
      <c r="B119" s="170"/>
      <c r="C119" s="171"/>
      <c r="D119" s="171"/>
      <c r="E119" s="171"/>
      <c r="F119" s="172"/>
      <c r="G119" s="160"/>
      <c r="H119" s="161"/>
      <c r="I119" s="161"/>
      <c r="J119" s="161"/>
      <c r="K119" s="162"/>
      <c r="L119" s="357"/>
      <c r="M119" s="358"/>
      <c r="N119" s="358"/>
      <c r="O119" s="358"/>
      <c r="P119" s="176">
        <f>IF(OR(B119=Słowniki!A$46,B119=Słowniki!A$56,B119=Słowniki!A$58,B119=Słowniki!A$59),0.08,0.23)</f>
        <v>0.23</v>
      </c>
      <c r="Q119" s="177"/>
      <c r="R119" s="177"/>
      <c r="S119" s="177"/>
      <c r="T119" s="174">
        <v>1</v>
      </c>
      <c r="U119" s="174"/>
      <c r="V119" s="174"/>
      <c r="W119" s="174"/>
      <c r="X119" s="174"/>
      <c r="Y119" s="174"/>
      <c r="Z119" s="175"/>
      <c r="AA119" s="165">
        <f t="shared" si="0"/>
        <v>0</v>
      </c>
      <c r="AB119" s="173"/>
      <c r="AC119" s="173"/>
      <c r="AD119" s="173"/>
      <c r="AE119" s="173"/>
      <c r="AF119" s="173"/>
      <c r="AG119" s="166"/>
      <c r="AH119" s="167" t="e">
        <f>IF(OR(B119=Słowniki!A$57,B119=Słowniki!A$58),(AJ$104*AJ$105),AJ$104)</f>
        <v>#DIV/0!</v>
      </c>
      <c r="AI119" s="168"/>
      <c r="AJ119" s="169"/>
      <c r="AK119" s="165" t="e">
        <f t="shared" si="1"/>
        <v>#DIV/0!</v>
      </c>
      <c r="AL119" s="166"/>
      <c r="AN119" s="44"/>
    </row>
    <row r="120" spans="1:40" ht="36" customHeight="1" x14ac:dyDescent="0.3">
      <c r="A120" s="71">
        <v>10</v>
      </c>
      <c r="B120" s="170"/>
      <c r="C120" s="171"/>
      <c r="D120" s="171"/>
      <c r="E120" s="171"/>
      <c r="F120" s="172"/>
      <c r="G120" s="160"/>
      <c r="H120" s="161"/>
      <c r="I120" s="161"/>
      <c r="J120" s="161"/>
      <c r="K120" s="162"/>
      <c r="L120" s="357"/>
      <c r="M120" s="358"/>
      <c r="N120" s="358"/>
      <c r="O120" s="358"/>
      <c r="P120" s="176">
        <f>IF(OR(B120=Słowniki!A$46,B120=Słowniki!A$56,B120=Słowniki!A$58,B120=Słowniki!A$59),0.08,0.23)</f>
        <v>0.23</v>
      </c>
      <c r="Q120" s="177"/>
      <c r="R120" s="177"/>
      <c r="S120" s="177"/>
      <c r="T120" s="174">
        <v>1</v>
      </c>
      <c r="U120" s="174"/>
      <c r="V120" s="174"/>
      <c r="W120" s="174"/>
      <c r="X120" s="174"/>
      <c r="Y120" s="174"/>
      <c r="Z120" s="175"/>
      <c r="AA120" s="165">
        <f>L120+ROUND(L120*P120*T120,2)</f>
        <v>0</v>
      </c>
      <c r="AB120" s="173"/>
      <c r="AC120" s="173"/>
      <c r="AD120" s="173"/>
      <c r="AE120" s="173"/>
      <c r="AF120" s="173"/>
      <c r="AG120" s="166"/>
      <c r="AH120" s="167" t="e">
        <f>IF(OR(B120=Słowniki!A$57,B120=Słowniki!A$58),(AJ$104*AJ$105),AJ$104)</f>
        <v>#DIV/0!</v>
      </c>
      <c r="AI120" s="168"/>
      <c r="AJ120" s="169"/>
      <c r="AK120" s="165" t="e">
        <f t="shared" si="1"/>
        <v>#DIV/0!</v>
      </c>
      <c r="AL120" s="166"/>
      <c r="AN120" s="44"/>
    </row>
    <row r="121" spans="1:40" ht="36" customHeight="1" x14ac:dyDescent="0.3">
      <c r="A121" s="71">
        <v>11</v>
      </c>
      <c r="B121" s="170"/>
      <c r="C121" s="171"/>
      <c r="D121" s="171"/>
      <c r="E121" s="171"/>
      <c r="F121" s="172"/>
      <c r="G121" s="160"/>
      <c r="H121" s="161"/>
      <c r="I121" s="161"/>
      <c r="J121" s="161"/>
      <c r="K121" s="162"/>
      <c r="L121" s="357"/>
      <c r="M121" s="358"/>
      <c r="N121" s="358"/>
      <c r="O121" s="358"/>
      <c r="P121" s="176">
        <f>IF(OR(B121=Słowniki!A$46,B121=Słowniki!A$56,B121=Słowniki!A$58,B121=Słowniki!A$59),0.08,0.23)</f>
        <v>0.23</v>
      </c>
      <c r="Q121" s="177"/>
      <c r="R121" s="177"/>
      <c r="S121" s="177"/>
      <c r="T121" s="174">
        <v>1</v>
      </c>
      <c r="U121" s="174"/>
      <c r="V121" s="174"/>
      <c r="W121" s="174"/>
      <c r="X121" s="174"/>
      <c r="Y121" s="174"/>
      <c r="Z121" s="175"/>
      <c r="AA121" s="165">
        <f t="shared" si="0"/>
        <v>0</v>
      </c>
      <c r="AB121" s="173"/>
      <c r="AC121" s="173"/>
      <c r="AD121" s="173"/>
      <c r="AE121" s="173"/>
      <c r="AF121" s="173"/>
      <c r="AG121" s="166"/>
      <c r="AH121" s="167" t="e">
        <f>IF(OR(B121=Słowniki!A$57,B121=Słowniki!A$58),(AJ$104*AJ$105),AJ$104)</f>
        <v>#DIV/0!</v>
      </c>
      <c r="AI121" s="168"/>
      <c r="AJ121" s="169"/>
      <c r="AK121" s="165" t="e">
        <f t="shared" si="1"/>
        <v>#DIV/0!</v>
      </c>
      <c r="AL121" s="166"/>
      <c r="AN121" s="44"/>
    </row>
    <row r="122" spans="1:40" ht="36" customHeight="1" x14ac:dyDescent="0.3">
      <c r="A122" s="71">
        <v>12</v>
      </c>
      <c r="B122" s="170"/>
      <c r="C122" s="171"/>
      <c r="D122" s="171"/>
      <c r="E122" s="171"/>
      <c r="F122" s="172"/>
      <c r="G122" s="160"/>
      <c r="H122" s="161"/>
      <c r="I122" s="161"/>
      <c r="J122" s="161"/>
      <c r="K122" s="162"/>
      <c r="L122" s="357"/>
      <c r="M122" s="358"/>
      <c r="N122" s="358"/>
      <c r="O122" s="358"/>
      <c r="P122" s="176">
        <f>IF(OR(B122=Słowniki!A$46,B122=Słowniki!A$56,B122=Słowniki!A$58,B122=Słowniki!A$59),0.08,0.23)</f>
        <v>0.23</v>
      </c>
      <c r="Q122" s="177"/>
      <c r="R122" s="177"/>
      <c r="S122" s="177"/>
      <c r="T122" s="174">
        <v>1</v>
      </c>
      <c r="U122" s="174"/>
      <c r="V122" s="174"/>
      <c r="W122" s="174"/>
      <c r="X122" s="174"/>
      <c r="Y122" s="174"/>
      <c r="Z122" s="175"/>
      <c r="AA122" s="165">
        <f t="shared" si="0"/>
        <v>0</v>
      </c>
      <c r="AB122" s="173"/>
      <c r="AC122" s="173"/>
      <c r="AD122" s="173"/>
      <c r="AE122" s="173"/>
      <c r="AF122" s="173"/>
      <c r="AG122" s="166"/>
      <c r="AH122" s="167" t="e">
        <f>IF(OR(B122=Słowniki!A$57,B122=Słowniki!A$58),(AJ$104*AJ$105),AJ$104)</f>
        <v>#DIV/0!</v>
      </c>
      <c r="AI122" s="168"/>
      <c r="AJ122" s="169"/>
      <c r="AK122" s="165" t="e">
        <f t="shared" si="1"/>
        <v>#DIV/0!</v>
      </c>
      <c r="AL122" s="166"/>
      <c r="AN122" s="44"/>
    </row>
    <row r="123" spans="1:40" ht="36" customHeight="1" x14ac:dyDescent="0.3">
      <c r="A123" s="71">
        <v>13</v>
      </c>
      <c r="B123" s="170"/>
      <c r="C123" s="171"/>
      <c r="D123" s="171"/>
      <c r="E123" s="171"/>
      <c r="F123" s="172"/>
      <c r="G123" s="160"/>
      <c r="H123" s="161"/>
      <c r="I123" s="161"/>
      <c r="J123" s="161"/>
      <c r="K123" s="162"/>
      <c r="L123" s="357"/>
      <c r="M123" s="358"/>
      <c r="N123" s="358"/>
      <c r="O123" s="358"/>
      <c r="P123" s="176">
        <f>IF(OR(B123=Słowniki!A$46,B123=Słowniki!A$56,B123=Słowniki!A$58,B123=Słowniki!A$59),0.08,0.23)</f>
        <v>0.23</v>
      </c>
      <c r="Q123" s="177"/>
      <c r="R123" s="177"/>
      <c r="S123" s="177"/>
      <c r="T123" s="174">
        <v>1</v>
      </c>
      <c r="U123" s="174"/>
      <c r="V123" s="174"/>
      <c r="W123" s="174"/>
      <c r="X123" s="174"/>
      <c r="Y123" s="174"/>
      <c r="Z123" s="175"/>
      <c r="AA123" s="165">
        <f t="shared" si="0"/>
        <v>0</v>
      </c>
      <c r="AB123" s="173"/>
      <c r="AC123" s="173"/>
      <c r="AD123" s="173"/>
      <c r="AE123" s="173"/>
      <c r="AF123" s="173"/>
      <c r="AG123" s="166"/>
      <c r="AH123" s="167" t="e">
        <f>IF(OR(B123=Słowniki!A$57,B123=Słowniki!A$58),(AJ$104*AJ$105),AJ$104)</f>
        <v>#DIV/0!</v>
      </c>
      <c r="AI123" s="168"/>
      <c r="AJ123" s="169"/>
      <c r="AK123" s="165" t="e">
        <f t="shared" si="1"/>
        <v>#DIV/0!</v>
      </c>
      <c r="AL123" s="166"/>
      <c r="AN123" s="44"/>
    </row>
    <row r="124" spans="1:40" ht="36" customHeight="1" x14ac:dyDescent="0.3">
      <c r="A124" s="71">
        <v>14</v>
      </c>
      <c r="B124" s="170"/>
      <c r="C124" s="171"/>
      <c r="D124" s="171"/>
      <c r="E124" s="171"/>
      <c r="F124" s="172"/>
      <c r="G124" s="160"/>
      <c r="H124" s="161"/>
      <c r="I124" s="161"/>
      <c r="J124" s="161"/>
      <c r="K124" s="162"/>
      <c r="L124" s="357"/>
      <c r="M124" s="358"/>
      <c r="N124" s="358"/>
      <c r="O124" s="358"/>
      <c r="P124" s="176">
        <f>IF(OR(B124=Słowniki!A$46,B124=Słowniki!A$56,B124=Słowniki!A$58,B124=Słowniki!A$59),0.08,0.23)</f>
        <v>0.23</v>
      </c>
      <c r="Q124" s="177"/>
      <c r="R124" s="177"/>
      <c r="S124" s="177"/>
      <c r="T124" s="174">
        <v>1</v>
      </c>
      <c r="U124" s="174"/>
      <c r="V124" s="174"/>
      <c r="W124" s="174"/>
      <c r="X124" s="174"/>
      <c r="Y124" s="174"/>
      <c r="Z124" s="175"/>
      <c r="AA124" s="165">
        <f t="shared" si="0"/>
        <v>0</v>
      </c>
      <c r="AB124" s="173"/>
      <c r="AC124" s="173"/>
      <c r="AD124" s="173"/>
      <c r="AE124" s="173"/>
      <c r="AF124" s="173"/>
      <c r="AG124" s="166"/>
      <c r="AH124" s="167" t="e">
        <f>IF(OR(B124=Słowniki!A$57,B124=Słowniki!A$58),(AJ$104*AJ$105),AJ$104)</f>
        <v>#DIV/0!</v>
      </c>
      <c r="AI124" s="168"/>
      <c r="AJ124" s="169"/>
      <c r="AK124" s="165" t="e">
        <f t="shared" si="1"/>
        <v>#DIV/0!</v>
      </c>
      <c r="AL124" s="166"/>
      <c r="AN124" s="44"/>
    </row>
    <row r="125" spans="1:40" ht="36" customHeight="1" x14ac:dyDescent="0.3">
      <c r="A125" s="71">
        <v>15</v>
      </c>
      <c r="B125" s="170"/>
      <c r="C125" s="171"/>
      <c r="D125" s="171"/>
      <c r="E125" s="171"/>
      <c r="F125" s="172"/>
      <c r="G125" s="160"/>
      <c r="H125" s="161"/>
      <c r="I125" s="161"/>
      <c r="J125" s="161"/>
      <c r="K125" s="162"/>
      <c r="L125" s="357"/>
      <c r="M125" s="358"/>
      <c r="N125" s="358"/>
      <c r="O125" s="358"/>
      <c r="P125" s="176">
        <f>IF(OR(B125=Słowniki!A$46,B125=Słowniki!A$56,B125=Słowniki!A$58,B125=Słowniki!A$59),0.08,0.23)</f>
        <v>0.23</v>
      </c>
      <c r="Q125" s="177"/>
      <c r="R125" s="177"/>
      <c r="S125" s="177"/>
      <c r="T125" s="174">
        <v>1</v>
      </c>
      <c r="U125" s="174"/>
      <c r="V125" s="174"/>
      <c r="W125" s="174"/>
      <c r="X125" s="174"/>
      <c r="Y125" s="174"/>
      <c r="Z125" s="175"/>
      <c r="AA125" s="165">
        <f t="shared" si="0"/>
        <v>0</v>
      </c>
      <c r="AB125" s="173"/>
      <c r="AC125" s="173"/>
      <c r="AD125" s="173"/>
      <c r="AE125" s="173"/>
      <c r="AF125" s="173"/>
      <c r="AG125" s="166"/>
      <c r="AH125" s="167" t="e">
        <f>IF(OR(B125=Słowniki!A$57,B125=Słowniki!A$58),(AJ$104*AJ$105),AJ$104)</f>
        <v>#DIV/0!</v>
      </c>
      <c r="AI125" s="168"/>
      <c r="AJ125" s="169"/>
      <c r="AK125" s="165" t="e">
        <f t="shared" si="1"/>
        <v>#DIV/0!</v>
      </c>
      <c r="AL125" s="166"/>
      <c r="AN125" s="44"/>
    </row>
    <row r="126" spans="1:40" ht="36" customHeight="1" x14ac:dyDescent="0.3">
      <c r="A126" s="71">
        <v>16</v>
      </c>
      <c r="B126" s="170"/>
      <c r="C126" s="171"/>
      <c r="D126" s="171"/>
      <c r="E126" s="171"/>
      <c r="F126" s="172"/>
      <c r="G126" s="160"/>
      <c r="H126" s="161"/>
      <c r="I126" s="161"/>
      <c r="J126" s="161"/>
      <c r="K126" s="162"/>
      <c r="L126" s="357"/>
      <c r="M126" s="358"/>
      <c r="N126" s="358"/>
      <c r="O126" s="358"/>
      <c r="P126" s="176">
        <f>IF(OR(B126=Słowniki!A$46,B126=Słowniki!A$56,B126=Słowniki!A$58,B126=Słowniki!A$59),0.08,0.23)</f>
        <v>0.23</v>
      </c>
      <c r="Q126" s="177"/>
      <c r="R126" s="177"/>
      <c r="S126" s="177"/>
      <c r="T126" s="174">
        <v>1</v>
      </c>
      <c r="U126" s="174"/>
      <c r="V126" s="174"/>
      <c r="W126" s="174"/>
      <c r="X126" s="174"/>
      <c r="Y126" s="174"/>
      <c r="Z126" s="175"/>
      <c r="AA126" s="165">
        <f t="shared" si="0"/>
        <v>0</v>
      </c>
      <c r="AB126" s="173"/>
      <c r="AC126" s="173"/>
      <c r="AD126" s="173"/>
      <c r="AE126" s="173"/>
      <c r="AF126" s="173"/>
      <c r="AG126" s="166"/>
      <c r="AH126" s="167" t="e">
        <f>IF(OR(B126=Słowniki!A$57,B126=Słowniki!A$58),(AJ$104*AJ$105),AJ$104)</f>
        <v>#DIV/0!</v>
      </c>
      <c r="AI126" s="168"/>
      <c r="AJ126" s="169"/>
      <c r="AK126" s="165" t="e">
        <f t="shared" si="1"/>
        <v>#DIV/0!</v>
      </c>
      <c r="AL126" s="166"/>
      <c r="AN126" s="44"/>
    </row>
    <row r="127" spans="1:40" ht="36" customHeight="1" x14ac:dyDescent="0.3">
      <c r="A127" s="71">
        <v>17</v>
      </c>
      <c r="B127" s="170"/>
      <c r="C127" s="171"/>
      <c r="D127" s="171"/>
      <c r="E127" s="171"/>
      <c r="F127" s="172"/>
      <c r="G127" s="160"/>
      <c r="H127" s="161"/>
      <c r="I127" s="161"/>
      <c r="J127" s="161"/>
      <c r="K127" s="162"/>
      <c r="L127" s="357"/>
      <c r="M127" s="358"/>
      <c r="N127" s="358"/>
      <c r="O127" s="358"/>
      <c r="P127" s="176">
        <f>IF(OR(B127=Słowniki!A$46,B127=Słowniki!A$56,B127=Słowniki!A$58,B127=Słowniki!A$59),0.08,0.23)</f>
        <v>0.23</v>
      </c>
      <c r="Q127" s="177"/>
      <c r="R127" s="177"/>
      <c r="S127" s="177"/>
      <c r="T127" s="174">
        <v>1</v>
      </c>
      <c r="U127" s="174"/>
      <c r="V127" s="174"/>
      <c r="W127" s="174"/>
      <c r="X127" s="174"/>
      <c r="Y127" s="174"/>
      <c r="Z127" s="175"/>
      <c r="AA127" s="165">
        <f t="shared" si="0"/>
        <v>0</v>
      </c>
      <c r="AB127" s="173"/>
      <c r="AC127" s="173"/>
      <c r="AD127" s="173"/>
      <c r="AE127" s="173"/>
      <c r="AF127" s="173"/>
      <c r="AG127" s="166"/>
      <c r="AH127" s="167" t="e">
        <f>IF(OR(B127=Słowniki!A$57,B127=Słowniki!A$58),(AJ$104*AJ$105),AJ$104)</f>
        <v>#DIV/0!</v>
      </c>
      <c r="AI127" s="168"/>
      <c r="AJ127" s="169"/>
      <c r="AK127" s="165" t="e">
        <f t="shared" si="1"/>
        <v>#DIV/0!</v>
      </c>
      <c r="AL127" s="166"/>
      <c r="AN127" s="44"/>
    </row>
    <row r="128" spans="1:40" ht="36" customHeight="1" x14ac:dyDescent="0.3">
      <c r="A128" s="71">
        <v>18</v>
      </c>
      <c r="B128" s="170"/>
      <c r="C128" s="171"/>
      <c r="D128" s="171"/>
      <c r="E128" s="171"/>
      <c r="F128" s="172"/>
      <c r="G128" s="160"/>
      <c r="H128" s="161"/>
      <c r="I128" s="161"/>
      <c r="J128" s="161"/>
      <c r="K128" s="162"/>
      <c r="L128" s="357"/>
      <c r="M128" s="358"/>
      <c r="N128" s="358"/>
      <c r="O128" s="358"/>
      <c r="P128" s="176">
        <f>IF(OR(B128=Słowniki!A$46,B128=Słowniki!A$56,B128=Słowniki!A$58,B128=Słowniki!A$59),0.08,0.23)</f>
        <v>0.23</v>
      </c>
      <c r="Q128" s="177"/>
      <c r="R128" s="177"/>
      <c r="S128" s="177"/>
      <c r="T128" s="174">
        <v>1</v>
      </c>
      <c r="U128" s="174"/>
      <c r="V128" s="174"/>
      <c r="W128" s="174"/>
      <c r="X128" s="174"/>
      <c r="Y128" s="174"/>
      <c r="Z128" s="175"/>
      <c r="AA128" s="165">
        <f t="shared" si="0"/>
        <v>0</v>
      </c>
      <c r="AB128" s="173"/>
      <c r="AC128" s="173"/>
      <c r="AD128" s="173"/>
      <c r="AE128" s="173"/>
      <c r="AF128" s="173"/>
      <c r="AG128" s="166"/>
      <c r="AH128" s="167" t="e">
        <f>IF(OR(B128=Słowniki!A$57,B128=Słowniki!A$58),(AJ$104*AJ$105),AJ$104)</f>
        <v>#DIV/0!</v>
      </c>
      <c r="AI128" s="168"/>
      <c r="AJ128" s="169"/>
      <c r="AK128" s="165" t="e">
        <f t="shared" si="1"/>
        <v>#DIV/0!</v>
      </c>
      <c r="AL128" s="166"/>
      <c r="AN128" s="44"/>
    </row>
    <row r="129" spans="1:40" ht="36" customHeight="1" x14ac:dyDescent="0.3">
      <c r="A129" s="71">
        <v>19</v>
      </c>
      <c r="B129" s="170"/>
      <c r="C129" s="171"/>
      <c r="D129" s="171"/>
      <c r="E129" s="171"/>
      <c r="F129" s="172"/>
      <c r="G129" s="160"/>
      <c r="H129" s="161"/>
      <c r="I129" s="161"/>
      <c r="J129" s="161"/>
      <c r="K129" s="162"/>
      <c r="L129" s="357"/>
      <c r="M129" s="358"/>
      <c r="N129" s="358"/>
      <c r="O129" s="358"/>
      <c r="P129" s="176">
        <f>IF(OR(B129=Słowniki!A$46,B129=Słowniki!A$56,B129=Słowniki!A$58,B129=Słowniki!A$59),0.08,0.23)</f>
        <v>0.23</v>
      </c>
      <c r="Q129" s="177"/>
      <c r="R129" s="177"/>
      <c r="S129" s="177"/>
      <c r="T129" s="174">
        <v>1</v>
      </c>
      <c r="U129" s="174"/>
      <c r="V129" s="174"/>
      <c r="W129" s="174"/>
      <c r="X129" s="174"/>
      <c r="Y129" s="174"/>
      <c r="Z129" s="175"/>
      <c r="AA129" s="165">
        <f t="shared" si="0"/>
        <v>0</v>
      </c>
      <c r="AB129" s="173"/>
      <c r="AC129" s="173"/>
      <c r="AD129" s="173"/>
      <c r="AE129" s="173"/>
      <c r="AF129" s="173"/>
      <c r="AG129" s="166"/>
      <c r="AH129" s="167" t="e">
        <f>IF(OR(B129=Słowniki!A$57,B129=Słowniki!A$58),(AJ$104*AJ$105),AJ$104)</f>
        <v>#DIV/0!</v>
      </c>
      <c r="AI129" s="168"/>
      <c r="AJ129" s="169"/>
      <c r="AK129" s="165" t="e">
        <f t="shared" si="1"/>
        <v>#DIV/0!</v>
      </c>
      <c r="AL129" s="166"/>
      <c r="AN129" s="44"/>
    </row>
    <row r="130" spans="1:40" ht="36" customHeight="1" x14ac:dyDescent="0.3">
      <c r="A130" s="71">
        <v>20</v>
      </c>
      <c r="B130" s="170"/>
      <c r="C130" s="171"/>
      <c r="D130" s="171"/>
      <c r="E130" s="171"/>
      <c r="F130" s="172"/>
      <c r="G130" s="160"/>
      <c r="H130" s="161"/>
      <c r="I130" s="161"/>
      <c r="J130" s="161"/>
      <c r="K130" s="162"/>
      <c r="L130" s="357"/>
      <c r="M130" s="358"/>
      <c r="N130" s="358"/>
      <c r="O130" s="358"/>
      <c r="P130" s="176">
        <f>IF(OR(B130=Słowniki!A$46,B130=Słowniki!A$56,B130=Słowniki!A$58,B130=Słowniki!A$59),0.08,0.23)</f>
        <v>0.23</v>
      </c>
      <c r="Q130" s="177"/>
      <c r="R130" s="177"/>
      <c r="S130" s="177"/>
      <c r="T130" s="174">
        <v>1</v>
      </c>
      <c r="U130" s="174"/>
      <c r="V130" s="174"/>
      <c r="W130" s="174"/>
      <c r="X130" s="174"/>
      <c r="Y130" s="174"/>
      <c r="Z130" s="175"/>
      <c r="AA130" s="165">
        <f t="shared" si="0"/>
        <v>0</v>
      </c>
      <c r="AB130" s="173"/>
      <c r="AC130" s="173"/>
      <c r="AD130" s="173"/>
      <c r="AE130" s="173"/>
      <c r="AF130" s="173"/>
      <c r="AG130" s="166"/>
      <c r="AH130" s="167" t="e">
        <f>IF(OR(B130=Słowniki!A$57,B130=Słowniki!A$58),(AJ$104*AJ$105),AJ$104)</f>
        <v>#DIV/0!</v>
      </c>
      <c r="AI130" s="168"/>
      <c r="AJ130" s="169"/>
      <c r="AK130" s="165" t="e">
        <f t="shared" ref="AK130:AK132" si="2">ROUND(AA130*AH130,2)</f>
        <v>#DIV/0!</v>
      </c>
      <c r="AL130" s="166"/>
      <c r="AN130" s="44"/>
    </row>
    <row r="131" spans="1:40" ht="36" customHeight="1" x14ac:dyDescent="0.3">
      <c r="A131" s="71">
        <v>21</v>
      </c>
      <c r="B131" s="170"/>
      <c r="C131" s="171"/>
      <c r="D131" s="171"/>
      <c r="E131" s="171"/>
      <c r="F131" s="172"/>
      <c r="G131" s="160"/>
      <c r="H131" s="161"/>
      <c r="I131" s="161"/>
      <c r="J131" s="161"/>
      <c r="K131" s="162"/>
      <c r="L131" s="357"/>
      <c r="M131" s="358"/>
      <c r="N131" s="358"/>
      <c r="O131" s="358"/>
      <c r="P131" s="176">
        <f>IF(OR(B131=Słowniki!A$46,B131=Słowniki!A$56,B131=Słowniki!A$58,B131=Słowniki!A$59),0.08,0.23)</f>
        <v>0.23</v>
      </c>
      <c r="Q131" s="177"/>
      <c r="R131" s="177"/>
      <c r="S131" s="177"/>
      <c r="T131" s="174">
        <v>1</v>
      </c>
      <c r="U131" s="174"/>
      <c r="V131" s="174"/>
      <c r="W131" s="174"/>
      <c r="X131" s="174"/>
      <c r="Y131" s="174"/>
      <c r="Z131" s="175"/>
      <c r="AA131" s="165">
        <f t="shared" si="0"/>
        <v>0</v>
      </c>
      <c r="AB131" s="173"/>
      <c r="AC131" s="173"/>
      <c r="AD131" s="173"/>
      <c r="AE131" s="173"/>
      <c r="AF131" s="173"/>
      <c r="AG131" s="166"/>
      <c r="AH131" s="167" t="e">
        <f>IF(OR(B131=Słowniki!A$57,B131=Słowniki!A$58),(AJ$104*AJ$105),AJ$104)</f>
        <v>#DIV/0!</v>
      </c>
      <c r="AI131" s="168"/>
      <c r="AJ131" s="169"/>
      <c r="AK131" s="165" t="e">
        <f t="shared" si="2"/>
        <v>#DIV/0!</v>
      </c>
      <c r="AL131" s="166"/>
      <c r="AN131" s="44"/>
    </row>
    <row r="132" spans="1:40" ht="36" customHeight="1" x14ac:dyDescent="0.3">
      <c r="A132" s="71">
        <v>22</v>
      </c>
      <c r="B132" s="170"/>
      <c r="C132" s="171"/>
      <c r="D132" s="171"/>
      <c r="E132" s="171"/>
      <c r="F132" s="172"/>
      <c r="G132" s="160"/>
      <c r="H132" s="161"/>
      <c r="I132" s="161"/>
      <c r="J132" s="161"/>
      <c r="K132" s="162"/>
      <c r="L132" s="357"/>
      <c r="M132" s="358"/>
      <c r="N132" s="358"/>
      <c r="O132" s="358"/>
      <c r="P132" s="176">
        <f>IF(OR(B132=Słowniki!A$46,B132=Słowniki!A$56,B132=Słowniki!A$58,B132=Słowniki!A$59),0.08,0.23)</f>
        <v>0.23</v>
      </c>
      <c r="Q132" s="177"/>
      <c r="R132" s="177"/>
      <c r="S132" s="177"/>
      <c r="T132" s="174">
        <v>1</v>
      </c>
      <c r="U132" s="174"/>
      <c r="V132" s="174"/>
      <c r="W132" s="174"/>
      <c r="X132" s="174"/>
      <c r="Y132" s="174"/>
      <c r="Z132" s="175"/>
      <c r="AA132" s="165">
        <f t="shared" si="0"/>
        <v>0</v>
      </c>
      <c r="AB132" s="173"/>
      <c r="AC132" s="173"/>
      <c r="AD132" s="173"/>
      <c r="AE132" s="173"/>
      <c r="AF132" s="173"/>
      <c r="AG132" s="166"/>
      <c r="AH132" s="167" t="e">
        <f>IF(OR(B132=Słowniki!A$57,B132=Słowniki!A$58),(AJ$104*AJ$105),AJ$104)</f>
        <v>#DIV/0!</v>
      </c>
      <c r="AI132" s="168"/>
      <c r="AJ132" s="169"/>
      <c r="AK132" s="165" t="e">
        <f t="shared" si="2"/>
        <v>#DIV/0!</v>
      </c>
      <c r="AL132" s="166"/>
      <c r="AN132" s="44"/>
    </row>
    <row r="133" spans="1:40" ht="14.15" customHeight="1" x14ac:dyDescent="0.3">
      <c r="A133" s="71">
        <v>23</v>
      </c>
      <c r="B133" s="193" t="s">
        <v>119</v>
      </c>
      <c r="C133" s="194"/>
      <c r="D133" s="194"/>
      <c r="E133" s="194"/>
      <c r="F133" s="194"/>
      <c r="G133" s="194"/>
      <c r="H133" s="194"/>
      <c r="I133" s="194"/>
      <c r="J133" s="194"/>
      <c r="K133" s="194"/>
      <c r="L133" s="308">
        <f>SUM(L111:O132)</f>
        <v>0</v>
      </c>
      <c r="M133" s="308"/>
      <c r="N133" s="308"/>
      <c r="O133" s="309"/>
      <c r="P133" s="187" t="s">
        <v>120</v>
      </c>
      <c r="Q133" s="187"/>
      <c r="R133" s="187"/>
      <c r="S133" s="187"/>
      <c r="T133" s="190" t="s">
        <v>120</v>
      </c>
      <c r="U133" s="190"/>
      <c r="V133" s="190"/>
      <c r="W133" s="190"/>
      <c r="X133" s="190"/>
      <c r="Y133" s="190"/>
      <c r="Z133" s="190"/>
      <c r="AA133" s="178">
        <f>SUM(AA111:AG132)</f>
        <v>0</v>
      </c>
      <c r="AB133" s="178"/>
      <c r="AC133" s="178"/>
      <c r="AD133" s="178"/>
      <c r="AE133" s="178"/>
      <c r="AF133" s="178"/>
      <c r="AG133" s="178"/>
      <c r="AH133" s="189" t="s">
        <v>120</v>
      </c>
      <c r="AI133" s="189"/>
      <c r="AJ133" s="189"/>
      <c r="AK133" s="178" t="e">
        <f>ROUND(SUM(AK111:AL132),2)</f>
        <v>#DIV/0!</v>
      </c>
      <c r="AL133" s="178"/>
    </row>
    <row r="134" spans="1:40" ht="89.5" customHeight="1" x14ac:dyDescent="0.3">
      <c r="A134" s="179" t="s">
        <v>872</v>
      </c>
      <c r="B134" s="179"/>
      <c r="C134" s="179"/>
      <c r="D134" s="179"/>
      <c r="E134" s="179"/>
      <c r="F134" s="179"/>
      <c r="G134" s="179"/>
      <c r="H134" s="179"/>
      <c r="I134" s="179"/>
      <c r="J134" s="179"/>
      <c r="K134" s="179"/>
      <c r="L134" s="179"/>
      <c r="M134" s="179"/>
      <c r="N134" s="179"/>
      <c r="O134" s="179"/>
      <c r="P134" s="179"/>
      <c r="Q134" s="179"/>
      <c r="R134" s="179"/>
      <c r="S134" s="179"/>
      <c r="T134" s="179"/>
      <c r="U134" s="179"/>
      <c r="V134" s="179"/>
      <c r="W134" s="179"/>
      <c r="X134" s="179"/>
      <c r="Y134" s="179"/>
      <c r="Z134" s="179"/>
      <c r="AA134" s="179"/>
      <c r="AB134" s="179"/>
      <c r="AC134" s="179"/>
      <c r="AD134" s="179"/>
      <c r="AE134" s="179"/>
      <c r="AF134" s="179"/>
      <c r="AG134" s="179"/>
      <c r="AH134" s="179"/>
      <c r="AI134" s="179"/>
      <c r="AJ134" s="179"/>
      <c r="AK134" s="179"/>
      <c r="AL134" s="179"/>
    </row>
    <row r="135" spans="1:40" x14ac:dyDescent="0.3">
      <c r="A135" s="72"/>
      <c r="B135" s="180" t="s">
        <v>143</v>
      </c>
      <c r="C135" s="180"/>
      <c r="D135" s="180"/>
      <c r="E135" s="180"/>
      <c r="F135" s="180"/>
      <c r="G135" s="180"/>
      <c r="H135" s="180"/>
      <c r="I135" s="180"/>
      <c r="J135" s="180"/>
      <c r="K135" s="180"/>
      <c r="L135" s="180"/>
      <c r="M135" s="180"/>
      <c r="N135" s="180"/>
      <c r="O135" s="180"/>
      <c r="P135" s="180"/>
      <c r="Q135" s="180"/>
      <c r="R135" s="180"/>
      <c r="S135" s="180"/>
      <c r="T135" s="188">
        <v>0.8</v>
      </c>
      <c r="U135" s="188"/>
      <c r="V135" s="188"/>
      <c r="W135" s="188"/>
      <c r="X135" s="188"/>
      <c r="Y135" s="188"/>
      <c r="Z135" s="188"/>
      <c r="AA135" s="188"/>
      <c r="AB135" s="188"/>
      <c r="AC135" s="188"/>
      <c r="AD135" s="188"/>
      <c r="AE135" s="188"/>
      <c r="AF135" s="188"/>
      <c r="AG135" s="188"/>
      <c r="AH135" s="188"/>
      <c r="AI135" s="188"/>
      <c r="AJ135" s="188"/>
      <c r="AK135" s="73"/>
      <c r="AL135" s="74"/>
    </row>
    <row r="136" spans="1:40" ht="14.5" x14ac:dyDescent="0.35">
      <c r="A136" s="72"/>
      <c r="B136" s="180" t="s">
        <v>144</v>
      </c>
      <c r="C136" s="180"/>
      <c r="D136" s="180"/>
      <c r="E136" s="180"/>
      <c r="F136" s="180"/>
      <c r="G136" s="180"/>
      <c r="H136" s="180"/>
      <c r="I136" s="180"/>
      <c r="J136" s="180"/>
      <c r="K136" s="180"/>
      <c r="L136" s="180"/>
      <c r="M136" s="180"/>
      <c r="N136" s="180"/>
      <c r="O136" s="180"/>
      <c r="P136" s="180"/>
      <c r="Q136" s="180"/>
      <c r="R136" s="180"/>
      <c r="S136" s="180"/>
      <c r="T136" s="159" t="e">
        <f>ROUNDDOWN(AK133*(T135),2)</f>
        <v>#DIV/0!</v>
      </c>
      <c r="U136" s="159"/>
      <c r="V136" s="159"/>
      <c r="W136" s="159"/>
      <c r="X136" s="159"/>
      <c r="Y136" s="159"/>
      <c r="Z136" s="159"/>
      <c r="AA136" s="159"/>
      <c r="AB136" s="159"/>
      <c r="AC136" s="159"/>
      <c r="AD136" s="159"/>
      <c r="AE136" s="159"/>
      <c r="AF136" s="159"/>
      <c r="AG136" s="159"/>
      <c r="AH136" s="159"/>
      <c r="AI136" s="159"/>
      <c r="AJ136" s="159"/>
      <c r="AK136" s="73"/>
      <c r="AL136" s="74"/>
      <c r="AM136" s="58" t="s">
        <v>171</v>
      </c>
    </row>
    <row r="137" spans="1:40" ht="58" customHeight="1" x14ac:dyDescent="0.3">
      <c r="A137" s="183" t="s">
        <v>687</v>
      </c>
      <c r="B137" s="183"/>
      <c r="C137" s="183"/>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50"/>
    </row>
    <row r="138" spans="1:40" ht="45" customHeight="1" x14ac:dyDescent="0.3">
      <c r="A138" s="184" t="s">
        <v>712</v>
      </c>
      <c r="B138" s="184"/>
      <c r="C138" s="184"/>
      <c r="D138" s="184"/>
      <c r="E138" s="184"/>
      <c r="F138" s="184"/>
      <c r="G138" s="184"/>
      <c r="H138" s="184"/>
      <c r="I138" s="184"/>
      <c r="J138" s="184"/>
      <c r="K138" s="184"/>
      <c r="L138" s="184"/>
      <c r="M138" s="184"/>
      <c r="N138" s="184"/>
      <c r="O138" s="184"/>
      <c r="P138" s="184"/>
      <c r="Q138" s="184"/>
      <c r="R138" s="184"/>
      <c r="S138" s="184"/>
      <c r="T138" s="184"/>
      <c r="U138" s="184"/>
      <c r="V138" s="184"/>
      <c r="W138" s="184"/>
      <c r="X138" s="184"/>
      <c r="Y138" s="184"/>
      <c r="Z138" s="184"/>
      <c r="AA138" s="184"/>
      <c r="AB138" s="184"/>
      <c r="AC138" s="184"/>
      <c r="AD138" s="184"/>
      <c r="AE138" s="184"/>
      <c r="AF138" s="184"/>
      <c r="AG138" s="184"/>
      <c r="AH138" s="184"/>
      <c r="AI138" s="184"/>
      <c r="AJ138" s="184"/>
      <c r="AK138" s="184"/>
      <c r="AL138" s="184"/>
      <c r="AM138" s="50" t="s">
        <v>665</v>
      </c>
    </row>
    <row r="139" spans="1:40" ht="55" customHeight="1" x14ac:dyDescent="0.3">
      <c r="A139" s="183" t="s">
        <v>873</v>
      </c>
      <c r="B139" s="183"/>
      <c r="C139" s="183"/>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50"/>
    </row>
    <row r="140" spans="1:40" ht="45" customHeight="1" x14ac:dyDescent="0.3">
      <c r="A140" s="183" t="s">
        <v>136</v>
      </c>
      <c r="B140" s="183"/>
      <c r="C140" s="183"/>
      <c r="D140" s="183"/>
      <c r="E140" s="183"/>
      <c r="F140" s="183"/>
      <c r="G140" s="183"/>
      <c r="H140" s="183"/>
      <c r="I140" s="183"/>
      <c r="J140" s="183"/>
      <c r="K140" s="183"/>
      <c r="L140" s="183"/>
      <c r="M140" s="183"/>
      <c r="N140" s="183"/>
      <c r="O140" s="183"/>
      <c r="P140" s="183"/>
      <c r="Q140" s="183"/>
      <c r="R140" s="183"/>
      <c r="S140" s="183"/>
      <c r="T140" s="183"/>
      <c r="U140" s="183"/>
      <c r="V140" s="183"/>
      <c r="W140" s="183"/>
      <c r="X140" s="183"/>
      <c r="Y140" s="183"/>
      <c r="Z140" s="183"/>
      <c r="AA140" s="183"/>
      <c r="AB140" s="183"/>
      <c r="AC140" s="183"/>
      <c r="AD140" s="183"/>
      <c r="AE140" s="183"/>
      <c r="AF140" s="183"/>
      <c r="AG140" s="183"/>
      <c r="AH140" s="183"/>
      <c r="AI140" s="183"/>
      <c r="AJ140" s="183"/>
      <c r="AK140" s="183"/>
      <c r="AL140" s="183"/>
    </row>
    <row r="141" spans="1:40" ht="45" customHeight="1" x14ac:dyDescent="0.3">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c r="AA141" s="186"/>
      <c r="AB141" s="186"/>
      <c r="AC141" s="186"/>
      <c r="AD141" s="186"/>
      <c r="AE141" s="186"/>
      <c r="AF141" s="186"/>
      <c r="AG141" s="186"/>
      <c r="AH141" s="186"/>
      <c r="AI141" s="186"/>
      <c r="AJ141" s="186"/>
      <c r="AK141" s="186"/>
      <c r="AL141" s="186"/>
      <c r="AM141" s="50"/>
    </row>
    <row r="142" spans="1:40" ht="84" customHeight="1" x14ac:dyDescent="0.3">
      <c r="A142" s="149" t="s">
        <v>909</v>
      </c>
      <c r="B142" s="183"/>
      <c r="C142" s="183"/>
      <c r="D142" s="183"/>
      <c r="E142" s="183"/>
      <c r="F142" s="183"/>
      <c r="G142" s="183"/>
      <c r="H142" s="183"/>
      <c r="I142" s="183"/>
      <c r="J142" s="183"/>
      <c r="K142" s="183"/>
      <c r="L142" s="183"/>
      <c r="M142" s="183"/>
      <c r="N142" s="183"/>
      <c r="O142" s="183"/>
      <c r="P142" s="183"/>
      <c r="Q142" s="183"/>
      <c r="R142" s="183"/>
      <c r="S142" s="183"/>
      <c r="T142" s="183"/>
      <c r="U142" s="183"/>
      <c r="V142" s="183"/>
      <c r="W142" s="183"/>
      <c r="X142" s="183"/>
      <c r="Y142" s="183"/>
      <c r="Z142" s="183"/>
      <c r="AA142" s="183"/>
      <c r="AB142" s="183"/>
      <c r="AC142" s="183"/>
      <c r="AD142" s="183"/>
      <c r="AE142" s="183"/>
      <c r="AF142" s="183"/>
      <c r="AG142" s="183"/>
      <c r="AH142" s="183"/>
      <c r="AI142" s="183"/>
      <c r="AJ142" s="183"/>
      <c r="AK142" s="183"/>
      <c r="AL142" s="183"/>
      <c r="AM142" s="50"/>
    </row>
    <row r="143" spans="1:40" ht="47" customHeight="1" x14ac:dyDescent="0.3">
      <c r="A143" s="184" t="s">
        <v>670</v>
      </c>
      <c r="B143" s="184"/>
      <c r="C143" s="184"/>
      <c r="D143" s="184"/>
      <c r="E143" s="184"/>
      <c r="F143" s="184"/>
      <c r="G143" s="184"/>
      <c r="H143" s="184"/>
      <c r="I143" s="184"/>
      <c r="J143" s="184"/>
      <c r="K143" s="184"/>
      <c r="L143" s="184"/>
      <c r="M143" s="184"/>
      <c r="N143" s="184"/>
      <c r="O143" s="184"/>
      <c r="P143" s="184"/>
      <c r="Q143" s="184"/>
      <c r="R143" s="184"/>
      <c r="S143" s="184"/>
      <c r="T143" s="184"/>
      <c r="U143" s="184"/>
      <c r="V143" s="184"/>
      <c r="W143" s="184"/>
      <c r="X143" s="184"/>
      <c r="Y143" s="184"/>
      <c r="Z143" s="184"/>
      <c r="AA143" s="184"/>
      <c r="AB143" s="184"/>
      <c r="AC143" s="184"/>
      <c r="AD143" s="184"/>
      <c r="AE143" s="184"/>
      <c r="AF143" s="184"/>
      <c r="AG143" s="184"/>
      <c r="AH143" s="184"/>
      <c r="AI143" s="184"/>
      <c r="AJ143" s="184"/>
      <c r="AK143" s="184"/>
      <c r="AL143" s="184"/>
      <c r="AM143" s="50"/>
    </row>
    <row r="144" spans="1:40" ht="67.5" customHeight="1" x14ac:dyDescent="0.3">
      <c r="A144" s="185" t="s">
        <v>874</v>
      </c>
      <c r="B144" s="185"/>
      <c r="C144" s="185"/>
      <c r="D144" s="185"/>
      <c r="E144" s="185"/>
      <c r="F144" s="185"/>
      <c r="G144" s="185"/>
      <c r="H144" s="185"/>
      <c r="I144" s="185"/>
      <c r="J144" s="185"/>
      <c r="K144" s="185"/>
      <c r="L144" s="185"/>
      <c r="M144" s="185"/>
      <c r="N144" s="185"/>
      <c r="O144" s="185"/>
      <c r="P144" s="185"/>
      <c r="Q144" s="185"/>
      <c r="R144" s="185"/>
      <c r="S144" s="185"/>
      <c r="T144" s="185"/>
      <c r="U144" s="185"/>
      <c r="V144" s="185"/>
      <c r="W144" s="185"/>
      <c r="X144" s="185"/>
      <c r="Y144" s="185"/>
      <c r="Z144" s="185"/>
      <c r="AA144" s="185"/>
      <c r="AB144" s="185"/>
      <c r="AC144" s="185"/>
      <c r="AD144" s="185"/>
      <c r="AE144" s="185"/>
      <c r="AF144" s="185"/>
      <c r="AG144" s="185"/>
      <c r="AH144" s="185"/>
      <c r="AI144" s="185"/>
      <c r="AJ144" s="185"/>
      <c r="AK144" s="185"/>
      <c r="AL144" s="185"/>
    </row>
    <row r="145" spans="1:39" ht="59.5" customHeight="1" x14ac:dyDescent="0.3">
      <c r="A145" s="184" t="s">
        <v>877</v>
      </c>
      <c r="B145" s="184"/>
      <c r="C145" s="184"/>
      <c r="D145" s="184"/>
      <c r="E145" s="184"/>
      <c r="F145" s="184"/>
      <c r="G145" s="184"/>
      <c r="H145" s="184"/>
      <c r="I145" s="184"/>
      <c r="J145" s="184"/>
      <c r="K145" s="184"/>
      <c r="L145" s="184"/>
      <c r="M145" s="184"/>
      <c r="N145" s="184"/>
      <c r="O145" s="184"/>
      <c r="P145" s="184"/>
      <c r="Q145" s="184"/>
      <c r="R145" s="184"/>
      <c r="S145" s="184"/>
      <c r="T145" s="184"/>
      <c r="U145" s="184"/>
      <c r="V145" s="184"/>
      <c r="W145" s="184"/>
      <c r="X145" s="184"/>
      <c r="Y145" s="184"/>
      <c r="Z145" s="184"/>
      <c r="AA145" s="184"/>
      <c r="AB145" s="184"/>
      <c r="AC145" s="184"/>
      <c r="AD145" s="184"/>
      <c r="AE145" s="184"/>
      <c r="AF145" s="184"/>
      <c r="AG145" s="184"/>
      <c r="AH145" s="184"/>
      <c r="AI145" s="184"/>
      <c r="AJ145" s="184"/>
      <c r="AK145" s="184"/>
      <c r="AL145" s="184"/>
    </row>
    <row r="146" spans="1:39" ht="92" customHeight="1" x14ac:dyDescent="0.3">
      <c r="A146" s="183" t="s">
        <v>878</v>
      </c>
      <c r="B146" s="183"/>
      <c r="C146" s="183"/>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c r="Z146" s="183"/>
      <c r="AA146" s="183"/>
      <c r="AB146" s="183"/>
      <c r="AC146" s="183"/>
      <c r="AD146" s="183"/>
      <c r="AE146" s="183"/>
      <c r="AF146" s="183"/>
      <c r="AG146" s="183"/>
      <c r="AH146" s="183"/>
      <c r="AI146" s="183"/>
      <c r="AJ146" s="183"/>
      <c r="AK146" s="183"/>
      <c r="AL146" s="183"/>
    </row>
    <row r="147" spans="1:39" ht="72" customHeight="1" x14ac:dyDescent="0.3">
      <c r="A147" s="184" t="s">
        <v>879</v>
      </c>
      <c r="B147" s="184"/>
      <c r="C147" s="184"/>
      <c r="D147" s="184"/>
      <c r="E147" s="184"/>
      <c r="F147" s="184"/>
      <c r="G147" s="184"/>
      <c r="H147" s="184"/>
      <c r="I147" s="184"/>
      <c r="J147" s="184"/>
      <c r="K147" s="184"/>
      <c r="L147" s="184"/>
      <c r="M147" s="184"/>
      <c r="N147" s="184"/>
      <c r="O147" s="184"/>
      <c r="P147" s="184"/>
      <c r="Q147" s="184"/>
      <c r="R147" s="184"/>
      <c r="S147" s="184"/>
      <c r="T147" s="184"/>
      <c r="U147" s="184"/>
      <c r="V147" s="184"/>
      <c r="W147" s="184"/>
      <c r="X147" s="184"/>
      <c r="Y147" s="184"/>
      <c r="Z147" s="184"/>
      <c r="AA147" s="184"/>
      <c r="AB147" s="184"/>
      <c r="AC147" s="184"/>
      <c r="AD147" s="184"/>
      <c r="AE147" s="184"/>
      <c r="AF147" s="184"/>
      <c r="AG147" s="184"/>
      <c r="AH147" s="184"/>
      <c r="AI147" s="184"/>
      <c r="AJ147" s="184"/>
      <c r="AK147" s="184"/>
      <c r="AL147" s="184"/>
    </row>
    <row r="148" spans="1:39" ht="40.5" customHeight="1" x14ac:dyDescent="0.3">
      <c r="A148" s="149" t="s">
        <v>881</v>
      </c>
      <c r="B148" s="183"/>
      <c r="C148" s="183"/>
      <c r="D148" s="183"/>
      <c r="E148" s="183"/>
      <c r="F148" s="183"/>
      <c r="G148" s="183"/>
      <c r="H148" s="183"/>
      <c r="I148" s="183"/>
      <c r="J148" s="183"/>
      <c r="K148" s="183"/>
      <c r="L148" s="183"/>
      <c r="M148" s="183"/>
      <c r="N148" s="183"/>
      <c r="O148" s="183"/>
      <c r="P148" s="183"/>
      <c r="Q148" s="183"/>
      <c r="R148" s="183"/>
      <c r="S148" s="183"/>
      <c r="T148" s="183"/>
      <c r="U148" s="183"/>
      <c r="V148" s="183"/>
      <c r="W148" s="183"/>
      <c r="X148" s="183"/>
      <c r="Y148" s="183"/>
      <c r="Z148" s="183"/>
      <c r="AA148" s="183"/>
      <c r="AB148" s="183"/>
      <c r="AC148" s="183"/>
      <c r="AD148" s="183"/>
      <c r="AE148" s="183"/>
      <c r="AF148" s="183"/>
      <c r="AG148" s="183"/>
      <c r="AH148" s="183"/>
      <c r="AI148" s="183"/>
      <c r="AJ148" s="183"/>
      <c r="AK148" s="183"/>
      <c r="AL148" s="183"/>
    </row>
    <row r="149" spans="1:39" ht="59.5" customHeight="1" x14ac:dyDescent="0.3">
      <c r="A149" s="184" t="s">
        <v>882</v>
      </c>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84"/>
      <c r="X149" s="184"/>
      <c r="Y149" s="184"/>
      <c r="Z149" s="184"/>
      <c r="AA149" s="184"/>
      <c r="AB149" s="184"/>
      <c r="AC149" s="184"/>
      <c r="AD149" s="184"/>
      <c r="AE149" s="184"/>
      <c r="AF149" s="184"/>
      <c r="AG149" s="184"/>
      <c r="AH149" s="184"/>
      <c r="AI149" s="184"/>
      <c r="AJ149" s="184"/>
      <c r="AK149" s="184"/>
      <c r="AL149" s="184"/>
    </row>
    <row r="150" spans="1:39" ht="59.5" customHeight="1" x14ac:dyDescent="0.3">
      <c r="A150" s="149" t="s">
        <v>884</v>
      </c>
      <c r="B150" s="183"/>
      <c r="C150" s="183"/>
      <c r="D150" s="183"/>
      <c r="E150" s="183"/>
      <c r="F150" s="183"/>
      <c r="G150" s="183"/>
      <c r="H150" s="183"/>
      <c r="I150" s="183"/>
      <c r="J150" s="183"/>
      <c r="K150" s="183"/>
      <c r="L150" s="183"/>
      <c r="M150" s="183"/>
      <c r="N150" s="183"/>
      <c r="O150" s="183"/>
      <c r="P150" s="183"/>
      <c r="Q150" s="183"/>
      <c r="R150" s="183"/>
      <c r="S150" s="183"/>
      <c r="T150" s="183"/>
      <c r="U150" s="183"/>
      <c r="V150" s="183"/>
      <c r="W150" s="183"/>
      <c r="X150" s="183"/>
      <c r="Y150" s="183"/>
      <c r="Z150" s="183"/>
      <c r="AA150" s="183"/>
      <c r="AB150" s="183"/>
      <c r="AC150" s="183"/>
      <c r="AD150" s="183"/>
      <c r="AE150" s="183"/>
      <c r="AF150" s="183"/>
      <c r="AG150" s="183"/>
      <c r="AH150" s="183"/>
      <c r="AI150" s="183"/>
      <c r="AJ150" s="183"/>
      <c r="AK150" s="183"/>
      <c r="AL150" s="183"/>
    </row>
    <row r="151" spans="1:39" ht="59.5" customHeight="1" x14ac:dyDescent="0.3">
      <c r="A151" s="184" t="s">
        <v>885</v>
      </c>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84"/>
      <c r="X151" s="184"/>
      <c r="Y151" s="184"/>
      <c r="Z151" s="184"/>
      <c r="AA151" s="184"/>
      <c r="AB151" s="184"/>
      <c r="AC151" s="184"/>
      <c r="AD151" s="184"/>
      <c r="AE151" s="184"/>
      <c r="AF151" s="184"/>
      <c r="AG151" s="184"/>
      <c r="AH151" s="184"/>
      <c r="AI151" s="184"/>
      <c r="AJ151" s="184"/>
      <c r="AK151" s="184"/>
      <c r="AL151" s="184"/>
    </row>
    <row r="152" spans="1:39" ht="46" customHeight="1" x14ac:dyDescent="0.3">
      <c r="A152" s="149" t="s">
        <v>906</v>
      </c>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c r="AA152" s="149"/>
      <c r="AB152" s="149"/>
      <c r="AC152" s="149"/>
      <c r="AD152" s="149"/>
      <c r="AE152" s="149"/>
      <c r="AF152" s="149"/>
      <c r="AG152" s="149"/>
      <c r="AH152" s="149"/>
      <c r="AI152" s="149"/>
      <c r="AJ152" s="149"/>
      <c r="AK152" s="149"/>
      <c r="AL152" s="149"/>
    </row>
    <row r="153" spans="1:39" ht="46.5" customHeight="1" x14ac:dyDescent="0.3">
      <c r="A153" s="184" t="s">
        <v>907</v>
      </c>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84"/>
      <c r="X153" s="184"/>
      <c r="Y153" s="184"/>
      <c r="Z153" s="184"/>
      <c r="AA153" s="184"/>
      <c r="AB153" s="184"/>
      <c r="AC153" s="184"/>
      <c r="AD153" s="184"/>
      <c r="AE153" s="184"/>
      <c r="AF153" s="184"/>
      <c r="AG153" s="184"/>
      <c r="AH153" s="184"/>
      <c r="AI153" s="184"/>
      <c r="AJ153" s="184"/>
      <c r="AK153" s="184"/>
      <c r="AL153" s="184"/>
    </row>
    <row r="154" spans="1:39" ht="59.5" customHeight="1" x14ac:dyDescent="0.3">
      <c r="A154" s="149" t="s">
        <v>890</v>
      </c>
      <c r="B154" s="183"/>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c r="AA154" s="183"/>
      <c r="AB154" s="183"/>
      <c r="AC154" s="183"/>
      <c r="AD154" s="183"/>
      <c r="AE154" s="183"/>
      <c r="AF154" s="183"/>
      <c r="AG154" s="183"/>
      <c r="AH154" s="183"/>
      <c r="AI154" s="183"/>
      <c r="AJ154" s="183"/>
      <c r="AK154" s="183"/>
      <c r="AL154" s="183"/>
    </row>
    <row r="155" spans="1:39" ht="59.5" customHeight="1" x14ac:dyDescent="0.3">
      <c r="A155" s="184" t="s">
        <v>917</v>
      </c>
      <c r="B155" s="184"/>
      <c r="C155" s="184"/>
      <c r="D155" s="184"/>
      <c r="E155" s="184"/>
      <c r="F155" s="184"/>
      <c r="G155" s="184"/>
      <c r="H155" s="184"/>
      <c r="I155" s="184"/>
      <c r="J155" s="184"/>
      <c r="K155" s="184"/>
      <c r="L155" s="184"/>
      <c r="M155" s="184"/>
      <c r="N155" s="184"/>
      <c r="O155" s="184"/>
      <c r="P155" s="184"/>
      <c r="Q155" s="184"/>
      <c r="R155" s="184"/>
      <c r="S155" s="184"/>
      <c r="T155" s="184"/>
      <c r="U155" s="184"/>
      <c r="V155" s="184"/>
      <c r="W155" s="184"/>
      <c r="X155" s="184"/>
      <c r="Y155" s="184"/>
      <c r="Z155" s="184"/>
      <c r="AA155" s="184"/>
      <c r="AB155" s="184"/>
      <c r="AC155" s="184"/>
      <c r="AD155" s="184"/>
      <c r="AE155" s="184"/>
      <c r="AF155" s="184"/>
      <c r="AG155" s="184"/>
      <c r="AH155" s="184"/>
      <c r="AI155" s="184"/>
      <c r="AJ155" s="184"/>
      <c r="AK155" s="184"/>
      <c r="AL155" s="184"/>
      <c r="AM155" s="50" t="s">
        <v>665</v>
      </c>
    </row>
    <row r="156" spans="1:39" ht="43.5" customHeight="1" x14ac:dyDescent="0.3">
      <c r="A156" s="149" t="s">
        <v>887</v>
      </c>
      <c r="B156" s="183"/>
      <c r="C156" s="183"/>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c r="AA156" s="183"/>
      <c r="AB156" s="183"/>
      <c r="AC156" s="183"/>
      <c r="AD156" s="183"/>
      <c r="AE156" s="183"/>
      <c r="AF156" s="183"/>
      <c r="AG156" s="183"/>
      <c r="AH156" s="183"/>
      <c r="AI156" s="183"/>
      <c r="AJ156" s="183"/>
      <c r="AK156" s="183"/>
      <c r="AL156" s="183"/>
    </row>
    <row r="157" spans="1:39" ht="59.5" customHeight="1" x14ac:dyDescent="0.3">
      <c r="A157" s="184" t="s">
        <v>891</v>
      </c>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c r="X157" s="184"/>
      <c r="Y157" s="184"/>
      <c r="Z157" s="184"/>
      <c r="AA157" s="184"/>
      <c r="AB157" s="184"/>
      <c r="AC157" s="184"/>
      <c r="AD157" s="184"/>
      <c r="AE157" s="184"/>
      <c r="AF157" s="184"/>
      <c r="AG157" s="184"/>
      <c r="AH157" s="184"/>
      <c r="AI157" s="184"/>
      <c r="AJ157" s="184"/>
      <c r="AK157" s="184"/>
      <c r="AL157" s="184"/>
      <c r="AM157" s="50" t="s">
        <v>665</v>
      </c>
    </row>
    <row r="158" spans="1:39" ht="24.75" customHeight="1" x14ac:dyDescent="0.3">
      <c r="A158" s="149" t="s">
        <v>666</v>
      </c>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c r="AA158" s="149"/>
      <c r="AB158" s="149"/>
      <c r="AC158" s="149"/>
      <c r="AD158" s="149"/>
      <c r="AE158" s="149"/>
      <c r="AF158" s="149"/>
      <c r="AG158" s="149"/>
      <c r="AH158" s="149"/>
      <c r="AI158" s="149"/>
      <c r="AJ158" s="149"/>
      <c r="AK158" s="149"/>
      <c r="AL158" s="149"/>
    </row>
    <row r="159" spans="1:39" ht="55.5" customHeight="1" x14ac:dyDescent="0.3">
      <c r="A159" s="149" t="s">
        <v>810</v>
      </c>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c r="AA159" s="149"/>
      <c r="AB159" s="149"/>
      <c r="AC159" s="149"/>
      <c r="AD159" s="149"/>
      <c r="AE159" s="149"/>
      <c r="AF159" s="149"/>
      <c r="AG159" s="149"/>
      <c r="AH159" s="149"/>
      <c r="AI159" s="149"/>
      <c r="AJ159" s="149"/>
      <c r="AK159" s="149"/>
      <c r="AL159" s="149"/>
    </row>
    <row r="160" spans="1:39" ht="35.5" customHeight="1" x14ac:dyDescent="0.3">
      <c r="A160" s="149" t="s">
        <v>825</v>
      </c>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c r="AA160" s="149"/>
      <c r="AB160" s="149"/>
      <c r="AC160" s="149"/>
      <c r="AD160" s="149"/>
      <c r="AE160" s="149"/>
      <c r="AF160" s="149"/>
      <c r="AG160" s="149"/>
      <c r="AH160" s="149"/>
      <c r="AI160" s="149"/>
      <c r="AJ160" s="149"/>
      <c r="AK160" s="149"/>
      <c r="AL160" s="149"/>
    </row>
    <row r="161" spans="1:54" ht="85" customHeight="1" x14ac:dyDescent="0.3">
      <c r="A161" s="149" t="s">
        <v>922</v>
      </c>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c r="AA161" s="149"/>
      <c r="AB161" s="149"/>
      <c r="AC161" s="149"/>
      <c r="AD161" s="149"/>
      <c r="AE161" s="149"/>
      <c r="AF161" s="149"/>
      <c r="AG161" s="149"/>
      <c r="AH161" s="149"/>
      <c r="AI161" s="149"/>
      <c r="AJ161" s="149"/>
      <c r="AK161" s="149"/>
      <c r="AL161" s="149"/>
    </row>
    <row r="162" spans="1:54" ht="44.5" customHeight="1" x14ac:dyDescent="0.3">
      <c r="A162" s="149" t="s">
        <v>915</v>
      </c>
      <c r="B162" s="216"/>
      <c r="C162" s="216"/>
      <c r="D162" s="216"/>
      <c r="E162" s="216"/>
      <c r="F162" s="216"/>
      <c r="G162" s="216"/>
      <c r="H162" s="216"/>
      <c r="I162" s="216"/>
      <c r="J162" s="216"/>
      <c r="K162" s="216"/>
      <c r="L162" s="216"/>
      <c r="M162" s="216"/>
      <c r="N162" s="216"/>
      <c r="O162" s="216"/>
      <c r="P162" s="216"/>
      <c r="Q162" s="216"/>
      <c r="R162" s="216"/>
      <c r="S162" s="216"/>
      <c r="T162" s="216"/>
      <c r="U162" s="216"/>
      <c r="V162" s="216"/>
      <c r="W162" s="216"/>
      <c r="X162" s="216"/>
      <c r="Y162" s="216"/>
      <c r="Z162" s="216"/>
      <c r="AA162" s="216"/>
      <c r="AB162" s="216"/>
      <c r="AC162" s="216"/>
      <c r="AD162" s="216"/>
      <c r="AE162" s="216"/>
      <c r="AF162" s="216"/>
      <c r="AG162" s="216"/>
      <c r="AH162" s="216"/>
      <c r="AI162" s="216"/>
      <c r="AJ162" s="216"/>
      <c r="AK162" s="216"/>
      <c r="AL162" s="216"/>
    </row>
    <row r="163" spans="1:54" ht="20" customHeight="1" x14ac:dyDescent="0.3">
      <c r="A163" s="149" t="s">
        <v>844</v>
      </c>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c r="AA163" s="149"/>
      <c r="AB163" s="149"/>
      <c r="AC163" s="149"/>
      <c r="AD163" s="149"/>
      <c r="AE163" s="149"/>
      <c r="AF163" s="149"/>
      <c r="AG163" s="149"/>
      <c r="AH163" s="149"/>
      <c r="AI163" s="149"/>
      <c r="AJ163" s="149"/>
      <c r="AK163" s="149"/>
      <c r="AL163" s="149"/>
    </row>
    <row r="164" spans="1:54" ht="40.5" customHeight="1" x14ac:dyDescent="0.3">
      <c r="A164" s="282" t="str">
        <f>IF(B17="Uczelnia publiczna","5) w przypadku uczelni – rektora","5) w przypadku uczelni – rektora")</f>
        <v>5) w przypadku uczelni – rektora</v>
      </c>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181" t="s">
        <v>897</v>
      </c>
    </row>
    <row r="165" spans="1:54" ht="76" customHeight="1" x14ac:dyDescent="0.35">
      <c r="A165" s="195" t="s">
        <v>667</v>
      </c>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95"/>
      <c r="Z165" s="195"/>
      <c r="AA165" s="195"/>
      <c r="AB165" s="195"/>
      <c r="AC165" s="195"/>
      <c r="AD165" s="195"/>
      <c r="AE165" s="195"/>
      <c r="AF165" s="195"/>
      <c r="AG165" s="195"/>
      <c r="AH165" s="195"/>
      <c r="AI165" s="195"/>
      <c r="AJ165" s="195"/>
      <c r="AK165" s="195"/>
      <c r="AL165" s="195"/>
      <c r="AM165" s="182"/>
      <c r="AN165" s="75"/>
    </row>
    <row r="166" spans="1:54" ht="14" customHeight="1" x14ac:dyDescent="0.3">
      <c r="A166" s="191" t="s">
        <v>920</v>
      </c>
      <c r="B166" s="191"/>
      <c r="C166" s="191"/>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c r="AA166" s="191"/>
      <c r="AB166" s="191"/>
      <c r="AC166" s="191"/>
      <c r="AD166" s="191"/>
      <c r="AE166" s="191"/>
      <c r="AF166" s="191"/>
      <c r="AG166" s="191"/>
      <c r="AH166" s="191"/>
      <c r="AI166" s="191"/>
      <c r="AJ166" s="191"/>
      <c r="AK166" s="191"/>
      <c r="AL166" s="191"/>
    </row>
    <row r="167" spans="1:54" ht="14" customHeight="1" x14ac:dyDescent="0.3">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c r="AE167" s="192"/>
      <c r="AF167" s="192"/>
      <c r="AG167" s="192"/>
      <c r="AH167" s="192"/>
      <c r="AI167" s="192"/>
      <c r="AJ167" s="192"/>
      <c r="AK167" s="192"/>
      <c r="AL167" s="192"/>
    </row>
    <row r="168" spans="1:54" ht="14" customHeight="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c r="AK168" s="192"/>
      <c r="AL168" s="192"/>
    </row>
    <row r="169" spans="1:54" ht="14" customHeight="1" x14ac:dyDescent="0.3">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c r="AK169" s="192"/>
      <c r="AL169" s="192"/>
    </row>
    <row r="170" spans="1:54" ht="160.5" customHeight="1" x14ac:dyDescent="0.35">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c r="AK170" s="192"/>
      <c r="AL170" s="192"/>
      <c r="AM170" s="86"/>
      <c r="AN170" s="86"/>
      <c r="AO170" s="86"/>
      <c r="AP170" s="86"/>
      <c r="AQ170" s="86"/>
      <c r="AR170" s="86"/>
      <c r="AS170" s="86"/>
      <c r="AT170" s="86"/>
      <c r="AU170" s="86"/>
      <c r="AV170" s="86"/>
      <c r="AW170" s="86"/>
      <c r="AX170" s="86"/>
      <c r="AY170" s="86"/>
      <c r="AZ170" s="86"/>
      <c r="BA170" s="86"/>
      <c r="BB170" s="86"/>
    </row>
    <row r="171" spans="1:54" x14ac:dyDescent="0.3">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87"/>
      <c r="AZ171" s="87"/>
      <c r="BA171" s="87"/>
      <c r="BB171" s="87"/>
    </row>
  </sheetData>
  <sheetProtection algorithmName="SHA-512" hashValue="llbEhJRRQ6y2L8K078tkoduW98fyDTR9ZS8DRDCVymatg6hu6dGXGntyU1yzY/YNKoSgUb0NiHmkKMwDk2Oc3g==" saltValue="RwLAL79k0Gg1Tbqma3Ef1g==" spinCount="100000" sheet="1" formatCells="0" formatRows="0" insertRows="0"/>
  <mergeCells count="414">
    <mergeCell ref="A154:AL154"/>
    <mergeCell ref="A155:AL155"/>
    <mergeCell ref="A156:AL156"/>
    <mergeCell ref="A157:AL157"/>
    <mergeCell ref="A152:AL152"/>
    <mergeCell ref="A153:AL153"/>
    <mergeCell ref="A24:A25"/>
    <mergeCell ref="B22:AL22"/>
    <mergeCell ref="B23:AL23"/>
    <mergeCell ref="A86:AL86"/>
    <mergeCell ref="A87:AL87"/>
    <mergeCell ref="A148:AL148"/>
    <mergeCell ref="A149:AL149"/>
    <mergeCell ref="A150:AL150"/>
    <mergeCell ref="A151:AL151"/>
    <mergeCell ref="AA101:AI101"/>
    <mergeCell ref="AJ101:AL101"/>
    <mergeCell ref="AA102:AI102"/>
    <mergeCell ref="AJ102:AL102"/>
    <mergeCell ref="L110:O110"/>
    <mergeCell ref="AH110:AJ110"/>
    <mergeCell ref="AK110:AL110"/>
    <mergeCell ref="T110:Z110"/>
    <mergeCell ref="G110:K110"/>
    <mergeCell ref="A164:AL164"/>
    <mergeCell ref="AM72:AM74"/>
    <mergeCell ref="AA119:AG119"/>
    <mergeCell ref="AA116:AG116"/>
    <mergeCell ref="P116:S116"/>
    <mergeCell ref="P123:S123"/>
    <mergeCell ref="L133:O133"/>
    <mergeCell ref="T119:Z119"/>
    <mergeCell ref="G119:K119"/>
    <mergeCell ref="B116:F116"/>
    <mergeCell ref="G116:K116"/>
    <mergeCell ref="L116:O116"/>
    <mergeCell ref="B117:F117"/>
    <mergeCell ref="G117:K117"/>
    <mergeCell ref="L117:O117"/>
    <mergeCell ref="P118:S118"/>
    <mergeCell ref="P119:S119"/>
    <mergeCell ref="AA123:AG123"/>
    <mergeCell ref="AA124:AG124"/>
    <mergeCell ref="T126:Z126"/>
    <mergeCell ref="AA125:AG125"/>
    <mergeCell ref="A162:AL162"/>
    <mergeCell ref="AH126:AJ126"/>
    <mergeCell ref="A101:Z102"/>
    <mergeCell ref="B131:F131"/>
    <mergeCell ref="T122:Z122"/>
    <mergeCell ref="G122:K122"/>
    <mergeCell ref="B126:F126"/>
    <mergeCell ref="AA127:AG127"/>
    <mergeCell ref="A106:AL106"/>
    <mergeCell ref="A107:AL107"/>
    <mergeCell ref="A104:AI104"/>
    <mergeCell ref="AJ104:AL104"/>
    <mergeCell ref="P110:S110"/>
    <mergeCell ref="AA110:AG110"/>
    <mergeCell ref="B110:F110"/>
    <mergeCell ref="A105:AI105"/>
    <mergeCell ref="AJ105:AL105"/>
    <mergeCell ref="G109:K109"/>
    <mergeCell ref="AK111:AL111"/>
    <mergeCell ref="L111:O111"/>
    <mergeCell ref="AK115:AL115"/>
    <mergeCell ref="P113:S113"/>
    <mergeCell ref="AH111:AJ111"/>
    <mergeCell ref="P112:S112"/>
    <mergeCell ref="T112:Z112"/>
    <mergeCell ref="AA112:AG112"/>
    <mergeCell ref="AM82:AV82"/>
    <mergeCell ref="A83:AL83"/>
    <mergeCell ref="A84:AL84"/>
    <mergeCell ref="AM85:AV85"/>
    <mergeCell ref="A82:AL82"/>
    <mergeCell ref="T114:Z114"/>
    <mergeCell ref="AA114:AG114"/>
    <mergeCell ref="AH112:AJ112"/>
    <mergeCell ref="B113:F113"/>
    <mergeCell ref="AK114:AL114"/>
    <mergeCell ref="AH114:AJ114"/>
    <mergeCell ref="B114:F114"/>
    <mergeCell ref="G114:K114"/>
    <mergeCell ref="L114:O114"/>
    <mergeCell ref="A92:AL92"/>
    <mergeCell ref="G111:K111"/>
    <mergeCell ref="AK112:AL112"/>
    <mergeCell ref="AH113:AJ113"/>
    <mergeCell ref="T113:Z113"/>
    <mergeCell ref="AK113:AL113"/>
    <mergeCell ref="G113:K113"/>
    <mergeCell ref="L113:O113"/>
    <mergeCell ref="P109:S109"/>
    <mergeCell ref="B109:F109"/>
    <mergeCell ref="A20:A23"/>
    <mergeCell ref="A26:A34"/>
    <mergeCell ref="B34:AL34"/>
    <mergeCell ref="AK47:AL47"/>
    <mergeCell ref="B35:AL35"/>
    <mergeCell ref="A42:A43"/>
    <mergeCell ref="B32:AL32"/>
    <mergeCell ref="B27:AL27"/>
    <mergeCell ref="B28:AL28"/>
    <mergeCell ref="B29:AL29"/>
    <mergeCell ref="B30:AL30"/>
    <mergeCell ref="B31:AL31"/>
    <mergeCell ref="B33:AL33"/>
    <mergeCell ref="B24:V24"/>
    <mergeCell ref="B41:AL41"/>
    <mergeCell ref="T36:AL36"/>
    <mergeCell ref="W24:AL24"/>
    <mergeCell ref="B25:V25"/>
    <mergeCell ref="W25:AL25"/>
    <mergeCell ref="B37:AL37"/>
    <mergeCell ref="B36:S36"/>
    <mergeCell ref="B26:AL26"/>
    <mergeCell ref="Z47:AJ47"/>
    <mergeCell ref="AM80:AT80"/>
    <mergeCell ref="B71:AL71"/>
    <mergeCell ref="A72:AL72"/>
    <mergeCell ref="A78:H78"/>
    <mergeCell ref="I78:S78"/>
    <mergeCell ref="T78:AD78"/>
    <mergeCell ref="AE78:AJ78"/>
    <mergeCell ref="AM75:AU76"/>
    <mergeCell ref="A76:AL76"/>
    <mergeCell ref="A4:F4"/>
    <mergeCell ref="H4:L4"/>
    <mergeCell ref="A5:F5"/>
    <mergeCell ref="H5:L5"/>
    <mergeCell ref="A18:A19"/>
    <mergeCell ref="B18:AL18"/>
    <mergeCell ref="B19:AL19"/>
    <mergeCell ref="A11:AL11"/>
    <mergeCell ref="A12:AL12"/>
    <mergeCell ref="A13:AL13"/>
    <mergeCell ref="A15:AK15"/>
    <mergeCell ref="A16:A17"/>
    <mergeCell ref="B16:AL16"/>
    <mergeCell ref="A7:F7"/>
    <mergeCell ref="A9:AL9"/>
    <mergeCell ref="B17:AL17"/>
    <mergeCell ref="G7:L7"/>
    <mergeCell ref="N7:P7"/>
    <mergeCell ref="R7:AA7"/>
    <mergeCell ref="AB7:AE7"/>
    <mergeCell ref="S53:AL53"/>
    <mergeCell ref="B50:AL50"/>
    <mergeCell ref="B51:AL51"/>
    <mergeCell ref="B52:R52"/>
    <mergeCell ref="S54:AL54"/>
    <mergeCell ref="A89:AL89"/>
    <mergeCell ref="A90:AL90"/>
    <mergeCell ref="AH109:AJ109"/>
    <mergeCell ref="A108:AL108"/>
    <mergeCell ref="T73:AL73"/>
    <mergeCell ref="B68:AL68"/>
    <mergeCell ref="A69:AL69"/>
    <mergeCell ref="B60:R60"/>
    <mergeCell ref="S60:AL60"/>
    <mergeCell ref="AB65:AL65"/>
    <mergeCell ref="AB64:AL64"/>
    <mergeCell ref="T79:AD79"/>
    <mergeCell ref="A99:Z100"/>
    <mergeCell ref="AK109:AL109"/>
    <mergeCell ref="A91:AL91"/>
    <mergeCell ref="B75:AL75"/>
    <mergeCell ref="B54:R54"/>
    <mergeCell ref="A98:Z98"/>
    <mergeCell ref="AA98:AL98"/>
    <mergeCell ref="A103:AL103"/>
    <mergeCell ref="A93:AL93"/>
    <mergeCell ref="A94:Z94"/>
    <mergeCell ref="AA94:AL94"/>
    <mergeCell ref="A95:Z95"/>
    <mergeCell ref="AA95:AL95"/>
    <mergeCell ref="A96:Z97"/>
    <mergeCell ref="AA96:AI96"/>
    <mergeCell ref="A63:A67"/>
    <mergeCell ref="A74:S74"/>
    <mergeCell ref="T74:AL74"/>
    <mergeCell ref="AJ96:AL96"/>
    <mergeCell ref="AA97:AI97"/>
    <mergeCell ref="AJ97:AL97"/>
    <mergeCell ref="AJ99:AL99"/>
    <mergeCell ref="AA100:AI100"/>
    <mergeCell ref="A85:AL85"/>
    <mergeCell ref="AJ100:AL100"/>
    <mergeCell ref="S55:AL55"/>
    <mergeCell ref="A81:AL81"/>
    <mergeCell ref="AB66:AL66"/>
    <mergeCell ref="AB67:AL67"/>
    <mergeCell ref="A70:AL70"/>
    <mergeCell ref="A35:A36"/>
    <mergeCell ref="B42:AL42"/>
    <mergeCell ref="A44:A49"/>
    <mergeCell ref="B44:AL44"/>
    <mergeCell ref="AK46:AL46"/>
    <mergeCell ref="A40:A41"/>
    <mergeCell ref="B40:AL40"/>
    <mergeCell ref="AK45:AL45"/>
    <mergeCell ref="Z45:AJ45"/>
    <mergeCell ref="AK48:AL48"/>
    <mergeCell ref="B38:AL38"/>
    <mergeCell ref="B39:AL39"/>
    <mergeCell ref="B45:Y45"/>
    <mergeCell ref="B46:Y46"/>
    <mergeCell ref="B47:Y47"/>
    <mergeCell ref="B48:Y48"/>
    <mergeCell ref="B49:Y49"/>
    <mergeCell ref="A38:A39"/>
    <mergeCell ref="Z46:AJ46"/>
    <mergeCell ref="AK49:AL49"/>
    <mergeCell ref="Z48:AJ48"/>
    <mergeCell ref="Z49:AJ49"/>
    <mergeCell ref="B43:AL43"/>
    <mergeCell ref="AM5:AR5"/>
    <mergeCell ref="L109:O109"/>
    <mergeCell ref="AE79:AJ79"/>
    <mergeCell ref="AK79:AL79"/>
    <mergeCell ref="T109:Z109"/>
    <mergeCell ref="AA109:AG109"/>
    <mergeCell ref="A88:AL88"/>
    <mergeCell ref="A80:AL80"/>
    <mergeCell ref="A50:A62"/>
    <mergeCell ref="B62:R62"/>
    <mergeCell ref="B66:AA66"/>
    <mergeCell ref="A73:S73"/>
    <mergeCell ref="A79:H79"/>
    <mergeCell ref="B53:R53"/>
    <mergeCell ref="B65:AA65"/>
    <mergeCell ref="B64:AA64"/>
    <mergeCell ref="B63:AL63"/>
    <mergeCell ref="B55:R55"/>
    <mergeCell ref="A77:AL77"/>
    <mergeCell ref="AA99:AI99"/>
    <mergeCell ref="B56:R56"/>
    <mergeCell ref="S56:AL56"/>
    <mergeCell ref="I79:S79"/>
    <mergeCell ref="AK78:AL78"/>
    <mergeCell ref="S58:AL58"/>
    <mergeCell ref="B58:R58"/>
    <mergeCell ref="S62:AL62"/>
    <mergeCell ref="B67:AA67"/>
    <mergeCell ref="B59:R59"/>
    <mergeCell ref="S59:AL59"/>
    <mergeCell ref="B61:R61"/>
    <mergeCell ref="S61:AL61"/>
    <mergeCell ref="A166:AL170"/>
    <mergeCell ref="B129:F129"/>
    <mergeCell ref="G129:K129"/>
    <mergeCell ref="L129:O129"/>
    <mergeCell ref="P130:S130"/>
    <mergeCell ref="T130:Z130"/>
    <mergeCell ref="AA130:AG130"/>
    <mergeCell ref="AH130:AJ130"/>
    <mergeCell ref="AK130:AL130"/>
    <mergeCell ref="P131:S131"/>
    <mergeCell ref="B133:K133"/>
    <mergeCell ref="AA132:AG132"/>
    <mergeCell ref="AH132:AJ132"/>
    <mergeCell ref="A159:AL159"/>
    <mergeCell ref="A158:AL158"/>
    <mergeCell ref="A137:AL137"/>
    <mergeCell ref="L131:O131"/>
    <mergeCell ref="B132:F132"/>
    <mergeCell ref="G132:K132"/>
    <mergeCell ref="A165:AL165"/>
    <mergeCell ref="A142:AL142"/>
    <mergeCell ref="P132:S132"/>
    <mergeCell ref="A138:AL138"/>
    <mergeCell ref="B135:S135"/>
    <mergeCell ref="AA113:AG113"/>
    <mergeCell ref="P114:S114"/>
    <mergeCell ref="P115:S115"/>
    <mergeCell ref="AA111:AG111"/>
    <mergeCell ref="G115:K115"/>
    <mergeCell ref="P120:S120"/>
    <mergeCell ref="B115:F115"/>
    <mergeCell ref="T116:Z116"/>
    <mergeCell ref="P117:S117"/>
    <mergeCell ref="T120:Z120"/>
    <mergeCell ref="T117:Z117"/>
    <mergeCell ref="T118:Z118"/>
    <mergeCell ref="P111:S111"/>
    <mergeCell ref="T111:Z111"/>
    <mergeCell ref="G112:K112"/>
    <mergeCell ref="L112:O112"/>
    <mergeCell ref="B112:F112"/>
    <mergeCell ref="L119:O119"/>
    <mergeCell ref="L120:O120"/>
    <mergeCell ref="B120:F120"/>
    <mergeCell ref="B118:F118"/>
    <mergeCell ref="B111:F111"/>
    <mergeCell ref="B119:F119"/>
    <mergeCell ref="L123:O123"/>
    <mergeCell ref="G126:K126"/>
    <mergeCell ref="L126:O126"/>
    <mergeCell ref="AK126:AL126"/>
    <mergeCell ref="AK119:AL119"/>
    <mergeCell ref="AK120:AL120"/>
    <mergeCell ref="AK121:AL121"/>
    <mergeCell ref="AK122:AL122"/>
    <mergeCell ref="T121:Z121"/>
    <mergeCell ref="B121:F121"/>
    <mergeCell ref="L121:O121"/>
    <mergeCell ref="G130:K130"/>
    <mergeCell ref="AH117:AJ117"/>
    <mergeCell ref="AK123:AL123"/>
    <mergeCell ref="AK124:AL124"/>
    <mergeCell ref="AH123:AJ123"/>
    <mergeCell ref="P126:S126"/>
    <mergeCell ref="AH125:AJ125"/>
    <mergeCell ref="AK125:AL125"/>
    <mergeCell ref="T125:Z125"/>
    <mergeCell ref="G118:K118"/>
    <mergeCell ref="L130:O130"/>
    <mergeCell ref="L128:O128"/>
    <mergeCell ref="AK116:AL116"/>
    <mergeCell ref="AH115:AJ115"/>
    <mergeCell ref="T115:Z115"/>
    <mergeCell ref="T135:AJ135"/>
    <mergeCell ref="T132:Z132"/>
    <mergeCell ref="B130:F130"/>
    <mergeCell ref="G121:K121"/>
    <mergeCell ref="AK131:AL131"/>
    <mergeCell ref="AH133:AJ133"/>
    <mergeCell ref="T133:Z133"/>
    <mergeCell ref="AA131:AG131"/>
    <mergeCell ref="AH131:AJ131"/>
    <mergeCell ref="G123:K123"/>
    <mergeCell ref="B123:F123"/>
    <mergeCell ref="AA122:AG122"/>
    <mergeCell ref="B124:F124"/>
    <mergeCell ref="G124:K124"/>
    <mergeCell ref="L124:O124"/>
    <mergeCell ref="B125:F125"/>
    <mergeCell ref="L122:O122"/>
    <mergeCell ref="B122:F122"/>
    <mergeCell ref="G125:K125"/>
    <mergeCell ref="L125:O125"/>
    <mergeCell ref="L115:O115"/>
    <mergeCell ref="AK128:AL128"/>
    <mergeCell ref="T131:Z131"/>
    <mergeCell ref="AM164:AM165"/>
    <mergeCell ref="T129:Z129"/>
    <mergeCell ref="AA128:AG128"/>
    <mergeCell ref="L132:O132"/>
    <mergeCell ref="A139:AL139"/>
    <mergeCell ref="A147:AL147"/>
    <mergeCell ref="A160:AL160"/>
    <mergeCell ref="A144:AL144"/>
    <mergeCell ref="A145:AL145"/>
    <mergeCell ref="A146:AL146"/>
    <mergeCell ref="A140:AL140"/>
    <mergeCell ref="A141:AL141"/>
    <mergeCell ref="B128:F128"/>
    <mergeCell ref="G128:K128"/>
    <mergeCell ref="AK133:AL133"/>
    <mergeCell ref="AA129:AG129"/>
    <mergeCell ref="AH129:AJ129"/>
    <mergeCell ref="A143:AL143"/>
    <mergeCell ref="P129:S129"/>
    <mergeCell ref="AK129:AL129"/>
    <mergeCell ref="P133:S133"/>
    <mergeCell ref="G120:K120"/>
    <mergeCell ref="A134:AL134"/>
    <mergeCell ref="B136:S136"/>
    <mergeCell ref="AK117:AL117"/>
    <mergeCell ref="AK118:AL118"/>
    <mergeCell ref="L118:O118"/>
    <mergeCell ref="AA117:AG117"/>
    <mergeCell ref="AA115:AG115"/>
    <mergeCell ref="AK127:AL127"/>
    <mergeCell ref="P128:S128"/>
    <mergeCell ref="T128:Z128"/>
    <mergeCell ref="AH128:AJ128"/>
    <mergeCell ref="P124:S124"/>
    <mergeCell ref="P125:S125"/>
    <mergeCell ref="AA121:AG121"/>
    <mergeCell ref="AH122:AJ122"/>
    <mergeCell ref="T124:Z124"/>
    <mergeCell ref="P127:S127"/>
    <mergeCell ref="AA118:AG118"/>
    <mergeCell ref="P121:S121"/>
    <mergeCell ref="AH118:AJ118"/>
    <mergeCell ref="AH119:AJ119"/>
    <mergeCell ref="AH120:AJ120"/>
    <mergeCell ref="AH121:AJ121"/>
    <mergeCell ref="A161:AL161"/>
    <mergeCell ref="A1:AL1"/>
    <mergeCell ref="A163:AL163"/>
    <mergeCell ref="A8:P8"/>
    <mergeCell ref="Q8:AL8"/>
    <mergeCell ref="B20:AL20"/>
    <mergeCell ref="B21:AL21"/>
    <mergeCell ref="B57:AL57"/>
    <mergeCell ref="S52:AL52"/>
    <mergeCell ref="T136:AJ136"/>
    <mergeCell ref="G127:K127"/>
    <mergeCell ref="L127:O127"/>
    <mergeCell ref="G131:K131"/>
    <mergeCell ref="AK132:AL132"/>
    <mergeCell ref="AH127:AJ127"/>
    <mergeCell ref="B127:F127"/>
    <mergeCell ref="AA120:AG120"/>
    <mergeCell ref="AH116:AJ116"/>
    <mergeCell ref="T127:Z127"/>
    <mergeCell ref="AH124:AJ124"/>
    <mergeCell ref="P122:S122"/>
    <mergeCell ref="AA126:AG126"/>
    <mergeCell ref="T123:Z123"/>
    <mergeCell ref="AA133:AG133"/>
  </mergeCells>
  <conditionalFormatting sqref="A4 H4 B19 B25 W25 B51:B67 A69:A70 A76 A81 A83 AJ99:AJ102 A137:A139">
    <cfRule type="expression" dxfId="147" priority="256">
      <formula>IF(A4="",1,0)</formula>
    </cfRule>
  </conditionalFormatting>
  <conditionalFormatting sqref="A72">
    <cfRule type="expression" dxfId="146" priority="182">
      <formula>IF(A72="",1,0)</formula>
    </cfRule>
  </conditionalFormatting>
  <conditionalFormatting sqref="A73:A74">
    <cfRule type="expression" dxfId="145" priority="186">
      <formula>IF(A73="",1,0)</formula>
    </cfRule>
  </conditionalFormatting>
  <conditionalFormatting sqref="A78:A79">
    <cfRule type="expression" dxfId="143" priority="61">
      <formula>IF(A78="",1,0)</formula>
    </cfRule>
  </conditionalFormatting>
  <conditionalFormatting sqref="A85:A87">
    <cfRule type="expression" dxfId="142" priority="83">
      <formula>IF(A85="",1,0)</formula>
    </cfRule>
  </conditionalFormatting>
  <conditionalFormatting sqref="A90">
    <cfRule type="expression" dxfId="141" priority="140">
      <formula>IF(A90="",1,0)</formula>
    </cfRule>
  </conditionalFormatting>
  <conditionalFormatting sqref="A92:A96">
    <cfRule type="expression" dxfId="140" priority="34">
      <formula>IF(A92="",1,0)</formula>
    </cfRule>
  </conditionalFormatting>
  <conditionalFormatting sqref="A98:A99">
    <cfRule type="expression" dxfId="139" priority="37">
      <formula>IF(A98="",1,0)</formula>
    </cfRule>
  </conditionalFormatting>
  <conditionalFormatting sqref="A101">
    <cfRule type="expression" dxfId="138" priority="36">
      <formula>IF(A101="",1,0)</formula>
    </cfRule>
  </conditionalFormatting>
  <conditionalFormatting sqref="A104:A107">
    <cfRule type="expression" dxfId="137" priority="9">
      <formula>IF(A104="",1,0)</formula>
    </cfRule>
  </conditionalFormatting>
  <conditionalFormatting sqref="A141:A157">
    <cfRule type="expression" dxfId="136" priority="64">
      <formula>IF(A141="",1,0)</formula>
    </cfRule>
  </conditionalFormatting>
  <conditionalFormatting sqref="A159:A161">
    <cfRule type="expression" dxfId="135" priority="1">
      <formula>IF(A159="",1,0)</formula>
    </cfRule>
  </conditionalFormatting>
  <conditionalFormatting sqref="A164:A165">
    <cfRule type="expression" dxfId="134" priority="192">
      <formula>IF(A164="",1,0)</formula>
    </cfRule>
  </conditionalFormatting>
  <conditionalFormatting sqref="B21">
    <cfRule type="expression" dxfId="131" priority="166">
      <formula>IF(B21="",1,0)</formula>
    </cfRule>
  </conditionalFormatting>
  <conditionalFormatting sqref="B23">
    <cfRule type="expression" dxfId="130" priority="5">
      <formula>IF(B23="",1,0)</formula>
    </cfRule>
  </conditionalFormatting>
  <conditionalFormatting sqref="B28">
    <cfRule type="expression" dxfId="129" priority="231">
      <formula>IF(B28="",1,0)</formula>
    </cfRule>
  </conditionalFormatting>
  <conditionalFormatting sqref="B30">
    <cfRule type="expression" dxfId="128" priority="229">
      <formula>IF(B30="",1,0)</formula>
    </cfRule>
  </conditionalFormatting>
  <conditionalFormatting sqref="B32">
    <cfRule type="expression" dxfId="127" priority="230">
      <formula>IF(B32="",1,0)</formula>
    </cfRule>
  </conditionalFormatting>
  <conditionalFormatting sqref="B34">
    <cfRule type="expression" dxfId="126" priority="228">
      <formula>IF(B34="",1,0)</formula>
    </cfRule>
  </conditionalFormatting>
  <conditionalFormatting sqref="B36">
    <cfRule type="expression" dxfId="125" priority="162">
      <formula>IF(B36="",1,0)</formula>
    </cfRule>
  </conditionalFormatting>
  <conditionalFormatting sqref="B40:B41">
    <cfRule type="expression" dxfId="124" priority="204">
      <formula>IF(B40="",1,0)</formula>
    </cfRule>
  </conditionalFormatting>
  <conditionalFormatting sqref="B43">
    <cfRule type="expression" dxfId="123" priority="53">
      <formula>IF(B43="",1,0)</formula>
    </cfRule>
  </conditionalFormatting>
  <conditionalFormatting sqref="B111:B132">
    <cfRule type="expression" dxfId="122" priority="75">
      <formula>IF(B111="",1,0)</formula>
    </cfRule>
  </conditionalFormatting>
  <conditionalFormatting sqref="B17:AL17">
    <cfRule type="expression" dxfId="121" priority="6">
      <formula>IF(B17="",1,0)</formula>
    </cfRule>
  </conditionalFormatting>
  <conditionalFormatting sqref="G111:G132">
    <cfRule type="expression" dxfId="120" priority="74">
      <formula>IF(G111="",1,0)</formula>
    </cfRule>
  </conditionalFormatting>
  <conditionalFormatting sqref="I79">
    <cfRule type="expression" dxfId="119" priority="60">
      <formula>IF(I79="",1,0)</formula>
    </cfRule>
  </conditionalFormatting>
  <conditionalFormatting sqref="L111:L132">
    <cfRule type="expression" dxfId="118" priority="73">
      <formula>IF(L111="",1,0)</formula>
    </cfRule>
  </conditionalFormatting>
  <conditionalFormatting sqref="N7">
    <cfRule type="expression" dxfId="117" priority="42">
      <formula>IF(N7="",1,0)</formula>
    </cfRule>
  </conditionalFormatting>
  <conditionalFormatting sqref="P111:P132">
    <cfRule type="expression" dxfId="116" priority="71">
      <formula>IF(P111="",1,0)</formula>
    </cfRule>
  </conditionalFormatting>
  <conditionalFormatting sqref="Q8:AL8">
    <cfRule type="expression" dxfId="115" priority="40">
      <formula>IF(Q8="",1,0)</formula>
    </cfRule>
  </conditionalFormatting>
  <conditionalFormatting sqref="S52:S56">
    <cfRule type="expression" dxfId="114" priority="97">
      <formula>IF(S52="",1,0)</formula>
    </cfRule>
  </conditionalFormatting>
  <conditionalFormatting sqref="S58:S62">
    <cfRule type="expression" dxfId="113" priority="67">
      <formula>IF(S58="",1,0)</formula>
    </cfRule>
  </conditionalFormatting>
  <conditionalFormatting sqref="T73">
    <cfRule type="expression" dxfId="112" priority="2">
      <formula>IF(T73="",1,0)</formula>
    </cfRule>
  </conditionalFormatting>
  <conditionalFormatting sqref="T74">
    <cfRule type="expression" dxfId="110" priority="4">
      <formula>IF(T74="",1,0)</formula>
    </cfRule>
  </conditionalFormatting>
  <conditionalFormatting sqref="T79">
    <cfRule type="expression" dxfId="109" priority="59">
      <formula>IF(T79="",1,0)</formula>
    </cfRule>
  </conditionalFormatting>
  <conditionalFormatting sqref="T135">
    <cfRule type="expression" dxfId="108" priority="224">
      <formula>IF(T135="",1,0)</formula>
    </cfRule>
  </conditionalFormatting>
  <conditionalFormatting sqref="Z46">
    <cfRule type="expression" dxfId="107" priority="123">
      <formula>IF(Z46="",1,0)</formula>
    </cfRule>
  </conditionalFormatting>
  <conditionalFormatting sqref="Z48">
    <cfRule type="expression" dxfId="106" priority="121">
      <formula>IF(Z48="",1,0)</formula>
    </cfRule>
  </conditionalFormatting>
  <conditionalFormatting sqref="Z49">
    <cfRule type="expression" dxfId="105" priority="7398">
      <formula>IF($Z$49&lt;&gt;$AK$133,1,0)</formula>
    </cfRule>
  </conditionalFormatting>
  <conditionalFormatting sqref="AA94:AA95 AA98">
    <cfRule type="expression" dxfId="104" priority="35">
      <formula>IF(AA94="",1,0)</formula>
    </cfRule>
  </conditionalFormatting>
  <conditionalFormatting sqref="AB7">
    <cfRule type="expression" dxfId="103" priority="41">
      <formula>IF(AB7="",1,0)</formula>
    </cfRule>
  </conditionalFormatting>
  <conditionalFormatting sqref="AB64:AB67">
    <cfRule type="expression" dxfId="102" priority="86">
      <formula>IF(AB64="",1,0)</formula>
    </cfRule>
  </conditionalFormatting>
  <conditionalFormatting sqref="AE79">
    <cfRule type="expression" dxfId="101" priority="58">
      <formula>IF(AE79="",1,0)</formula>
    </cfRule>
  </conditionalFormatting>
  <conditionalFormatting sqref="AH111:AH132">
    <cfRule type="expression" dxfId="99" priority="167">
      <formula>IF(AH111="",1,0)</formula>
    </cfRule>
  </conditionalFormatting>
  <conditionalFormatting sqref="AJ96:AJ97">
    <cfRule type="expression" dxfId="98" priority="33">
      <formula>IF(AJ96="",1,0)</formula>
    </cfRule>
  </conditionalFormatting>
  <conditionalFormatting sqref="AJ104:AJ105">
    <cfRule type="expression" dxfId="97" priority="15">
      <formula>IF(AJ104="",1,0)</formula>
    </cfRule>
  </conditionalFormatting>
  <conditionalFormatting sqref="AK79">
    <cfRule type="expression" dxfId="96" priority="57">
      <formula>IF(AK79="",1,0)</formula>
    </cfRule>
  </conditionalFormatting>
  <dataValidations xWindow="738" yWindow="662" count="33">
    <dataValidation allowBlank="1" showErrorMessage="1" promptTitle="Wybierz" prompt="właściwe" sqref="A165:AL165 A139:AL139" xr:uid="{00000000-0002-0000-0100-000000000000}"/>
    <dataValidation allowBlank="1" showErrorMessage="1" promptTitle="Wprowadź" prompt="kwotę" sqref="B39" xr:uid="{00000000-0002-0000-0100-000002000000}"/>
    <dataValidation type="textLength" operator="greaterThan" allowBlank="1" showInputMessage="1" showErrorMessage="1" promptTitle="Wprowadź" prompt="nazwę beneficjenta" sqref="B19:AL19" xr:uid="{00000000-0002-0000-0100-000003000000}">
      <formula1>3</formula1>
    </dataValidation>
    <dataValidation type="decimal" allowBlank="1" showInputMessage="1" showErrorMessage="1" promptTitle="Wprowadź " prompt="wielkość" sqref="A83:AL83 A85 A87" xr:uid="{00000000-0002-0000-0100-000004000000}">
      <formula1>0</formula1>
      <formula2>1E+31</formula2>
    </dataValidation>
    <dataValidation type="decimal" allowBlank="1" showInputMessage="1" showErrorMessage="1" promptTitle="Wprowadź" prompt="kwotę" sqref="Z48" xr:uid="{00000000-0002-0000-0100-000005000000}">
      <formula1>0</formula1>
      <formula2>10000000000000000000</formula2>
    </dataValidation>
    <dataValidation type="decimal" allowBlank="1" showInputMessage="1" showErrorMessage="1" promptTitle="Wprowadź" prompt="kwotę" sqref="Z47" xr:uid="{00000000-0002-0000-0100-000006000000}">
      <formula1>0</formula1>
      <formula2>100000000000000000</formula2>
    </dataValidation>
    <dataValidation type="textLength" operator="equal" allowBlank="1" showInputMessage="1" showErrorMessage="1" errorTitle="NIP" error="NIP to ciąg dziesięciu cyfr np. 5719611245" promptTitle="Wprowadź" prompt="NIP" sqref="B25:V25" xr:uid="{00000000-0002-0000-0100-000007000000}">
      <formula1>10</formula1>
    </dataValidation>
    <dataValidation allowBlank="1" showInputMessage="1" showErrorMessage="1" promptTitle="Wprowadź" prompt="nr księgi wieczystej - nr działki ewidencyjnej" sqref="A141:AL141" xr:uid="{00000000-0002-0000-0100-000008000000}"/>
    <dataValidation type="textLength" operator="equal" allowBlank="1" showInputMessage="1" showErrorMessage="1" errorTitle="REGON" error="REGON to ciąg dziewięciu cyfr np. 571961124" promptTitle="Wprowadź" prompt="nr REGON" sqref="W25:AL25" xr:uid="{00000000-0002-0000-0100-00000A000000}">
      <formula1>9</formula1>
    </dataValidation>
    <dataValidation allowBlank="1" showInputMessage="1" showErrorMessage="1" promptTitle="Wprowadź" prompt="adres przedsięwzięcia" sqref="A78:A79" xr:uid="{00000000-0002-0000-0100-00000B000000}"/>
    <dataValidation allowBlank="1" showInputMessage="1" showErrorMessage="1" promptTitle="Wprowadź" prompt="dane" sqref="B28:AL28 B30:AL30 AJ96:AL97 AJ99:AL102 AJ104:AL105" xr:uid="{00000000-0002-0000-0100-00000C000000}"/>
    <dataValidation allowBlank="1" showInputMessage="1" showErrorMessage="1" promptTitle="Wprowadź" prompt="adres beneficjenta" sqref="B21" xr:uid="{00000000-0002-0000-0100-00000D000000}"/>
    <dataValidation type="decimal" allowBlank="1" showInputMessage="1" showErrorMessage="1" sqref="AH111:AJ132" xr:uid="{00000000-0002-0000-0100-00000E000000}">
      <formula1>0</formula1>
      <formula2>1</formula2>
    </dataValidation>
    <dataValidation allowBlank="1" showInputMessage="1" showErrorMessage="1" promptTitle="Wybierz" prompt="właściwe" sqref="A72:AL72 B75:AL75 A152:AL152" xr:uid="{00000000-0002-0000-0100-00000F000000}"/>
    <dataValidation errorStyle="information" allowBlank="1" showInputMessage="1" showErrorMessage="1" promptTitle="Wybierz" prompt="właściwe" sqref="A164:AL164" xr:uid="{00000000-0002-0000-0100-000011000000}"/>
    <dataValidation type="decimal" allowBlank="1" showInputMessage="1" promptTitle="Wybierz" prompt="właściwą wysokość wsparcia lub wpiszmniejszą wartość" sqref="T135:AJ135" xr:uid="{00000000-0002-0000-0100-000013000000}">
      <formula1>0</formula1>
      <formula2>0.8</formula2>
    </dataValidation>
    <dataValidation allowBlank="1" showInputMessage="1" showErrorMessage="1" promptTitle="Wprowadź" prompt="adres ePUAP beneficjenta" sqref="B22" xr:uid="{CEEB01E0-999A-4526-848E-B7DE3779A2E1}"/>
    <dataValidation allowBlank="1" showErrorMessage="1" promptTitle="Wybierz" prompt="właściwe oświadczenie" sqref="A137:AL137" xr:uid="{00000000-0002-0000-0100-000017000000}"/>
    <dataValidation allowBlank="1" promptTitle="Wprowadź" sqref="B51:AL51" xr:uid="{00000000-0002-0000-0100-000018000000}"/>
    <dataValidation allowBlank="1" promptTitle="Wprowadź" prompt="numer rachunku bankowego" sqref="C52:R55 C58:R61 B52:B67" xr:uid="{00000000-0002-0000-0100-000019000000}"/>
    <dataValidation allowBlank="1" showInputMessage="1" showErrorMessage="1" promptTitle="Wprowadź" prompt="wartość_x000a_" sqref="AB66 T52:AL55 S52:S56 S58:AL61 S62" xr:uid="{00000000-0002-0000-0100-00001A000000}"/>
    <dataValidation type="decimal" allowBlank="1" showInputMessage="1" showErrorMessage="1" promptTitle="Wprowadź" prompt="wielkość" sqref="A81:AL81" xr:uid="{00000000-0002-0000-0100-00001B000000}">
      <formula1>0</formula1>
      <formula2>1.111E+32</formula2>
    </dataValidation>
    <dataValidation allowBlank="1" showErrorMessage="1" promptTitle="Wprowadź" prompt="nr księgi wieczystej - nr działki ewidencyjnej" sqref="A142:AL142 B159:AL159 A159:A161" xr:uid="{00000000-0002-0000-0100-00001C000000}"/>
    <dataValidation errorStyle="information" allowBlank="1" showInputMessage="1" showErrorMessage="1" promptTitle="Wprowadź" prompt="wartość" sqref="AA94:AL94" xr:uid="{00000000-0002-0000-0100-00001D000000}"/>
    <dataValidation type="whole" errorStyle="warning" allowBlank="1" showInputMessage="1" showErrorMessage="1" errorTitle="Uwaga" error="Prawidłowa wartość to liczba całkowita, zweryfikuj wprowadzane modyfikacje." promptTitle="Wprowadź" prompt="wartość" sqref="AA95:AL95" xr:uid="{00000000-0002-0000-0100-00001E000000}">
      <formula1>1</formula1>
      <formula2>1.11111111111111E+21</formula2>
    </dataValidation>
    <dataValidation operator="greaterThanOrEqual" allowBlank="1" showInputMessage="1" showErrorMessage="1" promptTitle="Wprowadź" prompt="datę w formacie rrrr-mm-dd_x000a_" sqref="B43:AL43" xr:uid="{00000000-0002-0000-0100-000020000000}"/>
    <dataValidation type="textLength" operator="equal" showInputMessage="1" promptTitle="Wprowadź" prompt="numer rachunku bankowego tj. 26 cyfr" sqref="B36:S36" xr:uid="{346C1892-9597-47F0-8345-90E8F1D33E4F}">
      <formula1>26</formula1>
    </dataValidation>
    <dataValidation type="textLength" operator="equal" allowBlank="1" showInputMessage="1" promptTitle="Wprowadź" prompt="numer rachunku bankowego" sqref="T36:AL36" xr:uid="{83A5BDF2-4D8C-4A31-8D66-7FB29C87FF41}">
      <formula1>26</formula1>
    </dataValidation>
    <dataValidation allowBlank="1" showErrorMessage="1" promptTitle="Wybierz" prompt="właściwy rodzaj" sqref="A76:AL76" xr:uid="{00000000-0002-0000-0100-00003E000000}"/>
    <dataValidation allowBlank="1" showInputMessage="1" showErrorMessage="1" promptTitle="Wprowadź" prompt="Adres do doręczeń elektronicznych" sqref="B23:AL23" xr:uid="{7C5F16E4-A244-447C-9E2F-9B87917D079D}"/>
    <dataValidation type="whole" allowBlank="1" showInputMessage="1" showErrorMessage="1" promptTitle="Wprowadź" prompt="liczbę" sqref="A74:AL74" xr:uid="{5846BE39-5AD4-4763-82F7-0D867E4CDAAE}">
      <formula1>0</formula1>
      <formula2>10000000</formula2>
    </dataValidation>
    <dataValidation allowBlank="1" showErrorMessage="1" sqref="A73:AL73" xr:uid="{66492D37-1E0A-496F-9E05-CE64129BE668}"/>
    <dataValidation allowBlank="1" showInputMessage="1" showErrorMessage="1" promptTitle="Wprowadź " prompt="wielkość" sqref="A86:AL86" xr:uid="{F124F3AA-7674-417F-83F6-46149BDEEB1D}"/>
  </dataValidations>
  <hyperlinks>
    <hyperlink ref="AM39" location="'Wniosek art 3 budowa'!B109" display="Kliknij &quot;tutaj&quot; i przejdź do wypełnienia zestawienia kosztów" xr:uid="{00000000-0004-0000-0100-000000000000}"/>
    <hyperlink ref="B39:AL39" location="'Wniosek art 3 budowa'!B106" display="'Wniosek art 3 budowa'!B106" xr:uid="{00000000-0004-0000-0100-000001000000}"/>
    <hyperlink ref="AM136" location="'Wniosek art 3 budowa'!B42" display="Wróć do wypełniania wniosku" xr:uid="{00000000-0004-0000-0100-000002000000}"/>
    <hyperlink ref="AM20" r:id="rId1" display="Weryfikocji można dokonać na stronie internetowej -&gt; https://eteryt.stat.gov.pl/eTeryt/rejestr_teryt/udostepnianie_danych/baza_teryt/uzytkownicy_indywidualni/wyszukiwanie/wyszukiwanie.aspx?contrast=default" xr:uid="{00000000-0004-0000-0100-000003000000}"/>
    <hyperlink ref="AM22" r:id="rId2" xr:uid="{00000000-0004-0000-0100-000004000000}"/>
    <hyperlink ref="AM18" r:id="rId3" xr:uid="{00000000-0004-0000-0100-000005000000}"/>
    <hyperlink ref="AM24" r:id="rId4" xr:uid="{00000000-0004-0000-0100-000006000000}"/>
  </hyperlinks>
  <pageMargins left="0.70866141732283472" right="0.70866141732283472" top="0.74803149606299213" bottom="0.74803149606299213" header="0.31496062992125984" footer="0.31496062992125984"/>
  <pageSetup paperSize="9" orientation="portrait" r:id="rId5"/>
  <headerFooter>
    <oddFooter>&amp;LStrona &amp;P z &amp;N&amp;R&amp;F&amp;A</oddFooter>
  </headerFooter>
  <drawing r:id="rId6"/>
  <extLst>
    <ext xmlns:x14="http://schemas.microsoft.com/office/spreadsheetml/2009/9/main" uri="{78C0D931-6437-407d-A8EE-F0AAD7539E65}">
      <x14:conditionalFormattings>
        <x14:conditionalFormatting xmlns:xm="http://schemas.microsoft.com/office/excel/2006/main">
          <x14:cfRule type="expression" priority="185" id="{F23721A9-C9EA-4277-A2EE-A69849C8C788}">
            <xm:f>IF(#REF!=Słowniki!$F$19,1,0)</xm:f>
            <x14:dxf>
              <fill>
                <patternFill>
                  <bgColor theme="0"/>
                </patternFill>
              </fill>
            </x14:dxf>
          </x14:cfRule>
          <xm:sqref>A74</xm:sqref>
        </x14:conditionalFormatting>
        <x14:conditionalFormatting xmlns:xm="http://schemas.microsoft.com/office/excel/2006/main">
          <x14:cfRule type="expression" priority="176" id="{4FDAF4B3-56CA-46BE-90F6-C1FC62D576D8}">
            <xm:f>IF($A$89=Słowniki!$P$2,1,0)</xm:f>
            <x14:dxf>
              <font>
                <b/>
                <i val="0"/>
                <strike/>
                <color theme="1"/>
              </font>
            </x14:dxf>
          </x14:cfRule>
          <xm:sqref>A89:AL89</xm:sqref>
        </x14:conditionalFormatting>
        <x14:conditionalFormatting xmlns:xm="http://schemas.microsoft.com/office/excel/2006/main">
          <x14:cfRule type="expression" priority="39" id="{E99E2697-20AE-46B2-BFBD-6669D86D3613}">
            <xm:f>IF(#REF!=Słowniki!$P$2,1,0)</xm:f>
            <x14:dxf>
              <font>
                <strike/>
              </font>
            </x14:dxf>
          </x14:cfRule>
          <xm:sqref>A103:AL103</xm:sqref>
        </x14:conditionalFormatting>
        <x14:conditionalFormatting xmlns:xm="http://schemas.microsoft.com/office/excel/2006/main">
          <x14:cfRule type="expression" priority="3" id="{1308E3E2-7751-4B58-9389-86CEDD55D5C3}">
            <xm:f>IF(#REF!=Słowniki!$F$19,1,0)</xm:f>
            <x14:dxf>
              <fill>
                <patternFill>
                  <bgColor theme="0"/>
                </patternFill>
              </fill>
            </x14:dxf>
          </x14:cfRule>
          <xm:sqref>T74</xm:sqref>
        </x14:conditionalFormatting>
        <x14:conditionalFormatting xmlns:xm="http://schemas.microsoft.com/office/excel/2006/main">
          <x14:cfRule type="expression" priority="85" id="{ACB36526-A53C-4B04-9B0F-74BD217943EA}">
            <xm:f>IF(AB64=Słowniki!C1048573,Słowniki!C1048575,0)</xm:f>
            <x14:dxf/>
          </x14:cfRule>
          <xm:sqref>AB66:AL66</xm:sqref>
        </x14:conditionalFormatting>
        <x14:conditionalFormatting xmlns:xm="http://schemas.microsoft.com/office/excel/2006/main">
          <x14:cfRule type="expression" priority="56" id="{BE7E5B8F-12BC-4253-9AFC-FB3EC53DC931}">
            <xm:f>IF($T$79&lt;&gt;Słowniki!$A$73,1,0)</xm:f>
            <x14:dxf>
              <fill>
                <patternFill patternType="none">
                  <bgColor auto="1"/>
                </patternFill>
              </fill>
            </x14:dxf>
          </x14:cfRule>
          <xm:sqref>AE79:AL79</xm:sqref>
        </x14:conditionalFormatting>
      </x14:conditionalFormattings>
    </ext>
    <ext xmlns:x14="http://schemas.microsoft.com/office/spreadsheetml/2009/9/main" uri="{CCE6A557-97BC-4b89-ADB6-D9C93CAAB3DF}">
      <x14:dataValidations xmlns:xm="http://schemas.microsoft.com/office/excel/2006/main" xWindow="738" yWindow="662" count="23">
        <x14:dataValidation type="list" allowBlank="1" showInputMessage="1" promptTitle="Wprowadź" prompt="dane lub wybierz nie dotyczy" xr:uid="{00000000-0002-0000-0100-000026000000}">
          <x14:formula1>
            <xm:f>Słowniki!$F$26</xm:f>
          </x14:formula1>
          <xm:sqref>B32:AL32 B34:AL34</xm:sqref>
        </x14:dataValidation>
        <x14:dataValidation type="list" allowBlank="1" showInputMessage="1" showErrorMessage="1" promptTitle="Wybierz" prompt="właściwe" xr:uid="{00000000-0002-0000-0100-000028000000}">
          <x14:formula1>
            <xm:f>Słowniki!$AO$1:$AO$2</xm:f>
          </x14:formula1>
          <xm:sqref>B40:AL40</xm:sqref>
        </x14:dataValidation>
        <x14:dataValidation type="list" allowBlank="1" showInputMessage="1" showErrorMessage="1" promptTitle="Wybierz" prompt="właściwe" xr:uid="{00000000-0002-0000-0100-00002D000000}">
          <x14:formula1>
            <xm:f>Słowniki!$C$3:$C$4</xm:f>
          </x14:formula1>
          <xm:sqref>AB64:AL65 AB7:AE7 N7:P7</xm:sqref>
        </x14:dataValidation>
        <x14:dataValidation type="list" allowBlank="1" showInputMessage="1" showErrorMessage="1" promptTitle="Wybierz" prompt="właściwe" xr:uid="{00000000-0002-0000-0100-00002E000000}">
          <x14:formula1>
            <xm:f>Słowniki!$D$2</xm:f>
          </x14:formula1>
          <xm:sqref>A69:AL69</xm:sqref>
        </x14:dataValidation>
        <x14:dataValidation type="list" allowBlank="1" showInputMessage="1" showErrorMessage="1" promptTitle="Wybierz" prompt="właściwe" xr:uid="{00000000-0002-0000-0100-00002F000000}">
          <x14:formula1>
            <xm:f>Słowniki!$U$1:$U$2</xm:f>
          </x14:formula1>
          <xm:sqref>A90:AL90</xm:sqref>
        </x14:dataValidation>
        <x14:dataValidation type="list" allowBlank="1" showInputMessage="1" showErrorMessage="1" promptTitle="Wybierz" prompt="właściwe" xr:uid="{00000000-0002-0000-0100-000031000000}">
          <x14:formula1>
            <xm:f>Słowniki!$U$5:$U$6</xm:f>
          </x14:formula1>
          <xm:sqref>A92:AL92</xm:sqref>
        </x14:dataValidation>
        <x14:dataValidation type="list" allowBlank="1" showInputMessage="1" showErrorMessage="1" promptTitle="Wybierz" prompt="właściwe" xr:uid="{00000000-0002-0000-0100-000032000000}">
          <x14:formula1>
            <xm:f>Słowniki!$W$1:$W$2</xm:f>
          </x14:formula1>
          <xm:sqref>A138:AL138</xm:sqref>
        </x14:dataValidation>
        <x14:dataValidation type="list" allowBlank="1" showInputMessage="1" showErrorMessage="1" promptTitle="Wybierz" prompt="właściwe" xr:uid="{00000000-0002-0000-0100-000036000000}">
          <x14:formula1>
            <xm:f>Słowniki!$AC$4:$AC$4</xm:f>
          </x14:formula1>
          <xm:sqref>A143:AL143</xm:sqref>
        </x14:dataValidation>
        <x14:dataValidation type="list" errorStyle="information" allowBlank="1" showInputMessage="1" showErrorMessage="1" xr:uid="{00000000-0002-0000-0100-000037000000}">
          <x14:formula1>
            <xm:f>Słowniki!$A$34:$A$39</xm:f>
          </x14:formula1>
          <xm:sqref>G111:K132</xm:sqref>
        </x14:dataValidation>
        <x14:dataValidation type="list" errorStyle="information" allowBlank="1" showInputMessage="1" showErrorMessage="1" promptTitle="Wprowadź" prompt="dane" xr:uid="{00000000-0002-0000-0100-000038000000}">
          <x14:formula1>
            <xm:f>Słowniki!$A$41:$A$43</xm:f>
          </x14:formula1>
          <xm:sqref>AA98:AL98</xm:sqref>
        </x14:dataValidation>
        <x14:dataValidation type="list" errorStyle="information" allowBlank="1" showInputMessage="1" showErrorMessage="1" promptTitle="Wprowadź" xr:uid="{00000000-0002-0000-0100-00003A000000}">
          <x14:formula1>
            <xm:f>Słowniki!$A$73</xm:f>
          </x14:formula1>
          <xm:sqref>T79:AD79</xm:sqref>
        </x14:dataValidation>
        <x14:dataValidation type="list" errorStyle="information" allowBlank="1" showInputMessage="1" showErrorMessage="1" promptTitle="Wprowadź " xr:uid="{00000000-0002-0000-0100-00003B000000}">
          <x14:formula1>
            <xm:f>Słowniki!$A$71</xm:f>
          </x14:formula1>
          <xm:sqref>I79:S79</xm:sqref>
        </x14:dataValidation>
        <x14:dataValidation type="list" allowBlank="1" showErrorMessage="1" promptTitle="Wybierz" prompt="właściwe" xr:uid="{00000000-0002-0000-0100-00003C000000}">
          <x14:formula1>
            <xm:f>Słowniki!$C$7:$C$9</xm:f>
          </x14:formula1>
          <xm:sqref>A70:AL70</xm:sqref>
        </x14:dataValidation>
        <x14:dataValidation type="list" allowBlank="1" showInputMessage="1" showErrorMessage="1" promptTitle="Wybierz" prompt="właściwe" xr:uid="{00000000-0002-0000-0100-000040000000}">
          <x14:formula1>
            <xm:f>Słowniki!$W$12:$W$14</xm:f>
          </x14:formula1>
          <xm:sqref>A145:AL145</xm:sqref>
        </x14:dataValidation>
        <x14:dataValidation type="list" errorStyle="information" allowBlank="1" showInputMessage="1" showErrorMessage="1" promptTitle="Wybierz" prompt="właściwe" xr:uid="{36F60D7A-2BFC-448E-AA0F-6177B94E217A}">
          <x14:formula1>
            <xm:f>Słowniki!$A$46:$A$60</xm:f>
          </x14:formula1>
          <xm:sqref>B111:F132</xm:sqref>
        </x14:dataValidation>
        <x14:dataValidation type="list" allowBlank="1" showInputMessage="1" showErrorMessage="1" promptTitle="Wybierz" prompt="beneficjenta" xr:uid="{89DB229D-AAA1-49A2-A856-97AE1E68B6B0}">
          <x14:formula1>
            <xm:f>Słowniki!$A$8</xm:f>
          </x14:formula1>
          <xm:sqref>B17:AL17</xm:sqref>
        </x14:dataValidation>
        <x14:dataValidation type="list" allowBlank="1" showInputMessage="1" showErrorMessage="1" promptTitle="Wybierz" prompt="właściwe" xr:uid="{8A272D1E-9D4F-4330-9D41-FCA9699DF95F}">
          <x14:formula1>
            <xm:f>Słowniki!$Y$1:$Y$2</xm:f>
          </x14:formula1>
          <xm:sqref>A147:AL147</xm:sqref>
        </x14:dataValidation>
        <x14:dataValidation type="list" allowBlank="1" showInputMessage="1" showErrorMessage="1" promptTitle="Wybierz" prompt="właściwe" xr:uid="{83CBD89B-CFB3-4102-9B75-35E655ED569B}">
          <x14:formula1>
            <xm:f>Słowniki!$Y$3:$Y$4</xm:f>
          </x14:formula1>
          <xm:sqref>A149:AL149</xm:sqref>
        </x14:dataValidation>
        <x14:dataValidation type="list" allowBlank="1" showInputMessage="1" showErrorMessage="1" promptTitle="Wybierz" prompt="właściwe" xr:uid="{2A561F0F-A915-440C-BC97-9F9034ED7991}">
          <x14:formula1>
            <xm:f>Słowniki!$Y$5:$Y$6</xm:f>
          </x14:formula1>
          <xm:sqref>A151:AL151</xm:sqref>
        </x14:dataValidation>
        <x14:dataValidation type="list" allowBlank="1" showInputMessage="1" showErrorMessage="1" promptTitle="Wybierz" prompt="właściwe" xr:uid="{4BFCD82C-B636-423E-93D6-176B58EC554A}">
          <x14:formula1>
            <xm:f>Słowniki!$Y$7:$Y$8</xm:f>
          </x14:formula1>
          <xm:sqref>A155:AL155</xm:sqref>
        </x14:dataValidation>
        <x14:dataValidation type="list" allowBlank="1" showInputMessage="1" showErrorMessage="1" promptTitle="Wybierz" prompt="właściwe" xr:uid="{C8128854-1548-4297-8D2E-14BD27AB8E9C}">
          <x14:formula1>
            <xm:f>Słowniki!$Y$9:$Y$10</xm:f>
          </x14:formula1>
          <xm:sqref>A157:AL157</xm:sqref>
        </x14:dataValidation>
        <x14:dataValidation type="list" allowBlank="1" showInputMessage="1" showErrorMessage="1" promptTitle="Wybierz" prompt="właściwe" xr:uid="{68673C94-4230-4D8B-B3FA-0DCC9243C9AA}">
          <x14:formula1>
            <xm:f>Słowniki!$Y$11:$Y$12</xm:f>
          </x14:formula1>
          <xm:sqref>A153:AL153</xm:sqref>
        </x14:dataValidation>
        <x14:dataValidation type="date" operator="greaterThan" allowBlank="1" showInputMessage="1" showErrorMessage="1" promptTitle="Wprowadź" prompt="datę w formacie rrrr-mm-dd_x000a_" xr:uid="{00000000-0002-0000-0100-000042000000}">
          <x14:formula1>
            <xm:f>Słowniki!AQ1</xm:f>
          </x14:formula1>
          <xm:sqref>B41:AL41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usz10"/>
  <dimension ref="A1:BB143"/>
  <sheetViews>
    <sheetView showGridLines="0" zoomScaleNormal="100" workbookViewId="0">
      <selection activeCell="L88" sqref="B88:O88"/>
    </sheetView>
  </sheetViews>
  <sheetFormatPr defaultColWidth="9.1796875" defaultRowHeight="14" x14ac:dyDescent="0.3"/>
  <cols>
    <col min="1" max="1" width="3" style="29" customWidth="1"/>
    <col min="2" max="2" width="4" style="29" customWidth="1"/>
    <col min="3" max="3" width="2.1796875" style="29" customWidth="1"/>
    <col min="4" max="4" width="2.54296875" style="29" customWidth="1"/>
    <col min="5" max="5" width="2" style="29" customWidth="1"/>
    <col min="6" max="6" width="1.7265625" style="29" customWidth="1"/>
    <col min="7" max="7" width="1.453125" style="29" customWidth="1"/>
    <col min="8" max="8" width="2.26953125" style="29" customWidth="1"/>
    <col min="9" max="9" width="2.453125" style="29" customWidth="1"/>
    <col min="10" max="10" width="1.54296875" style="29" customWidth="1"/>
    <col min="11" max="11" width="1.7265625" style="29" customWidth="1"/>
    <col min="12" max="12" width="3.7265625" style="29" customWidth="1"/>
    <col min="13" max="13" width="0.81640625" style="29" customWidth="1"/>
    <col min="14" max="14" width="1.7265625" style="29" customWidth="1"/>
    <col min="15" max="15" width="2.1796875" style="29" customWidth="1"/>
    <col min="16" max="16" width="1.54296875" style="29" customWidth="1"/>
    <col min="17" max="17" width="2.453125" style="29" customWidth="1"/>
    <col min="18" max="18" width="1.26953125" style="29" customWidth="1"/>
    <col min="19" max="19" width="1.54296875" style="29" customWidth="1"/>
    <col min="20" max="20" width="1.26953125" style="29" customWidth="1"/>
    <col min="21" max="21" width="1" style="29" customWidth="1"/>
    <col min="22" max="22" width="0.81640625" style="29" customWidth="1"/>
    <col min="23" max="23" width="3" style="29" customWidth="1"/>
    <col min="24" max="24" width="1.26953125" style="29" customWidth="1"/>
    <col min="25" max="25" width="1.453125" style="29" customWidth="1"/>
    <col min="26" max="26" width="1.26953125" style="29" customWidth="1"/>
    <col min="27" max="27" width="1.1796875" style="29" customWidth="1"/>
    <col min="28" max="28" width="2" style="29" customWidth="1"/>
    <col min="29" max="29" width="1" style="29" customWidth="1"/>
    <col min="30" max="30" width="1.81640625" style="29" customWidth="1"/>
    <col min="31" max="31" width="1.7265625" style="29" customWidth="1"/>
    <col min="32" max="32" width="1.1796875" style="29" customWidth="1"/>
    <col min="33" max="33" width="1.81640625" style="29" customWidth="1"/>
    <col min="34" max="34" width="2.26953125" style="29" customWidth="1"/>
    <col min="35" max="35" width="1.81640625" style="29" customWidth="1"/>
    <col min="36" max="36" width="3.81640625" style="29" customWidth="1"/>
    <col min="37" max="37" width="9.1796875" style="29" customWidth="1"/>
    <col min="38" max="38" width="9.1796875" style="29"/>
    <col min="39" max="39" width="115.7265625" style="44" customWidth="1"/>
    <col min="40" max="41" width="10.81640625" style="30" bestFit="1" customWidth="1"/>
    <col min="42" max="42" width="10.453125" style="29" bestFit="1" customWidth="1"/>
    <col min="43" max="16384" width="9.1796875" style="29"/>
  </cols>
  <sheetData>
    <row r="1" spans="1:54" ht="31.5" customHeight="1" x14ac:dyDescent="0.3">
      <c r="A1" s="150" t="s">
        <v>846</v>
      </c>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42"/>
      <c r="AN1" s="37"/>
      <c r="AO1" s="37"/>
      <c r="AP1" s="37"/>
      <c r="AQ1" s="37"/>
      <c r="AR1" s="37"/>
      <c r="AS1" s="37"/>
      <c r="AT1" s="37"/>
      <c r="AU1" s="37"/>
      <c r="AV1" s="37"/>
      <c r="AW1" s="37"/>
      <c r="AX1" s="37"/>
      <c r="AY1" s="37"/>
      <c r="AZ1" s="37"/>
      <c r="BA1" s="37"/>
      <c r="BB1" s="37"/>
    </row>
    <row r="2" spans="1:54" x14ac:dyDescent="0.3">
      <c r="A2" s="36" t="s">
        <v>115</v>
      </c>
      <c r="B2" s="36"/>
      <c r="C2" s="36"/>
      <c r="D2" s="36"/>
      <c r="E2" s="36"/>
      <c r="F2" s="36"/>
      <c r="G2" s="36"/>
      <c r="H2" s="36"/>
      <c r="I2" s="36"/>
      <c r="J2" s="36"/>
      <c r="K2" s="36"/>
      <c r="L2" s="36"/>
      <c r="M2" s="36"/>
      <c r="N2" s="36"/>
      <c r="O2" s="36"/>
      <c r="P2" s="36"/>
      <c r="Q2" s="37"/>
      <c r="R2" s="37"/>
      <c r="S2" s="37"/>
      <c r="T2" s="37"/>
      <c r="U2" s="38"/>
      <c r="V2" s="38"/>
      <c r="W2" s="38"/>
      <c r="X2" s="38"/>
      <c r="Y2" s="39"/>
      <c r="Z2" s="38"/>
      <c r="AB2" s="38"/>
      <c r="AC2" s="38"/>
      <c r="AD2" s="38"/>
      <c r="AE2" s="38"/>
      <c r="AF2" s="38"/>
      <c r="AG2" s="38"/>
      <c r="AH2" s="38"/>
      <c r="AI2" s="38"/>
      <c r="AJ2" s="38"/>
      <c r="AK2" s="38"/>
      <c r="AL2" s="38"/>
      <c r="AM2" s="42"/>
      <c r="AN2" s="37"/>
      <c r="AO2" s="37"/>
      <c r="AP2" s="37"/>
      <c r="AQ2" s="37"/>
      <c r="AR2" s="37"/>
      <c r="AS2" s="37"/>
      <c r="AT2" s="37"/>
      <c r="AU2" s="37"/>
      <c r="AV2" s="37"/>
      <c r="AW2" s="37"/>
      <c r="AX2" s="37"/>
      <c r="AY2" s="37"/>
      <c r="AZ2" s="37"/>
      <c r="BA2" s="37"/>
      <c r="BB2" s="37"/>
    </row>
    <row r="3" spans="1:54" x14ac:dyDescent="0.3">
      <c r="AM3" s="49" t="s">
        <v>133</v>
      </c>
    </row>
    <row r="4" spans="1:54" ht="14.5" x14ac:dyDescent="0.35">
      <c r="A4" s="322"/>
      <c r="B4" s="323"/>
      <c r="C4" s="323"/>
      <c r="D4" s="323"/>
      <c r="E4" s="323"/>
      <c r="F4" s="323"/>
      <c r="G4" s="52"/>
      <c r="H4" s="324">
        <f ca="1">TODAY()</f>
        <v>46059</v>
      </c>
      <c r="I4" s="324"/>
      <c r="J4" s="324"/>
      <c r="K4" s="324"/>
      <c r="L4" s="324"/>
      <c r="M4" s="51"/>
      <c r="N4"/>
      <c r="O4"/>
      <c r="P4"/>
      <c r="Q4"/>
      <c r="R4"/>
      <c r="S4"/>
      <c r="T4"/>
      <c r="U4"/>
      <c r="V4"/>
      <c r="W4"/>
      <c r="X4"/>
      <c r="Y4"/>
      <c r="Z4"/>
      <c r="AA4"/>
      <c r="AB4"/>
      <c r="AC4" s="51"/>
      <c r="AD4" s="51"/>
      <c r="AE4" s="51"/>
      <c r="AF4" s="51"/>
      <c r="AG4" s="51"/>
      <c r="AH4" s="51"/>
      <c r="AI4" s="51"/>
      <c r="AJ4" s="51"/>
      <c r="AK4" s="51"/>
      <c r="AL4" s="51"/>
      <c r="AM4" s="43"/>
    </row>
    <row r="5" spans="1:54" ht="14.5" x14ac:dyDescent="0.35">
      <c r="A5" s="325" t="s">
        <v>117</v>
      </c>
      <c r="B5" s="325"/>
      <c r="C5" s="325"/>
      <c r="D5" s="325"/>
      <c r="E5" s="325"/>
      <c r="F5" s="325"/>
      <c r="G5" s="92"/>
      <c r="H5" s="325" t="s">
        <v>116</v>
      </c>
      <c r="I5" s="325"/>
      <c r="J5" s="325"/>
      <c r="K5" s="325"/>
      <c r="L5" s="325"/>
      <c r="M5" s="89"/>
      <c r="N5"/>
      <c r="O5"/>
      <c r="P5"/>
      <c r="Q5"/>
      <c r="R5"/>
      <c r="S5"/>
      <c r="T5"/>
      <c r="U5"/>
      <c r="V5"/>
      <c r="W5"/>
      <c r="X5"/>
      <c r="Y5"/>
      <c r="Z5"/>
      <c r="AA5"/>
      <c r="AB5"/>
      <c r="AC5" s="89"/>
      <c r="AD5" s="89"/>
      <c r="AE5" s="89"/>
      <c r="AF5" s="89"/>
      <c r="AG5" s="89"/>
      <c r="AH5" s="89"/>
      <c r="AI5" s="89"/>
      <c r="AJ5" s="89"/>
      <c r="AK5" s="89"/>
      <c r="AL5" s="89"/>
      <c r="AM5" s="43"/>
    </row>
    <row r="6" spans="1:54" ht="14.5" x14ac:dyDescent="0.35">
      <c r="A6" s="93"/>
      <c r="B6" s="93"/>
      <c r="C6" s="93"/>
      <c r="D6" s="93"/>
      <c r="E6" s="93"/>
      <c r="F6" s="93"/>
      <c r="G6" s="92"/>
      <c r="H6" s="89"/>
      <c r="I6" s="89"/>
      <c r="J6" s="89"/>
      <c r="K6" s="89"/>
      <c r="L6" s="89"/>
      <c r="M6" s="89"/>
      <c r="N6"/>
      <c r="O6"/>
      <c r="P6"/>
      <c r="Q6"/>
      <c r="R6"/>
      <c r="S6"/>
      <c r="T6"/>
      <c r="U6"/>
      <c r="V6"/>
      <c r="W6"/>
      <c r="X6"/>
      <c r="Y6"/>
      <c r="Z6"/>
      <c r="AA6"/>
      <c r="AB6"/>
      <c r="AC6" s="89"/>
      <c r="AD6" s="89"/>
      <c r="AE6" s="89"/>
      <c r="AF6" s="89"/>
      <c r="AG6" s="89"/>
      <c r="AH6" s="89"/>
      <c r="AI6" s="89"/>
      <c r="AJ6" s="89"/>
      <c r="AK6" s="89"/>
      <c r="AL6" s="89"/>
      <c r="AM6" s="43"/>
    </row>
    <row r="7" spans="1:54" ht="19.5" customHeight="1" x14ac:dyDescent="0.3">
      <c r="A7" s="151" t="s">
        <v>802</v>
      </c>
      <c r="B7" s="151"/>
      <c r="C7" s="151"/>
      <c r="D7" s="151"/>
      <c r="E7" s="151"/>
      <c r="F7" s="151"/>
      <c r="G7" s="151" t="s">
        <v>803</v>
      </c>
      <c r="H7" s="151"/>
      <c r="I7" s="151"/>
      <c r="J7" s="151"/>
      <c r="K7" s="151"/>
      <c r="L7" s="151"/>
      <c r="M7" s="130"/>
      <c r="N7" s="279"/>
      <c r="O7" s="279"/>
      <c r="P7" s="279"/>
      <c r="Q7" s="321" t="s">
        <v>804</v>
      </c>
      <c r="R7" s="321"/>
      <c r="S7" s="321"/>
      <c r="T7" s="321"/>
      <c r="U7" s="321"/>
      <c r="V7" s="321"/>
      <c r="W7" s="321"/>
      <c r="X7" s="321"/>
      <c r="Y7" s="321"/>
      <c r="Z7" s="321"/>
      <c r="AA7" s="321"/>
      <c r="AB7" s="279"/>
      <c r="AC7" s="279"/>
      <c r="AD7" s="279"/>
      <c r="AE7" s="279"/>
      <c r="AF7" s="131"/>
      <c r="AG7" s="131"/>
      <c r="AH7" s="131"/>
      <c r="AI7" s="131"/>
      <c r="AJ7" s="131"/>
      <c r="AK7" s="131"/>
      <c r="AL7" s="131"/>
    </row>
    <row r="8" spans="1:54" ht="40" customHeight="1" x14ac:dyDescent="0.3">
      <c r="A8" s="151" t="s">
        <v>805</v>
      </c>
      <c r="B8" s="151"/>
      <c r="C8" s="151"/>
      <c r="D8" s="151"/>
      <c r="E8" s="151"/>
      <c r="F8" s="151"/>
      <c r="G8" s="151"/>
      <c r="H8" s="151"/>
      <c r="I8" s="151"/>
      <c r="J8" s="151"/>
      <c r="K8" s="151"/>
      <c r="L8" s="151"/>
      <c r="M8" s="151"/>
      <c r="N8" s="151"/>
      <c r="O8" s="151"/>
      <c r="P8" s="151"/>
      <c r="Q8" s="152"/>
      <c r="R8" s="152"/>
      <c r="S8" s="152"/>
      <c r="T8" s="152"/>
      <c r="U8" s="152"/>
      <c r="V8" s="152"/>
      <c r="W8" s="152"/>
      <c r="X8" s="152"/>
      <c r="Y8" s="152"/>
      <c r="Z8" s="152"/>
      <c r="AA8" s="152"/>
      <c r="AB8" s="152"/>
      <c r="AC8" s="152"/>
      <c r="AD8" s="152"/>
      <c r="AE8" s="152"/>
      <c r="AF8" s="152"/>
      <c r="AG8" s="152"/>
      <c r="AH8" s="152"/>
      <c r="AI8" s="152"/>
      <c r="AJ8" s="152"/>
      <c r="AK8" s="152"/>
      <c r="AL8" s="152"/>
      <c r="AM8" s="44" t="s">
        <v>806</v>
      </c>
    </row>
    <row r="9" spans="1:54" ht="105" customHeight="1" x14ac:dyDescent="0.3">
      <c r="A9" s="151" t="s">
        <v>919</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row>
    <row r="10" spans="1:54" ht="14.5" x14ac:dyDescent="0.35">
      <c r="A10" s="89"/>
      <c r="B10" s="89"/>
      <c r="C10" s="89"/>
      <c r="D10" s="89"/>
      <c r="E10" s="89"/>
      <c r="F10" s="89"/>
      <c r="G10" s="89"/>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c r="AM10" s="43"/>
    </row>
    <row r="11" spans="1:54" ht="14.5" customHeight="1" x14ac:dyDescent="0.3">
      <c r="A11" s="275" t="s">
        <v>104</v>
      </c>
      <c r="B11" s="275"/>
      <c r="C11" s="275"/>
      <c r="D11" s="275"/>
      <c r="E11" s="275"/>
      <c r="F11" s="275"/>
      <c r="G11" s="275"/>
      <c r="H11" s="275"/>
      <c r="I11" s="275"/>
      <c r="J11" s="275"/>
      <c r="K11" s="275"/>
      <c r="L11" s="275"/>
      <c r="M11" s="275"/>
      <c r="N11" s="275"/>
      <c r="O11" s="275"/>
      <c r="P11" s="275"/>
      <c r="Q11" s="275"/>
      <c r="R11" s="275"/>
      <c r="S11" s="275"/>
      <c r="T11" s="275"/>
      <c r="U11" s="275"/>
      <c r="V11" s="275"/>
      <c r="W11" s="275"/>
      <c r="X11" s="275"/>
      <c r="Y11" s="275"/>
      <c r="Z11" s="275"/>
      <c r="AA11" s="275"/>
      <c r="AB11" s="275"/>
      <c r="AC11" s="275"/>
      <c r="AD11" s="275"/>
      <c r="AE11" s="275"/>
      <c r="AF11" s="275"/>
      <c r="AG11" s="275"/>
      <c r="AH11" s="275"/>
      <c r="AI11" s="275"/>
      <c r="AJ11" s="275"/>
      <c r="AK11" s="275"/>
      <c r="AL11" s="275"/>
      <c r="AM11" s="43"/>
    </row>
    <row r="12" spans="1:54" ht="14.5" x14ac:dyDescent="0.3">
      <c r="A12" s="232" t="s">
        <v>105</v>
      </c>
      <c r="B12" s="232"/>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32"/>
      <c r="AH12" s="232"/>
      <c r="AI12" s="232"/>
      <c r="AJ12" s="232"/>
      <c r="AK12" s="232"/>
      <c r="AL12" s="232"/>
      <c r="AM12" s="43"/>
    </row>
    <row r="13" spans="1:54" ht="17.25" customHeight="1" x14ac:dyDescent="0.3">
      <c r="A13" s="276" t="s">
        <v>798</v>
      </c>
      <c r="B13" s="276"/>
      <c r="C13" s="276"/>
      <c r="D13" s="276"/>
      <c r="E13" s="276"/>
      <c r="F13" s="276"/>
      <c r="G13" s="276"/>
      <c r="H13" s="276"/>
      <c r="I13" s="276"/>
      <c r="J13" s="276"/>
      <c r="K13" s="276"/>
      <c r="L13" s="276"/>
      <c r="M13" s="276"/>
      <c r="N13" s="276"/>
      <c r="O13" s="276"/>
      <c r="P13" s="276"/>
      <c r="Q13" s="276"/>
      <c r="R13" s="276"/>
      <c r="S13" s="276"/>
      <c r="T13" s="276"/>
      <c r="U13" s="276"/>
      <c r="V13" s="276"/>
      <c r="W13" s="276"/>
      <c r="X13" s="276"/>
      <c r="Y13" s="276"/>
      <c r="Z13" s="276"/>
      <c r="AA13" s="276"/>
      <c r="AB13" s="276"/>
      <c r="AC13" s="276"/>
      <c r="AD13" s="276"/>
      <c r="AE13" s="276"/>
      <c r="AF13" s="276"/>
      <c r="AG13" s="276"/>
      <c r="AH13" s="276"/>
      <c r="AI13" s="276"/>
      <c r="AJ13" s="276"/>
      <c r="AK13" s="276"/>
      <c r="AL13" s="276"/>
      <c r="AM13" s="43"/>
    </row>
    <row r="14" spans="1:54" x14ac:dyDescent="0.3">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43"/>
    </row>
    <row r="15" spans="1:54" ht="14.5" x14ac:dyDescent="0.35">
      <c r="A15" s="277" t="s">
        <v>71</v>
      </c>
      <c r="B15" s="277"/>
      <c r="C15" s="277"/>
      <c r="D15" s="277"/>
      <c r="E15" s="277"/>
      <c r="F15" s="277"/>
      <c r="G15" s="277"/>
      <c r="H15" s="277"/>
      <c r="I15" s="277"/>
      <c r="J15" s="277"/>
      <c r="K15" s="277"/>
      <c r="L15" s="277"/>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89"/>
      <c r="AM15" s="43"/>
    </row>
    <row r="16" spans="1:54" ht="14.5" x14ac:dyDescent="0.3">
      <c r="A16" s="232" t="s">
        <v>1</v>
      </c>
      <c r="B16" s="278" t="s">
        <v>63</v>
      </c>
      <c r="C16" s="278"/>
      <c r="D16" s="278"/>
      <c r="E16" s="278"/>
      <c r="F16" s="278"/>
      <c r="G16" s="278"/>
      <c r="H16" s="278"/>
      <c r="I16" s="278"/>
      <c r="J16" s="278"/>
      <c r="K16" s="278"/>
      <c r="L16" s="278"/>
      <c r="M16" s="278"/>
      <c r="N16" s="278"/>
      <c r="O16" s="278"/>
      <c r="P16" s="278"/>
      <c r="Q16" s="278"/>
      <c r="R16" s="278"/>
      <c r="S16" s="278"/>
      <c r="T16" s="278"/>
      <c r="U16" s="278"/>
      <c r="V16" s="278"/>
      <c r="W16" s="278"/>
      <c r="X16" s="278"/>
      <c r="Y16" s="278"/>
      <c r="Z16" s="278"/>
      <c r="AA16" s="278"/>
      <c r="AB16" s="278"/>
      <c r="AC16" s="278"/>
      <c r="AD16" s="278"/>
      <c r="AE16" s="278"/>
      <c r="AF16" s="278"/>
      <c r="AG16" s="278"/>
      <c r="AH16" s="278"/>
      <c r="AI16" s="278"/>
      <c r="AJ16" s="278"/>
      <c r="AK16" s="278"/>
      <c r="AL16" s="278"/>
      <c r="AM16" s="43"/>
    </row>
    <row r="17" spans="1:39" ht="20.5" customHeight="1" x14ac:dyDescent="0.3">
      <c r="A17" s="232"/>
      <c r="B17" s="152" t="s">
        <v>852</v>
      </c>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row>
    <row r="18" spans="1:39" ht="14.5" x14ac:dyDescent="0.35">
      <c r="A18" s="232" t="s">
        <v>4</v>
      </c>
      <c r="B18" s="235" t="s">
        <v>64</v>
      </c>
      <c r="C18" s="235"/>
      <c r="D18" s="235"/>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c r="AC18" s="235"/>
      <c r="AD18" s="235"/>
      <c r="AE18" s="235"/>
      <c r="AF18" s="235"/>
      <c r="AG18" s="235"/>
      <c r="AH18" s="235"/>
      <c r="AI18" s="235"/>
      <c r="AJ18" s="235"/>
      <c r="AK18" s="235"/>
      <c r="AL18" s="235"/>
      <c r="AM18" s="58" t="s">
        <v>809</v>
      </c>
    </row>
    <row r="19" spans="1:39" ht="14.5" x14ac:dyDescent="0.3">
      <c r="A19" s="232"/>
      <c r="B19" s="273"/>
      <c r="C19" s="274"/>
      <c r="D19" s="274"/>
      <c r="E19" s="274"/>
      <c r="F19" s="274"/>
      <c r="G19" s="274"/>
      <c r="H19" s="274"/>
      <c r="I19" s="274"/>
      <c r="J19" s="274"/>
      <c r="K19" s="274"/>
      <c r="L19" s="274"/>
      <c r="M19" s="274"/>
      <c r="N19" s="274"/>
      <c r="O19" s="274"/>
      <c r="P19" s="274"/>
      <c r="Q19" s="274"/>
      <c r="R19" s="274"/>
      <c r="S19" s="274"/>
      <c r="T19" s="274"/>
      <c r="U19" s="274"/>
      <c r="V19" s="274"/>
      <c r="W19" s="274"/>
      <c r="X19" s="274"/>
      <c r="Y19" s="274"/>
      <c r="Z19" s="274"/>
      <c r="AA19" s="274"/>
      <c r="AB19" s="274"/>
      <c r="AC19" s="274"/>
      <c r="AD19" s="274"/>
      <c r="AE19" s="274"/>
      <c r="AF19" s="274"/>
      <c r="AG19" s="274"/>
      <c r="AH19" s="274"/>
      <c r="AI19" s="274"/>
      <c r="AJ19" s="274"/>
      <c r="AK19" s="274"/>
      <c r="AL19" s="274"/>
    </row>
    <row r="20" spans="1:39" ht="27" customHeight="1" x14ac:dyDescent="0.35">
      <c r="A20" s="232" t="s">
        <v>6</v>
      </c>
      <c r="B20" s="153" t="s">
        <v>811</v>
      </c>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58" t="s">
        <v>799</v>
      </c>
    </row>
    <row r="21" spans="1:39" ht="14.5" x14ac:dyDescent="0.3">
      <c r="A21" s="232"/>
      <c r="B21" s="154"/>
      <c r="C21" s="154"/>
      <c r="D21" s="154"/>
      <c r="E21" s="154"/>
      <c r="F21" s="154"/>
      <c r="G21" s="154"/>
      <c r="H21" s="154"/>
      <c r="I21" s="154"/>
      <c r="J21" s="154"/>
      <c r="K21" s="154"/>
      <c r="L21" s="154"/>
      <c r="M21" s="154"/>
      <c r="N21" s="154"/>
      <c r="O21" s="154"/>
      <c r="P21" s="154"/>
      <c r="Q21" s="154"/>
      <c r="R21" s="154"/>
      <c r="S21" s="154"/>
      <c r="T21" s="154"/>
      <c r="U21" s="154"/>
      <c r="V21" s="154"/>
      <c r="W21" s="154"/>
      <c r="X21" s="154"/>
      <c r="Y21" s="154"/>
      <c r="Z21" s="154"/>
      <c r="AA21" s="154"/>
      <c r="AB21" s="154"/>
      <c r="AC21" s="154"/>
      <c r="AD21" s="154"/>
      <c r="AE21" s="154"/>
      <c r="AF21" s="154"/>
      <c r="AG21" s="154"/>
      <c r="AH21" s="154"/>
      <c r="AI21" s="154"/>
      <c r="AJ21" s="154"/>
      <c r="AK21" s="154"/>
      <c r="AL21" s="154"/>
    </row>
    <row r="22" spans="1:39" ht="48" customHeight="1" x14ac:dyDescent="0.35">
      <c r="A22" s="232"/>
      <c r="B22" s="310" t="s">
        <v>853</v>
      </c>
      <c r="C22" s="310"/>
      <c r="D22" s="310"/>
      <c r="E22" s="310"/>
      <c r="F22" s="310"/>
      <c r="G22" s="310"/>
      <c r="H22" s="310"/>
      <c r="I22" s="310"/>
      <c r="J22" s="310"/>
      <c r="K22" s="310"/>
      <c r="L22" s="310"/>
      <c r="M22" s="310"/>
      <c r="N22" s="310"/>
      <c r="O22" s="310"/>
      <c r="P22" s="310"/>
      <c r="Q22" s="310"/>
      <c r="R22" s="310"/>
      <c r="S22" s="310"/>
      <c r="T22" s="310"/>
      <c r="U22" s="310"/>
      <c r="V22" s="310"/>
      <c r="W22" s="310"/>
      <c r="X22" s="310"/>
      <c r="Y22" s="310"/>
      <c r="Z22" s="310"/>
      <c r="AA22" s="310"/>
      <c r="AB22" s="310"/>
      <c r="AC22" s="310"/>
      <c r="AD22" s="310"/>
      <c r="AE22" s="310"/>
      <c r="AF22" s="310"/>
      <c r="AG22" s="310"/>
      <c r="AH22" s="310"/>
      <c r="AI22" s="310"/>
      <c r="AJ22" s="310"/>
      <c r="AK22" s="310"/>
      <c r="AL22" s="310"/>
      <c r="AM22" s="133" t="s">
        <v>807</v>
      </c>
    </row>
    <row r="23" spans="1:39" ht="14.5" x14ac:dyDescent="0.3">
      <c r="A23" s="232"/>
      <c r="B23" s="273"/>
      <c r="C23" s="273"/>
      <c r="D23" s="273"/>
      <c r="E23" s="273"/>
      <c r="F23" s="273"/>
      <c r="G23" s="273"/>
      <c r="H23" s="273"/>
      <c r="I23" s="273"/>
      <c r="J23" s="273"/>
      <c r="K23" s="273"/>
      <c r="L23" s="273"/>
      <c r="M23" s="273"/>
      <c r="N23" s="273"/>
      <c r="O23" s="273"/>
      <c r="P23" s="273"/>
      <c r="Q23" s="273"/>
      <c r="R23" s="273"/>
      <c r="S23" s="273"/>
      <c r="T23" s="273"/>
      <c r="U23" s="273"/>
      <c r="V23" s="273"/>
      <c r="W23" s="273"/>
      <c r="X23" s="273"/>
      <c r="Y23" s="273"/>
      <c r="Z23" s="273"/>
      <c r="AA23" s="273"/>
      <c r="AB23" s="273"/>
      <c r="AC23" s="273"/>
      <c r="AD23" s="273"/>
      <c r="AE23" s="273"/>
      <c r="AF23" s="273"/>
      <c r="AG23" s="273"/>
      <c r="AH23" s="273"/>
      <c r="AI23" s="273"/>
      <c r="AJ23" s="273"/>
      <c r="AK23" s="273"/>
      <c r="AL23" s="273"/>
    </row>
    <row r="24" spans="1:39" ht="14.5" x14ac:dyDescent="0.35">
      <c r="A24" s="231" t="s">
        <v>7</v>
      </c>
      <c r="B24" s="235" t="s">
        <v>65</v>
      </c>
      <c r="C24" s="235"/>
      <c r="D24" s="235"/>
      <c r="E24" s="235"/>
      <c r="F24" s="235"/>
      <c r="G24" s="235"/>
      <c r="H24" s="235"/>
      <c r="I24" s="235"/>
      <c r="J24" s="235"/>
      <c r="K24" s="235"/>
      <c r="L24" s="235"/>
      <c r="M24" s="235"/>
      <c r="N24" s="235"/>
      <c r="O24" s="235"/>
      <c r="P24" s="235"/>
      <c r="Q24" s="235"/>
      <c r="R24" s="235"/>
      <c r="S24" s="235"/>
      <c r="T24" s="235"/>
      <c r="U24" s="235"/>
      <c r="V24" s="235"/>
      <c r="W24" s="290" t="s">
        <v>178</v>
      </c>
      <c r="X24" s="235"/>
      <c r="Y24" s="235"/>
      <c r="Z24" s="235"/>
      <c r="AA24" s="235"/>
      <c r="AB24" s="235"/>
      <c r="AC24" s="235"/>
      <c r="AD24" s="235"/>
      <c r="AE24" s="235"/>
      <c r="AF24" s="235"/>
      <c r="AG24" s="235"/>
      <c r="AH24" s="235"/>
      <c r="AI24" s="235"/>
      <c r="AJ24" s="235"/>
      <c r="AK24" s="235"/>
      <c r="AL24" s="235"/>
      <c r="AM24" s="58" t="s">
        <v>808</v>
      </c>
    </row>
    <row r="25" spans="1:39" ht="14.5" x14ac:dyDescent="0.35">
      <c r="A25" s="231"/>
      <c r="B25" s="291"/>
      <c r="C25" s="291"/>
      <c r="D25" s="291"/>
      <c r="E25" s="291"/>
      <c r="F25" s="291"/>
      <c r="G25" s="291"/>
      <c r="H25" s="291"/>
      <c r="I25" s="291"/>
      <c r="J25" s="291"/>
      <c r="K25" s="291"/>
      <c r="L25" s="291"/>
      <c r="M25" s="291"/>
      <c r="N25" s="291"/>
      <c r="O25" s="291"/>
      <c r="P25" s="291"/>
      <c r="Q25" s="291"/>
      <c r="R25" s="291"/>
      <c r="S25" s="291"/>
      <c r="T25" s="291"/>
      <c r="U25" s="291"/>
      <c r="V25" s="291"/>
      <c r="W25" s="292"/>
      <c r="X25" s="292"/>
      <c r="Y25" s="292"/>
      <c r="Z25" s="292"/>
      <c r="AA25" s="292"/>
      <c r="AB25" s="292"/>
      <c r="AC25" s="292"/>
      <c r="AD25" s="292"/>
      <c r="AE25" s="292"/>
      <c r="AF25" s="292"/>
      <c r="AG25" s="292"/>
      <c r="AH25" s="292"/>
      <c r="AI25" s="292"/>
      <c r="AJ25" s="292"/>
      <c r="AK25" s="292"/>
      <c r="AL25" s="292"/>
    </row>
    <row r="26" spans="1:39" ht="14.5" x14ac:dyDescent="0.3">
      <c r="A26" s="231" t="s">
        <v>9</v>
      </c>
      <c r="B26" s="235" t="s">
        <v>66</v>
      </c>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row>
    <row r="27" spans="1:39" ht="14.5" x14ac:dyDescent="0.3">
      <c r="A27" s="232"/>
      <c r="B27" s="235" t="s">
        <v>137</v>
      </c>
      <c r="C27" s="235"/>
      <c r="D27" s="235"/>
      <c r="E27" s="235"/>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235"/>
      <c r="AJ27" s="235"/>
      <c r="AK27" s="235"/>
      <c r="AL27" s="235"/>
    </row>
    <row r="28" spans="1:39" ht="14.5" x14ac:dyDescent="0.3">
      <c r="A28" s="232"/>
      <c r="B28" s="154"/>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row>
    <row r="29" spans="1:39" ht="14.5" x14ac:dyDescent="0.3">
      <c r="A29" s="232"/>
      <c r="B29" s="234" t="s">
        <v>621</v>
      </c>
      <c r="C29" s="235"/>
      <c r="D29" s="235"/>
      <c r="E29" s="235"/>
      <c r="F29" s="235"/>
      <c r="G29" s="235"/>
      <c r="H29" s="235"/>
      <c r="I29" s="235"/>
      <c r="J29" s="235"/>
      <c r="K29" s="235"/>
      <c r="L29" s="235"/>
      <c r="M29" s="235"/>
      <c r="N29" s="235"/>
      <c r="O29" s="235"/>
      <c r="P29" s="235"/>
      <c r="Q29" s="235"/>
      <c r="R29" s="235"/>
      <c r="S29" s="235"/>
      <c r="T29" s="235"/>
      <c r="U29" s="235"/>
      <c r="V29" s="235"/>
      <c r="W29" s="235"/>
      <c r="X29" s="235"/>
      <c r="Y29" s="235"/>
      <c r="Z29" s="235"/>
      <c r="AA29" s="235"/>
      <c r="AB29" s="235"/>
      <c r="AC29" s="235"/>
      <c r="AD29" s="235"/>
      <c r="AE29" s="235"/>
      <c r="AF29" s="235"/>
      <c r="AG29" s="235"/>
      <c r="AH29" s="235"/>
      <c r="AI29" s="235"/>
      <c r="AJ29" s="235"/>
      <c r="AK29" s="235"/>
      <c r="AL29" s="235"/>
    </row>
    <row r="30" spans="1:39" ht="14.5" x14ac:dyDescent="0.3">
      <c r="A30" s="232"/>
      <c r="B30" s="154"/>
      <c r="C30" s="286"/>
      <c r="D30" s="286"/>
      <c r="E30" s="286"/>
      <c r="F30" s="286"/>
      <c r="G30" s="286"/>
      <c r="H30" s="286"/>
      <c r="I30" s="286"/>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59" t="s">
        <v>139</v>
      </c>
    </row>
    <row r="31" spans="1:39" ht="14.5" x14ac:dyDescent="0.3">
      <c r="A31" s="232"/>
      <c r="B31" s="235" t="s">
        <v>138</v>
      </c>
      <c r="C31" s="235"/>
      <c r="D31" s="235"/>
      <c r="E31" s="235"/>
      <c r="F31" s="235"/>
      <c r="G31" s="235"/>
      <c r="H31" s="235"/>
      <c r="I31" s="235"/>
      <c r="J31" s="235"/>
      <c r="K31" s="235"/>
      <c r="L31" s="235"/>
      <c r="M31" s="235"/>
      <c r="N31" s="235"/>
      <c r="O31" s="235"/>
      <c r="P31" s="235"/>
      <c r="Q31" s="235"/>
      <c r="R31" s="235"/>
      <c r="S31" s="235"/>
      <c r="T31" s="235"/>
      <c r="U31" s="235"/>
      <c r="V31" s="235"/>
      <c r="W31" s="235"/>
      <c r="X31" s="235"/>
      <c r="Y31" s="235"/>
      <c r="Z31" s="235"/>
      <c r="AA31" s="235"/>
      <c r="AB31" s="235"/>
      <c r="AC31" s="235"/>
      <c r="AD31" s="235"/>
      <c r="AE31" s="235"/>
      <c r="AF31" s="235"/>
      <c r="AG31" s="235"/>
      <c r="AH31" s="235"/>
      <c r="AI31" s="235"/>
      <c r="AJ31" s="235"/>
      <c r="AK31" s="235"/>
      <c r="AL31" s="235"/>
      <c r="AM31" s="59"/>
    </row>
    <row r="32" spans="1:39" ht="14.5" x14ac:dyDescent="0.3">
      <c r="A32" s="232"/>
      <c r="B32" s="154"/>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59" t="s">
        <v>139</v>
      </c>
    </row>
    <row r="33" spans="1:43" ht="14.5" x14ac:dyDescent="0.3">
      <c r="A33" s="232"/>
      <c r="B33" s="288" t="s">
        <v>673</v>
      </c>
      <c r="C33" s="235"/>
      <c r="D33" s="235"/>
      <c r="E33" s="235"/>
      <c r="F33" s="235"/>
      <c r="G33" s="235"/>
      <c r="H33" s="235"/>
      <c r="I33" s="235"/>
      <c r="J33" s="235"/>
      <c r="K33" s="235"/>
      <c r="L33" s="235"/>
      <c r="M33" s="235"/>
      <c r="N33" s="235"/>
      <c r="O33" s="235"/>
      <c r="P33" s="235"/>
      <c r="Q33" s="235"/>
      <c r="R33" s="235"/>
      <c r="S33" s="235"/>
      <c r="T33" s="235"/>
      <c r="U33" s="235"/>
      <c r="V33" s="235"/>
      <c r="W33" s="235"/>
      <c r="X33" s="235"/>
      <c r="Y33" s="235"/>
      <c r="Z33" s="235"/>
      <c r="AA33" s="235"/>
      <c r="AB33" s="235"/>
      <c r="AC33" s="235"/>
      <c r="AD33" s="235"/>
      <c r="AE33" s="235"/>
      <c r="AF33" s="235"/>
      <c r="AG33" s="235"/>
      <c r="AH33" s="235"/>
      <c r="AI33" s="235"/>
      <c r="AJ33" s="235"/>
      <c r="AK33" s="235"/>
      <c r="AL33" s="235"/>
      <c r="AM33" s="43"/>
    </row>
    <row r="34" spans="1:43" ht="14.5" x14ac:dyDescent="0.3">
      <c r="A34" s="232"/>
      <c r="B34" s="154"/>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43"/>
    </row>
    <row r="35" spans="1:43" ht="37" customHeight="1" x14ac:dyDescent="0.3">
      <c r="A35" s="231" t="s">
        <v>581</v>
      </c>
      <c r="B35" s="287" t="s">
        <v>668</v>
      </c>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c r="AF35" s="287"/>
      <c r="AG35" s="287"/>
      <c r="AH35" s="287"/>
      <c r="AI35" s="287"/>
      <c r="AJ35" s="287"/>
      <c r="AK35" s="287"/>
      <c r="AL35" s="287"/>
      <c r="AM35" s="29"/>
    </row>
    <row r="36" spans="1:43" ht="14.5" x14ac:dyDescent="0.35">
      <c r="A36" s="232"/>
      <c r="B36" s="293"/>
      <c r="C36" s="293"/>
      <c r="D36" s="293"/>
      <c r="E36" s="293"/>
      <c r="F36" s="293"/>
      <c r="G36" s="293"/>
      <c r="H36" s="293"/>
      <c r="I36" s="293"/>
      <c r="J36" s="293"/>
      <c r="K36" s="293"/>
      <c r="L36" s="293"/>
      <c r="M36" s="293"/>
      <c r="N36" s="293"/>
      <c r="O36" s="293"/>
      <c r="P36" s="293"/>
      <c r="Q36" s="293"/>
      <c r="R36" s="293"/>
      <c r="S36" s="293"/>
      <c r="T36" s="289" t="str" cm="1">
        <f t="array" ref="T36">LEFT(B36,2)&amp;" "&amp;_xlfn.TEXTJOIN(" ",,MID(B36,{3,7,11,15,19,23},4))</f>
        <v xml:space="preserve"> </v>
      </c>
      <c r="U36" s="289"/>
      <c r="V36" s="289"/>
      <c r="W36" s="289"/>
      <c r="X36" s="289"/>
      <c r="Y36" s="289"/>
      <c r="Z36" s="289"/>
      <c r="AA36" s="289"/>
      <c r="AB36" s="289"/>
      <c r="AC36" s="289"/>
      <c r="AD36" s="289"/>
      <c r="AE36" s="289"/>
      <c r="AF36" s="289"/>
      <c r="AG36" s="289"/>
      <c r="AH36" s="289"/>
      <c r="AI36" s="289"/>
      <c r="AJ36" s="289"/>
      <c r="AK36" s="289"/>
      <c r="AL36" s="289"/>
      <c r="AM36" s="29"/>
    </row>
    <row r="37" spans="1:43" ht="14.5" x14ac:dyDescent="0.3">
      <c r="A37" s="90" t="s">
        <v>67</v>
      </c>
      <c r="B37" s="240" t="s">
        <v>68</v>
      </c>
      <c r="C37" s="240"/>
      <c r="D37" s="240"/>
      <c r="E37" s="240"/>
      <c r="F37" s="240"/>
      <c r="G37" s="240"/>
      <c r="H37" s="240"/>
      <c r="I37" s="240"/>
      <c r="J37" s="240"/>
      <c r="K37" s="240"/>
      <c r="L37" s="240"/>
      <c r="M37" s="240"/>
      <c r="N37" s="240"/>
      <c r="O37" s="240"/>
      <c r="P37" s="240"/>
      <c r="Q37" s="240"/>
      <c r="R37" s="240"/>
      <c r="S37" s="240"/>
      <c r="T37" s="240"/>
      <c r="U37" s="240"/>
      <c r="V37" s="240"/>
      <c r="W37" s="240"/>
      <c r="X37" s="240"/>
      <c r="Y37" s="240"/>
      <c r="Z37" s="240"/>
      <c r="AA37" s="240"/>
      <c r="AB37" s="240"/>
      <c r="AC37" s="240"/>
      <c r="AD37" s="240"/>
      <c r="AE37" s="240"/>
      <c r="AF37" s="240"/>
      <c r="AG37" s="240"/>
      <c r="AH37" s="240"/>
      <c r="AI37" s="240"/>
      <c r="AJ37" s="240"/>
      <c r="AK37" s="240"/>
      <c r="AL37" s="240"/>
      <c r="AM37" s="29"/>
    </row>
    <row r="38" spans="1:43" ht="14.5" x14ac:dyDescent="0.3">
      <c r="A38" s="232" t="s">
        <v>1</v>
      </c>
      <c r="B38" s="319" t="s">
        <v>140</v>
      </c>
      <c r="C38" s="235"/>
      <c r="D38" s="235"/>
      <c r="E38" s="235"/>
      <c r="F38" s="235"/>
      <c r="G38" s="235"/>
      <c r="H38" s="235"/>
      <c r="I38" s="235"/>
      <c r="J38" s="235"/>
      <c r="K38" s="235"/>
      <c r="L38" s="235"/>
      <c r="M38" s="235"/>
      <c r="N38" s="235"/>
      <c r="O38" s="235"/>
      <c r="P38" s="235"/>
      <c r="Q38" s="235"/>
      <c r="R38" s="235"/>
      <c r="S38" s="235"/>
      <c r="T38" s="235"/>
      <c r="U38" s="235"/>
      <c r="V38" s="235"/>
      <c r="W38" s="235"/>
      <c r="X38" s="235"/>
      <c r="Y38" s="235"/>
      <c r="Z38" s="235"/>
      <c r="AA38" s="235"/>
      <c r="AB38" s="235"/>
      <c r="AC38" s="235"/>
      <c r="AD38" s="235"/>
      <c r="AE38" s="235"/>
      <c r="AF38" s="235"/>
      <c r="AG38" s="235"/>
      <c r="AH38" s="235"/>
      <c r="AI38" s="235"/>
      <c r="AJ38" s="235"/>
      <c r="AK38" s="235"/>
      <c r="AL38" s="235"/>
      <c r="AM38" s="29"/>
    </row>
    <row r="39" spans="1:43" ht="14.5" x14ac:dyDescent="0.35">
      <c r="A39" s="232"/>
      <c r="B39" s="241">
        <f>T114</f>
        <v>0</v>
      </c>
      <c r="C39" s="241"/>
      <c r="D39" s="241"/>
      <c r="E39" s="241"/>
      <c r="F39" s="241"/>
      <c r="G39" s="241"/>
      <c r="H39" s="241"/>
      <c r="I39" s="241"/>
      <c r="J39" s="241"/>
      <c r="K39" s="241"/>
      <c r="L39" s="241"/>
      <c r="M39" s="241"/>
      <c r="N39" s="241"/>
      <c r="O39" s="241"/>
      <c r="P39" s="241"/>
      <c r="Q39" s="241"/>
      <c r="R39" s="241"/>
      <c r="S39" s="241"/>
      <c r="T39" s="241"/>
      <c r="U39" s="241"/>
      <c r="V39" s="241"/>
      <c r="W39" s="241"/>
      <c r="X39" s="241"/>
      <c r="Y39" s="241"/>
      <c r="Z39" s="241"/>
      <c r="AA39" s="241"/>
      <c r="AB39" s="241"/>
      <c r="AC39" s="241"/>
      <c r="AD39" s="241"/>
      <c r="AE39" s="241"/>
      <c r="AF39" s="241"/>
      <c r="AG39" s="241"/>
      <c r="AH39" s="241"/>
      <c r="AI39" s="241"/>
      <c r="AJ39" s="241"/>
      <c r="AK39" s="241"/>
      <c r="AL39" s="241"/>
      <c r="AM39" s="58" t="s">
        <v>170</v>
      </c>
    </row>
    <row r="40" spans="1:43" ht="28.5" customHeight="1" x14ac:dyDescent="0.3">
      <c r="A40" s="313" t="s">
        <v>6</v>
      </c>
      <c r="B40" s="320" t="s">
        <v>822</v>
      </c>
      <c r="C40" s="320"/>
      <c r="D40" s="320"/>
      <c r="E40" s="320"/>
      <c r="F40" s="320"/>
      <c r="G40" s="320"/>
      <c r="H40" s="320"/>
      <c r="I40" s="320"/>
      <c r="J40" s="320"/>
      <c r="K40" s="320"/>
      <c r="L40" s="320"/>
      <c r="M40" s="320"/>
      <c r="N40" s="320"/>
      <c r="O40" s="320"/>
      <c r="P40" s="320"/>
      <c r="Q40" s="320"/>
      <c r="R40" s="320"/>
      <c r="S40" s="320"/>
      <c r="T40" s="320"/>
      <c r="U40" s="320"/>
      <c r="V40" s="320"/>
      <c r="W40" s="320"/>
      <c r="X40" s="320"/>
      <c r="Y40" s="320"/>
      <c r="Z40" s="320"/>
      <c r="AA40" s="320"/>
      <c r="AB40" s="320"/>
      <c r="AC40" s="320"/>
      <c r="AD40" s="320"/>
      <c r="AE40" s="320"/>
      <c r="AF40" s="320"/>
      <c r="AG40" s="320"/>
      <c r="AH40" s="320"/>
      <c r="AI40" s="320"/>
      <c r="AJ40" s="320"/>
      <c r="AK40" s="320"/>
      <c r="AL40" s="320"/>
      <c r="AM40" s="43"/>
    </row>
    <row r="41" spans="1:43" ht="14.5" customHeight="1" x14ac:dyDescent="0.3">
      <c r="A41" s="232"/>
      <c r="B41" s="211"/>
      <c r="C41" s="211"/>
      <c r="D41" s="211"/>
      <c r="E41" s="211"/>
      <c r="F41" s="211"/>
      <c r="G41" s="211"/>
      <c r="H41" s="211"/>
      <c r="I41" s="211"/>
      <c r="J41" s="211"/>
      <c r="K41" s="211"/>
      <c r="L41" s="211"/>
      <c r="M41" s="211"/>
      <c r="N41" s="211"/>
      <c r="O41" s="211"/>
      <c r="P41" s="211"/>
      <c r="Q41" s="211"/>
      <c r="R41" s="211"/>
      <c r="S41" s="211"/>
      <c r="T41" s="211"/>
      <c r="U41" s="211"/>
      <c r="V41" s="211"/>
      <c r="W41" s="211"/>
      <c r="X41" s="211"/>
      <c r="Y41" s="211"/>
      <c r="Z41" s="211"/>
      <c r="AA41" s="211"/>
      <c r="AB41" s="211"/>
      <c r="AC41" s="211"/>
      <c r="AD41" s="211"/>
      <c r="AE41" s="211"/>
      <c r="AF41" s="211"/>
      <c r="AG41" s="211"/>
      <c r="AH41" s="211"/>
      <c r="AI41" s="211"/>
      <c r="AJ41" s="211"/>
      <c r="AK41" s="211"/>
      <c r="AL41" s="211"/>
    </row>
    <row r="42" spans="1:43" ht="49.5" customHeight="1" x14ac:dyDescent="0.3">
      <c r="A42" s="313" t="s">
        <v>7</v>
      </c>
      <c r="B42" s="314" t="s">
        <v>746</v>
      </c>
      <c r="C42" s="315"/>
      <c r="D42" s="315"/>
      <c r="E42" s="315"/>
      <c r="F42" s="315"/>
      <c r="G42" s="315"/>
      <c r="H42" s="315"/>
      <c r="I42" s="315"/>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315"/>
      <c r="AH42" s="315"/>
      <c r="AI42" s="315"/>
      <c r="AJ42" s="315"/>
      <c r="AK42" s="315"/>
      <c r="AL42" s="316"/>
      <c r="AM42" s="43"/>
      <c r="AQ42" s="31"/>
    </row>
    <row r="43" spans="1:43" ht="14.5" x14ac:dyDescent="0.3">
      <c r="A43" s="232"/>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1"/>
      <c r="AJ43" s="211"/>
      <c r="AK43" s="211"/>
      <c r="AL43" s="211"/>
      <c r="AM43" s="44" t="s">
        <v>579</v>
      </c>
      <c r="AQ43" s="31"/>
    </row>
    <row r="44" spans="1:43" ht="14.5" x14ac:dyDescent="0.3">
      <c r="A44" s="234" t="s">
        <v>9</v>
      </c>
      <c r="B44" s="236" t="s">
        <v>177</v>
      </c>
      <c r="C44" s="235"/>
      <c r="D44" s="235"/>
      <c r="E44" s="235"/>
      <c r="F44" s="235"/>
      <c r="G44" s="235"/>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5"/>
      <c r="AI44" s="235"/>
      <c r="AJ44" s="235"/>
      <c r="AK44" s="235"/>
      <c r="AL44" s="235"/>
      <c r="AM44" s="43"/>
      <c r="AQ44" s="31"/>
    </row>
    <row r="45" spans="1:43" ht="14.5" customHeight="1" x14ac:dyDescent="0.3">
      <c r="A45" s="235"/>
      <c r="B45" s="242" t="s">
        <v>622</v>
      </c>
      <c r="C45" s="242"/>
      <c r="D45" s="242"/>
      <c r="E45" s="242"/>
      <c r="F45" s="242"/>
      <c r="G45" s="242"/>
      <c r="H45" s="242"/>
      <c r="I45" s="242"/>
      <c r="J45" s="242"/>
      <c r="K45" s="242"/>
      <c r="L45" s="242"/>
      <c r="M45" s="242"/>
      <c r="N45" s="242"/>
      <c r="O45" s="242"/>
      <c r="P45" s="242"/>
      <c r="Q45" s="242"/>
      <c r="R45" s="242"/>
      <c r="S45" s="242"/>
      <c r="T45" s="242"/>
      <c r="U45" s="242"/>
      <c r="V45" s="242"/>
      <c r="W45" s="242"/>
      <c r="X45" s="242"/>
      <c r="Y45" s="243"/>
      <c r="Z45" s="238" t="s">
        <v>624</v>
      </c>
      <c r="AA45" s="239"/>
      <c r="AB45" s="239"/>
      <c r="AC45" s="239"/>
      <c r="AD45" s="239"/>
      <c r="AE45" s="239"/>
      <c r="AF45" s="239"/>
      <c r="AG45" s="239"/>
      <c r="AH45" s="239"/>
      <c r="AI45" s="239"/>
      <c r="AJ45" s="239"/>
      <c r="AK45" s="238" t="s">
        <v>623</v>
      </c>
      <c r="AL45" s="239"/>
      <c r="AM45" s="43"/>
      <c r="AQ45" s="31"/>
    </row>
    <row r="46" spans="1:43" ht="14.5" customHeight="1" x14ac:dyDescent="0.35">
      <c r="A46" s="235"/>
      <c r="B46" s="242" t="s">
        <v>176</v>
      </c>
      <c r="C46" s="242"/>
      <c r="D46" s="242"/>
      <c r="E46" s="242"/>
      <c r="F46" s="242"/>
      <c r="G46" s="242"/>
      <c r="H46" s="242"/>
      <c r="I46" s="242"/>
      <c r="J46" s="242"/>
      <c r="K46" s="242"/>
      <c r="L46" s="242"/>
      <c r="M46" s="242"/>
      <c r="N46" s="242"/>
      <c r="O46" s="242"/>
      <c r="P46" s="242"/>
      <c r="Q46" s="242"/>
      <c r="R46" s="242"/>
      <c r="S46" s="242"/>
      <c r="T46" s="242"/>
      <c r="U46" s="242"/>
      <c r="V46" s="242"/>
      <c r="W46" s="242"/>
      <c r="X46" s="242"/>
      <c r="Y46" s="243"/>
      <c r="Z46" s="209"/>
      <c r="AA46" s="209"/>
      <c r="AB46" s="209"/>
      <c r="AC46" s="209"/>
      <c r="AD46" s="209"/>
      <c r="AE46" s="209"/>
      <c r="AF46" s="209"/>
      <c r="AG46" s="209"/>
      <c r="AH46" s="209"/>
      <c r="AI46" s="209"/>
      <c r="AJ46" s="209"/>
      <c r="AK46" s="208" t="e">
        <f>ROUND(Z46/Z$49,5)</f>
        <v>#DIV/0!</v>
      </c>
      <c r="AL46" s="208"/>
      <c r="AM46" s="43"/>
      <c r="AQ46" s="32"/>
    </row>
    <row r="47" spans="1:43" ht="32" customHeight="1" x14ac:dyDescent="0.35">
      <c r="A47" s="235"/>
      <c r="B47" s="242" t="s">
        <v>87</v>
      </c>
      <c r="C47" s="242"/>
      <c r="D47" s="242"/>
      <c r="E47" s="242"/>
      <c r="F47" s="242"/>
      <c r="G47" s="242"/>
      <c r="H47" s="242"/>
      <c r="I47" s="242"/>
      <c r="J47" s="242"/>
      <c r="K47" s="242"/>
      <c r="L47" s="242"/>
      <c r="M47" s="242"/>
      <c r="N47" s="242"/>
      <c r="O47" s="242"/>
      <c r="P47" s="242"/>
      <c r="Q47" s="242"/>
      <c r="R47" s="242"/>
      <c r="S47" s="242"/>
      <c r="T47" s="242"/>
      <c r="U47" s="242"/>
      <c r="V47" s="242"/>
      <c r="W47" s="242"/>
      <c r="X47" s="242"/>
      <c r="Y47" s="243"/>
      <c r="Z47" s="294">
        <f>B$39</f>
        <v>0</v>
      </c>
      <c r="AA47" s="208"/>
      <c r="AB47" s="208"/>
      <c r="AC47" s="208"/>
      <c r="AD47" s="208"/>
      <c r="AE47" s="208"/>
      <c r="AF47" s="208"/>
      <c r="AG47" s="208"/>
      <c r="AH47" s="208"/>
      <c r="AI47" s="208"/>
      <c r="AJ47" s="208"/>
      <c r="AK47" s="208" t="e">
        <f>ROUND(Z47/Z$49,5)</f>
        <v>#DIV/0!</v>
      </c>
      <c r="AL47" s="208"/>
      <c r="AM47" s="43"/>
      <c r="AQ47" s="30"/>
    </row>
    <row r="48" spans="1:43" ht="14.5" customHeight="1" x14ac:dyDescent="0.35">
      <c r="A48" s="235"/>
      <c r="B48" s="242" t="s">
        <v>91</v>
      </c>
      <c r="C48" s="242"/>
      <c r="D48" s="242"/>
      <c r="E48" s="242"/>
      <c r="F48" s="242"/>
      <c r="G48" s="242"/>
      <c r="H48" s="242"/>
      <c r="I48" s="242"/>
      <c r="J48" s="242"/>
      <c r="K48" s="242"/>
      <c r="L48" s="242"/>
      <c r="M48" s="242"/>
      <c r="N48" s="242"/>
      <c r="O48" s="242"/>
      <c r="P48" s="242"/>
      <c r="Q48" s="242"/>
      <c r="R48" s="242"/>
      <c r="S48" s="242"/>
      <c r="T48" s="242"/>
      <c r="U48" s="242"/>
      <c r="V48" s="242"/>
      <c r="W48" s="242"/>
      <c r="X48" s="242"/>
      <c r="Y48" s="243"/>
      <c r="Z48" s="209"/>
      <c r="AA48" s="209"/>
      <c r="AB48" s="209"/>
      <c r="AC48" s="209"/>
      <c r="AD48" s="209"/>
      <c r="AE48" s="209"/>
      <c r="AF48" s="209"/>
      <c r="AG48" s="209"/>
      <c r="AH48" s="209"/>
      <c r="AI48" s="209"/>
      <c r="AJ48" s="209"/>
      <c r="AK48" s="208" t="e">
        <f>ROUND(Z48/Z$49,5)</f>
        <v>#DIV/0!</v>
      </c>
      <c r="AL48" s="208"/>
      <c r="AM48" s="43"/>
      <c r="AQ48" s="30"/>
    </row>
    <row r="49" spans="1:47" ht="14.5" customHeight="1" x14ac:dyDescent="0.35">
      <c r="A49" s="235"/>
      <c r="B49" s="242" t="s">
        <v>88</v>
      </c>
      <c r="C49" s="242"/>
      <c r="D49" s="242"/>
      <c r="E49" s="242"/>
      <c r="F49" s="242"/>
      <c r="G49" s="242"/>
      <c r="H49" s="242"/>
      <c r="I49" s="242"/>
      <c r="J49" s="242"/>
      <c r="K49" s="242"/>
      <c r="L49" s="242"/>
      <c r="M49" s="242"/>
      <c r="N49" s="242"/>
      <c r="O49" s="242"/>
      <c r="P49" s="242"/>
      <c r="Q49" s="242"/>
      <c r="R49" s="242"/>
      <c r="S49" s="242"/>
      <c r="T49" s="242"/>
      <c r="U49" s="242"/>
      <c r="V49" s="242"/>
      <c r="W49" s="242"/>
      <c r="X49" s="242"/>
      <c r="Y49" s="243"/>
      <c r="Z49" s="210">
        <f>SUM(Z46:AJ48)</f>
        <v>0</v>
      </c>
      <c r="AA49" s="210"/>
      <c r="AB49" s="210"/>
      <c r="AC49" s="210"/>
      <c r="AD49" s="210"/>
      <c r="AE49" s="210"/>
      <c r="AF49" s="210"/>
      <c r="AG49" s="210"/>
      <c r="AH49" s="210"/>
      <c r="AI49" s="210"/>
      <c r="AJ49" s="210"/>
      <c r="AK49" s="208" t="e">
        <f>SUM(AK46:AL48)</f>
        <v>#DIV/0!</v>
      </c>
      <c r="AL49" s="208"/>
      <c r="AM49" s="44" t="s">
        <v>921</v>
      </c>
      <c r="AQ49" s="30"/>
    </row>
    <row r="50" spans="1:47" ht="43.5" customHeight="1" x14ac:dyDescent="0.3">
      <c r="A50" s="327" t="s">
        <v>730</v>
      </c>
      <c r="B50" s="151" t="s">
        <v>697</v>
      </c>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c r="AA50" s="151"/>
      <c r="AB50" s="151"/>
      <c r="AC50" s="151"/>
      <c r="AD50" s="151"/>
      <c r="AE50" s="151"/>
      <c r="AF50" s="151"/>
      <c r="AG50" s="151"/>
      <c r="AH50" s="151"/>
      <c r="AI50" s="151"/>
      <c r="AJ50" s="151"/>
      <c r="AK50" s="151"/>
      <c r="AL50" s="151"/>
      <c r="AM50" s="43"/>
      <c r="AQ50" s="30"/>
    </row>
    <row r="51" spans="1:47" ht="27.5" customHeight="1" x14ac:dyDescent="0.35">
      <c r="A51" s="327"/>
      <c r="B51" s="328" t="s">
        <v>698</v>
      </c>
      <c r="C51" s="328"/>
      <c r="D51" s="328"/>
      <c r="E51" s="328"/>
      <c r="F51" s="328"/>
      <c r="G51" s="328"/>
      <c r="H51" s="328"/>
      <c r="I51" s="328"/>
      <c r="J51" s="328"/>
      <c r="K51" s="328"/>
      <c r="L51" s="328"/>
      <c r="M51" s="328"/>
      <c r="N51" s="328"/>
      <c r="O51" s="328"/>
      <c r="P51" s="328"/>
      <c r="Q51" s="328"/>
      <c r="R51" s="328"/>
      <c r="S51" s="329"/>
      <c r="T51" s="329"/>
      <c r="U51" s="329"/>
      <c r="V51" s="329"/>
      <c r="W51" s="329"/>
      <c r="X51" s="329"/>
      <c r="Y51" s="329"/>
      <c r="Z51" s="329"/>
      <c r="AA51" s="329"/>
      <c r="AB51" s="329"/>
      <c r="AC51" s="329"/>
      <c r="AD51" s="329"/>
      <c r="AE51" s="329"/>
      <c r="AF51" s="329"/>
      <c r="AG51" s="329"/>
      <c r="AH51" s="329"/>
      <c r="AI51" s="329"/>
      <c r="AJ51" s="329"/>
      <c r="AK51" s="329"/>
      <c r="AL51" s="329"/>
      <c r="AM51" s="43"/>
      <c r="AQ51" s="30"/>
    </row>
    <row r="52" spans="1:47" ht="14.5" customHeight="1" x14ac:dyDescent="0.35">
      <c r="A52" s="327"/>
      <c r="B52" s="328" t="s">
        <v>625</v>
      </c>
      <c r="C52" s="328"/>
      <c r="D52" s="328"/>
      <c r="E52" s="328"/>
      <c r="F52" s="328"/>
      <c r="G52" s="328"/>
      <c r="H52" s="328"/>
      <c r="I52" s="328"/>
      <c r="J52" s="328"/>
      <c r="K52" s="328"/>
      <c r="L52" s="328"/>
      <c r="M52" s="328"/>
      <c r="N52" s="328"/>
      <c r="O52" s="328"/>
      <c r="P52" s="328"/>
      <c r="Q52" s="328"/>
      <c r="R52" s="328"/>
      <c r="S52" s="330"/>
      <c r="T52" s="330"/>
      <c r="U52" s="330"/>
      <c r="V52" s="330"/>
      <c r="W52" s="330"/>
      <c r="X52" s="330"/>
      <c r="Y52" s="330"/>
      <c r="Z52" s="330"/>
      <c r="AA52" s="330"/>
      <c r="AB52" s="330"/>
      <c r="AC52" s="330"/>
      <c r="AD52" s="330"/>
      <c r="AE52" s="330"/>
      <c r="AF52" s="330"/>
      <c r="AG52" s="330"/>
      <c r="AH52" s="330"/>
      <c r="AI52" s="330"/>
      <c r="AJ52" s="330"/>
      <c r="AK52" s="330"/>
      <c r="AL52" s="330"/>
      <c r="AM52" s="43"/>
      <c r="AQ52" s="30"/>
    </row>
    <row r="53" spans="1:47" ht="14.5" customHeight="1" x14ac:dyDescent="0.35">
      <c r="A53" s="327"/>
      <c r="B53" s="328" t="s">
        <v>626</v>
      </c>
      <c r="C53" s="328"/>
      <c r="D53" s="328"/>
      <c r="E53" s="328"/>
      <c r="F53" s="328"/>
      <c r="G53" s="328"/>
      <c r="H53" s="328"/>
      <c r="I53" s="328"/>
      <c r="J53" s="328"/>
      <c r="K53" s="328"/>
      <c r="L53" s="328"/>
      <c r="M53" s="328"/>
      <c r="N53" s="328"/>
      <c r="O53" s="328"/>
      <c r="P53" s="328"/>
      <c r="Q53" s="328"/>
      <c r="R53" s="328"/>
      <c r="S53" s="330"/>
      <c r="T53" s="330"/>
      <c r="U53" s="330"/>
      <c r="V53" s="330"/>
      <c r="W53" s="330"/>
      <c r="X53" s="330"/>
      <c r="Y53" s="330"/>
      <c r="Z53" s="330"/>
      <c r="AA53" s="330"/>
      <c r="AB53" s="330"/>
      <c r="AC53" s="330"/>
      <c r="AD53" s="330"/>
      <c r="AE53" s="330"/>
      <c r="AF53" s="330"/>
      <c r="AG53" s="330"/>
      <c r="AH53" s="330"/>
      <c r="AI53" s="330"/>
      <c r="AJ53" s="330"/>
      <c r="AK53" s="330"/>
      <c r="AL53" s="330"/>
      <c r="AM53" s="43"/>
      <c r="AQ53" s="30"/>
    </row>
    <row r="54" spans="1:47" ht="14.5" customHeight="1" x14ac:dyDescent="0.35">
      <c r="A54" s="327"/>
      <c r="B54" s="328" t="s">
        <v>627</v>
      </c>
      <c r="C54" s="328"/>
      <c r="D54" s="328"/>
      <c r="E54" s="328"/>
      <c r="F54" s="328"/>
      <c r="G54" s="328"/>
      <c r="H54" s="328"/>
      <c r="I54" s="328"/>
      <c r="J54" s="328"/>
      <c r="K54" s="328"/>
      <c r="L54" s="328"/>
      <c r="M54" s="328"/>
      <c r="N54" s="328"/>
      <c r="O54" s="328"/>
      <c r="P54" s="328"/>
      <c r="Q54" s="328"/>
      <c r="R54" s="328"/>
      <c r="S54" s="330"/>
      <c r="T54" s="330"/>
      <c r="U54" s="330"/>
      <c r="V54" s="330"/>
      <c r="W54" s="330"/>
      <c r="X54" s="330"/>
      <c r="Y54" s="330"/>
      <c r="Z54" s="330"/>
      <c r="AA54" s="330"/>
      <c r="AB54" s="330"/>
      <c r="AC54" s="330"/>
      <c r="AD54" s="330"/>
      <c r="AE54" s="330"/>
      <c r="AF54" s="330"/>
      <c r="AG54" s="330"/>
      <c r="AH54" s="330"/>
      <c r="AI54" s="330"/>
      <c r="AJ54" s="330"/>
      <c r="AK54" s="330"/>
      <c r="AL54" s="330"/>
      <c r="AM54" s="43"/>
      <c r="AQ54" s="30"/>
    </row>
    <row r="55" spans="1:47" ht="14.5" customHeight="1" x14ac:dyDescent="0.35">
      <c r="A55" s="327"/>
      <c r="B55" s="223" t="s">
        <v>699</v>
      </c>
      <c r="C55" s="223"/>
      <c r="D55" s="223"/>
      <c r="E55" s="223"/>
      <c r="F55" s="223"/>
      <c r="G55" s="223"/>
      <c r="H55" s="223"/>
      <c r="I55" s="223"/>
      <c r="J55" s="223"/>
      <c r="K55" s="223"/>
      <c r="L55" s="223"/>
      <c r="M55" s="223"/>
      <c r="N55" s="223"/>
      <c r="O55" s="223"/>
      <c r="P55" s="223"/>
      <c r="Q55" s="223"/>
      <c r="R55" s="223"/>
      <c r="S55" s="330"/>
      <c r="T55" s="330"/>
      <c r="U55" s="330"/>
      <c r="V55" s="330"/>
      <c r="W55" s="330"/>
      <c r="X55" s="330"/>
      <c r="Y55" s="330"/>
      <c r="Z55" s="330"/>
      <c r="AA55" s="330"/>
      <c r="AB55" s="330"/>
      <c r="AC55" s="330"/>
      <c r="AD55" s="330"/>
      <c r="AE55" s="330"/>
      <c r="AF55" s="330"/>
      <c r="AG55" s="330"/>
      <c r="AH55" s="330"/>
      <c r="AI55" s="330"/>
      <c r="AJ55" s="330"/>
      <c r="AK55" s="330"/>
      <c r="AL55" s="330"/>
      <c r="AM55" s="43"/>
      <c r="AQ55" s="30"/>
    </row>
    <row r="56" spans="1:47" ht="14.5" x14ac:dyDescent="0.35">
      <c r="A56" s="91" t="s">
        <v>69</v>
      </c>
      <c r="B56" s="317" t="s">
        <v>70</v>
      </c>
      <c r="C56" s="317"/>
      <c r="D56" s="317"/>
      <c r="E56" s="317"/>
      <c r="F56" s="317"/>
      <c r="G56" s="317"/>
      <c r="H56" s="317"/>
      <c r="I56" s="317"/>
      <c r="J56" s="317"/>
      <c r="K56" s="317"/>
      <c r="L56" s="317"/>
      <c r="M56" s="317"/>
      <c r="N56" s="317"/>
      <c r="O56" s="317"/>
      <c r="P56" s="317"/>
      <c r="Q56" s="317"/>
      <c r="R56" s="317"/>
      <c r="S56" s="317"/>
      <c r="T56" s="317"/>
      <c r="U56" s="317"/>
      <c r="V56" s="317"/>
      <c r="W56" s="317"/>
      <c r="X56" s="317"/>
      <c r="Y56" s="317"/>
      <c r="Z56" s="317"/>
      <c r="AA56" s="317"/>
      <c r="AB56" s="317"/>
      <c r="AC56" s="317"/>
      <c r="AD56" s="317"/>
      <c r="AE56" s="317"/>
      <c r="AF56" s="317"/>
      <c r="AG56" s="317"/>
      <c r="AH56" s="317"/>
      <c r="AI56" s="317"/>
      <c r="AJ56" s="317"/>
      <c r="AK56" s="317"/>
      <c r="AL56" s="318"/>
      <c r="AM56" s="43"/>
    </row>
    <row r="57" spans="1:47" ht="49.5" customHeight="1" x14ac:dyDescent="0.3">
      <c r="A57" s="312"/>
      <c r="B57" s="312"/>
      <c r="C57" s="312"/>
      <c r="D57" s="312"/>
      <c r="E57" s="312"/>
      <c r="F57" s="312"/>
      <c r="G57" s="312"/>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c r="AG57" s="312"/>
      <c r="AH57" s="312"/>
      <c r="AI57" s="312"/>
      <c r="AJ57" s="312"/>
      <c r="AK57" s="312"/>
      <c r="AL57" s="312"/>
    </row>
    <row r="58" spans="1:47" ht="48.5" customHeight="1" x14ac:dyDescent="0.3">
      <c r="A58" s="312"/>
      <c r="B58" s="312"/>
      <c r="C58" s="312"/>
      <c r="D58" s="312"/>
      <c r="E58" s="312"/>
      <c r="F58" s="312"/>
      <c r="G58" s="312"/>
      <c r="H58" s="312"/>
      <c r="I58" s="312"/>
      <c r="J58" s="312"/>
      <c r="K58" s="312"/>
      <c r="L58" s="312"/>
      <c r="M58" s="312"/>
      <c r="N58" s="312"/>
      <c r="O58" s="312"/>
      <c r="P58" s="312"/>
      <c r="Q58" s="312"/>
      <c r="R58" s="312"/>
      <c r="S58" s="312"/>
      <c r="T58" s="312"/>
      <c r="U58" s="312"/>
      <c r="V58" s="312"/>
      <c r="W58" s="312"/>
      <c r="X58" s="312"/>
      <c r="Y58" s="312"/>
      <c r="Z58" s="312"/>
      <c r="AA58" s="312"/>
      <c r="AB58" s="312"/>
      <c r="AC58" s="312"/>
      <c r="AD58" s="312"/>
      <c r="AE58" s="312"/>
      <c r="AF58" s="312"/>
      <c r="AG58" s="312"/>
      <c r="AH58" s="312"/>
      <c r="AI58" s="312"/>
      <c r="AJ58" s="312"/>
      <c r="AK58" s="312"/>
      <c r="AL58" s="312"/>
    </row>
    <row r="59" spans="1:47" s="33" customFormat="1" ht="14.5" x14ac:dyDescent="0.35">
      <c r="A59" s="91" t="s">
        <v>89</v>
      </c>
      <c r="B59" s="216" t="s">
        <v>607</v>
      </c>
      <c r="C59" s="216"/>
      <c r="D59" s="216"/>
      <c r="E59" s="216"/>
      <c r="F59" s="216"/>
      <c r="G59" s="216"/>
      <c r="H59" s="216"/>
      <c r="I59" s="216"/>
      <c r="J59" s="216"/>
      <c r="K59" s="216"/>
      <c r="L59" s="216"/>
      <c r="M59" s="216"/>
      <c r="N59" s="216"/>
      <c r="O59" s="216"/>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45"/>
      <c r="AN59" s="34"/>
      <c r="AO59" s="34"/>
    </row>
    <row r="60" spans="1:47" ht="38.5" customHeight="1" x14ac:dyDescent="0.3">
      <c r="A60" s="281" t="s">
        <v>861</v>
      </c>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307"/>
    </row>
    <row r="61" spans="1:47" ht="47.5" customHeight="1" x14ac:dyDescent="0.3">
      <c r="A61" s="219" t="s">
        <v>862</v>
      </c>
      <c r="B61" s="220"/>
      <c r="C61" s="220"/>
      <c r="D61" s="220"/>
      <c r="E61" s="220"/>
      <c r="F61" s="220"/>
      <c r="G61" s="220"/>
      <c r="H61" s="220"/>
      <c r="I61" s="220"/>
      <c r="J61" s="220"/>
      <c r="K61" s="220"/>
      <c r="L61" s="220"/>
      <c r="M61" s="220"/>
      <c r="N61" s="220"/>
      <c r="O61" s="220"/>
      <c r="P61" s="220"/>
      <c r="Q61" s="220"/>
      <c r="R61" s="220"/>
      <c r="S61" s="221"/>
      <c r="T61" s="219" t="s">
        <v>863</v>
      </c>
      <c r="U61" s="220"/>
      <c r="V61" s="220"/>
      <c r="W61" s="220"/>
      <c r="X61" s="220"/>
      <c r="Y61" s="220"/>
      <c r="Z61" s="220"/>
      <c r="AA61" s="220"/>
      <c r="AB61" s="220"/>
      <c r="AC61" s="220"/>
      <c r="AD61" s="220"/>
      <c r="AE61" s="220"/>
      <c r="AF61" s="220"/>
      <c r="AG61" s="220"/>
      <c r="AH61" s="220"/>
      <c r="AI61" s="220"/>
      <c r="AJ61" s="220"/>
      <c r="AK61" s="220"/>
      <c r="AL61" s="221"/>
      <c r="AM61" s="307"/>
    </row>
    <row r="62" spans="1:47" ht="15" customHeight="1" x14ac:dyDescent="0.35">
      <c r="A62" s="256"/>
      <c r="B62" s="257"/>
      <c r="C62" s="257"/>
      <c r="D62" s="257"/>
      <c r="E62" s="257"/>
      <c r="F62" s="257"/>
      <c r="G62" s="257"/>
      <c r="H62" s="257"/>
      <c r="I62" s="257"/>
      <c r="J62" s="257"/>
      <c r="K62" s="257"/>
      <c r="L62" s="257"/>
      <c r="M62" s="257"/>
      <c r="N62" s="257"/>
      <c r="O62" s="257"/>
      <c r="P62" s="257"/>
      <c r="Q62" s="257"/>
      <c r="R62" s="257"/>
      <c r="S62" s="258"/>
      <c r="T62" s="256"/>
      <c r="U62" s="257"/>
      <c r="V62" s="257"/>
      <c r="W62" s="257"/>
      <c r="X62" s="257"/>
      <c r="Y62" s="257"/>
      <c r="Z62" s="257"/>
      <c r="AA62" s="257"/>
      <c r="AB62" s="257"/>
      <c r="AC62" s="257"/>
      <c r="AD62" s="257"/>
      <c r="AE62" s="257"/>
      <c r="AF62" s="257"/>
      <c r="AG62" s="257"/>
      <c r="AH62" s="257"/>
      <c r="AI62" s="257"/>
      <c r="AJ62" s="257"/>
      <c r="AK62" s="257"/>
      <c r="AL62" s="258"/>
      <c r="AM62" s="307"/>
    </row>
    <row r="63" spans="1:47" ht="15" customHeight="1" x14ac:dyDescent="0.3">
      <c r="A63" s="90" t="s">
        <v>90</v>
      </c>
      <c r="B63" s="240" t="s">
        <v>864</v>
      </c>
      <c r="C63" s="240"/>
      <c r="D63" s="240"/>
      <c r="E63" s="240"/>
      <c r="F63" s="240"/>
      <c r="G63" s="240"/>
      <c r="H63" s="240"/>
      <c r="I63" s="240"/>
      <c r="J63" s="240"/>
      <c r="K63" s="240"/>
      <c r="L63" s="240"/>
      <c r="M63" s="240"/>
      <c r="N63" s="240"/>
      <c r="O63" s="240"/>
      <c r="P63" s="240"/>
      <c r="Q63" s="240"/>
      <c r="R63" s="240"/>
      <c r="S63" s="240"/>
      <c r="T63" s="240"/>
      <c r="U63" s="240"/>
      <c r="V63" s="240"/>
      <c r="W63" s="240"/>
      <c r="X63" s="240"/>
      <c r="Y63" s="240"/>
      <c r="Z63" s="240"/>
      <c r="AA63" s="240"/>
      <c r="AB63" s="240"/>
      <c r="AC63" s="240"/>
      <c r="AD63" s="240"/>
      <c r="AE63" s="240"/>
      <c r="AF63" s="240"/>
      <c r="AG63" s="240"/>
      <c r="AH63" s="240"/>
      <c r="AI63" s="240"/>
      <c r="AJ63" s="240"/>
      <c r="AK63" s="240"/>
      <c r="AL63" s="240"/>
      <c r="AM63" s="280"/>
      <c r="AN63" s="280"/>
      <c r="AO63" s="280"/>
      <c r="AP63" s="280"/>
      <c r="AQ63" s="280"/>
      <c r="AR63" s="280"/>
      <c r="AS63" s="280"/>
      <c r="AT63" s="280"/>
      <c r="AU63" s="280"/>
    </row>
    <row r="64" spans="1:47" ht="55.5" customHeight="1" x14ac:dyDescent="0.3">
      <c r="A64" s="284" t="s">
        <v>867</v>
      </c>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285"/>
      <c r="AL64" s="285"/>
      <c r="AM64" s="280"/>
      <c r="AN64" s="280"/>
      <c r="AO64" s="280"/>
      <c r="AP64" s="280"/>
      <c r="AQ64" s="280"/>
      <c r="AR64" s="280"/>
      <c r="AS64" s="280"/>
      <c r="AT64" s="280"/>
      <c r="AU64" s="280"/>
    </row>
    <row r="65" spans="1:52" ht="123" customHeight="1" x14ac:dyDescent="0.3">
      <c r="A65" s="149" t="s">
        <v>740</v>
      </c>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c r="AB65" s="149"/>
      <c r="AC65" s="149"/>
      <c r="AD65" s="149"/>
      <c r="AE65" s="149"/>
      <c r="AF65" s="149"/>
      <c r="AG65" s="149"/>
      <c r="AH65" s="149"/>
      <c r="AI65" s="149"/>
      <c r="AJ65" s="149"/>
      <c r="AK65" s="149"/>
      <c r="AL65" s="149"/>
    </row>
    <row r="66" spans="1:52" ht="94.5" customHeight="1" x14ac:dyDescent="0.3">
      <c r="A66" s="283" t="s">
        <v>117</v>
      </c>
      <c r="B66" s="283"/>
      <c r="C66" s="283"/>
      <c r="D66" s="283"/>
      <c r="E66" s="283"/>
      <c r="F66" s="283"/>
      <c r="G66" s="283"/>
      <c r="H66" s="283"/>
      <c r="I66" s="205" t="s">
        <v>735</v>
      </c>
      <c r="J66" s="205"/>
      <c r="K66" s="205"/>
      <c r="L66" s="205"/>
      <c r="M66" s="205"/>
      <c r="N66" s="205"/>
      <c r="O66" s="205"/>
      <c r="P66" s="205"/>
      <c r="Q66" s="205"/>
      <c r="R66" s="205"/>
      <c r="S66" s="205"/>
      <c r="T66" s="205" t="s">
        <v>736</v>
      </c>
      <c r="U66" s="205"/>
      <c r="V66" s="205"/>
      <c r="W66" s="205"/>
      <c r="X66" s="205"/>
      <c r="Y66" s="205"/>
      <c r="Z66" s="205"/>
      <c r="AA66" s="205"/>
      <c r="AB66" s="205"/>
      <c r="AC66" s="205"/>
      <c r="AD66" s="205"/>
      <c r="AE66" s="205" t="s">
        <v>737</v>
      </c>
      <c r="AF66" s="205"/>
      <c r="AG66" s="205"/>
      <c r="AH66" s="205"/>
      <c r="AI66" s="205"/>
      <c r="AJ66" s="205"/>
      <c r="AK66" s="205" t="s">
        <v>738</v>
      </c>
      <c r="AL66" s="205"/>
      <c r="AM66" s="44" t="s">
        <v>125</v>
      </c>
    </row>
    <row r="67" spans="1:52" ht="14.5" x14ac:dyDescent="0.3">
      <c r="A67" s="222"/>
      <c r="B67" s="222"/>
      <c r="C67" s="222"/>
      <c r="D67" s="222"/>
      <c r="E67" s="222"/>
      <c r="F67" s="222"/>
      <c r="G67" s="222"/>
      <c r="H67" s="222"/>
      <c r="I67" s="202"/>
      <c r="J67" s="203"/>
      <c r="K67" s="203"/>
      <c r="L67" s="203"/>
      <c r="M67" s="203"/>
      <c r="N67" s="203"/>
      <c r="O67" s="203"/>
      <c r="P67" s="203"/>
      <c r="Q67" s="203"/>
      <c r="R67" s="203"/>
      <c r="S67" s="204"/>
      <c r="T67" s="202"/>
      <c r="U67" s="203"/>
      <c r="V67" s="203"/>
      <c r="W67" s="203"/>
      <c r="X67" s="203"/>
      <c r="Y67" s="203"/>
      <c r="Z67" s="203"/>
      <c r="AA67" s="203"/>
      <c r="AB67" s="203"/>
      <c r="AC67" s="203"/>
      <c r="AD67" s="204"/>
      <c r="AE67" s="222"/>
      <c r="AF67" s="222"/>
      <c r="AG67" s="222"/>
      <c r="AH67" s="222"/>
      <c r="AI67" s="222"/>
      <c r="AJ67" s="222"/>
      <c r="AK67" s="222"/>
      <c r="AL67" s="222"/>
    </row>
    <row r="68" spans="1:52" ht="23" customHeight="1" x14ac:dyDescent="0.3">
      <c r="A68" s="149" t="s">
        <v>893</v>
      </c>
      <c r="B68" s="183"/>
      <c r="C68" s="183"/>
      <c r="D68" s="183"/>
      <c r="E68" s="183"/>
      <c r="F68" s="183"/>
      <c r="G68" s="183"/>
      <c r="H68" s="183"/>
      <c r="I68" s="183"/>
      <c r="J68" s="183"/>
      <c r="K68" s="183"/>
      <c r="L68" s="183"/>
      <c r="M68" s="183"/>
      <c r="N68" s="183"/>
      <c r="O68" s="183"/>
      <c r="P68" s="183"/>
      <c r="Q68" s="183"/>
      <c r="R68" s="183"/>
      <c r="S68" s="183"/>
      <c r="T68" s="183"/>
      <c r="U68" s="183"/>
      <c r="V68" s="183"/>
      <c r="W68" s="183"/>
      <c r="X68" s="183"/>
      <c r="Y68" s="183"/>
      <c r="Z68" s="183"/>
      <c r="AA68" s="183"/>
      <c r="AB68" s="183"/>
      <c r="AC68" s="183"/>
      <c r="AD68" s="183"/>
      <c r="AE68" s="183"/>
      <c r="AF68" s="183"/>
      <c r="AG68" s="183"/>
      <c r="AH68" s="183"/>
      <c r="AI68" s="183"/>
      <c r="AJ68" s="183"/>
      <c r="AK68" s="183"/>
      <c r="AL68" s="183"/>
    </row>
    <row r="69" spans="1:52" ht="14.5" x14ac:dyDescent="0.3">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c r="AA69" s="227"/>
      <c r="AB69" s="227"/>
      <c r="AC69" s="227"/>
      <c r="AD69" s="227"/>
      <c r="AE69" s="227"/>
      <c r="AF69" s="227"/>
      <c r="AG69" s="227"/>
      <c r="AH69" s="227"/>
      <c r="AI69" s="227"/>
      <c r="AJ69" s="227"/>
      <c r="AK69" s="227"/>
      <c r="AL69" s="227"/>
    </row>
    <row r="70" spans="1:52" ht="28.5" customHeight="1" x14ac:dyDescent="0.3">
      <c r="A70" s="183" t="s">
        <v>865</v>
      </c>
      <c r="B70" s="183"/>
      <c r="C70" s="183"/>
      <c r="D70" s="183"/>
      <c r="E70" s="183"/>
      <c r="F70" s="183"/>
      <c r="G70" s="183"/>
      <c r="H70" s="183"/>
      <c r="I70" s="183"/>
      <c r="J70" s="183"/>
      <c r="K70" s="183"/>
      <c r="L70" s="183"/>
      <c r="M70" s="183"/>
      <c r="N70" s="183"/>
      <c r="O70" s="183"/>
      <c r="P70" s="183"/>
      <c r="Q70" s="183"/>
      <c r="R70" s="183"/>
      <c r="S70" s="183"/>
      <c r="T70" s="183"/>
      <c r="U70" s="183"/>
      <c r="V70" s="183"/>
      <c r="W70" s="183"/>
      <c r="X70" s="183"/>
      <c r="Y70" s="183"/>
      <c r="Z70" s="183"/>
      <c r="AA70" s="183"/>
      <c r="AB70" s="183"/>
      <c r="AC70" s="183"/>
      <c r="AD70" s="183"/>
      <c r="AE70" s="183"/>
      <c r="AF70" s="183"/>
      <c r="AG70" s="183"/>
      <c r="AH70" s="183"/>
      <c r="AI70" s="183"/>
      <c r="AJ70" s="183"/>
      <c r="AK70" s="183"/>
      <c r="AL70" s="183"/>
    </row>
    <row r="71" spans="1:52" ht="14.5" x14ac:dyDescent="0.3">
      <c r="A71" s="259">
        <v>7</v>
      </c>
      <c r="B71" s="259"/>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row>
    <row r="72" spans="1:52" ht="30.5" customHeight="1" x14ac:dyDescent="0.3">
      <c r="A72" s="183" t="s">
        <v>866</v>
      </c>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c r="AE72" s="149"/>
      <c r="AF72" s="149"/>
      <c r="AG72" s="149"/>
      <c r="AH72" s="149"/>
      <c r="AI72" s="149"/>
      <c r="AJ72" s="149"/>
      <c r="AK72" s="149"/>
      <c r="AL72" s="149"/>
    </row>
    <row r="73" spans="1:52" ht="14.5" x14ac:dyDescent="0.3">
      <c r="A73" s="259">
        <v>9</v>
      </c>
      <c r="B73" s="259"/>
      <c r="C73" s="259"/>
      <c r="D73" s="259"/>
      <c r="E73" s="259"/>
      <c r="F73" s="259"/>
      <c r="G73" s="259"/>
      <c r="H73" s="259"/>
      <c r="I73" s="259"/>
      <c r="J73" s="259"/>
      <c r="K73" s="259"/>
      <c r="L73" s="259"/>
      <c r="M73" s="259"/>
      <c r="N73" s="259"/>
      <c r="O73" s="259"/>
      <c r="P73" s="259"/>
      <c r="Q73" s="259"/>
      <c r="R73" s="259"/>
      <c r="S73" s="259"/>
      <c r="T73" s="259"/>
      <c r="U73" s="259"/>
      <c r="V73" s="259"/>
      <c r="W73" s="259"/>
      <c r="X73" s="259"/>
      <c r="Y73" s="259"/>
      <c r="Z73" s="259"/>
      <c r="AA73" s="259"/>
      <c r="AB73" s="259"/>
      <c r="AC73" s="259"/>
      <c r="AD73" s="259"/>
      <c r="AE73" s="259"/>
      <c r="AF73" s="259"/>
      <c r="AG73" s="259"/>
      <c r="AH73" s="259"/>
      <c r="AI73" s="259"/>
      <c r="AJ73" s="259"/>
      <c r="AK73" s="259"/>
      <c r="AL73" s="259"/>
    </row>
    <row r="74" spans="1:52" ht="30" customHeight="1" x14ac:dyDescent="0.3">
      <c r="A74" s="311" t="s">
        <v>868</v>
      </c>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c r="AA74" s="311"/>
      <c r="AB74" s="311"/>
      <c r="AC74" s="311"/>
      <c r="AD74" s="311"/>
      <c r="AE74" s="311"/>
      <c r="AF74" s="311"/>
      <c r="AG74" s="311"/>
      <c r="AH74" s="311"/>
      <c r="AI74" s="311"/>
      <c r="AJ74" s="311"/>
      <c r="AK74" s="311"/>
      <c r="AL74" s="311"/>
    </row>
    <row r="75" spans="1:52" ht="14.5" x14ac:dyDescent="0.3">
      <c r="A75" s="259">
        <v>0</v>
      </c>
      <c r="B75" s="259"/>
      <c r="C75" s="259"/>
      <c r="D75" s="259"/>
      <c r="E75" s="259"/>
      <c r="F75" s="259"/>
      <c r="G75" s="259"/>
      <c r="H75" s="259"/>
      <c r="I75" s="259"/>
      <c r="J75" s="259"/>
      <c r="K75" s="259"/>
      <c r="L75" s="259"/>
      <c r="M75" s="259"/>
      <c r="N75" s="259"/>
      <c r="O75" s="259"/>
      <c r="P75" s="259"/>
      <c r="Q75" s="259"/>
      <c r="R75" s="259"/>
      <c r="S75" s="259"/>
      <c r="T75" s="259"/>
      <c r="U75" s="259"/>
      <c r="V75" s="259"/>
      <c r="W75" s="259"/>
      <c r="X75" s="259"/>
      <c r="Y75" s="259"/>
      <c r="Z75" s="259"/>
      <c r="AA75" s="259"/>
      <c r="AB75" s="259"/>
      <c r="AC75" s="259"/>
      <c r="AD75" s="259"/>
      <c r="AE75" s="259"/>
      <c r="AF75" s="259"/>
      <c r="AG75" s="259"/>
      <c r="AH75" s="259"/>
      <c r="AI75" s="259"/>
      <c r="AJ75" s="259"/>
      <c r="AK75" s="259"/>
      <c r="AL75" s="259"/>
    </row>
    <row r="76" spans="1:52" ht="14.5" x14ac:dyDescent="0.3">
      <c r="A76" s="216" t="s">
        <v>611</v>
      </c>
      <c r="B76" s="216"/>
      <c r="C76" s="216"/>
      <c r="D76" s="216"/>
      <c r="E76" s="216"/>
      <c r="F76" s="216"/>
      <c r="G76" s="216"/>
      <c r="H76" s="216"/>
      <c r="I76" s="216"/>
      <c r="J76" s="216"/>
      <c r="K76" s="216"/>
      <c r="L76" s="216"/>
      <c r="M76" s="216"/>
      <c r="N76" s="216"/>
      <c r="O76" s="216"/>
      <c r="P76" s="216"/>
      <c r="Q76" s="216"/>
      <c r="R76" s="216"/>
      <c r="S76" s="216"/>
      <c r="T76" s="216"/>
      <c r="U76" s="216"/>
      <c r="V76" s="216"/>
      <c r="W76" s="216"/>
      <c r="X76" s="216"/>
      <c r="Y76" s="216"/>
      <c r="Z76" s="216"/>
      <c r="AA76" s="216"/>
      <c r="AB76" s="216"/>
      <c r="AC76" s="216"/>
      <c r="AD76" s="216"/>
      <c r="AE76" s="216"/>
      <c r="AF76" s="216"/>
      <c r="AG76" s="216"/>
      <c r="AH76" s="216"/>
      <c r="AI76" s="216"/>
      <c r="AJ76" s="216"/>
      <c r="AK76" s="216"/>
      <c r="AL76" s="216"/>
      <c r="AM76" s="46"/>
      <c r="AN76" s="35"/>
      <c r="AO76" s="35"/>
      <c r="AP76" s="35"/>
      <c r="AQ76" s="35"/>
      <c r="AR76" s="35"/>
      <c r="AS76" s="35"/>
      <c r="AT76" s="35"/>
      <c r="AU76" s="35"/>
      <c r="AV76" s="35"/>
      <c r="AW76" s="35"/>
      <c r="AX76" s="35"/>
      <c r="AY76" s="35"/>
      <c r="AZ76" s="35"/>
    </row>
    <row r="77" spans="1:52" ht="34.5" customHeight="1" x14ac:dyDescent="0.3">
      <c r="A77" s="260" t="s">
        <v>654</v>
      </c>
      <c r="B77" s="260"/>
      <c r="C77" s="260"/>
      <c r="D77" s="260"/>
      <c r="E77" s="260"/>
      <c r="F77" s="260"/>
      <c r="G77" s="260"/>
      <c r="H77" s="260"/>
      <c r="I77" s="260"/>
      <c r="J77" s="260"/>
      <c r="K77" s="260"/>
      <c r="L77" s="260"/>
      <c r="M77" s="260"/>
      <c r="N77" s="260"/>
      <c r="O77" s="260"/>
      <c r="P77" s="260"/>
      <c r="Q77" s="260"/>
      <c r="R77" s="260"/>
      <c r="S77" s="260"/>
      <c r="T77" s="260"/>
      <c r="U77" s="260"/>
      <c r="V77" s="260"/>
      <c r="W77" s="260"/>
      <c r="X77" s="260"/>
      <c r="Y77" s="260"/>
      <c r="Z77" s="260"/>
      <c r="AA77" s="260"/>
      <c r="AB77" s="260"/>
      <c r="AC77" s="260"/>
      <c r="AD77" s="260"/>
      <c r="AE77" s="260"/>
      <c r="AF77" s="260"/>
      <c r="AG77" s="260"/>
      <c r="AH77" s="260"/>
      <c r="AI77" s="260"/>
      <c r="AJ77" s="260"/>
      <c r="AK77" s="260"/>
      <c r="AL77" s="260"/>
      <c r="AM77" s="43"/>
    </row>
    <row r="78" spans="1:52" ht="34.5" customHeight="1" x14ac:dyDescent="0.3">
      <c r="A78" s="261" t="s">
        <v>655</v>
      </c>
      <c r="B78" s="261"/>
      <c r="C78" s="261"/>
      <c r="D78" s="261"/>
      <c r="E78" s="261"/>
      <c r="F78" s="261"/>
      <c r="G78" s="261"/>
      <c r="H78" s="261"/>
      <c r="I78" s="261"/>
      <c r="J78" s="261"/>
      <c r="K78" s="261"/>
      <c r="L78" s="261"/>
      <c r="M78" s="261"/>
      <c r="N78" s="261"/>
      <c r="O78" s="261"/>
      <c r="P78" s="261"/>
      <c r="Q78" s="261"/>
      <c r="R78" s="261"/>
      <c r="S78" s="261"/>
      <c r="T78" s="261"/>
      <c r="U78" s="261"/>
      <c r="V78" s="261"/>
      <c r="W78" s="261"/>
      <c r="X78" s="261"/>
      <c r="Y78" s="261"/>
      <c r="Z78" s="261"/>
      <c r="AA78" s="261"/>
      <c r="AB78" s="261"/>
      <c r="AC78" s="261"/>
      <c r="AD78" s="261"/>
      <c r="AE78" s="261"/>
      <c r="AF78" s="261"/>
      <c r="AG78" s="261"/>
      <c r="AH78" s="261"/>
      <c r="AI78" s="261"/>
      <c r="AJ78" s="261"/>
      <c r="AK78" s="261"/>
      <c r="AL78" s="261"/>
    </row>
    <row r="79" spans="1:52" ht="44.5" customHeight="1" x14ac:dyDescent="0.3">
      <c r="A79" s="149" t="s">
        <v>914</v>
      </c>
      <c r="B79" s="183"/>
      <c r="C79" s="183"/>
      <c r="D79" s="183"/>
      <c r="E79" s="183"/>
      <c r="F79" s="183"/>
      <c r="G79" s="183"/>
      <c r="H79" s="183"/>
      <c r="I79" s="183"/>
      <c r="J79" s="183"/>
      <c r="K79" s="183"/>
      <c r="L79" s="183"/>
      <c r="M79" s="183"/>
      <c r="N79" s="183"/>
      <c r="O79" s="183"/>
      <c r="P79" s="183"/>
      <c r="Q79" s="183"/>
      <c r="R79" s="183"/>
      <c r="S79" s="183"/>
      <c r="T79" s="183"/>
      <c r="U79" s="183"/>
      <c r="V79" s="183"/>
      <c r="W79" s="183"/>
      <c r="X79" s="183"/>
      <c r="Y79" s="183"/>
      <c r="Z79" s="183"/>
      <c r="AA79" s="183"/>
      <c r="AB79" s="183"/>
      <c r="AC79" s="183"/>
      <c r="AD79" s="183"/>
      <c r="AE79" s="183"/>
      <c r="AF79" s="183"/>
      <c r="AG79" s="183"/>
      <c r="AH79" s="183"/>
      <c r="AI79" s="183"/>
      <c r="AJ79" s="183"/>
      <c r="AK79" s="183"/>
      <c r="AL79" s="183"/>
      <c r="AM79" s="43"/>
    </row>
    <row r="80" spans="1:52" ht="45" customHeight="1" x14ac:dyDescent="0.3">
      <c r="A80" s="184" t="s">
        <v>660</v>
      </c>
      <c r="B80" s="184"/>
      <c r="C80" s="184"/>
      <c r="D80" s="184"/>
      <c r="E80" s="184"/>
      <c r="F80" s="184"/>
      <c r="G80" s="184"/>
      <c r="H80" s="184"/>
      <c r="I80" s="184"/>
      <c r="J80" s="184"/>
      <c r="K80" s="184"/>
      <c r="L80" s="184"/>
      <c r="M80" s="184"/>
      <c r="N80" s="184"/>
      <c r="O80" s="184"/>
      <c r="P80" s="184"/>
      <c r="Q80" s="184"/>
      <c r="R80" s="184"/>
      <c r="S80" s="184"/>
      <c r="T80" s="184"/>
      <c r="U80" s="184"/>
      <c r="V80" s="184"/>
      <c r="W80" s="184"/>
      <c r="X80" s="184"/>
      <c r="Y80" s="184"/>
      <c r="Z80" s="184"/>
      <c r="AA80" s="184"/>
      <c r="AB80" s="184"/>
      <c r="AC80" s="184"/>
      <c r="AD80" s="184"/>
      <c r="AE80" s="184"/>
      <c r="AF80" s="184"/>
      <c r="AG80" s="184"/>
      <c r="AH80" s="184"/>
      <c r="AI80" s="184"/>
      <c r="AJ80" s="184"/>
      <c r="AK80" s="184"/>
      <c r="AL80" s="184"/>
      <c r="AM80" s="47"/>
    </row>
    <row r="81" spans="1:40" ht="45" customHeight="1" x14ac:dyDescent="0.3">
      <c r="A81" s="244" t="s">
        <v>773</v>
      </c>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47"/>
    </row>
    <row r="82" spans="1:40" ht="170" customHeight="1" x14ac:dyDescent="0.35">
      <c r="A82" s="300" t="s">
        <v>819</v>
      </c>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c r="AA82" s="301"/>
      <c r="AB82" s="301"/>
      <c r="AC82" s="301"/>
      <c r="AD82" s="301"/>
      <c r="AE82" s="301"/>
      <c r="AF82" s="301"/>
      <c r="AG82" s="301"/>
      <c r="AH82" s="301"/>
      <c r="AI82" s="302"/>
      <c r="AJ82" s="303">
        <f>ROUNDDOWN(A73/(A73+A75),6)</f>
        <v>1</v>
      </c>
      <c r="AK82" s="304"/>
      <c r="AL82" s="304"/>
      <c r="AM82" s="47"/>
    </row>
    <row r="83" spans="1:40" ht="72.5" customHeight="1" x14ac:dyDescent="0.3">
      <c r="A83" s="253" t="s">
        <v>833</v>
      </c>
      <c r="B83" s="185"/>
      <c r="C83" s="185"/>
      <c r="D83" s="185"/>
      <c r="E83" s="185"/>
      <c r="F83" s="185"/>
      <c r="G83" s="185"/>
      <c r="H83" s="185"/>
      <c r="I83" s="185"/>
      <c r="J83" s="185"/>
      <c r="K83" s="185"/>
      <c r="L83" s="185"/>
      <c r="M83" s="185"/>
      <c r="N83" s="185"/>
      <c r="O83" s="185"/>
      <c r="P83" s="185"/>
      <c r="Q83" s="185"/>
      <c r="R83" s="185"/>
      <c r="S83" s="185"/>
      <c r="T83" s="185"/>
      <c r="U83" s="185"/>
      <c r="V83" s="185"/>
      <c r="W83" s="185"/>
      <c r="X83" s="185"/>
      <c r="Y83" s="185"/>
      <c r="Z83" s="185"/>
      <c r="AA83" s="185"/>
      <c r="AB83" s="185"/>
      <c r="AC83" s="185"/>
      <c r="AD83" s="185"/>
      <c r="AE83" s="185"/>
      <c r="AF83" s="185"/>
      <c r="AG83" s="185"/>
      <c r="AH83" s="185"/>
      <c r="AI83" s="185"/>
      <c r="AJ83" s="185"/>
      <c r="AK83" s="185"/>
      <c r="AL83" s="185"/>
      <c r="AM83" s="47"/>
    </row>
    <row r="84" spans="1:40" ht="138" customHeight="1" x14ac:dyDescent="0.3">
      <c r="A84" s="298"/>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c r="Z84" s="299"/>
      <c r="AA84" s="299"/>
      <c r="AB84" s="299"/>
      <c r="AC84" s="299"/>
      <c r="AD84" s="299"/>
      <c r="AE84" s="299"/>
      <c r="AF84" s="299"/>
      <c r="AG84" s="299"/>
      <c r="AH84" s="299"/>
      <c r="AI84" s="299"/>
      <c r="AJ84" s="299"/>
      <c r="AK84" s="299"/>
      <c r="AL84" s="299"/>
      <c r="AM84" s="47"/>
    </row>
    <row r="85" spans="1:40" ht="144.5" customHeight="1" x14ac:dyDescent="0.3">
      <c r="A85" s="149" t="s">
        <v>870</v>
      </c>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c r="AA85" s="149"/>
      <c r="AB85" s="149"/>
      <c r="AC85" s="149"/>
      <c r="AD85" s="149"/>
      <c r="AE85" s="149"/>
      <c r="AF85" s="149"/>
      <c r="AG85" s="149"/>
      <c r="AH85" s="149"/>
      <c r="AI85" s="149"/>
      <c r="AJ85" s="149"/>
      <c r="AK85" s="149"/>
      <c r="AL85" s="149"/>
      <c r="AM85" s="43"/>
    </row>
    <row r="86" spans="1:40" ht="90.75" customHeight="1" x14ac:dyDescent="0.3">
      <c r="A86" s="78" t="s">
        <v>118</v>
      </c>
      <c r="B86" s="295" t="s">
        <v>704</v>
      </c>
      <c r="C86" s="296"/>
      <c r="D86" s="296"/>
      <c r="E86" s="296"/>
      <c r="F86" s="297"/>
      <c r="G86" s="213" t="s">
        <v>705</v>
      </c>
      <c r="H86" s="213"/>
      <c r="I86" s="213"/>
      <c r="J86" s="213"/>
      <c r="K86" s="213"/>
      <c r="L86" s="213" t="s">
        <v>147</v>
      </c>
      <c r="M86" s="213"/>
      <c r="N86" s="213"/>
      <c r="O86" s="213"/>
      <c r="P86" s="213" t="s">
        <v>146</v>
      </c>
      <c r="Q86" s="213"/>
      <c r="R86" s="213"/>
      <c r="S86" s="213"/>
      <c r="T86" s="213" t="s">
        <v>600</v>
      </c>
      <c r="U86" s="213"/>
      <c r="V86" s="213"/>
      <c r="W86" s="213"/>
      <c r="X86" s="213"/>
      <c r="Y86" s="213"/>
      <c r="Z86" s="213"/>
      <c r="AA86" s="213" t="s">
        <v>599</v>
      </c>
      <c r="AB86" s="213"/>
      <c r="AC86" s="213"/>
      <c r="AD86" s="213"/>
      <c r="AE86" s="213"/>
      <c r="AF86" s="213"/>
      <c r="AG86" s="213"/>
      <c r="AH86" s="213" t="s">
        <v>142</v>
      </c>
      <c r="AI86" s="213"/>
      <c r="AJ86" s="213"/>
      <c r="AK86" s="213" t="s">
        <v>148</v>
      </c>
      <c r="AL86" s="213"/>
      <c r="AM86" s="85" t="s">
        <v>175</v>
      </c>
    </row>
    <row r="87" spans="1:40" ht="14.15" customHeight="1" x14ac:dyDescent="0.3">
      <c r="A87" s="78">
        <v>1</v>
      </c>
      <c r="B87" s="295">
        <v>2</v>
      </c>
      <c r="C87" s="296"/>
      <c r="D87" s="296"/>
      <c r="E87" s="296"/>
      <c r="F87" s="296"/>
      <c r="G87" s="295">
        <v>3</v>
      </c>
      <c r="H87" s="296"/>
      <c r="I87" s="296"/>
      <c r="J87" s="296"/>
      <c r="K87" s="297"/>
      <c r="L87" s="295">
        <v>4</v>
      </c>
      <c r="M87" s="296"/>
      <c r="N87" s="296"/>
      <c r="O87" s="297"/>
      <c r="P87" s="295">
        <v>5</v>
      </c>
      <c r="Q87" s="296"/>
      <c r="R87" s="296"/>
      <c r="S87" s="297"/>
      <c r="T87" s="295">
        <v>6</v>
      </c>
      <c r="U87" s="296"/>
      <c r="V87" s="296"/>
      <c r="W87" s="296"/>
      <c r="X87" s="296"/>
      <c r="Y87" s="296"/>
      <c r="Z87" s="297"/>
      <c r="AA87" s="295" t="s">
        <v>711</v>
      </c>
      <c r="AB87" s="296"/>
      <c r="AC87" s="296"/>
      <c r="AD87" s="296"/>
      <c r="AE87" s="296"/>
      <c r="AF87" s="296"/>
      <c r="AG87" s="297"/>
      <c r="AH87" s="295">
        <v>8</v>
      </c>
      <c r="AI87" s="296"/>
      <c r="AJ87" s="297"/>
      <c r="AK87" s="295" t="s">
        <v>601</v>
      </c>
      <c r="AL87" s="297"/>
      <c r="AM87" s="85"/>
    </row>
    <row r="88" spans="1:40" ht="39.5" customHeight="1" x14ac:dyDescent="0.3">
      <c r="A88" s="71">
        <v>1</v>
      </c>
      <c r="B88" s="170"/>
      <c r="C88" s="171"/>
      <c r="D88" s="171"/>
      <c r="E88" s="171"/>
      <c r="F88" s="172"/>
      <c r="G88" s="160"/>
      <c r="H88" s="161"/>
      <c r="I88" s="161"/>
      <c r="J88" s="161"/>
      <c r="K88" s="162"/>
      <c r="L88" s="359"/>
      <c r="M88" s="360"/>
      <c r="N88" s="360"/>
      <c r="O88" s="360"/>
      <c r="P88" s="176">
        <f>IF(OR(B88=Słowniki!A$46,B88=Słowniki!A$56,B88=Słowniki!A$58,B88=Słowniki!A$59),0.08,0.23)</f>
        <v>0.23</v>
      </c>
      <c r="Q88" s="177"/>
      <c r="R88" s="177"/>
      <c r="S88" s="177"/>
      <c r="T88" s="174">
        <v>1</v>
      </c>
      <c r="U88" s="174"/>
      <c r="V88" s="174"/>
      <c r="W88" s="174"/>
      <c r="X88" s="174"/>
      <c r="Y88" s="174"/>
      <c r="Z88" s="175"/>
      <c r="AA88" s="165">
        <f>L88+ROUND(L88*P88*T88,2)</f>
        <v>0</v>
      </c>
      <c r="AB88" s="173"/>
      <c r="AC88" s="173"/>
      <c r="AD88" s="173"/>
      <c r="AE88" s="173"/>
      <c r="AF88" s="173"/>
      <c r="AG88" s="166"/>
      <c r="AH88" s="167">
        <f>AJ$82</f>
        <v>1</v>
      </c>
      <c r="AI88" s="168"/>
      <c r="AJ88" s="169"/>
      <c r="AK88" s="165">
        <f>ROUND(AA88*AH88,2)</f>
        <v>0</v>
      </c>
      <c r="AL88" s="166"/>
      <c r="AN88" s="44"/>
    </row>
    <row r="89" spans="1:40" ht="36" customHeight="1" x14ac:dyDescent="0.3">
      <c r="A89" s="71">
        <v>2</v>
      </c>
      <c r="B89" s="170"/>
      <c r="C89" s="171"/>
      <c r="D89" s="171"/>
      <c r="E89" s="171"/>
      <c r="F89" s="172"/>
      <c r="G89" s="160"/>
      <c r="H89" s="161"/>
      <c r="I89" s="161"/>
      <c r="J89" s="161"/>
      <c r="K89" s="162"/>
      <c r="L89" s="359"/>
      <c r="M89" s="360"/>
      <c r="N89" s="360"/>
      <c r="O89" s="360"/>
      <c r="P89" s="176">
        <f>IF(OR(B89=Słowniki!A$46,B89=Słowniki!A$56,B89=Słowniki!A$58,B89=Słowniki!A$59),0.08,0.23)</f>
        <v>0.23</v>
      </c>
      <c r="Q89" s="177"/>
      <c r="R89" s="177"/>
      <c r="S89" s="177"/>
      <c r="T89" s="174">
        <v>1</v>
      </c>
      <c r="U89" s="174"/>
      <c r="V89" s="174"/>
      <c r="W89" s="174"/>
      <c r="X89" s="174"/>
      <c r="Y89" s="174"/>
      <c r="Z89" s="175"/>
      <c r="AA89" s="165">
        <f t="shared" ref="AA89:AA109" si="0">L89+ROUND(L89*P89*T89,2)</f>
        <v>0</v>
      </c>
      <c r="AB89" s="173"/>
      <c r="AC89" s="173"/>
      <c r="AD89" s="173"/>
      <c r="AE89" s="173"/>
      <c r="AF89" s="173"/>
      <c r="AG89" s="166"/>
      <c r="AH89" s="167">
        <f>AJ$82</f>
        <v>1</v>
      </c>
      <c r="AI89" s="168"/>
      <c r="AJ89" s="169"/>
      <c r="AK89" s="165">
        <f t="shared" ref="AK89:AK109" si="1">ROUND(AA89*AH89,2)</f>
        <v>0</v>
      </c>
      <c r="AL89" s="166"/>
      <c r="AN89" s="44"/>
    </row>
    <row r="90" spans="1:40" ht="36" customHeight="1" x14ac:dyDescent="0.3">
      <c r="A90" s="71">
        <v>3</v>
      </c>
      <c r="B90" s="170"/>
      <c r="C90" s="171"/>
      <c r="D90" s="171"/>
      <c r="E90" s="171"/>
      <c r="F90" s="172"/>
      <c r="G90" s="160"/>
      <c r="H90" s="161"/>
      <c r="I90" s="161"/>
      <c r="J90" s="161"/>
      <c r="K90" s="162"/>
      <c r="L90" s="359"/>
      <c r="M90" s="360"/>
      <c r="N90" s="360"/>
      <c r="O90" s="360"/>
      <c r="P90" s="176">
        <f>IF(OR(B90=Słowniki!A$46,B90=Słowniki!A$56,B90=Słowniki!A$58,B90=Słowniki!A$59),0.08,0.23)</f>
        <v>0.23</v>
      </c>
      <c r="Q90" s="177"/>
      <c r="R90" s="177"/>
      <c r="S90" s="177"/>
      <c r="T90" s="174">
        <v>1</v>
      </c>
      <c r="U90" s="174"/>
      <c r="V90" s="174"/>
      <c r="W90" s="174"/>
      <c r="X90" s="174"/>
      <c r="Y90" s="174"/>
      <c r="Z90" s="175"/>
      <c r="AA90" s="165">
        <f t="shared" si="0"/>
        <v>0</v>
      </c>
      <c r="AB90" s="173"/>
      <c r="AC90" s="173"/>
      <c r="AD90" s="173"/>
      <c r="AE90" s="173"/>
      <c r="AF90" s="173"/>
      <c r="AG90" s="166"/>
      <c r="AH90" s="167">
        <f t="shared" ref="AH89:AH109" si="2">AJ$82</f>
        <v>1</v>
      </c>
      <c r="AI90" s="168"/>
      <c r="AJ90" s="169"/>
      <c r="AK90" s="165">
        <f t="shared" si="1"/>
        <v>0</v>
      </c>
      <c r="AL90" s="166"/>
      <c r="AN90" s="44"/>
    </row>
    <row r="91" spans="1:40" ht="36" customHeight="1" x14ac:dyDescent="0.3">
      <c r="A91" s="71">
        <v>4</v>
      </c>
      <c r="B91" s="170"/>
      <c r="C91" s="171"/>
      <c r="D91" s="171"/>
      <c r="E91" s="171"/>
      <c r="F91" s="172"/>
      <c r="G91" s="160"/>
      <c r="H91" s="161"/>
      <c r="I91" s="161"/>
      <c r="J91" s="161"/>
      <c r="K91" s="162"/>
      <c r="L91" s="359"/>
      <c r="M91" s="360"/>
      <c r="N91" s="360"/>
      <c r="O91" s="360"/>
      <c r="P91" s="176">
        <f>IF(OR(B91=Słowniki!A$46,B91=Słowniki!A$56,B91=Słowniki!A$58,B91=Słowniki!A$59),0.08,0.23)</f>
        <v>0.23</v>
      </c>
      <c r="Q91" s="177"/>
      <c r="R91" s="177"/>
      <c r="S91" s="177"/>
      <c r="T91" s="174">
        <v>1</v>
      </c>
      <c r="U91" s="174"/>
      <c r="V91" s="174"/>
      <c r="W91" s="174"/>
      <c r="X91" s="174"/>
      <c r="Y91" s="174"/>
      <c r="Z91" s="175"/>
      <c r="AA91" s="165">
        <f t="shared" si="0"/>
        <v>0</v>
      </c>
      <c r="AB91" s="173"/>
      <c r="AC91" s="173"/>
      <c r="AD91" s="173"/>
      <c r="AE91" s="173"/>
      <c r="AF91" s="173"/>
      <c r="AG91" s="166"/>
      <c r="AH91" s="167">
        <f t="shared" si="2"/>
        <v>1</v>
      </c>
      <c r="AI91" s="168"/>
      <c r="AJ91" s="169"/>
      <c r="AK91" s="165">
        <f t="shared" si="1"/>
        <v>0</v>
      </c>
      <c r="AL91" s="166"/>
      <c r="AN91" s="44"/>
    </row>
    <row r="92" spans="1:40" ht="36" customHeight="1" x14ac:dyDescent="0.3">
      <c r="A92" s="71">
        <v>5</v>
      </c>
      <c r="B92" s="170"/>
      <c r="C92" s="171"/>
      <c r="D92" s="171"/>
      <c r="E92" s="171"/>
      <c r="F92" s="172"/>
      <c r="G92" s="160"/>
      <c r="H92" s="161"/>
      <c r="I92" s="161"/>
      <c r="J92" s="161"/>
      <c r="K92" s="162"/>
      <c r="L92" s="359"/>
      <c r="M92" s="360"/>
      <c r="N92" s="360"/>
      <c r="O92" s="360"/>
      <c r="P92" s="176">
        <f>IF(OR(B92=Słowniki!A$46,B92=Słowniki!A$56,B92=Słowniki!A$58,B92=Słowniki!A$59),0.08,0.23)</f>
        <v>0.23</v>
      </c>
      <c r="Q92" s="177"/>
      <c r="R92" s="177"/>
      <c r="S92" s="177"/>
      <c r="T92" s="174">
        <v>1</v>
      </c>
      <c r="U92" s="174"/>
      <c r="V92" s="174"/>
      <c r="W92" s="174"/>
      <c r="X92" s="174"/>
      <c r="Y92" s="174"/>
      <c r="Z92" s="175"/>
      <c r="AA92" s="165">
        <f t="shared" si="0"/>
        <v>0</v>
      </c>
      <c r="AB92" s="173"/>
      <c r="AC92" s="173"/>
      <c r="AD92" s="173"/>
      <c r="AE92" s="173"/>
      <c r="AF92" s="173"/>
      <c r="AG92" s="166"/>
      <c r="AH92" s="167">
        <f t="shared" si="2"/>
        <v>1</v>
      </c>
      <c r="AI92" s="168"/>
      <c r="AJ92" s="169"/>
      <c r="AK92" s="165">
        <f t="shared" si="1"/>
        <v>0</v>
      </c>
      <c r="AL92" s="166"/>
      <c r="AN92" s="44"/>
    </row>
    <row r="93" spans="1:40" ht="36" customHeight="1" x14ac:dyDescent="0.3">
      <c r="A93" s="71">
        <v>6</v>
      </c>
      <c r="B93" s="170"/>
      <c r="C93" s="171"/>
      <c r="D93" s="171"/>
      <c r="E93" s="171"/>
      <c r="F93" s="172"/>
      <c r="G93" s="160"/>
      <c r="H93" s="161"/>
      <c r="I93" s="161"/>
      <c r="J93" s="161"/>
      <c r="K93" s="162"/>
      <c r="L93" s="359"/>
      <c r="M93" s="360"/>
      <c r="N93" s="360"/>
      <c r="O93" s="360"/>
      <c r="P93" s="176">
        <f>IF(OR(B93=Słowniki!A$46,B93=Słowniki!A$56,B93=Słowniki!A$58,B93=Słowniki!A$59),0.08,0.23)</f>
        <v>0.23</v>
      </c>
      <c r="Q93" s="177"/>
      <c r="R93" s="177"/>
      <c r="S93" s="177"/>
      <c r="T93" s="174">
        <v>1</v>
      </c>
      <c r="U93" s="174"/>
      <c r="V93" s="174"/>
      <c r="W93" s="174"/>
      <c r="X93" s="174"/>
      <c r="Y93" s="174"/>
      <c r="Z93" s="175"/>
      <c r="AA93" s="165">
        <f t="shared" si="0"/>
        <v>0</v>
      </c>
      <c r="AB93" s="173"/>
      <c r="AC93" s="173"/>
      <c r="AD93" s="173"/>
      <c r="AE93" s="173"/>
      <c r="AF93" s="173"/>
      <c r="AG93" s="166"/>
      <c r="AH93" s="167">
        <f t="shared" si="2"/>
        <v>1</v>
      </c>
      <c r="AI93" s="168"/>
      <c r="AJ93" s="169"/>
      <c r="AK93" s="165">
        <f t="shared" si="1"/>
        <v>0</v>
      </c>
      <c r="AL93" s="166"/>
      <c r="AN93" s="44"/>
    </row>
    <row r="94" spans="1:40" ht="36" customHeight="1" x14ac:dyDescent="0.3">
      <c r="A94" s="71">
        <v>7</v>
      </c>
      <c r="B94" s="170"/>
      <c r="C94" s="171"/>
      <c r="D94" s="171"/>
      <c r="E94" s="171"/>
      <c r="F94" s="172"/>
      <c r="G94" s="160"/>
      <c r="H94" s="161"/>
      <c r="I94" s="161"/>
      <c r="J94" s="161"/>
      <c r="K94" s="162"/>
      <c r="L94" s="359"/>
      <c r="M94" s="360"/>
      <c r="N94" s="360"/>
      <c r="O94" s="360"/>
      <c r="P94" s="176">
        <f>IF(OR(B94=Słowniki!A$46,B94=Słowniki!A$56,B94=Słowniki!A$58,B94=Słowniki!A$59),0.08,0.23)</f>
        <v>0.23</v>
      </c>
      <c r="Q94" s="177"/>
      <c r="R94" s="177"/>
      <c r="S94" s="177"/>
      <c r="T94" s="174">
        <v>1</v>
      </c>
      <c r="U94" s="174"/>
      <c r="V94" s="174"/>
      <c r="W94" s="174"/>
      <c r="X94" s="174"/>
      <c r="Y94" s="174"/>
      <c r="Z94" s="175"/>
      <c r="AA94" s="165">
        <f t="shared" si="0"/>
        <v>0</v>
      </c>
      <c r="AB94" s="173"/>
      <c r="AC94" s="173"/>
      <c r="AD94" s="173"/>
      <c r="AE94" s="173"/>
      <c r="AF94" s="173"/>
      <c r="AG94" s="166"/>
      <c r="AH94" s="167">
        <f t="shared" si="2"/>
        <v>1</v>
      </c>
      <c r="AI94" s="168"/>
      <c r="AJ94" s="169"/>
      <c r="AK94" s="165">
        <f t="shared" si="1"/>
        <v>0</v>
      </c>
      <c r="AL94" s="166"/>
      <c r="AN94" s="44"/>
    </row>
    <row r="95" spans="1:40" ht="36" customHeight="1" x14ac:dyDescent="0.3">
      <c r="A95" s="71">
        <v>8</v>
      </c>
      <c r="B95" s="170"/>
      <c r="C95" s="171"/>
      <c r="D95" s="171"/>
      <c r="E95" s="171"/>
      <c r="F95" s="172"/>
      <c r="G95" s="160"/>
      <c r="H95" s="161"/>
      <c r="I95" s="161"/>
      <c r="J95" s="161"/>
      <c r="K95" s="162"/>
      <c r="L95" s="359"/>
      <c r="M95" s="360"/>
      <c r="N95" s="360"/>
      <c r="O95" s="360"/>
      <c r="P95" s="176">
        <f>IF(OR(B95=Słowniki!A$46,B95=Słowniki!A$56,B95=Słowniki!A$58,B95=Słowniki!A$59),0.08,0.23)</f>
        <v>0.23</v>
      </c>
      <c r="Q95" s="177"/>
      <c r="R95" s="177"/>
      <c r="S95" s="177"/>
      <c r="T95" s="174">
        <v>1</v>
      </c>
      <c r="U95" s="174"/>
      <c r="V95" s="174"/>
      <c r="W95" s="174"/>
      <c r="X95" s="174"/>
      <c r="Y95" s="174"/>
      <c r="Z95" s="175"/>
      <c r="AA95" s="165">
        <f t="shared" si="0"/>
        <v>0</v>
      </c>
      <c r="AB95" s="173"/>
      <c r="AC95" s="173"/>
      <c r="AD95" s="173"/>
      <c r="AE95" s="173"/>
      <c r="AF95" s="173"/>
      <c r="AG95" s="166"/>
      <c r="AH95" s="167">
        <f t="shared" si="2"/>
        <v>1</v>
      </c>
      <c r="AI95" s="168"/>
      <c r="AJ95" s="169"/>
      <c r="AK95" s="165">
        <f t="shared" si="1"/>
        <v>0</v>
      </c>
      <c r="AL95" s="166"/>
      <c r="AN95" s="44"/>
    </row>
    <row r="96" spans="1:40" ht="36" customHeight="1" x14ac:dyDescent="0.3">
      <c r="A96" s="71">
        <v>9</v>
      </c>
      <c r="B96" s="170"/>
      <c r="C96" s="171"/>
      <c r="D96" s="171"/>
      <c r="E96" s="171"/>
      <c r="F96" s="172"/>
      <c r="G96" s="160"/>
      <c r="H96" s="161"/>
      <c r="I96" s="161"/>
      <c r="J96" s="161"/>
      <c r="K96" s="162"/>
      <c r="L96" s="359"/>
      <c r="M96" s="360"/>
      <c r="N96" s="360"/>
      <c r="O96" s="360"/>
      <c r="P96" s="176">
        <f>IF(OR(B96=Słowniki!A$46,B96=Słowniki!A$56,B96=Słowniki!A$58,B96=Słowniki!A$59),0.08,0.23)</f>
        <v>0.23</v>
      </c>
      <c r="Q96" s="177"/>
      <c r="R96" s="177"/>
      <c r="S96" s="177"/>
      <c r="T96" s="174">
        <v>1</v>
      </c>
      <c r="U96" s="174"/>
      <c r="V96" s="174"/>
      <c r="W96" s="174"/>
      <c r="X96" s="174"/>
      <c r="Y96" s="174"/>
      <c r="Z96" s="175"/>
      <c r="AA96" s="165">
        <f t="shared" si="0"/>
        <v>0</v>
      </c>
      <c r="AB96" s="173"/>
      <c r="AC96" s="173"/>
      <c r="AD96" s="173"/>
      <c r="AE96" s="173"/>
      <c r="AF96" s="173"/>
      <c r="AG96" s="166"/>
      <c r="AH96" s="167">
        <f t="shared" si="2"/>
        <v>1</v>
      </c>
      <c r="AI96" s="168"/>
      <c r="AJ96" s="169"/>
      <c r="AK96" s="165">
        <f t="shared" si="1"/>
        <v>0</v>
      </c>
      <c r="AL96" s="166"/>
      <c r="AN96" s="44"/>
    </row>
    <row r="97" spans="1:40" ht="36" customHeight="1" x14ac:dyDescent="0.3">
      <c r="A97" s="71">
        <v>10</v>
      </c>
      <c r="B97" s="170"/>
      <c r="C97" s="171"/>
      <c r="D97" s="171"/>
      <c r="E97" s="171"/>
      <c r="F97" s="172"/>
      <c r="G97" s="160"/>
      <c r="H97" s="161"/>
      <c r="I97" s="161"/>
      <c r="J97" s="161"/>
      <c r="K97" s="162"/>
      <c r="L97" s="359"/>
      <c r="M97" s="360"/>
      <c r="N97" s="360"/>
      <c r="O97" s="360"/>
      <c r="P97" s="176">
        <f>IF(OR(B97=Słowniki!A$46,B97=Słowniki!A$56,B97=Słowniki!A$58,B97=Słowniki!A$59),0.08,0.23)</f>
        <v>0.23</v>
      </c>
      <c r="Q97" s="177"/>
      <c r="R97" s="177"/>
      <c r="S97" s="177"/>
      <c r="T97" s="174">
        <v>1</v>
      </c>
      <c r="U97" s="174"/>
      <c r="V97" s="174"/>
      <c r="W97" s="174"/>
      <c r="X97" s="174"/>
      <c r="Y97" s="174"/>
      <c r="Z97" s="175"/>
      <c r="AA97" s="165">
        <f>L97+ROUND(L97*P97*T97,2)</f>
        <v>0</v>
      </c>
      <c r="AB97" s="173"/>
      <c r="AC97" s="173"/>
      <c r="AD97" s="173"/>
      <c r="AE97" s="173"/>
      <c r="AF97" s="173"/>
      <c r="AG97" s="166"/>
      <c r="AH97" s="167">
        <f t="shared" si="2"/>
        <v>1</v>
      </c>
      <c r="AI97" s="168"/>
      <c r="AJ97" s="169"/>
      <c r="AK97" s="165">
        <f t="shared" si="1"/>
        <v>0</v>
      </c>
      <c r="AL97" s="166"/>
      <c r="AN97" s="44"/>
    </row>
    <row r="98" spans="1:40" ht="36" customHeight="1" x14ac:dyDescent="0.3">
      <c r="A98" s="71">
        <v>11</v>
      </c>
      <c r="B98" s="170"/>
      <c r="C98" s="171"/>
      <c r="D98" s="171"/>
      <c r="E98" s="171"/>
      <c r="F98" s="172"/>
      <c r="G98" s="160"/>
      <c r="H98" s="161"/>
      <c r="I98" s="161"/>
      <c r="J98" s="161"/>
      <c r="K98" s="162"/>
      <c r="L98" s="359"/>
      <c r="M98" s="360"/>
      <c r="N98" s="360"/>
      <c r="O98" s="360"/>
      <c r="P98" s="176">
        <f>IF(OR(B98=Słowniki!A$46,B98=Słowniki!A$56,B98=Słowniki!A$58,B98=Słowniki!A$59),0.08,0.23)</f>
        <v>0.23</v>
      </c>
      <c r="Q98" s="177"/>
      <c r="R98" s="177"/>
      <c r="S98" s="177"/>
      <c r="T98" s="174">
        <v>1</v>
      </c>
      <c r="U98" s="174"/>
      <c r="V98" s="174"/>
      <c r="W98" s="174"/>
      <c r="X98" s="174"/>
      <c r="Y98" s="174"/>
      <c r="Z98" s="175"/>
      <c r="AA98" s="165">
        <f t="shared" si="0"/>
        <v>0</v>
      </c>
      <c r="AB98" s="173"/>
      <c r="AC98" s="173"/>
      <c r="AD98" s="173"/>
      <c r="AE98" s="173"/>
      <c r="AF98" s="173"/>
      <c r="AG98" s="166"/>
      <c r="AH98" s="167">
        <f t="shared" si="2"/>
        <v>1</v>
      </c>
      <c r="AI98" s="168"/>
      <c r="AJ98" s="169"/>
      <c r="AK98" s="165">
        <f t="shared" si="1"/>
        <v>0</v>
      </c>
      <c r="AL98" s="166"/>
      <c r="AN98" s="44"/>
    </row>
    <row r="99" spans="1:40" ht="36" customHeight="1" x14ac:dyDescent="0.3">
      <c r="A99" s="71">
        <v>12</v>
      </c>
      <c r="B99" s="170"/>
      <c r="C99" s="171"/>
      <c r="D99" s="171"/>
      <c r="E99" s="171"/>
      <c r="F99" s="172"/>
      <c r="G99" s="160"/>
      <c r="H99" s="161"/>
      <c r="I99" s="161"/>
      <c r="J99" s="161"/>
      <c r="K99" s="162"/>
      <c r="L99" s="359"/>
      <c r="M99" s="360"/>
      <c r="N99" s="360"/>
      <c r="O99" s="360"/>
      <c r="P99" s="176">
        <f>IF(OR(B99=Słowniki!A$46,B99=Słowniki!A$56,B99=Słowniki!A$58,B99=Słowniki!A$59),0.08,0.23)</f>
        <v>0.23</v>
      </c>
      <c r="Q99" s="177"/>
      <c r="R99" s="177"/>
      <c r="S99" s="177"/>
      <c r="T99" s="174">
        <v>1</v>
      </c>
      <c r="U99" s="174"/>
      <c r="V99" s="174"/>
      <c r="W99" s="174"/>
      <c r="X99" s="174"/>
      <c r="Y99" s="174"/>
      <c r="Z99" s="175"/>
      <c r="AA99" s="165">
        <f t="shared" si="0"/>
        <v>0</v>
      </c>
      <c r="AB99" s="173"/>
      <c r="AC99" s="173"/>
      <c r="AD99" s="173"/>
      <c r="AE99" s="173"/>
      <c r="AF99" s="173"/>
      <c r="AG99" s="166"/>
      <c r="AH99" s="167">
        <f t="shared" si="2"/>
        <v>1</v>
      </c>
      <c r="AI99" s="168"/>
      <c r="AJ99" s="169"/>
      <c r="AK99" s="165">
        <f t="shared" si="1"/>
        <v>0</v>
      </c>
      <c r="AL99" s="166"/>
      <c r="AN99" s="44"/>
    </row>
    <row r="100" spans="1:40" ht="36" customHeight="1" x14ac:dyDescent="0.3">
      <c r="A100" s="71">
        <v>13</v>
      </c>
      <c r="B100" s="170"/>
      <c r="C100" s="171"/>
      <c r="D100" s="171"/>
      <c r="E100" s="171"/>
      <c r="F100" s="172"/>
      <c r="G100" s="160"/>
      <c r="H100" s="161"/>
      <c r="I100" s="161"/>
      <c r="J100" s="161"/>
      <c r="K100" s="162"/>
      <c r="L100" s="359"/>
      <c r="M100" s="360"/>
      <c r="N100" s="360"/>
      <c r="O100" s="360"/>
      <c r="P100" s="176">
        <f>IF(OR(B100=Słowniki!A$46,B100=Słowniki!A$56,B100=Słowniki!A$58,B100=Słowniki!A$59),0.08,0.23)</f>
        <v>0.23</v>
      </c>
      <c r="Q100" s="177"/>
      <c r="R100" s="177"/>
      <c r="S100" s="177"/>
      <c r="T100" s="174">
        <v>1</v>
      </c>
      <c r="U100" s="174"/>
      <c r="V100" s="174"/>
      <c r="W100" s="174"/>
      <c r="X100" s="174"/>
      <c r="Y100" s="174"/>
      <c r="Z100" s="175"/>
      <c r="AA100" s="165">
        <f t="shared" si="0"/>
        <v>0</v>
      </c>
      <c r="AB100" s="173"/>
      <c r="AC100" s="173"/>
      <c r="AD100" s="173"/>
      <c r="AE100" s="173"/>
      <c r="AF100" s="173"/>
      <c r="AG100" s="166"/>
      <c r="AH100" s="167">
        <f t="shared" si="2"/>
        <v>1</v>
      </c>
      <c r="AI100" s="168"/>
      <c r="AJ100" s="169"/>
      <c r="AK100" s="165">
        <f t="shared" si="1"/>
        <v>0</v>
      </c>
      <c r="AL100" s="166"/>
      <c r="AN100" s="44"/>
    </row>
    <row r="101" spans="1:40" ht="36" customHeight="1" x14ac:dyDescent="0.3">
      <c r="A101" s="71">
        <v>14</v>
      </c>
      <c r="B101" s="170"/>
      <c r="C101" s="171"/>
      <c r="D101" s="171"/>
      <c r="E101" s="171"/>
      <c r="F101" s="172"/>
      <c r="G101" s="160"/>
      <c r="H101" s="161"/>
      <c r="I101" s="161"/>
      <c r="J101" s="161"/>
      <c r="K101" s="162"/>
      <c r="L101" s="359"/>
      <c r="M101" s="360"/>
      <c r="N101" s="360"/>
      <c r="O101" s="360"/>
      <c r="P101" s="176">
        <f>IF(OR(B101=Słowniki!A$46,B101=Słowniki!A$56,B101=Słowniki!A$58,B101=Słowniki!A$59),0.08,0.23)</f>
        <v>0.23</v>
      </c>
      <c r="Q101" s="177"/>
      <c r="R101" s="177"/>
      <c r="S101" s="177"/>
      <c r="T101" s="174">
        <v>1</v>
      </c>
      <c r="U101" s="174"/>
      <c r="V101" s="174"/>
      <c r="W101" s="174"/>
      <c r="X101" s="174"/>
      <c r="Y101" s="174"/>
      <c r="Z101" s="175"/>
      <c r="AA101" s="165">
        <f t="shared" si="0"/>
        <v>0</v>
      </c>
      <c r="AB101" s="173"/>
      <c r="AC101" s="173"/>
      <c r="AD101" s="173"/>
      <c r="AE101" s="173"/>
      <c r="AF101" s="173"/>
      <c r="AG101" s="166"/>
      <c r="AH101" s="167">
        <f t="shared" si="2"/>
        <v>1</v>
      </c>
      <c r="AI101" s="168"/>
      <c r="AJ101" s="169"/>
      <c r="AK101" s="165">
        <f t="shared" si="1"/>
        <v>0</v>
      </c>
      <c r="AL101" s="166"/>
      <c r="AN101" s="44"/>
    </row>
    <row r="102" spans="1:40" ht="36" customHeight="1" x14ac:dyDescent="0.3">
      <c r="A102" s="71">
        <v>15</v>
      </c>
      <c r="B102" s="170"/>
      <c r="C102" s="171"/>
      <c r="D102" s="171"/>
      <c r="E102" s="171"/>
      <c r="F102" s="172"/>
      <c r="G102" s="160"/>
      <c r="H102" s="161"/>
      <c r="I102" s="161"/>
      <c r="J102" s="161"/>
      <c r="K102" s="162"/>
      <c r="L102" s="359"/>
      <c r="M102" s="360"/>
      <c r="N102" s="360"/>
      <c r="O102" s="360"/>
      <c r="P102" s="176">
        <f>IF(OR(B102=Słowniki!A$46,B102=Słowniki!A$56,B102=Słowniki!A$58,B102=Słowniki!A$59),0.08,0.23)</f>
        <v>0.23</v>
      </c>
      <c r="Q102" s="177"/>
      <c r="R102" s="177"/>
      <c r="S102" s="177"/>
      <c r="T102" s="174">
        <v>1</v>
      </c>
      <c r="U102" s="174"/>
      <c r="V102" s="174"/>
      <c r="W102" s="174"/>
      <c r="X102" s="174"/>
      <c r="Y102" s="174"/>
      <c r="Z102" s="175"/>
      <c r="AA102" s="165">
        <f t="shared" si="0"/>
        <v>0</v>
      </c>
      <c r="AB102" s="173"/>
      <c r="AC102" s="173"/>
      <c r="AD102" s="173"/>
      <c r="AE102" s="173"/>
      <c r="AF102" s="173"/>
      <c r="AG102" s="166"/>
      <c r="AH102" s="167">
        <f t="shared" si="2"/>
        <v>1</v>
      </c>
      <c r="AI102" s="168"/>
      <c r="AJ102" s="169"/>
      <c r="AK102" s="165">
        <f t="shared" si="1"/>
        <v>0</v>
      </c>
      <c r="AL102" s="166"/>
      <c r="AN102" s="44"/>
    </row>
    <row r="103" spans="1:40" ht="36" customHeight="1" x14ac:dyDescent="0.3">
      <c r="A103" s="71">
        <v>16</v>
      </c>
      <c r="B103" s="170"/>
      <c r="C103" s="171"/>
      <c r="D103" s="171"/>
      <c r="E103" s="171"/>
      <c r="F103" s="172"/>
      <c r="G103" s="160"/>
      <c r="H103" s="161"/>
      <c r="I103" s="161"/>
      <c r="J103" s="161"/>
      <c r="K103" s="162"/>
      <c r="L103" s="359"/>
      <c r="M103" s="360"/>
      <c r="N103" s="360"/>
      <c r="O103" s="360"/>
      <c r="P103" s="176">
        <f>IF(OR(B103=Słowniki!A$46,B103=Słowniki!A$56,B103=Słowniki!A$58,B103=Słowniki!A$59),0.08,0.23)</f>
        <v>0.23</v>
      </c>
      <c r="Q103" s="177"/>
      <c r="R103" s="177"/>
      <c r="S103" s="177"/>
      <c r="T103" s="174">
        <v>1</v>
      </c>
      <c r="U103" s="174"/>
      <c r="V103" s="174"/>
      <c r="W103" s="174"/>
      <c r="X103" s="174"/>
      <c r="Y103" s="174"/>
      <c r="Z103" s="175"/>
      <c r="AA103" s="165">
        <f t="shared" si="0"/>
        <v>0</v>
      </c>
      <c r="AB103" s="173"/>
      <c r="AC103" s="173"/>
      <c r="AD103" s="173"/>
      <c r="AE103" s="173"/>
      <c r="AF103" s="173"/>
      <c r="AG103" s="166"/>
      <c r="AH103" s="167">
        <f t="shared" si="2"/>
        <v>1</v>
      </c>
      <c r="AI103" s="168"/>
      <c r="AJ103" s="169"/>
      <c r="AK103" s="165">
        <f t="shared" si="1"/>
        <v>0</v>
      </c>
      <c r="AL103" s="166"/>
      <c r="AN103" s="44"/>
    </row>
    <row r="104" spans="1:40" ht="36" customHeight="1" x14ac:dyDescent="0.3">
      <c r="A104" s="71">
        <v>17</v>
      </c>
      <c r="B104" s="170"/>
      <c r="C104" s="171"/>
      <c r="D104" s="171"/>
      <c r="E104" s="171"/>
      <c r="F104" s="172"/>
      <c r="G104" s="160"/>
      <c r="H104" s="161"/>
      <c r="I104" s="161"/>
      <c r="J104" s="161"/>
      <c r="K104" s="162"/>
      <c r="L104" s="359"/>
      <c r="M104" s="360"/>
      <c r="N104" s="360"/>
      <c r="O104" s="360"/>
      <c r="P104" s="176">
        <f>IF(OR(B104=Słowniki!A$46,B104=Słowniki!A$56,B104=Słowniki!A$58,B104=Słowniki!A$59),0.08,0.23)</f>
        <v>0.23</v>
      </c>
      <c r="Q104" s="177"/>
      <c r="R104" s="177"/>
      <c r="S104" s="177"/>
      <c r="T104" s="174">
        <v>1</v>
      </c>
      <c r="U104" s="174"/>
      <c r="V104" s="174"/>
      <c r="W104" s="174"/>
      <c r="X104" s="174"/>
      <c r="Y104" s="174"/>
      <c r="Z104" s="175"/>
      <c r="AA104" s="165">
        <f t="shared" si="0"/>
        <v>0</v>
      </c>
      <c r="AB104" s="173"/>
      <c r="AC104" s="173"/>
      <c r="AD104" s="173"/>
      <c r="AE104" s="173"/>
      <c r="AF104" s="173"/>
      <c r="AG104" s="166"/>
      <c r="AH104" s="167">
        <f t="shared" si="2"/>
        <v>1</v>
      </c>
      <c r="AI104" s="168"/>
      <c r="AJ104" s="169"/>
      <c r="AK104" s="165">
        <f t="shared" si="1"/>
        <v>0</v>
      </c>
      <c r="AL104" s="166"/>
      <c r="AN104" s="44"/>
    </row>
    <row r="105" spans="1:40" ht="36" customHeight="1" x14ac:dyDescent="0.3">
      <c r="A105" s="71">
        <v>18</v>
      </c>
      <c r="B105" s="170"/>
      <c r="C105" s="171"/>
      <c r="D105" s="171"/>
      <c r="E105" s="171"/>
      <c r="F105" s="172"/>
      <c r="G105" s="160"/>
      <c r="H105" s="161"/>
      <c r="I105" s="161"/>
      <c r="J105" s="161"/>
      <c r="K105" s="162"/>
      <c r="L105" s="359"/>
      <c r="M105" s="360"/>
      <c r="N105" s="360"/>
      <c r="O105" s="360"/>
      <c r="P105" s="176">
        <f>IF(OR(B105=Słowniki!A$46,B105=Słowniki!A$56,B105=Słowniki!A$58,B105=Słowniki!A$59),0.08,0.23)</f>
        <v>0.23</v>
      </c>
      <c r="Q105" s="177"/>
      <c r="R105" s="177"/>
      <c r="S105" s="177"/>
      <c r="T105" s="174">
        <v>1</v>
      </c>
      <c r="U105" s="174"/>
      <c r="V105" s="174"/>
      <c r="W105" s="174"/>
      <c r="X105" s="174"/>
      <c r="Y105" s="174"/>
      <c r="Z105" s="175"/>
      <c r="AA105" s="165">
        <f t="shared" si="0"/>
        <v>0</v>
      </c>
      <c r="AB105" s="173"/>
      <c r="AC105" s="173"/>
      <c r="AD105" s="173"/>
      <c r="AE105" s="173"/>
      <c r="AF105" s="173"/>
      <c r="AG105" s="166"/>
      <c r="AH105" s="167">
        <f t="shared" si="2"/>
        <v>1</v>
      </c>
      <c r="AI105" s="168"/>
      <c r="AJ105" s="169"/>
      <c r="AK105" s="165">
        <f t="shared" si="1"/>
        <v>0</v>
      </c>
      <c r="AL105" s="166"/>
      <c r="AN105" s="44"/>
    </row>
    <row r="106" spans="1:40" ht="36" customHeight="1" x14ac:dyDescent="0.3">
      <c r="A106" s="71">
        <v>19</v>
      </c>
      <c r="B106" s="170"/>
      <c r="C106" s="171"/>
      <c r="D106" s="171"/>
      <c r="E106" s="171"/>
      <c r="F106" s="172"/>
      <c r="G106" s="160"/>
      <c r="H106" s="161"/>
      <c r="I106" s="161"/>
      <c r="J106" s="161"/>
      <c r="K106" s="162"/>
      <c r="L106" s="359"/>
      <c r="M106" s="360"/>
      <c r="N106" s="360"/>
      <c r="O106" s="360"/>
      <c r="P106" s="176">
        <f>IF(OR(B106=Słowniki!A$46,B106=Słowniki!A$56,B106=Słowniki!A$58,B106=Słowniki!A$59),0.08,0.23)</f>
        <v>0.23</v>
      </c>
      <c r="Q106" s="177"/>
      <c r="R106" s="177"/>
      <c r="S106" s="177"/>
      <c r="T106" s="174">
        <v>1</v>
      </c>
      <c r="U106" s="174"/>
      <c r="V106" s="174"/>
      <c r="W106" s="174"/>
      <c r="X106" s="174"/>
      <c r="Y106" s="174"/>
      <c r="Z106" s="175"/>
      <c r="AA106" s="165">
        <f t="shared" si="0"/>
        <v>0</v>
      </c>
      <c r="AB106" s="173"/>
      <c r="AC106" s="173"/>
      <c r="AD106" s="173"/>
      <c r="AE106" s="173"/>
      <c r="AF106" s="173"/>
      <c r="AG106" s="166"/>
      <c r="AH106" s="167">
        <f t="shared" si="2"/>
        <v>1</v>
      </c>
      <c r="AI106" s="168"/>
      <c r="AJ106" s="169"/>
      <c r="AK106" s="165">
        <f t="shared" si="1"/>
        <v>0</v>
      </c>
      <c r="AL106" s="166"/>
      <c r="AN106" s="44"/>
    </row>
    <row r="107" spans="1:40" ht="36" customHeight="1" x14ac:dyDescent="0.3">
      <c r="A107" s="71">
        <v>20</v>
      </c>
      <c r="B107" s="170"/>
      <c r="C107" s="171"/>
      <c r="D107" s="171"/>
      <c r="E107" s="171"/>
      <c r="F107" s="172"/>
      <c r="G107" s="160"/>
      <c r="H107" s="161"/>
      <c r="I107" s="161"/>
      <c r="J107" s="161"/>
      <c r="K107" s="162"/>
      <c r="L107" s="359"/>
      <c r="M107" s="360"/>
      <c r="N107" s="360"/>
      <c r="O107" s="360"/>
      <c r="P107" s="176">
        <f>IF(OR(B107=Słowniki!A$46,B107=Słowniki!A$56,B107=Słowniki!A$58,B107=Słowniki!A$59),0.08,0.23)</f>
        <v>0.23</v>
      </c>
      <c r="Q107" s="177"/>
      <c r="R107" s="177"/>
      <c r="S107" s="177"/>
      <c r="T107" s="174">
        <v>1</v>
      </c>
      <c r="U107" s="174"/>
      <c r="V107" s="174"/>
      <c r="W107" s="174"/>
      <c r="X107" s="174"/>
      <c r="Y107" s="174"/>
      <c r="Z107" s="175"/>
      <c r="AA107" s="165">
        <f t="shared" si="0"/>
        <v>0</v>
      </c>
      <c r="AB107" s="173"/>
      <c r="AC107" s="173"/>
      <c r="AD107" s="173"/>
      <c r="AE107" s="173"/>
      <c r="AF107" s="173"/>
      <c r="AG107" s="166"/>
      <c r="AH107" s="167">
        <f t="shared" si="2"/>
        <v>1</v>
      </c>
      <c r="AI107" s="168"/>
      <c r="AJ107" s="169"/>
      <c r="AK107" s="165">
        <f t="shared" si="1"/>
        <v>0</v>
      </c>
      <c r="AL107" s="166"/>
      <c r="AN107" s="44"/>
    </row>
    <row r="108" spans="1:40" ht="36" customHeight="1" x14ac:dyDescent="0.3">
      <c r="A108" s="71">
        <v>21</v>
      </c>
      <c r="B108" s="170"/>
      <c r="C108" s="171"/>
      <c r="D108" s="171"/>
      <c r="E108" s="171"/>
      <c r="F108" s="172"/>
      <c r="G108" s="160"/>
      <c r="H108" s="161"/>
      <c r="I108" s="161"/>
      <c r="J108" s="161"/>
      <c r="K108" s="162"/>
      <c r="L108" s="359"/>
      <c r="M108" s="360"/>
      <c r="N108" s="360"/>
      <c r="O108" s="360"/>
      <c r="P108" s="176">
        <f>IF(OR(B108=Słowniki!A$46,B108=Słowniki!A$56,B108=Słowniki!A$58,B108=Słowniki!A$59),0.08,0.23)</f>
        <v>0.23</v>
      </c>
      <c r="Q108" s="177"/>
      <c r="R108" s="177"/>
      <c r="S108" s="177"/>
      <c r="T108" s="174">
        <v>1</v>
      </c>
      <c r="U108" s="174"/>
      <c r="V108" s="174"/>
      <c r="W108" s="174"/>
      <c r="X108" s="174"/>
      <c r="Y108" s="174"/>
      <c r="Z108" s="175"/>
      <c r="AA108" s="165">
        <f t="shared" si="0"/>
        <v>0</v>
      </c>
      <c r="AB108" s="173"/>
      <c r="AC108" s="173"/>
      <c r="AD108" s="173"/>
      <c r="AE108" s="173"/>
      <c r="AF108" s="173"/>
      <c r="AG108" s="166"/>
      <c r="AH108" s="167">
        <f t="shared" si="2"/>
        <v>1</v>
      </c>
      <c r="AI108" s="168"/>
      <c r="AJ108" s="169"/>
      <c r="AK108" s="165">
        <f t="shared" si="1"/>
        <v>0</v>
      </c>
      <c r="AL108" s="166"/>
      <c r="AN108" s="44"/>
    </row>
    <row r="109" spans="1:40" ht="36" customHeight="1" x14ac:dyDescent="0.3">
      <c r="A109" s="71">
        <v>22</v>
      </c>
      <c r="B109" s="170"/>
      <c r="C109" s="171"/>
      <c r="D109" s="171"/>
      <c r="E109" s="171"/>
      <c r="F109" s="172"/>
      <c r="G109" s="160"/>
      <c r="H109" s="161"/>
      <c r="I109" s="161"/>
      <c r="J109" s="161"/>
      <c r="K109" s="162"/>
      <c r="L109" s="359"/>
      <c r="M109" s="360"/>
      <c r="N109" s="360"/>
      <c r="O109" s="360"/>
      <c r="P109" s="176">
        <f>IF(OR(B109=Słowniki!A$46,B109=Słowniki!A$56,B109=Słowniki!A$58,B109=Słowniki!A$59),0.08,0.23)</f>
        <v>0.23</v>
      </c>
      <c r="Q109" s="177"/>
      <c r="R109" s="177"/>
      <c r="S109" s="177"/>
      <c r="T109" s="174">
        <v>1</v>
      </c>
      <c r="U109" s="174"/>
      <c r="V109" s="174"/>
      <c r="W109" s="174"/>
      <c r="X109" s="174"/>
      <c r="Y109" s="174"/>
      <c r="Z109" s="175"/>
      <c r="AA109" s="165">
        <f t="shared" si="0"/>
        <v>0</v>
      </c>
      <c r="AB109" s="173"/>
      <c r="AC109" s="173"/>
      <c r="AD109" s="173"/>
      <c r="AE109" s="173"/>
      <c r="AF109" s="173"/>
      <c r="AG109" s="166"/>
      <c r="AH109" s="167">
        <f t="shared" si="2"/>
        <v>1</v>
      </c>
      <c r="AI109" s="168"/>
      <c r="AJ109" s="169"/>
      <c r="AK109" s="165">
        <f t="shared" si="1"/>
        <v>0</v>
      </c>
      <c r="AL109" s="166"/>
      <c r="AN109" s="44"/>
    </row>
    <row r="110" spans="1:40" ht="36" customHeight="1" x14ac:dyDescent="0.3">
      <c r="A110" s="71">
        <v>23</v>
      </c>
      <c r="B110" s="193" t="s">
        <v>119</v>
      </c>
      <c r="C110" s="194"/>
      <c r="D110" s="194"/>
      <c r="E110" s="194"/>
      <c r="F110" s="194"/>
      <c r="G110" s="194"/>
      <c r="H110" s="194"/>
      <c r="I110" s="194"/>
      <c r="J110" s="194"/>
      <c r="K110" s="194"/>
      <c r="L110" s="361">
        <f>SUM(L88:O109)</f>
        <v>0</v>
      </c>
      <c r="M110" s="361"/>
      <c r="N110" s="361"/>
      <c r="O110" s="362"/>
      <c r="P110" s="187" t="s">
        <v>120</v>
      </c>
      <c r="Q110" s="187"/>
      <c r="R110" s="187"/>
      <c r="S110" s="187"/>
      <c r="T110" s="190" t="s">
        <v>120</v>
      </c>
      <c r="U110" s="190"/>
      <c r="V110" s="190"/>
      <c r="W110" s="190"/>
      <c r="X110" s="190"/>
      <c r="Y110" s="190"/>
      <c r="Z110" s="190"/>
      <c r="AA110" s="356">
        <f>SUM(AA88:AG109)</f>
        <v>0</v>
      </c>
      <c r="AB110" s="356"/>
      <c r="AC110" s="356"/>
      <c r="AD110" s="356"/>
      <c r="AE110" s="356"/>
      <c r="AF110" s="356"/>
      <c r="AG110" s="356"/>
      <c r="AH110" s="189" t="s">
        <v>120</v>
      </c>
      <c r="AI110" s="189"/>
      <c r="AJ110" s="189"/>
      <c r="AK110" s="178">
        <f>ROUND(SUM(AK88:AL109),2)</f>
        <v>0</v>
      </c>
      <c r="AL110" s="178"/>
      <c r="AN110" s="44"/>
    </row>
    <row r="111" spans="1:40" ht="96" customHeight="1" x14ac:dyDescent="0.3">
      <c r="A111" s="179" t="s">
        <v>872</v>
      </c>
      <c r="B111" s="179"/>
      <c r="C111" s="179"/>
      <c r="D111" s="179"/>
      <c r="E111" s="179"/>
      <c r="F111" s="179"/>
      <c r="G111" s="179"/>
      <c r="H111" s="179"/>
      <c r="I111" s="179"/>
      <c r="J111" s="179"/>
      <c r="K111" s="179"/>
      <c r="L111" s="179"/>
      <c r="M111" s="179"/>
      <c r="N111" s="179"/>
      <c r="O111" s="179"/>
      <c r="P111" s="179"/>
      <c r="Q111" s="179"/>
      <c r="R111" s="179"/>
      <c r="S111" s="179"/>
      <c r="T111" s="179"/>
      <c r="U111" s="179"/>
      <c r="V111" s="179"/>
      <c r="W111" s="179"/>
      <c r="X111" s="179"/>
      <c r="Y111" s="179"/>
      <c r="Z111" s="179"/>
      <c r="AA111" s="179"/>
      <c r="AB111" s="179"/>
      <c r="AC111" s="179"/>
      <c r="AD111" s="179"/>
      <c r="AE111" s="179"/>
      <c r="AF111" s="179"/>
      <c r="AG111" s="179"/>
      <c r="AH111" s="179"/>
      <c r="AI111" s="179"/>
      <c r="AJ111" s="179"/>
      <c r="AK111" s="179"/>
      <c r="AL111" s="179"/>
    </row>
    <row r="112" spans="1:40" ht="14" customHeight="1" x14ac:dyDescent="0.3">
      <c r="A112" s="72"/>
      <c r="B112" s="180" t="s">
        <v>143</v>
      </c>
      <c r="C112" s="180"/>
      <c r="D112" s="180"/>
      <c r="E112" s="180"/>
      <c r="F112" s="180"/>
      <c r="G112" s="180"/>
      <c r="H112" s="180"/>
      <c r="I112" s="180"/>
      <c r="J112" s="180"/>
      <c r="K112" s="180"/>
      <c r="L112" s="180"/>
      <c r="M112" s="180"/>
      <c r="N112" s="180"/>
      <c r="O112" s="180"/>
      <c r="P112" s="180"/>
      <c r="Q112" s="180"/>
      <c r="R112" s="180"/>
      <c r="S112" s="180"/>
      <c r="T112" s="188">
        <v>0.8</v>
      </c>
      <c r="U112" s="188"/>
      <c r="V112" s="188"/>
      <c r="W112" s="188"/>
      <c r="X112" s="188"/>
      <c r="Y112" s="188"/>
      <c r="Z112" s="188"/>
      <c r="AA112" s="188"/>
      <c r="AB112" s="188"/>
      <c r="AC112" s="188"/>
      <c r="AD112" s="188"/>
      <c r="AE112" s="188"/>
      <c r="AF112" s="188"/>
      <c r="AG112" s="188"/>
      <c r="AH112" s="188"/>
      <c r="AI112" s="188"/>
      <c r="AJ112" s="188"/>
      <c r="AK112" s="73"/>
      <c r="AL112" s="74"/>
    </row>
    <row r="113" spans="1:39" ht="14.5" customHeight="1" x14ac:dyDescent="0.35">
      <c r="A113" s="72"/>
      <c r="B113" s="180" t="s">
        <v>145</v>
      </c>
      <c r="C113" s="180"/>
      <c r="D113" s="180"/>
      <c r="E113" s="180"/>
      <c r="F113" s="180"/>
      <c r="G113" s="180"/>
      <c r="H113" s="180"/>
      <c r="I113" s="180"/>
      <c r="J113" s="180"/>
      <c r="K113" s="180"/>
      <c r="L113" s="180"/>
      <c r="M113" s="180"/>
      <c r="N113" s="180"/>
      <c r="O113" s="180"/>
      <c r="P113" s="180"/>
      <c r="Q113" s="180"/>
      <c r="R113" s="180"/>
      <c r="S113" s="180"/>
      <c r="T113" s="326"/>
      <c r="U113" s="326"/>
      <c r="V113" s="326"/>
      <c r="W113" s="326"/>
      <c r="X113" s="326"/>
      <c r="Y113" s="326"/>
      <c r="Z113" s="326"/>
      <c r="AA113" s="326"/>
      <c r="AB113" s="326"/>
      <c r="AC113" s="326"/>
      <c r="AD113" s="326"/>
      <c r="AE113" s="326"/>
      <c r="AF113" s="326"/>
      <c r="AG113" s="326"/>
      <c r="AH113" s="326"/>
      <c r="AI113" s="326"/>
      <c r="AJ113" s="326"/>
      <c r="AK113" s="73"/>
      <c r="AL113" s="74"/>
      <c r="AM113" s="76"/>
    </row>
    <row r="114" spans="1:39" ht="14.5" x14ac:dyDescent="0.35">
      <c r="A114" s="72"/>
      <c r="B114" s="180" t="s">
        <v>144</v>
      </c>
      <c r="C114" s="180"/>
      <c r="D114" s="180"/>
      <c r="E114" s="180"/>
      <c r="F114" s="180"/>
      <c r="G114" s="180"/>
      <c r="H114" s="180"/>
      <c r="I114" s="180"/>
      <c r="J114" s="180"/>
      <c r="K114" s="180"/>
      <c r="L114" s="180"/>
      <c r="M114" s="180"/>
      <c r="N114" s="180"/>
      <c r="O114" s="180"/>
      <c r="P114" s="180"/>
      <c r="Q114" s="180"/>
      <c r="R114" s="180"/>
      <c r="S114" s="180"/>
      <c r="T114" s="159">
        <f>ROUNDDOWN(AK110*(T112+T113),2)</f>
        <v>0</v>
      </c>
      <c r="U114" s="159"/>
      <c r="V114" s="159"/>
      <c r="W114" s="159"/>
      <c r="X114" s="159"/>
      <c r="Y114" s="159"/>
      <c r="Z114" s="159"/>
      <c r="AA114" s="159"/>
      <c r="AB114" s="159"/>
      <c r="AC114" s="159"/>
      <c r="AD114" s="159"/>
      <c r="AE114" s="159"/>
      <c r="AF114" s="159"/>
      <c r="AG114" s="159"/>
      <c r="AH114" s="159"/>
      <c r="AI114" s="159"/>
      <c r="AJ114" s="159"/>
      <c r="AK114" s="73"/>
      <c r="AL114" s="74"/>
      <c r="AM114" s="76"/>
    </row>
    <row r="115" spans="1:39" ht="48.75" customHeight="1" x14ac:dyDescent="0.3">
      <c r="A115" s="183" t="s">
        <v>687</v>
      </c>
      <c r="B115" s="183"/>
      <c r="C115" s="183"/>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c r="Z115" s="183"/>
      <c r="AA115" s="183"/>
      <c r="AB115" s="183"/>
      <c r="AC115" s="183"/>
      <c r="AD115" s="183"/>
      <c r="AE115" s="183"/>
      <c r="AF115" s="183"/>
      <c r="AG115" s="183"/>
      <c r="AH115" s="183"/>
      <c r="AI115" s="183"/>
      <c r="AJ115" s="183"/>
      <c r="AK115" s="183"/>
      <c r="AL115" s="183"/>
      <c r="AM115" s="48"/>
    </row>
    <row r="116" spans="1:39" ht="45" customHeight="1" x14ac:dyDescent="0.3">
      <c r="A116" s="184" t="s">
        <v>712</v>
      </c>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c r="AA116" s="184"/>
      <c r="AB116" s="184"/>
      <c r="AC116" s="184"/>
      <c r="AD116" s="184"/>
      <c r="AE116" s="184"/>
      <c r="AF116" s="184"/>
      <c r="AG116" s="184"/>
      <c r="AH116" s="184"/>
      <c r="AI116" s="184"/>
      <c r="AJ116" s="184"/>
      <c r="AK116" s="184"/>
      <c r="AL116" s="184"/>
    </row>
    <row r="117" spans="1:39" ht="79" customHeight="1" x14ac:dyDescent="0.3">
      <c r="A117" s="149" t="s">
        <v>909</v>
      </c>
      <c r="B117" s="183"/>
      <c r="C117" s="183"/>
      <c r="D117" s="183"/>
      <c r="E117" s="183"/>
      <c r="F117" s="183"/>
      <c r="G117" s="183"/>
      <c r="H117" s="183"/>
      <c r="I117" s="183"/>
      <c r="J117" s="183"/>
      <c r="K117" s="183"/>
      <c r="L117" s="183"/>
      <c r="M117" s="183"/>
      <c r="N117" s="183"/>
      <c r="O117" s="183"/>
      <c r="P117" s="183"/>
      <c r="Q117" s="183"/>
      <c r="R117" s="183"/>
      <c r="S117" s="183"/>
      <c r="T117" s="183"/>
      <c r="U117" s="183"/>
      <c r="V117" s="183"/>
      <c r="W117" s="183"/>
      <c r="X117" s="183"/>
      <c r="Y117" s="183"/>
      <c r="Z117" s="183"/>
      <c r="AA117" s="183"/>
      <c r="AB117" s="183"/>
      <c r="AC117" s="183"/>
      <c r="AD117" s="183"/>
      <c r="AE117" s="183"/>
      <c r="AF117" s="183"/>
      <c r="AG117" s="183"/>
      <c r="AH117" s="183"/>
      <c r="AI117" s="183"/>
      <c r="AJ117" s="183"/>
      <c r="AK117" s="183"/>
      <c r="AL117" s="183"/>
      <c r="AM117" s="48"/>
    </row>
    <row r="118" spans="1:39" ht="53.5" customHeight="1" x14ac:dyDescent="0.3">
      <c r="A118" s="184" t="s">
        <v>670</v>
      </c>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c r="Z118" s="184"/>
      <c r="AA118" s="184"/>
      <c r="AB118" s="184"/>
      <c r="AC118" s="184"/>
      <c r="AD118" s="184"/>
      <c r="AE118" s="184"/>
      <c r="AF118" s="184"/>
      <c r="AG118" s="184"/>
      <c r="AH118" s="184"/>
      <c r="AI118" s="184"/>
      <c r="AJ118" s="184"/>
      <c r="AK118" s="184"/>
      <c r="AL118" s="184"/>
    </row>
    <row r="119" spans="1:39" ht="60" customHeight="1" x14ac:dyDescent="0.3">
      <c r="A119" s="185" t="s">
        <v>874</v>
      </c>
      <c r="B119" s="185"/>
      <c r="C119" s="185"/>
      <c r="D119" s="185"/>
      <c r="E119" s="185"/>
      <c r="F119" s="185"/>
      <c r="G119" s="185"/>
      <c r="H119" s="185"/>
      <c r="I119" s="185"/>
      <c r="J119" s="185"/>
      <c r="K119" s="185"/>
      <c r="L119" s="185"/>
      <c r="M119" s="185"/>
      <c r="N119" s="185"/>
      <c r="O119" s="185"/>
      <c r="P119" s="185"/>
      <c r="Q119" s="185"/>
      <c r="R119" s="185"/>
      <c r="S119" s="185"/>
      <c r="T119" s="185"/>
      <c r="U119" s="185"/>
      <c r="V119" s="185"/>
      <c r="W119" s="185"/>
      <c r="X119" s="185"/>
      <c r="Y119" s="185"/>
      <c r="Z119" s="185"/>
      <c r="AA119" s="185"/>
      <c r="AB119" s="185"/>
      <c r="AC119" s="185"/>
      <c r="AD119" s="185"/>
      <c r="AE119" s="185"/>
      <c r="AF119" s="185"/>
      <c r="AG119" s="185"/>
      <c r="AH119" s="185"/>
      <c r="AI119" s="185"/>
      <c r="AJ119" s="185"/>
      <c r="AK119" s="185"/>
      <c r="AL119" s="185"/>
    </row>
    <row r="120" spans="1:39" ht="76.5" customHeight="1" x14ac:dyDescent="0.3">
      <c r="A120" s="184" t="s">
        <v>877</v>
      </c>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c r="Z120" s="184"/>
      <c r="AA120" s="184"/>
      <c r="AB120" s="184"/>
      <c r="AC120" s="184"/>
      <c r="AD120" s="184"/>
      <c r="AE120" s="184"/>
      <c r="AF120" s="184"/>
      <c r="AG120" s="184"/>
      <c r="AH120" s="184"/>
      <c r="AI120" s="184"/>
      <c r="AJ120" s="184"/>
      <c r="AK120" s="184"/>
      <c r="AL120" s="184"/>
    </row>
    <row r="121" spans="1:39" ht="84.5" customHeight="1" x14ac:dyDescent="0.3">
      <c r="A121" s="183" t="s">
        <v>878</v>
      </c>
      <c r="B121" s="183"/>
      <c r="C121" s="183"/>
      <c r="D121" s="183"/>
      <c r="E121" s="183"/>
      <c r="F121" s="183"/>
      <c r="G121" s="183"/>
      <c r="H121" s="183"/>
      <c r="I121" s="183"/>
      <c r="J121" s="183"/>
      <c r="K121" s="183"/>
      <c r="L121" s="183"/>
      <c r="M121" s="183"/>
      <c r="N121" s="183"/>
      <c r="O121" s="183"/>
      <c r="P121" s="183"/>
      <c r="Q121" s="183"/>
      <c r="R121" s="183"/>
      <c r="S121" s="183"/>
      <c r="T121" s="183"/>
      <c r="U121" s="183"/>
      <c r="V121" s="183"/>
      <c r="W121" s="183"/>
      <c r="X121" s="183"/>
      <c r="Y121" s="183"/>
      <c r="Z121" s="183"/>
      <c r="AA121" s="183"/>
      <c r="AB121" s="183"/>
      <c r="AC121" s="183"/>
      <c r="AD121" s="183"/>
      <c r="AE121" s="183"/>
      <c r="AF121" s="183"/>
      <c r="AG121" s="183"/>
      <c r="AH121" s="183"/>
      <c r="AI121" s="183"/>
      <c r="AJ121" s="183"/>
      <c r="AK121" s="183"/>
      <c r="AL121" s="183"/>
    </row>
    <row r="122" spans="1:39" ht="76.5" customHeight="1" x14ac:dyDescent="0.3">
      <c r="A122" s="184" t="s">
        <v>879</v>
      </c>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c r="AA122" s="184"/>
      <c r="AB122" s="184"/>
      <c r="AC122" s="184"/>
      <c r="AD122" s="184"/>
      <c r="AE122" s="184"/>
      <c r="AF122" s="184"/>
      <c r="AG122" s="184"/>
      <c r="AH122" s="184"/>
      <c r="AI122" s="184"/>
      <c r="AJ122" s="184"/>
      <c r="AK122" s="184"/>
      <c r="AL122" s="184"/>
    </row>
    <row r="123" spans="1:39" ht="44" customHeight="1" x14ac:dyDescent="0.3">
      <c r="A123" s="149" t="s">
        <v>881</v>
      </c>
      <c r="B123" s="183"/>
      <c r="C123" s="183"/>
      <c r="D123" s="183"/>
      <c r="E123" s="183"/>
      <c r="F123" s="183"/>
      <c r="G123" s="183"/>
      <c r="H123" s="183"/>
      <c r="I123" s="183"/>
      <c r="J123" s="183"/>
      <c r="K123" s="183"/>
      <c r="L123" s="183"/>
      <c r="M123" s="183"/>
      <c r="N123" s="183"/>
      <c r="O123" s="183"/>
      <c r="P123" s="183"/>
      <c r="Q123" s="183"/>
      <c r="R123" s="183"/>
      <c r="S123" s="183"/>
      <c r="T123" s="183"/>
      <c r="U123" s="183"/>
      <c r="V123" s="183"/>
      <c r="W123" s="183"/>
      <c r="X123" s="183"/>
      <c r="Y123" s="183"/>
      <c r="Z123" s="183"/>
      <c r="AA123" s="183"/>
      <c r="AB123" s="183"/>
      <c r="AC123" s="183"/>
      <c r="AD123" s="183"/>
      <c r="AE123" s="183"/>
      <c r="AF123" s="183"/>
      <c r="AG123" s="183"/>
      <c r="AH123" s="183"/>
      <c r="AI123" s="183"/>
      <c r="AJ123" s="183"/>
      <c r="AK123" s="183"/>
      <c r="AL123" s="183"/>
    </row>
    <row r="124" spans="1:39" ht="38.5" customHeight="1" x14ac:dyDescent="0.3">
      <c r="A124" s="184" t="s">
        <v>882</v>
      </c>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c r="AA124" s="184"/>
      <c r="AB124" s="184"/>
      <c r="AC124" s="184"/>
      <c r="AD124" s="184"/>
      <c r="AE124" s="184"/>
      <c r="AF124" s="184"/>
      <c r="AG124" s="184"/>
      <c r="AH124" s="184"/>
      <c r="AI124" s="184"/>
      <c r="AJ124" s="184"/>
      <c r="AK124" s="184"/>
      <c r="AL124" s="184"/>
    </row>
    <row r="125" spans="1:39" ht="53" customHeight="1" x14ac:dyDescent="0.3">
      <c r="A125" s="149" t="s">
        <v>884</v>
      </c>
      <c r="B125" s="183"/>
      <c r="C125" s="183"/>
      <c r="D125" s="183"/>
      <c r="E125" s="183"/>
      <c r="F125" s="183"/>
      <c r="G125" s="183"/>
      <c r="H125" s="183"/>
      <c r="I125" s="183"/>
      <c r="J125" s="183"/>
      <c r="K125" s="183"/>
      <c r="L125" s="183"/>
      <c r="M125" s="183"/>
      <c r="N125" s="183"/>
      <c r="O125" s="183"/>
      <c r="P125" s="183"/>
      <c r="Q125" s="183"/>
      <c r="R125" s="183"/>
      <c r="S125" s="183"/>
      <c r="T125" s="183"/>
      <c r="U125" s="183"/>
      <c r="V125" s="183"/>
      <c r="W125" s="183"/>
      <c r="X125" s="183"/>
      <c r="Y125" s="183"/>
      <c r="Z125" s="183"/>
      <c r="AA125" s="183"/>
      <c r="AB125" s="183"/>
      <c r="AC125" s="183"/>
      <c r="AD125" s="183"/>
      <c r="AE125" s="183"/>
      <c r="AF125" s="183"/>
      <c r="AG125" s="183"/>
      <c r="AH125" s="183"/>
      <c r="AI125" s="183"/>
      <c r="AJ125" s="183"/>
      <c r="AK125" s="183"/>
      <c r="AL125" s="183"/>
    </row>
    <row r="126" spans="1:39" ht="54" customHeight="1" x14ac:dyDescent="0.3">
      <c r="A126" s="184" t="s">
        <v>885</v>
      </c>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c r="Z126" s="184"/>
      <c r="AA126" s="184"/>
      <c r="AB126" s="184"/>
      <c r="AC126" s="184"/>
      <c r="AD126" s="184"/>
      <c r="AE126" s="184"/>
      <c r="AF126" s="184"/>
      <c r="AG126" s="184"/>
      <c r="AH126" s="184"/>
      <c r="AI126" s="184"/>
      <c r="AJ126" s="184"/>
      <c r="AK126" s="184"/>
      <c r="AL126" s="184"/>
    </row>
    <row r="127" spans="1:39" ht="41.5" customHeight="1" x14ac:dyDescent="0.3">
      <c r="A127" s="149" t="s">
        <v>906</v>
      </c>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c r="AB127" s="149"/>
      <c r="AC127" s="149"/>
      <c r="AD127" s="149"/>
      <c r="AE127" s="149"/>
      <c r="AF127" s="149"/>
      <c r="AG127" s="149"/>
      <c r="AH127" s="149"/>
      <c r="AI127" s="149"/>
      <c r="AJ127" s="149"/>
      <c r="AK127" s="149"/>
      <c r="AL127" s="149"/>
    </row>
    <row r="128" spans="1:39" ht="50" customHeight="1" x14ac:dyDescent="0.3">
      <c r="A128" s="184" t="s">
        <v>907</v>
      </c>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c r="Z128" s="184"/>
      <c r="AA128" s="184"/>
      <c r="AB128" s="184"/>
      <c r="AC128" s="184"/>
      <c r="AD128" s="184"/>
      <c r="AE128" s="184"/>
      <c r="AF128" s="184"/>
      <c r="AG128" s="184"/>
      <c r="AH128" s="184"/>
      <c r="AI128" s="184"/>
      <c r="AJ128" s="184"/>
      <c r="AK128" s="184"/>
      <c r="AL128" s="184"/>
      <c r="AM128" s="50" t="s">
        <v>665</v>
      </c>
    </row>
    <row r="129" spans="1:40" ht="35" customHeight="1" x14ac:dyDescent="0.3">
      <c r="A129" s="149" t="s">
        <v>887</v>
      </c>
      <c r="B129" s="183"/>
      <c r="C129" s="183"/>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row>
    <row r="130" spans="1:40" ht="40" customHeight="1" x14ac:dyDescent="0.3">
      <c r="A130" s="184" t="s">
        <v>891</v>
      </c>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84"/>
      <c r="X130" s="184"/>
      <c r="Y130" s="184"/>
      <c r="Z130" s="184"/>
      <c r="AA130" s="184"/>
      <c r="AB130" s="184"/>
      <c r="AC130" s="184"/>
      <c r="AD130" s="184"/>
      <c r="AE130" s="184"/>
      <c r="AF130" s="184"/>
      <c r="AG130" s="184"/>
      <c r="AH130" s="184"/>
      <c r="AI130" s="184"/>
      <c r="AJ130" s="184"/>
      <c r="AK130" s="184"/>
      <c r="AL130" s="184"/>
      <c r="AM130" s="50" t="s">
        <v>665</v>
      </c>
    </row>
    <row r="131" spans="1:40" ht="31" customHeight="1" x14ac:dyDescent="0.3">
      <c r="A131" s="149" t="s">
        <v>666</v>
      </c>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c r="AA131" s="149"/>
      <c r="AB131" s="149"/>
      <c r="AC131" s="149"/>
      <c r="AD131" s="149"/>
      <c r="AE131" s="149"/>
      <c r="AF131" s="149"/>
      <c r="AG131" s="149"/>
      <c r="AH131" s="149"/>
      <c r="AI131" s="149"/>
      <c r="AJ131" s="149"/>
      <c r="AK131" s="149"/>
      <c r="AL131" s="149"/>
      <c r="AM131" s="50"/>
    </row>
    <row r="132" spans="1:40" ht="57.5" customHeight="1" x14ac:dyDescent="0.3">
      <c r="A132" s="149" t="s">
        <v>810</v>
      </c>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c r="AA132" s="149"/>
      <c r="AB132" s="149"/>
      <c r="AC132" s="149"/>
      <c r="AD132" s="149"/>
      <c r="AE132" s="149"/>
      <c r="AF132" s="149"/>
      <c r="AG132" s="149"/>
      <c r="AH132" s="149"/>
      <c r="AI132" s="149"/>
      <c r="AJ132" s="149"/>
      <c r="AK132" s="149"/>
      <c r="AL132" s="149"/>
      <c r="AM132" s="50"/>
    </row>
    <row r="133" spans="1:40" ht="40" customHeight="1" x14ac:dyDescent="0.3">
      <c r="A133" s="149" t="s">
        <v>825</v>
      </c>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c r="AA133" s="149"/>
      <c r="AB133" s="149"/>
      <c r="AC133" s="149"/>
      <c r="AD133" s="149"/>
      <c r="AE133" s="149"/>
      <c r="AF133" s="149"/>
      <c r="AG133" s="149"/>
      <c r="AH133" s="149"/>
      <c r="AI133" s="149"/>
      <c r="AJ133" s="149"/>
      <c r="AK133" s="149"/>
      <c r="AL133" s="149"/>
      <c r="AM133" s="50"/>
    </row>
    <row r="134" spans="1:40" ht="71.5" customHeight="1" x14ac:dyDescent="0.3">
      <c r="A134" s="149" t="s">
        <v>922</v>
      </c>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c r="AB134" s="149"/>
      <c r="AC134" s="149"/>
      <c r="AD134" s="149"/>
      <c r="AE134" s="149"/>
      <c r="AF134" s="149"/>
      <c r="AG134" s="149"/>
      <c r="AH134" s="149"/>
      <c r="AI134" s="149"/>
      <c r="AJ134" s="149"/>
      <c r="AK134" s="149"/>
      <c r="AL134" s="149"/>
      <c r="AM134" s="50"/>
    </row>
    <row r="135" spans="1:40" ht="40" customHeight="1" x14ac:dyDescent="0.3">
      <c r="A135" s="149" t="s">
        <v>915</v>
      </c>
      <c r="B135" s="216"/>
      <c r="C135" s="216"/>
      <c r="D135" s="216"/>
      <c r="E135" s="216"/>
      <c r="F135" s="216"/>
      <c r="G135" s="216"/>
      <c r="H135" s="216"/>
      <c r="I135" s="216"/>
      <c r="J135" s="216"/>
      <c r="K135" s="216"/>
      <c r="L135" s="216"/>
      <c r="M135" s="216"/>
      <c r="N135" s="216"/>
      <c r="O135" s="216"/>
      <c r="P135" s="216"/>
      <c r="Q135" s="216"/>
      <c r="R135" s="216"/>
      <c r="S135" s="216"/>
      <c r="T135" s="216"/>
      <c r="U135" s="216"/>
      <c r="V135" s="216"/>
      <c r="W135" s="216"/>
      <c r="X135" s="216"/>
      <c r="Y135" s="216"/>
      <c r="Z135" s="216"/>
      <c r="AA135" s="216"/>
      <c r="AB135" s="216"/>
      <c r="AC135" s="216"/>
      <c r="AD135" s="216"/>
      <c r="AE135" s="216"/>
      <c r="AF135" s="216"/>
      <c r="AG135" s="216"/>
      <c r="AH135" s="216"/>
      <c r="AI135" s="216"/>
      <c r="AJ135" s="216"/>
      <c r="AK135" s="216"/>
      <c r="AL135" s="216"/>
      <c r="AM135" s="50"/>
    </row>
    <row r="136" spans="1:40" ht="22" customHeight="1" x14ac:dyDescent="0.3">
      <c r="A136" s="149" t="s">
        <v>844</v>
      </c>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c r="AA136" s="149"/>
      <c r="AB136" s="149"/>
      <c r="AC136" s="149"/>
      <c r="AD136" s="149"/>
      <c r="AE136" s="149"/>
      <c r="AF136" s="149"/>
      <c r="AG136" s="149"/>
      <c r="AH136" s="149"/>
      <c r="AI136" s="149"/>
      <c r="AJ136" s="149"/>
      <c r="AK136" s="149"/>
      <c r="AL136" s="149"/>
    </row>
    <row r="137" spans="1:40" ht="33.5" customHeight="1" x14ac:dyDescent="0.3">
      <c r="A137" s="282" t="str">
        <f>IF(B14="Uczelnia publiczna","5) w przypadku uczelni – rektora","5) w przypadku uczelni – rektora")</f>
        <v>5) w przypadku uczelni – rektora</v>
      </c>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181" t="s">
        <v>896</v>
      </c>
    </row>
    <row r="138" spans="1:40" ht="56.5" customHeight="1" x14ac:dyDescent="0.35">
      <c r="A138" s="195" t="s">
        <v>667</v>
      </c>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95"/>
      <c r="Z138" s="195"/>
      <c r="AA138" s="195"/>
      <c r="AB138" s="195"/>
      <c r="AC138" s="195"/>
      <c r="AD138" s="195"/>
      <c r="AE138" s="195"/>
      <c r="AF138" s="195"/>
      <c r="AG138" s="195"/>
      <c r="AH138" s="195"/>
      <c r="AI138" s="195"/>
      <c r="AJ138" s="195"/>
      <c r="AK138" s="195"/>
      <c r="AL138" s="195"/>
      <c r="AM138" s="182"/>
      <c r="AN138" s="75"/>
    </row>
    <row r="139" spans="1:40" ht="14" customHeight="1" x14ac:dyDescent="0.3">
      <c r="A139" s="191" t="s">
        <v>920</v>
      </c>
      <c r="B139" s="191"/>
      <c r="C139" s="191"/>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c r="AA139" s="191"/>
      <c r="AB139" s="191"/>
      <c r="AC139" s="191"/>
      <c r="AD139" s="191"/>
      <c r="AE139" s="191"/>
      <c r="AF139" s="191"/>
      <c r="AG139" s="191"/>
      <c r="AH139" s="191"/>
      <c r="AI139" s="191"/>
      <c r="AJ139" s="191"/>
      <c r="AK139" s="191"/>
      <c r="AL139" s="191"/>
    </row>
    <row r="140" spans="1:40" ht="14" customHeight="1" x14ac:dyDescent="0.3">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c r="AE140" s="192"/>
      <c r="AF140" s="192"/>
      <c r="AG140" s="192"/>
      <c r="AH140" s="192"/>
      <c r="AI140" s="192"/>
      <c r="AJ140" s="192"/>
      <c r="AK140" s="192"/>
      <c r="AL140" s="192"/>
    </row>
    <row r="141" spans="1:40" ht="14" customHeight="1" x14ac:dyDescent="0.3">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c r="AE141" s="192"/>
      <c r="AF141" s="192"/>
      <c r="AG141" s="192"/>
      <c r="AH141" s="192"/>
      <c r="AI141" s="192"/>
      <c r="AJ141" s="192"/>
      <c r="AK141" s="192"/>
      <c r="AL141" s="192"/>
    </row>
    <row r="142" spans="1:40" ht="14" customHeight="1" x14ac:dyDescent="0.3">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c r="AE142" s="192"/>
      <c r="AF142" s="192"/>
      <c r="AG142" s="192"/>
      <c r="AH142" s="192"/>
      <c r="AI142" s="192"/>
      <c r="AJ142" s="192"/>
      <c r="AK142" s="192"/>
      <c r="AL142" s="192"/>
    </row>
    <row r="143" spans="1:40" ht="150" customHeight="1" x14ac:dyDescent="0.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c r="AE143" s="192"/>
      <c r="AF143" s="192"/>
      <c r="AG143" s="192"/>
      <c r="AH143" s="192"/>
      <c r="AI143" s="192"/>
      <c r="AJ143" s="192"/>
      <c r="AK143" s="192"/>
      <c r="AL143" s="192"/>
    </row>
  </sheetData>
  <sheetProtection algorithmName="SHA-512" hashValue="JqcYUPBgqMGFrBs/iMJ57vR2vNxc82dhvTn/MI1JW7kLx/K8dsbj8nDCv+CKcw+TMpbhLwcejJXnGQo/7Slpxg==" saltValue="tvOl2wmBmBU+X7fFWIAGGg==" spinCount="100000" sheet="1" formatCells="0" formatRows="0" insertRows="0"/>
  <mergeCells count="361">
    <mergeCell ref="L108:O108"/>
    <mergeCell ref="P108:S108"/>
    <mergeCell ref="T108:Z108"/>
    <mergeCell ref="L109:O109"/>
    <mergeCell ref="P109:S109"/>
    <mergeCell ref="T109:Z109"/>
    <mergeCell ref="B110:K110"/>
    <mergeCell ref="L110:O110"/>
    <mergeCell ref="P110:S110"/>
    <mergeCell ref="T110:Z110"/>
    <mergeCell ref="L105:O105"/>
    <mergeCell ref="P105:S105"/>
    <mergeCell ref="T105:Z105"/>
    <mergeCell ref="L106:O106"/>
    <mergeCell ref="P106:S106"/>
    <mergeCell ref="T106:Z106"/>
    <mergeCell ref="L107:O107"/>
    <mergeCell ref="P107:S107"/>
    <mergeCell ref="T107:Z107"/>
    <mergeCell ref="L102:O102"/>
    <mergeCell ref="P102:S102"/>
    <mergeCell ref="T102:Z102"/>
    <mergeCell ref="L103:O103"/>
    <mergeCell ref="P103:S103"/>
    <mergeCell ref="T103:Z103"/>
    <mergeCell ref="L104:O104"/>
    <mergeCell ref="P104:S104"/>
    <mergeCell ref="T104:Z104"/>
    <mergeCell ref="L99:O99"/>
    <mergeCell ref="P99:S99"/>
    <mergeCell ref="T99:Z99"/>
    <mergeCell ref="L100:O100"/>
    <mergeCell ref="P100:S100"/>
    <mergeCell ref="T100:Z100"/>
    <mergeCell ref="L101:O101"/>
    <mergeCell ref="P101:S101"/>
    <mergeCell ref="T101:Z101"/>
    <mergeCell ref="L96:O96"/>
    <mergeCell ref="P96:S96"/>
    <mergeCell ref="T96:Z96"/>
    <mergeCell ref="L97:O97"/>
    <mergeCell ref="P97:S97"/>
    <mergeCell ref="T97:Z97"/>
    <mergeCell ref="L98:O98"/>
    <mergeCell ref="P98:S98"/>
    <mergeCell ref="T98:Z98"/>
    <mergeCell ref="L93:O93"/>
    <mergeCell ref="P93:S93"/>
    <mergeCell ref="T93:Z93"/>
    <mergeCell ref="L94:O94"/>
    <mergeCell ref="P94:S94"/>
    <mergeCell ref="T94:Z94"/>
    <mergeCell ref="L95:O95"/>
    <mergeCell ref="P95:S95"/>
    <mergeCell ref="T95:Z95"/>
    <mergeCell ref="L90:O90"/>
    <mergeCell ref="P90:S90"/>
    <mergeCell ref="T90:Z90"/>
    <mergeCell ref="L91:O91"/>
    <mergeCell ref="P91:S91"/>
    <mergeCell ref="T91:Z91"/>
    <mergeCell ref="L92:O92"/>
    <mergeCell ref="P92:S92"/>
    <mergeCell ref="T92:Z92"/>
    <mergeCell ref="A121:AL121"/>
    <mergeCell ref="A122:AL122"/>
    <mergeCell ref="A123:AL123"/>
    <mergeCell ref="A124:AL124"/>
    <mergeCell ref="A115:AL115"/>
    <mergeCell ref="A50:A55"/>
    <mergeCell ref="B50:AL50"/>
    <mergeCell ref="B51:R51"/>
    <mergeCell ref="S51:AL51"/>
    <mergeCell ref="B52:R52"/>
    <mergeCell ref="S52:AL52"/>
    <mergeCell ref="B53:R53"/>
    <mergeCell ref="S53:AL53"/>
    <mergeCell ref="B54:R54"/>
    <mergeCell ref="S54:AL54"/>
    <mergeCell ref="B55:R55"/>
    <mergeCell ref="S55:AL55"/>
    <mergeCell ref="AE67:AJ67"/>
    <mergeCell ref="A68:AL68"/>
    <mergeCell ref="A69:AL69"/>
    <mergeCell ref="A70:AL70"/>
    <mergeCell ref="A71:AL71"/>
    <mergeCell ref="AK93:AL93"/>
    <mergeCell ref="AK110:AL110"/>
    <mergeCell ref="AA108:AG108"/>
    <mergeCell ref="AH108:AJ108"/>
    <mergeCell ref="AK108:AL108"/>
    <mergeCell ref="AA107:AG107"/>
    <mergeCell ref="AH107:AJ107"/>
    <mergeCell ref="AK107:AL107"/>
    <mergeCell ref="AH106:AJ106"/>
    <mergeCell ref="AK106:AL106"/>
    <mergeCell ref="AA98:AG98"/>
    <mergeCell ref="AH98:AJ98"/>
    <mergeCell ref="AK98:AL98"/>
    <mergeCell ref="AA99:AG99"/>
    <mergeCell ref="AH95:AJ95"/>
    <mergeCell ref="AK95:AL95"/>
    <mergeCell ref="AA100:AG100"/>
    <mergeCell ref="AH100:AJ100"/>
    <mergeCell ref="AK100:AL100"/>
    <mergeCell ref="AA96:AG96"/>
    <mergeCell ref="AH96:AJ96"/>
    <mergeCell ref="AK96:AL96"/>
    <mergeCell ref="AA93:AG93"/>
    <mergeCell ref="AH93:AJ93"/>
    <mergeCell ref="AA94:AG94"/>
    <mergeCell ref="AH94:AJ94"/>
    <mergeCell ref="AK94:AL94"/>
    <mergeCell ref="AA97:AG97"/>
    <mergeCell ref="AH97:AJ97"/>
    <mergeCell ref="AK97:AL97"/>
    <mergeCell ref="AA95:AG95"/>
    <mergeCell ref="AH99:AJ99"/>
    <mergeCell ref="AK99:AL99"/>
    <mergeCell ref="AA92:AG92"/>
    <mergeCell ref="AK92:AL92"/>
    <mergeCell ref="AA90:AG90"/>
    <mergeCell ref="AH90:AJ90"/>
    <mergeCell ref="AK90:AL90"/>
    <mergeCell ref="AA87:AG87"/>
    <mergeCell ref="AH87:AJ87"/>
    <mergeCell ref="AH92:AJ92"/>
    <mergeCell ref="AA91:AG91"/>
    <mergeCell ref="AH91:AJ91"/>
    <mergeCell ref="AK87:AL87"/>
    <mergeCell ref="AA88:AG88"/>
    <mergeCell ref="AH88:AJ88"/>
    <mergeCell ref="AK88:AL88"/>
    <mergeCell ref="AA89:AG89"/>
    <mergeCell ref="AH89:AJ89"/>
    <mergeCell ref="AK91:AL91"/>
    <mergeCell ref="L86:O86"/>
    <mergeCell ref="P86:S86"/>
    <mergeCell ref="T86:Z86"/>
    <mergeCell ref="A72:AL72"/>
    <mergeCell ref="B89:F89"/>
    <mergeCell ref="AK89:AL89"/>
    <mergeCell ref="B87:F87"/>
    <mergeCell ref="B88:F88"/>
    <mergeCell ref="G88:K88"/>
    <mergeCell ref="G89:K89"/>
    <mergeCell ref="L87:O87"/>
    <mergeCell ref="P87:S87"/>
    <mergeCell ref="T87:Z87"/>
    <mergeCell ref="L88:O88"/>
    <mergeCell ref="P88:S88"/>
    <mergeCell ref="T88:Z88"/>
    <mergeCell ref="L89:O89"/>
    <mergeCell ref="P89:S89"/>
    <mergeCell ref="T89:Z89"/>
    <mergeCell ref="A116:AL116"/>
    <mergeCell ref="AA109:AG109"/>
    <mergeCell ref="AH109:AJ109"/>
    <mergeCell ref="AK109:AL109"/>
    <mergeCell ref="B113:S113"/>
    <mergeCell ref="T113:AJ113"/>
    <mergeCell ref="B112:S112"/>
    <mergeCell ref="T112:AJ112"/>
    <mergeCell ref="B114:S114"/>
    <mergeCell ref="T114:AJ114"/>
    <mergeCell ref="B109:F109"/>
    <mergeCell ref="G109:K109"/>
    <mergeCell ref="AA110:AG110"/>
    <mergeCell ref="AH110:AJ110"/>
    <mergeCell ref="A138:AL138"/>
    <mergeCell ref="A130:AL130"/>
    <mergeCell ref="A137:AL137"/>
    <mergeCell ref="A117:AL117"/>
    <mergeCell ref="A118:AL118"/>
    <mergeCell ref="A119:AL119"/>
    <mergeCell ref="A120:AL120"/>
    <mergeCell ref="A129:AL129"/>
    <mergeCell ref="A136:AL136"/>
    <mergeCell ref="A125:AL125"/>
    <mergeCell ref="A126:AL126"/>
    <mergeCell ref="A127:AL127"/>
    <mergeCell ref="A128:AL128"/>
    <mergeCell ref="A135:AL135"/>
    <mergeCell ref="A131:AL131"/>
    <mergeCell ref="A132:AL132"/>
    <mergeCell ref="A133:AL133"/>
    <mergeCell ref="A134:AL134"/>
    <mergeCell ref="AA104:AG104"/>
    <mergeCell ref="AH104:AJ104"/>
    <mergeCell ref="AK104:AL104"/>
    <mergeCell ref="AA105:AG105"/>
    <mergeCell ref="AH105:AJ105"/>
    <mergeCell ref="AK105:AL105"/>
    <mergeCell ref="AM63:AU64"/>
    <mergeCell ref="A64:AL64"/>
    <mergeCell ref="AH102:AJ102"/>
    <mergeCell ref="AK102:AL102"/>
    <mergeCell ref="AA103:AG103"/>
    <mergeCell ref="AH103:AJ103"/>
    <mergeCell ref="AK103:AL103"/>
    <mergeCell ref="AA101:AG101"/>
    <mergeCell ref="AH101:AJ101"/>
    <mergeCell ref="AK101:AL101"/>
    <mergeCell ref="T66:AD66"/>
    <mergeCell ref="AE66:AJ66"/>
    <mergeCell ref="A67:H67"/>
    <mergeCell ref="I67:S67"/>
    <mergeCell ref="T67:AD67"/>
    <mergeCell ref="A79:AL79"/>
    <mergeCell ref="A74:AL74"/>
    <mergeCell ref="A75:AL75"/>
    <mergeCell ref="AM60:AM62"/>
    <mergeCell ref="A62:S62"/>
    <mergeCell ref="T62:AL62"/>
    <mergeCell ref="A61:S61"/>
    <mergeCell ref="T61:AL61"/>
    <mergeCell ref="B63:AL63"/>
    <mergeCell ref="A4:F4"/>
    <mergeCell ref="H4:L4"/>
    <mergeCell ref="A5:F5"/>
    <mergeCell ref="H5:L5"/>
    <mergeCell ref="A18:A19"/>
    <mergeCell ref="B18:AL18"/>
    <mergeCell ref="B19:AL19"/>
    <mergeCell ref="A11:AL11"/>
    <mergeCell ref="A12:AL12"/>
    <mergeCell ref="A13:AL13"/>
    <mergeCell ref="A15:AK15"/>
    <mergeCell ref="A16:A17"/>
    <mergeCell ref="B16:AL16"/>
    <mergeCell ref="B17:AL17"/>
    <mergeCell ref="A7:F7"/>
    <mergeCell ref="G7:L7"/>
    <mergeCell ref="N7:P7"/>
    <mergeCell ref="AB7:AE7"/>
    <mergeCell ref="A8:P8"/>
    <mergeCell ref="Q8:AL8"/>
    <mergeCell ref="A9:AL9"/>
    <mergeCell ref="Q7:AA7"/>
    <mergeCell ref="B24:V24"/>
    <mergeCell ref="W24:AL24"/>
    <mergeCell ref="B25:V25"/>
    <mergeCell ref="W25:AL25"/>
    <mergeCell ref="A20:A23"/>
    <mergeCell ref="B20:AL20"/>
    <mergeCell ref="B21:AL21"/>
    <mergeCell ref="B22:AL22"/>
    <mergeCell ref="B23:AL23"/>
    <mergeCell ref="A24:A25"/>
    <mergeCell ref="B37:AL37"/>
    <mergeCell ref="B39:AL39"/>
    <mergeCell ref="A40:A41"/>
    <mergeCell ref="A42:A43"/>
    <mergeCell ref="B42:AL42"/>
    <mergeCell ref="B41:AL41"/>
    <mergeCell ref="B43:AL43"/>
    <mergeCell ref="B44:AL44"/>
    <mergeCell ref="B56:AL56"/>
    <mergeCell ref="AK45:AL45"/>
    <mergeCell ref="AK46:AL46"/>
    <mergeCell ref="AK47:AL47"/>
    <mergeCell ref="A44:A49"/>
    <mergeCell ref="Z45:AJ45"/>
    <mergeCell ref="Z49:AJ49"/>
    <mergeCell ref="AK49:AL49"/>
    <mergeCell ref="Z48:AJ48"/>
    <mergeCell ref="AK48:AL48"/>
    <mergeCell ref="Z46:AJ46"/>
    <mergeCell ref="Z47:AJ47"/>
    <mergeCell ref="A38:A39"/>
    <mergeCell ref="B38:AL38"/>
    <mergeCell ref="B40:AL40"/>
    <mergeCell ref="A57:AL57"/>
    <mergeCell ref="G87:K87"/>
    <mergeCell ref="B86:F86"/>
    <mergeCell ref="G86:K86"/>
    <mergeCell ref="B90:F90"/>
    <mergeCell ref="G90:K90"/>
    <mergeCell ref="AK67:AL67"/>
    <mergeCell ref="AK66:AL66"/>
    <mergeCell ref="A65:AL65"/>
    <mergeCell ref="A66:H66"/>
    <mergeCell ref="I66:S66"/>
    <mergeCell ref="B59:AL59"/>
    <mergeCell ref="A60:AL60"/>
    <mergeCell ref="A80:AL80"/>
    <mergeCell ref="A85:AL85"/>
    <mergeCell ref="AA86:AG86"/>
    <mergeCell ref="AH86:AJ86"/>
    <mergeCell ref="AK86:AL86"/>
    <mergeCell ref="A78:AL78"/>
    <mergeCell ref="A77:AL77"/>
    <mergeCell ref="A76:AL76"/>
    <mergeCell ref="A73:AL73"/>
    <mergeCell ref="A35:A36"/>
    <mergeCell ref="B26:AL26"/>
    <mergeCell ref="B27:AL27"/>
    <mergeCell ref="B28:AL28"/>
    <mergeCell ref="B29:AL29"/>
    <mergeCell ref="B30:AL30"/>
    <mergeCell ref="B31:AL31"/>
    <mergeCell ref="B32:AL32"/>
    <mergeCell ref="B33:AL33"/>
    <mergeCell ref="B34:AL34"/>
    <mergeCell ref="B35:AL35"/>
    <mergeCell ref="B36:S36"/>
    <mergeCell ref="T36:AL36"/>
    <mergeCell ref="A139:AL143"/>
    <mergeCell ref="B46:Y46"/>
    <mergeCell ref="B103:F103"/>
    <mergeCell ref="G103:K103"/>
    <mergeCell ref="B102:F102"/>
    <mergeCell ref="B104:F104"/>
    <mergeCell ref="G104:K104"/>
    <mergeCell ref="B101:F101"/>
    <mergeCell ref="G101:K101"/>
    <mergeCell ref="G102:K102"/>
    <mergeCell ref="G96:K96"/>
    <mergeCell ref="G98:K98"/>
    <mergeCell ref="B95:F95"/>
    <mergeCell ref="G95:K95"/>
    <mergeCell ref="B96:F96"/>
    <mergeCell ref="B106:F106"/>
    <mergeCell ref="G106:K106"/>
    <mergeCell ref="A1:AL1"/>
    <mergeCell ref="A84:AL84"/>
    <mergeCell ref="A81:AL81"/>
    <mergeCell ref="A82:AI82"/>
    <mergeCell ref="AJ82:AL82"/>
    <mergeCell ref="A83:AL83"/>
    <mergeCell ref="G107:K107"/>
    <mergeCell ref="B45:Y45"/>
    <mergeCell ref="B47:Y47"/>
    <mergeCell ref="B48:Y48"/>
    <mergeCell ref="B49:Y49"/>
    <mergeCell ref="G99:K99"/>
    <mergeCell ref="B93:F93"/>
    <mergeCell ref="G93:K93"/>
    <mergeCell ref="B94:F94"/>
    <mergeCell ref="G94:K94"/>
    <mergeCell ref="B105:F105"/>
    <mergeCell ref="G105:K105"/>
    <mergeCell ref="B107:F107"/>
    <mergeCell ref="AA106:AG106"/>
    <mergeCell ref="A26:A34"/>
    <mergeCell ref="AM137:AM138"/>
    <mergeCell ref="A111:AL111"/>
    <mergeCell ref="A58:AL58"/>
    <mergeCell ref="B100:F100"/>
    <mergeCell ref="G100:K100"/>
    <mergeCell ref="B97:F97"/>
    <mergeCell ref="G97:K97"/>
    <mergeCell ref="B99:F99"/>
    <mergeCell ref="B108:F108"/>
    <mergeCell ref="G108:K108"/>
    <mergeCell ref="B91:F91"/>
    <mergeCell ref="G91:K91"/>
    <mergeCell ref="B92:F92"/>
    <mergeCell ref="G92:K92"/>
    <mergeCell ref="B98:F98"/>
    <mergeCell ref="AA102:AG102"/>
  </mergeCells>
  <conditionalFormatting sqref="A4 H4 A78 AJ82 A82:A84 A115:A130">
    <cfRule type="expression" dxfId="95" priority="309">
      <formula>IF(A4="",1,0)</formula>
    </cfRule>
  </conditionalFormatting>
  <conditionalFormatting sqref="A57:A58">
    <cfRule type="expression" dxfId="94" priority="73">
      <formula>IF(A57="",1,0)</formula>
    </cfRule>
  </conditionalFormatting>
  <conditionalFormatting sqref="A60">
    <cfRule type="expression" dxfId="93" priority="24">
      <formula>IF(A60="",1,0)</formula>
    </cfRule>
  </conditionalFormatting>
  <conditionalFormatting sqref="A61:A62">
    <cfRule type="expression" dxfId="92" priority="26">
      <formula>IF(A61="",1,0)</formula>
    </cfRule>
  </conditionalFormatting>
  <conditionalFormatting sqref="A64 A69 A71">
    <cfRule type="expression" dxfId="90" priority="20">
      <formula>IF(A64="",1,0)</formula>
    </cfRule>
  </conditionalFormatting>
  <conditionalFormatting sqref="A66:A67">
    <cfRule type="expression" dxfId="89" priority="18">
      <formula>IF(A66="",1,0)</formula>
    </cfRule>
  </conditionalFormatting>
  <conditionalFormatting sqref="A73:A75">
    <cfRule type="expression" dxfId="88" priority="19">
      <formula>IF(A73="",1,0)</formula>
    </cfRule>
  </conditionalFormatting>
  <conditionalFormatting sqref="A80">
    <cfRule type="expression" dxfId="87" priority="136">
      <formula>IF(A80="",1,0)</formula>
    </cfRule>
  </conditionalFormatting>
  <conditionalFormatting sqref="A132:A134">
    <cfRule type="expression" dxfId="86" priority="6">
      <formula>IF(A132="",1,0)</formula>
    </cfRule>
  </conditionalFormatting>
  <conditionalFormatting sqref="A137:A138">
    <cfRule type="expression" dxfId="85" priority="9">
      <formula>IF(A137="",1,0)</formula>
    </cfRule>
  </conditionalFormatting>
  <conditionalFormatting sqref="B19 B25 W25">
    <cfRule type="expression" dxfId="82" priority="89">
      <formula>IF(B19="",1,0)</formula>
    </cfRule>
  </conditionalFormatting>
  <conditionalFormatting sqref="B21">
    <cfRule type="expression" dxfId="81" priority="46">
      <formula>IF(B21="",1,0)</formula>
    </cfRule>
  </conditionalFormatting>
  <conditionalFormatting sqref="B23">
    <cfRule type="expression" dxfId="80" priority="29">
      <formula>IF(B23="",1,0)</formula>
    </cfRule>
  </conditionalFormatting>
  <conditionalFormatting sqref="B28">
    <cfRule type="expression" dxfId="79" priority="88">
      <formula>IF(B28="",1,0)</formula>
    </cfRule>
  </conditionalFormatting>
  <conditionalFormatting sqref="B30">
    <cfRule type="expression" dxfId="78" priority="86">
      <formula>IF(B30="",1,0)</formula>
    </cfRule>
  </conditionalFormatting>
  <conditionalFormatting sqref="B32">
    <cfRule type="expression" dxfId="77" priority="87">
      <formula>IF(B32="",1,0)</formula>
    </cfRule>
  </conditionalFormatting>
  <conditionalFormatting sqref="B34">
    <cfRule type="expression" dxfId="76" priority="85">
      <formula>IF(B34="",1,0)</formula>
    </cfRule>
  </conditionalFormatting>
  <conditionalFormatting sqref="B36">
    <cfRule type="expression" dxfId="75" priority="31">
      <formula>IF(B36="",1,0)</formula>
    </cfRule>
  </conditionalFormatting>
  <conditionalFormatting sqref="B40:B41">
    <cfRule type="expression" dxfId="74" priority="75">
      <formula>IF(B40="",1,0)</formula>
    </cfRule>
  </conditionalFormatting>
  <conditionalFormatting sqref="B43">
    <cfRule type="expression" dxfId="73" priority="74">
      <formula>IF(B43="",1,0)</formula>
    </cfRule>
  </conditionalFormatting>
  <conditionalFormatting sqref="B51:B55">
    <cfRule type="expression" dxfId="72" priority="28">
      <formula>IF(B51="",1,0)</formula>
    </cfRule>
  </conditionalFormatting>
  <conditionalFormatting sqref="B17:AL17">
    <cfRule type="expression" dxfId="71" priority="30">
      <formula>IF(B17="",1,0)</formula>
    </cfRule>
  </conditionalFormatting>
  <conditionalFormatting sqref="I67">
    <cfRule type="expression" dxfId="70" priority="17">
      <formula>IF(I67="",1,0)</formula>
    </cfRule>
  </conditionalFormatting>
  <conditionalFormatting sqref="N7">
    <cfRule type="expression" dxfId="69" priority="49">
      <formula>IF(N7="",1,0)</formula>
    </cfRule>
  </conditionalFormatting>
  <conditionalFormatting sqref="Q8:AL8">
    <cfRule type="expression" dxfId="68" priority="47">
      <formula>IF(Q8="",1,0)</formula>
    </cfRule>
  </conditionalFormatting>
  <conditionalFormatting sqref="S51:S55">
    <cfRule type="expression" dxfId="67" priority="27">
      <formula>IF(S51="",1,0)</formula>
    </cfRule>
  </conditionalFormatting>
  <conditionalFormatting sqref="T61">
    <cfRule type="expression" dxfId="66" priority="21">
      <formula>IF(T61="",1,0)</formula>
    </cfRule>
  </conditionalFormatting>
  <conditionalFormatting sqref="T62">
    <cfRule type="expression" dxfId="64" priority="23">
      <formula>IF(T62="",1,0)</formula>
    </cfRule>
  </conditionalFormatting>
  <conditionalFormatting sqref="T67">
    <cfRule type="expression" dxfId="63" priority="16">
      <formula>IF(T67="",1,0)</formula>
    </cfRule>
  </conditionalFormatting>
  <conditionalFormatting sqref="T112:T113">
    <cfRule type="expression" dxfId="62" priority="132">
      <formula>IF(T112="",1,0)</formula>
    </cfRule>
  </conditionalFormatting>
  <conditionalFormatting sqref="Z46">
    <cfRule type="expression" dxfId="61" priority="146">
      <formula>IF(Z46="",1,0)</formula>
    </cfRule>
  </conditionalFormatting>
  <conditionalFormatting sqref="Z48">
    <cfRule type="expression" dxfId="60" priority="145">
      <formula>IF(Z48="",1,0)</formula>
    </cfRule>
  </conditionalFormatting>
  <conditionalFormatting sqref="AB7">
    <cfRule type="expression" dxfId="59" priority="48">
      <formula>IF(AB7="",1,0)</formula>
    </cfRule>
  </conditionalFormatting>
  <conditionalFormatting sqref="AE67">
    <cfRule type="expression" dxfId="58" priority="12">
      <formula>IF(AE67="",1,0)</formula>
    </cfRule>
  </conditionalFormatting>
  <conditionalFormatting sqref="AK67">
    <cfRule type="expression" dxfId="57" priority="11">
      <formula>IF(AK67="",1,0)</formula>
    </cfRule>
  </conditionalFormatting>
  <conditionalFormatting sqref="B88:B109">
    <cfRule type="expression" dxfId="56" priority="4">
      <formula>IF(B88="",1,0)</formula>
    </cfRule>
  </conditionalFormatting>
  <conditionalFormatting sqref="G88:G109">
    <cfRule type="expression" dxfId="55" priority="3">
      <formula>IF(G88="",1,0)</formula>
    </cfRule>
  </conditionalFormatting>
  <conditionalFormatting sqref="L88:L109">
    <cfRule type="expression" dxfId="54" priority="2">
      <formula>IF(L88="",1,0)</formula>
    </cfRule>
  </conditionalFormatting>
  <conditionalFormatting sqref="P88:P109">
    <cfRule type="expression" dxfId="53" priority="1">
      <formula>IF(P88="",1,0)</formula>
    </cfRule>
  </conditionalFormatting>
  <conditionalFormatting sqref="AH88:AH109">
    <cfRule type="expression" dxfId="52" priority="5">
      <formula>IF(AH88="",1,0)</formula>
    </cfRule>
  </conditionalFormatting>
  <conditionalFormatting sqref="Z49">
    <cfRule type="expression" dxfId="0" priority="7469">
      <formula>IF($Z$49&lt;&gt;#REF!,1,0)</formula>
    </cfRule>
  </conditionalFormatting>
  <dataValidations xWindow="422" yWindow="577" count="28">
    <dataValidation type="textLength" operator="greaterThan" allowBlank="1" showInputMessage="1" showErrorMessage="1" promptTitle="Wprowadź" prompt="nazwę beneficjenta" sqref="B19:AL19" xr:uid="{00000000-0002-0000-0200-000001000000}">
      <formula1>3</formula1>
    </dataValidation>
    <dataValidation type="decimal" allowBlank="1" showInputMessage="1" showErrorMessage="1" promptTitle="Wprowadź" prompt="kwotę" sqref="Z48" xr:uid="{00000000-0002-0000-0200-000002000000}">
      <formula1>0</formula1>
      <formula2>10000000000000000000</formula2>
    </dataValidation>
    <dataValidation type="decimal" allowBlank="1" showInputMessage="1" showErrorMessage="1" promptTitle="Wprowadź" prompt="kwotę" sqref="Z47" xr:uid="{00000000-0002-0000-0200-000003000000}">
      <formula1>0</formula1>
      <formula2>100000000000000000</formula2>
    </dataValidation>
    <dataValidation type="textLength" operator="equal" allowBlank="1" showInputMessage="1" showErrorMessage="1" errorTitle="NIP" error="NIP to ciąg dziesięciu cyfr np. 5719611245" promptTitle="Wprowadź" prompt="NIP" sqref="B25:V25" xr:uid="{00000000-0002-0000-0200-000005000000}">
      <formula1>10</formula1>
    </dataValidation>
    <dataValidation type="textLength" operator="equal" allowBlank="1" showInputMessage="1" showErrorMessage="1" errorTitle="REGON" error="REGON to ciąg dziewięciu cyfr np. 571961124" promptTitle="Wprowadź" prompt="nr REGON" sqref="W25:AL25" xr:uid="{00000000-0002-0000-0200-000007000000}">
      <formula1>9</formula1>
    </dataValidation>
    <dataValidation allowBlank="1" showInputMessage="1" showErrorMessage="1" promptTitle="Wprowadź" prompt="dane" sqref="B28:AL28 B30:AL30 AJ82:AL82" xr:uid="{00000000-0002-0000-0200-000008000000}"/>
    <dataValidation allowBlank="1" showInputMessage="1" showErrorMessage="1" promptTitle="Wprowadź" prompt="adres beneficjenta" sqref="B21" xr:uid="{00000000-0002-0000-0200-000009000000}"/>
    <dataValidation allowBlank="1" showInputMessage="1" showErrorMessage="1" promptTitle="Wybierz" prompt="właściwe" sqref="B63:AL63 A60:AL60 A127:AL127" xr:uid="{00000000-0002-0000-0200-00000C000000}"/>
    <dataValidation type="whole" allowBlank="1" showInputMessage="1" showErrorMessage="1" promptTitle="Wprowadź" prompt="liczbę" sqref="A62:AL62" xr:uid="{6E1E37E5-4A3A-46C4-B961-395377DEBCC7}">
      <formula1>0</formula1>
      <formula2>10000000</formula2>
    </dataValidation>
    <dataValidation allowBlank="1" showErrorMessage="1" promptTitle="Wprowadź" prompt="kwotę" sqref="B39" xr:uid="{00000000-0002-0000-0200-00000E000000}"/>
    <dataValidation allowBlank="1" showInputMessage="1" showErrorMessage="1" promptTitle="Wprowadź" prompt="adres ePUAP beneficjenta" sqref="B22" xr:uid="{5AEC87B7-00F4-40B4-9B54-48ED2EF50044}"/>
    <dataValidation allowBlank="1" showErrorMessage="1" promptTitle="Wybierz" prompt="właściwe oświadczenie" sqref="A115:AL115" xr:uid="{00000000-0002-0000-0200-000014000000}"/>
    <dataValidation type="decimal" allowBlank="1" showInputMessage="1" promptTitle="Wybierz" prompt="właściwą wysokość wsparcia lub wpiszmniejszą wartość" sqref="T112:AJ112" xr:uid="{00000000-0002-0000-0200-000015000000}">
      <formula1>0</formula1>
      <formula2>0.8</formula2>
    </dataValidation>
    <dataValidation allowBlank="1" showErrorMessage="1" promptTitle="Wprowadź" prompt="nr księgi wieczystej - nr działki ewidencyjnej" sqref="A117:AL117 A134" xr:uid="{0CA0D31B-5588-414E-8F49-C0F174BE9A50}"/>
    <dataValidation allowBlank="1" showInputMessage="1" showErrorMessage="1" promptTitle="Wprowadź" prompt="Adres do doręczeń elektronicznych" sqref="B23:AL23" xr:uid="{87AF677D-FA69-49FF-88E5-7A8EFA8139DD}"/>
    <dataValidation operator="greaterThanOrEqual" allowBlank="1" showInputMessage="1" showErrorMessage="1" promptTitle="Wprowadź" prompt="datę w formacie rrrr-mm-dd_x000a_" sqref="B43:AL43" xr:uid="{00000000-0002-0000-0200-000018000000}"/>
    <dataValidation type="textLength" operator="equal" allowBlank="1" showInputMessage="1" promptTitle="Wprowadź" prompt="numer rachunku bankowego" sqref="T36:AL36" xr:uid="{EE63DE76-7205-43D4-817C-A19AC119D053}">
      <formula1>26</formula1>
    </dataValidation>
    <dataValidation type="textLength" operator="equal" showInputMessage="1" promptTitle="Wprowadź" prompt="numer rachunku bankowego tj. 26 cyfr" sqref="B36:S36" xr:uid="{D8559319-330D-47B1-849D-B2FA790F6A67}">
      <formula1>26</formula1>
    </dataValidation>
    <dataValidation allowBlank="1" promptTitle="Wprowadź" prompt="numer rachunku bankowego" sqref="B51:R55" xr:uid="{84CAA3AF-E808-47AA-8255-F38B86E7A5A3}"/>
    <dataValidation allowBlank="1" showInputMessage="1" showErrorMessage="1" promptTitle="Wprowadź" prompt="wartość_x000a_" sqref="S51:AL55" xr:uid="{159CA483-98C4-4160-97CA-D71469B680EA}"/>
    <dataValidation allowBlank="1" showErrorMessage="1" sqref="A61:AL61" xr:uid="{B3FDFA77-164E-455A-82D3-E949802AD45D}"/>
    <dataValidation allowBlank="1" showInputMessage="1" showErrorMessage="1" promptTitle="Wprowadź " prompt="wielkość" sqref="A74:AL74" xr:uid="{0C138D1B-7186-4627-8D37-6FFD93BAA71F}"/>
    <dataValidation allowBlank="1" showErrorMessage="1" promptTitle="Wybierz" prompt="właściwy rodzaj" sqref="A64:AL64" xr:uid="{055D93D3-B80A-49E0-8C3D-D80FEE3031A7}"/>
    <dataValidation type="decimal" allowBlank="1" showInputMessage="1" showErrorMessage="1" promptTitle="Wprowadź" prompt="wielkość" sqref="A69:AL69" xr:uid="{605D3EEB-EA3B-44E8-92B3-C37AFBDD1EA8}">
      <formula1>0</formula1>
      <formula2>1.111E+32</formula2>
    </dataValidation>
    <dataValidation allowBlank="1" showInputMessage="1" showErrorMessage="1" promptTitle="Wprowadź" prompt="adres przedsięwzięcia" sqref="A66:A67" xr:uid="{29D7EE94-E130-420A-BC4E-7A5BD856BD27}"/>
    <dataValidation type="decimal" allowBlank="1" showInputMessage="1" showErrorMessage="1" promptTitle="Wprowadź " prompt="wielkość" sqref="A71:AL71 A73 A75" xr:uid="{45C35566-707E-4956-8B53-63090FE865DC}">
      <formula1>0</formula1>
      <formula2>1E+31</formula2>
    </dataValidation>
    <dataValidation errorStyle="information" allowBlank="1" showInputMessage="1" showErrorMessage="1" promptTitle="Wybierz" prompt="właściwe" sqref="A137:AL137" xr:uid="{DC1ACF98-1A3F-4A84-A73C-ECF326AF853C}"/>
    <dataValidation type="decimal" errorStyle="warning" showInputMessage="1" showErrorMessage="1" sqref="AH88:AJ109" xr:uid="{DD6743D6-5662-4697-A331-C5B80678021B}">
      <formula1>0</formula1>
      <formula2>1</formula2>
    </dataValidation>
  </dataValidations>
  <hyperlinks>
    <hyperlink ref="AM39" location="'Wniosek art 3 remontlubprzebudo'!B117" display="Kliknij &quot;tutaj&quot; i przejdź do wypełnienia zestawienia kosztów" xr:uid="{00000000-0004-0000-0200-000000000000}"/>
    <hyperlink ref="B39:AL39" location="'Wniosek art 3 remont'!B100" display="'Wniosek art 3 remont'!B100" xr:uid="{00000000-0004-0000-0200-000002000000}"/>
    <hyperlink ref="AM20" r:id="rId1" display="Weryfikocji można dokonać na stronie internetowej -&gt; https://eteryt.stat.gov.pl/eTeryt/rejestr_teryt/udostepnianie_danych/baza_teryt/uzytkownicy_indywidualni/wyszukiwanie/wyszukiwanie.aspx?contrast=default" xr:uid="{00000000-0004-0000-0200-000003000000}"/>
    <hyperlink ref="AM22" r:id="rId2" xr:uid="{00000000-0004-0000-0200-000004000000}"/>
    <hyperlink ref="AM18" r:id="rId3" xr:uid="{00000000-0004-0000-0200-000005000000}"/>
    <hyperlink ref="AM24" r:id="rId4" xr:uid="{00000000-0004-0000-0200-000006000000}"/>
  </hyperlinks>
  <pageMargins left="0.70866141732283472" right="0.70866141732283472" top="0.74803149606299213" bottom="0.74803149606299213" header="0.31496062992125984" footer="0.31496062992125984"/>
  <pageSetup paperSize="9" orientation="portrait" r:id="rId5"/>
  <headerFooter>
    <oddFooter>&amp;LStrona &amp;P z &amp;N&amp;R&amp;F&amp;A</oddFooter>
  </headerFooter>
  <drawing r:id="rId6"/>
  <extLst>
    <ext xmlns:x14="http://schemas.microsoft.com/office/spreadsheetml/2009/9/main" uri="{78C0D931-6437-407d-A8EE-F0AAD7539E65}">
      <x14:conditionalFormattings>
        <x14:conditionalFormatting xmlns:xm="http://schemas.microsoft.com/office/excel/2006/main">
          <x14:cfRule type="expression" priority="25" id="{B72D708A-106A-4368-B27B-E67D0D3C63B6}">
            <xm:f>IF(#REF!=Słowniki!$F$19,1,0)</xm:f>
            <x14:dxf>
              <fill>
                <patternFill>
                  <bgColor theme="0"/>
                </patternFill>
              </fill>
            </x14:dxf>
          </x14:cfRule>
          <xm:sqref>A62</xm:sqref>
        </x14:conditionalFormatting>
        <x14:conditionalFormatting xmlns:xm="http://schemas.microsoft.com/office/excel/2006/main">
          <x14:cfRule type="expression" priority="3761" id="{E15A9C38-E941-43DB-839B-B67024C91340}">
            <xm:f>IF(#REF!=Słowniki!$P$2,1,0)</xm:f>
            <x14:dxf>
              <font>
                <b/>
                <i val="0"/>
                <strike/>
                <color theme="1"/>
              </font>
            </x14:dxf>
          </x14:cfRule>
          <xm:sqref>A77:AL77</xm:sqref>
        </x14:conditionalFormatting>
        <x14:conditionalFormatting xmlns:xm="http://schemas.microsoft.com/office/excel/2006/main">
          <x14:cfRule type="expression" priority="41" id="{0E8F8F78-F27C-4ADB-B861-11EB4903FDF9}">
            <xm:f>IF(#REF!=Słowniki!$P$2,1,0)</xm:f>
            <x14:dxf>
              <font>
                <strike/>
              </font>
            </x14:dxf>
          </x14:cfRule>
          <xm:sqref>A81:AL81</xm:sqref>
        </x14:conditionalFormatting>
        <x14:conditionalFormatting xmlns:xm="http://schemas.microsoft.com/office/excel/2006/main">
          <x14:cfRule type="expression" priority="22" id="{092833D3-02C5-41CB-8D49-18890C30B00A}">
            <xm:f>IF(#REF!=Słowniki!$F$19,1,0)</xm:f>
            <x14:dxf>
              <fill>
                <patternFill>
                  <bgColor theme="0"/>
                </patternFill>
              </fill>
            </x14:dxf>
          </x14:cfRule>
          <xm:sqref>T62</xm:sqref>
        </x14:conditionalFormatting>
      </x14:conditionalFormattings>
    </ext>
    <ext xmlns:x14="http://schemas.microsoft.com/office/spreadsheetml/2009/9/main" uri="{CCE6A557-97BC-4b89-ADB6-D9C93CAAB3DF}">
      <x14:dataValidations xmlns:xm="http://schemas.microsoft.com/office/excel/2006/main" xWindow="422" yWindow="577" count="22">
        <x14:dataValidation type="list" allowBlank="1" showInputMessage="1" showErrorMessage="1" promptTitle="Wybierz" prompt="właściwe" xr:uid="{00000000-0002-0000-0200-00001E000000}">
          <x14:formula1>
            <xm:f>Słowniki!$AO$1:$AO$2</xm:f>
          </x14:formula1>
          <xm:sqref>B40:AL40</xm:sqref>
        </x14:dataValidation>
        <x14:dataValidation type="list" allowBlank="1" showInputMessage="1" promptTitle="Wprowadź" prompt="dane lub wybierz nie dotyczy" xr:uid="{00000000-0002-0000-0200-000021000000}">
          <x14:formula1>
            <xm:f>Słowniki!$F$26</xm:f>
          </x14:formula1>
          <xm:sqref>B32:AL32 B34:AL34</xm:sqref>
        </x14:dataValidation>
        <x14:dataValidation type="list" allowBlank="1" showInputMessage="1" showErrorMessage="1" promptTitle="Wybierz" prompt="właściwe" xr:uid="{00000000-0002-0000-0200-000022000000}">
          <x14:formula1>
            <xm:f>Słowniki!$U$5:$U$6</xm:f>
          </x14:formula1>
          <xm:sqref>A80:AL80</xm:sqref>
        </x14:dataValidation>
        <x14:dataValidation type="list" allowBlank="1" showInputMessage="1" showErrorMessage="1" promptTitle="Wybierz" prompt="właściwe" xr:uid="{00000000-0002-0000-0200-000024000000}">
          <x14:formula1>
            <xm:f>Słowniki!$U$1:$U$2</xm:f>
          </x14:formula1>
          <xm:sqref>A78:AL78</xm:sqref>
        </x14:dataValidation>
        <x14:dataValidation type="list" allowBlank="1" showInputMessage="1" showErrorMessage="1" promptTitle="Wybierz" prompt="właściwe" xr:uid="{00000000-0002-0000-0200-000025000000}">
          <x14:formula1>
            <xm:f>Słowniki!$E$169:$E$170</xm:f>
          </x14:formula1>
          <xm:sqref>T113:AJ113</xm:sqref>
        </x14:dataValidation>
        <x14:dataValidation type="list" allowBlank="1" showInputMessage="1" showErrorMessage="1" promptTitle="Wybierz" prompt="właściwe" xr:uid="{00000000-0002-0000-0200-000027000000}">
          <x14:formula1>
            <xm:f>Słowniki!$W$1:$W$2</xm:f>
          </x14:formula1>
          <xm:sqref>A116:AL116</xm:sqref>
        </x14:dataValidation>
        <x14:dataValidation type="list" allowBlank="1" showInputMessage="1" showErrorMessage="1" promptTitle="Wybierz" prompt="właściwe" xr:uid="{00000000-0002-0000-0200-00002E000000}">
          <x14:formula1>
            <xm:f>Słowniki!$D$3:$D$4</xm:f>
          </x14:formula1>
          <xm:sqref>A57:AL57</xm:sqref>
        </x14:dataValidation>
        <x14:dataValidation type="list" allowBlank="1" showInputMessage="1" showErrorMessage="1" promptTitle="Wybierz" prompt="właściwe" xr:uid="{00000000-0002-0000-0200-000030000000}">
          <x14:formula1>
            <xm:f>Słowniki!$C$7:$C$9</xm:f>
          </x14:formula1>
          <xm:sqref>A58:AL58</xm:sqref>
        </x14:dataValidation>
        <x14:dataValidation type="list" allowBlank="1" showInputMessage="1" showErrorMessage="1" promptTitle="Wybierz" prompt="właściwe" xr:uid="{0F0F8130-15FC-40C3-9327-B1AC6DBF8F96}">
          <x14:formula1>
            <xm:f>Słowniki!$W$12:$W$14</xm:f>
          </x14:formula1>
          <xm:sqref>A120:AL120</xm:sqref>
        </x14:dataValidation>
        <x14:dataValidation type="list" allowBlank="1" showInputMessage="1" showErrorMessage="1" promptTitle="Wybierz" prompt="właściwe" xr:uid="{00000000-0002-0000-0200-000035000000}">
          <x14:formula1>
            <xm:f>Słowniki!$C$3:$C$4</xm:f>
          </x14:formula1>
          <xm:sqref>AB7:AE7 N7:P7</xm:sqref>
        </x14:dataValidation>
        <x14:dataValidation type="list" errorStyle="information" allowBlank="1" showInputMessage="1" showErrorMessage="1" promptTitle="Wybierz" prompt="właściwe" xr:uid="{C692CC38-48A4-41AF-9960-9686179C2EC0}">
          <x14:formula1>
            <xm:f>Słowniki!$A$46:$A$60</xm:f>
          </x14:formula1>
          <xm:sqref>B88:F109</xm:sqref>
        </x14:dataValidation>
        <x14:dataValidation type="list" allowBlank="1" showInputMessage="1" showErrorMessage="1" promptTitle="Wybierz" prompt="beneficjenta" xr:uid="{073C02D5-DD54-4462-AD91-F2700E1097D3}">
          <x14:formula1>
            <xm:f>Słowniki!$A$8</xm:f>
          </x14:formula1>
          <xm:sqref>B17:AL17</xm:sqref>
        </x14:dataValidation>
        <x14:dataValidation type="list" errorStyle="information" allowBlank="1" showInputMessage="1" showErrorMessage="1" promptTitle="Wprowadź " xr:uid="{36E423AC-CAD6-4CCE-BFC4-6DD764C3B796}">
          <x14:formula1>
            <xm:f>Słowniki!$A$71</xm:f>
          </x14:formula1>
          <xm:sqref>I67:S67</xm:sqref>
        </x14:dataValidation>
        <x14:dataValidation type="list" errorStyle="information" allowBlank="1" showInputMessage="1" showErrorMessage="1" promptTitle="Wprowadź" xr:uid="{C25BE28A-F375-4AC4-93D8-B44B40CAC5CC}">
          <x14:formula1>
            <xm:f>Słowniki!$A$73</xm:f>
          </x14:formula1>
          <xm:sqref>T67:AD67</xm:sqref>
        </x14:dataValidation>
        <x14:dataValidation type="list" allowBlank="1" showInputMessage="1" showErrorMessage="1" promptTitle="Wybierz" prompt="właściwe" xr:uid="{E4F51757-871D-4AA1-AACC-9B906D6B45A1}">
          <x14:formula1>
            <xm:f>Słowniki!$Y$9:$Y$10</xm:f>
          </x14:formula1>
          <xm:sqref>A130:AL133</xm:sqref>
        </x14:dataValidation>
        <x14:dataValidation type="list" allowBlank="1" showInputMessage="1" showErrorMessage="1" promptTitle="Wybierz" prompt="właściwe" xr:uid="{A5F33ECE-5788-41EF-B035-42DA89EE1123}">
          <x14:formula1>
            <xm:f>Słowniki!$Y$5:$Y$6</xm:f>
          </x14:formula1>
          <xm:sqref>A126:AL126</xm:sqref>
        </x14:dataValidation>
        <x14:dataValidation type="list" allowBlank="1" showInputMessage="1" showErrorMessage="1" promptTitle="Wybierz" prompt="właściwe" xr:uid="{4A91B69F-2145-40A1-A022-9ABA697DA780}">
          <x14:formula1>
            <xm:f>Słowniki!$Y$3:$Y$4</xm:f>
          </x14:formula1>
          <xm:sqref>A124:AL124</xm:sqref>
        </x14:dataValidation>
        <x14:dataValidation type="list" allowBlank="1" showInputMessage="1" showErrorMessage="1" promptTitle="Wybierz" prompt="właściwe" xr:uid="{49339B3E-EA83-4F8D-A8AB-D867C2380EF4}">
          <x14:formula1>
            <xm:f>Słowniki!$Y$1:$Y$2</xm:f>
          </x14:formula1>
          <xm:sqref>A122:AL122</xm:sqref>
        </x14:dataValidation>
        <x14:dataValidation type="list" allowBlank="1" showInputMessage="1" showErrorMessage="1" promptTitle="Wybierz" prompt="właściwe" xr:uid="{D754CF6F-4B64-4ED5-BF6C-27C1BD641B14}">
          <x14:formula1>
            <xm:f>Słowniki!$Y$11:$Y$12</xm:f>
          </x14:formula1>
          <xm:sqref>A128:AL128</xm:sqref>
        </x14:dataValidation>
        <x14:dataValidation type="list" allowBlank="1" showInputMessage="1" showErrorMessage="1" promptTitle="Wybierz" prompt="właściwe" xr:uid="{6B8C61B2-D437-4F0B-9270-D7851210DC5B}">
          <x14:formula1>
            <xm:f>Słowniki!$AC$4:$AC$4</xm:f>
          </x14:formula1>
          <xm:sqref>A118:AL118</xm:sqref>
        </x14:dataValidation>
        <x14:dataValidation type="list" errorStyle="information" allowBlank="1" showInputMessage="1" showErrorMessage="1" xr:uid="{E90B88C2-3DAA-4CF7-A94D-FB758AE5CE63}">
          <x14:formula1>
            <xm:f>Słowniki!$A$34:$A$39</xm:f>
          </x14:formula1>
          <xm:sqref>G88:K109</xm:sqref>
        </x14:dataValidation>
        <x14:dataValidation type="date" operator="greaterThan" allowBlank="1" showInputMessage="1" showErrorMessage="1" promptTitle="Wprowadź" prompt="datę w formacie rrrr-mm-dd_x000a_" xr:uid="{00000000-0002-0000-0200-000036000000}">
          <x14:formula1>
            <xm:f>Słowniki!AQ1</xm:f>
          </x14:formula1>
          <xm:sqref>B41:AL41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Arkusz6"/>
  <dimension ref="A1:BG128"/>
  <sheetViews>
    <sheetView showGridLines="0" zoomScaleNormal="100" workbookViewId="0">
      <selection activeCell="AH84" sqref="AH84:AJ84"/>
    </sheetView>
  </sheetViews>
  <sheetFormatPr defaultColWidth="9.1796875" defaultRowHeight="14" x14ac:dyDescent="0.3"/>
  <cols>
    <col min="1" max="1" width="3.26953125" style="29" customWidth="1"/>
    <col min="2" max="2" width="4" style="29" customWidth="1"/>
    <col min="3" max="3" width="2.1796875" style="29" customWidth="1"/>
    <col min="4" max="4" width="2.54296875" style="29" customWidth="1"/>
    <col min="5" max="5" width="2" style="29" customWidth="1"/>
    <col min="6" max="6" width="1.7265625" style="29" customWidth="1"/>
    <col min="7" max="7" width="1.453125" style="29" customWidth="1"/>
    <col min="8" max="8" width="2.26953125" style="29" customWidth="1"/>
    <col min="9" max="9" width="2.453125" style="29" customWidth="1"/>
    <col min="10" max="10" width="1.54296875" style="29" customWidth="1"/>
    <col min="11" max="11" width="1.7265625" style="29" customWidth="1"/>
    <col min="12" max="12" width="5.26953125" style="29" customWidth="1"/>
    <col min="13" max="13" width="0.81640625" style="29" customWidth="1"/>
    <col min="14" max="14" width="3.453125" style="29" customWidth="1"/>
    <col min="15" max="15" width="2.54296875" style="29" customWidth="1"/>
    <col min="16" max="17" width="1.54296875" style="29" customWidth="1"/>
    <col min="18" max="18" width="1.26953125" style="29" customWidth="1"/>
    <col min="19" max="19" width="2.1796875" style="29" customWidth="1"/>
    <col min="20" max="20" width="1.26953125" style="29" customWidth="1"/>
    <col min="21" max="21" width="1" style="29" customWidth="1"/>
    <col min="22" max="22" width="0.81640625" style="29" customWidth="1"/>
    <col min="23" max="23" width="3" style="29" customWidth="1"/>
    <col min="24" max="24" width="1.26953125" style="29" customWidth="1"/>
    <col min="25" max="25" width="1.453125" style="29" customWidth="1"/>
    <col min="26" max="26" width="1.26953125" style="29" customWidth="1"/>
    <col min="27" max="27" width="1.1796875" style="29" customWidth="1"/>
    <col min="28" max="28" width="2" style="29" customWidth="1"/>
    <col min="29" max="29" width="1" style="29" customWidth="1"/>
    <col min="30" max="30" width="1.81640625" style="29" customWidth="1"/>
    <col min="31" max="31" width="1.7265625" style="29" customWidth="1"/>
    <col min="32" max="32" width="1.1796875" style="29" customWidth="1"/>
    <col min="33" max="33" width="1.81640625" style="29" customWidth="1"/>
    <col min="34" max="34" width="2.26953125" style="29" customWidth="1"/>
    <col min="35" max="35" width="1.453125" style="29" customWidth="1"/>
    <col min="36" max="36" width="4" style="29" customWidth="1"/>
    <col min="37" max="37" width="9.1796875" style="29" customWidth="1"/>
    <col min="38" max="38" width="5.7265625" style="29" customWidth="1"/>
    <col min="39" max="39" width="117.453125" style="59" customWidth="1"/>
    <col min="40" max="40" width="21.1796875" style="44" bestFit="1" customWidth="1"/>
    <col min="41" max="59" width="9.1796875" style="44"/>
    <col min="60" max="16384" width="9.1796875" style="29"/>
  </cols>
  <sheetData>
    <row r="1" spans="1:54" ht="28.5" customHeight="1" x14ac:dyDescent="0.3">
      <c r="A1" s="150" t="s">
        <v>846</v>
      </c>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61"/>
      <c r="AN1" s="42"/>
      <c r="AO1" s="42"/>
      <c r="AP1" s="42"/>
      <c r="AQ1" s="42"/>
      <c r="AR1" s="42"/>
      <c r="AS1" s="42"/>
      <c r="AT1" s="42"/>
      <c r="AU1" s="42"/>
      <c r="AV1" s="42"/>
      <c r="AW1" s="42"/>
      <c r="AX1" s="42"/>
      <c r="AY1" s="42"/>
      <c r="AZ1" s="42"/>
      <c r="BA1" s="42"/>
      <c r="BB1" s="42"/>
    </row>
    <row r="2" spans="1:54" ht="11" customHeight="1" x14ac:dyDescent="0.3">
      <c r="A2" s="36" t="s">
        <v>115</v>
      </c>
      <c r="B2" s="36"/>
      <c r="C2" s="36"/>
      <c r="D2" s="36"/>
      <c r="E2" s="36"/>
      <c r="F2" s="36"/>
      <c r="G2" s="36"/>
      <c r="H2" s="36"/>
      <c r="I2" s="36"/>
      <c r="J2" s="36"/>
      <c r="K2" s="36"/>
      <c r="L2" s="36"/>
      <c r="M2" s="36"/>
      <c r="N2" s="36"/>
      <c r="O2" s="36"/>
      <c r="P2" s="36"/>
      <c r="Q2" s="37"/>
      <c r="R2" s="37"/>
      <c r="S2" s="37"/>
      <c r="T2" s="37"/>
      <c r="U2" s="38"/>
      <c r="V2" s="38"/>
      <c r="W2" s="38"/>
      <c r="X2" s="38"/>
      <c r="Y2" s="39"/>
      <c r="Z2" s="38"/>
      <c r="AB2" s="38"/>
      <c r="AC2" s="38"/>
      <c r="AD2" s="38"/>
      <c r="AE2" s="38"/>
      <c r="AF2" s="38"/>
      <c r="AG2" s="38"/>
      <c r="AH2" s="38"/>
      <c r="AI2" s="38"/>
      <c r="AJ2" s="38"/>
      <c r="AK2" s="38"/>
      <c r="AL2" s="38"/>
      <c r="AM2" s="61"/>
      <c r="AN2" s="42"/>
      <c r="AO2" s="42"/>
      <c r="AP2" s="42"/>
      <c r="AQ2" s="42"/>
      <c r="AR2" s="42"/>
      <c r="AS2" s="42"/>
      <c r="AT2" s="42"/>
      <c r="AU2" s="42"/>
      <c r="AV2" s="42"/>
      <c r="AW2" s="42"/>
      <c r="AX2" s="42"/>
      <c r="AY2" s="42"/>
      <c r="AZ2" s="42"/>
      <c r="BA2" s="42"/>
      <c r="BB2" s="42"/>
    </row>
    <row r="3" spans="1:54" ht="14.5" x14ac:dyDescent="0.35">
      <c r="N3"/>
      <c r="O3"/>
      <c r="P3"/>
      <c r="Q3"/>
      <c r="R3"/>
      <c r="S3"/>
      <c r="T3"/>
      <c r="U3"/>
      <c r="V3"/>
      <c r="W3"/>
      <c r="X3"/>
      <c r="Y3"/>
      <c r="Z3"/>
      <c r="AM3" s="60" t="s">
        <v>133</v>
      </c>
    </row>
    <row r="4" spans="1:54" ht="14.5" x14ac:dyDescent="0.35">
      <c r="A4" s="351"/>
      <c r="B4" s="351"/>
      <c r="C4" s="351"/>
      <c r="D4" s="351"/>
      <c r="E4" s="351"/>
      <c r="F4" s="351"/>
      <c r="G4" s="53"/>
      <c r="H4" s="352">
        <f ca="1">TODAY()</f>
        <v>46059</v>
      </c>
      <c r="I4" s="352"/>
      <c r="J4" s="352"/>
      <c r="K4" s="352"/>
      <c r="L4" s="352"/>
      <c r="M4" s="51"/>
      <c r="N4"/>
      <c r="O4"/>
      <c r="P4"/>
      <c r="Q4"/>
      <c r="R4"/>
      <c r="S4"/>
      <c r="T4"/>
      <c r="U4"/>
      <c r="V4"/>
      <c r="W4"/>
      <c r="X4"/>
      <c r="Y4"/>
      <c r="Z4"/>
      <c r="AA4" s="51"/>
      <c r="AB4" s="51"/>
      <c r="AC4" s="51"/>
      <c r="AD4" s="51"/>
      <c r="AE4" s="51"/>
      <c r="AF4" s="51"/>
      <c r="AG4" s="51"/>
      <c r="AH4" s="51"/>
      <c r="AI4" s="51"/>
      <c r="AJ4" s="51"/>
      <c r="AK4" s="51"/>
      <c r="AL4" s="51"/>
    </row>
    <row r="5" spans="1:54" ht="15" customHeight="1" x14ac:dyDescent="0.35">
      <c r="A5" s="325" t="s">
        <v>117</v>
      </c>
      <c r="B5" s="325"/>
      <c r="C5" s="325"/>
      <c r="D5" s="325"/>
      <c r="E5" s="325"/>
      <c r="F5" s="325"/>
      <c r="G5" s="92"/>
      <c r="H5" s="325" t="s">
        <v>116</v>
      </c>
      <c r="I5" s="325"/>
      <c r="J5" s="325"/>
      <c r="K5" s="325"/>
      <c r="L5" s="325"/>
      <c r="M5" s="94"/>
      <c r="N5"/>
      <c r="O5"/>
      <c r="P5"/>
      <c r="Q5"/>
      <c r="R5"/>
      <c r="S5"/>
      <c r="T5"/>
      <c r="U5"/>
      <c r="V5"/>
      <c r="W5"/>
      <c r="X5"/>
      <c r="Y5"/>
      <c r="Z5"/>
      <c r="AA5" s="89"/>
      <c r="AB5" s="89"/>
      <c r="AC5" s="89"/>
      <c r="AD5" s="89"/>
      <c r="AE5" s="89"/>
      <c r="AF5" s="89"/>
      <c r="AG5" s="89"/>
      <c r="AH5" s="89"/>
      <c r="AI5" s="89"/>
      <c r="AJ5" s="89"/>
      <c r="AK5" s="89"/>
      <c r="AL5" s="89"/>
    </row>
    <row r="6" spans="1:54" ht="14.5" x14ac:dyDescent="0.35">
      <c r="A6" s="93"/>
      <c r="B6" s="93"/>
      <c r="C6" s="93"/>
      <c r="D6" s="93"/>
      <c r="E6" s="93"/>
      <c r="F6" s="93"/>
      <c r="G6" s="92"/>
      <c r="H6" s="94"/>
      <c r="I6" s="94"/>
      <c r="J6" s="94"/>
      <c r="K6" s="94"/>
      <c r="L6" s="94"/>
      <c r="M6" s="94"/>
      <c r="N6"/>
      <c r="O6"/>
      <c r="P6"/>
      <c r="Q6"/>
      <c r="R6"/>
      <c r="S6"/>
      <c r="T6"/>
      <c r="U6"/>
      <c r="V6"/>
      <c r="W6"/>
      <c r="X6"/>
      <c r="Y6"/>
      <c r="Z6"/>
      <c r="AA6" s="89"/>
      <c r="AB6" s="89"/>
      <c r="AC6" s="89"/>
      <c r="AD6" s="89"/>
      <c r="AE6" s="89"/>
      <c r="AF6" s="89"/>
      <c r="AG6" s="89"/>
      <c r="AH6" s="89"/>
      <c r="AI6" s="89"/>
      <c r="AJ6" s="89"/>
      <c r="AK6" s="89"/>
      <c r="AL6" s="89"/>
    </row>
    <row r="7" spans="1:54" ht="14.5" x14ac:dyDescent="0.3">
      <c r="A7" s="151" t="s">
        <v>802</v>
      </c>
      <c r="B7" s="151"/>
      <c r="C7" s="151"/>
      <c r="D7" s="151"/>
      <c r="E7" s="151"/>
      <c r="F7" s="151"/>
      <c r="G7" s="151" t="s">
        <v>803</v>
      </c>
      <c r="H7" s="151"/>
      <c r="I7" s="151"/>
      <c r="J7" s="151"/>
      <c r="K7" s="151"/>
      <c r="L7" s="151"/>
      <c r="M7" s="130"/>
      <c r="N7" s="279"/>
      <c r="O7" s="279"/>
      <c r="P7" s="279"/>
      <c r="Q7" s="321" t="s">
        <v>804</v>
      </c>
      <c r="R7" s="321"/>
      <c r="S7" s="321"/>
      <c r="T7" s="321"/>
      <c r="U7" s="321"/>
      <c r="V7" s="321"/>
      <c r="W7" s="321"/>
      <c r="X7" s="321"/>
      <c r="Y7" s="321"/>
      <c r="Z7" s="321"/>
      <c r="AA7" s="321"/>
      <c r="AB7" s="279"/>
      <c r="AC7" s="279"/>
      <c r="AD7" s="279"/>
      <c r="AE7" s="279"/>
      <c r="AF7" s="131"/>
      <c r="AG7" s="131"/>
      <c r="AH7" s="131"/>
      <c r="AI7" s="131"/>
      <c r="AJ7" s="131"/>
      <c r="AK7" s="131"/>
      <c r="AL7" s="131"/>
      <c r="AM7" s="44"/>
    </row>
    <row r="8" spans="1:54" ht="29" customHeight="1" x14ac:dyDescent="0.3">
      <c r="A8" s="151" t="s">
        <v>805</v>
      </c>
      <c r="B8" s="151"/>
      <c r="C8" s="151"/>
      <c r="D8" s="151"/>
      <c r="E8" s="151"/>
      <c r="F8" s="151"/>
      <c r="G8" s="151"/>
      <c r="H8" s="151"/>
      <c r="I8" s="151"/>
      <c r="J8" s="151"/>
      <c r="K8" s="151"/>
      <c r="L8" s="151"/>
      <c r="M8" s="151"/>
      <c r="N8" s="151"/>
      <c r="O8" s="151"/>
      <c r="P8" s="151"/>
      <c r="Q8" s="152"/>
      <c r="R8" s="152"/>
      <c r="S8" s="152"/>
      <c r="T8" s="152"/>
      <c r="U8" s="152"/>
      <c r="V8" s="152"/>
      <c r="W8" s="152"/>
      <c r="X8" s="152"/>
      <c r="Y8" s="152"/>
      <c r="Z8" s="152"/>
      <c r="AA8" s="152"/>
      <c r="AB8" s="152"/>
      <c r="AC8" s="152"/>
      <c r="AD8" s="152"/>
      <c r="AE8" s="152"/>
      <c r="AF8" s="152"/>
      <c r="AG8" s="152"/>
      <c r="AH8" s="152"/>
      <c r="AI8" s="152"/>
      <c r="AJ8" s="152"/>
      <c r="AK8" s="152"/>
      <c r="AL8" s="152"/>
      <c r="AM8" s="44" t="s">
        <v>806</v>
      </c>
    </row>
    <row r="9" spans="1:54" ht="109" customHeight="1" x14ac:dyDescent="0.3">
      <c r="A9" s="151" t="s">
        <v>919</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44"/>
    </row>
    <row r="10" spans="1:54" ht="14.5" x14ac:dyDescent="0.35">
      <c r="A10" s="89"/>
      <c r="B10" s="89"/>
      <c r="C10" s="89"/>
      <c r="D10" s="89"/>
      <c r="E10" s="89"/>
      <c r="F10" s="89"/>
      <c r="G10" s="89"/>
      <c r="H10" s="89"/>
      <c r="I10" s="89"/>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89"/>
    </row>
    <row r="11" spans="1:54" ht="14.5" customHeight="1" x14ac:dyDescent="0.3">
      <c r="A11" s="275" t="s">
        <v>104</v>
      </c>
      <c r="B11" s="275"/>
      <c r="C11" s="275"/>
      <c r="D11" s="275"/>
      <c r="E11" s="275"/>
      <c r="F11" s="275"/>
      <c r="G11" s="275"/>
      <c r="H11" s="275"/>
      <c r="I11" s="275"/>
      <c r="J11" s="275"/>
      <c r="K11" s="275"/>
      <c r="L11" s="275"/>
      <c r="M11" s="275"/>
      <c r="N11" s="275"/>
      <c r="O11" s="275"/>
      <c r="P11" s="275"/>
      <c r="Q11" s="275"/>
      <c r="R11" s="275"/>
      <c r="S11" s="275"/>
      <c r="T11" s="275"/>
      <c r="U11" s="275"/>
      <c r="V11" s="275"/>
      <c r="W11" s="275"/>
      <c r="X11" s="275"/>
      <c r="Y11" s="275"/>
      <c r="Z11" s="275"/>
      <c r="AA11" s="275"/>
      <c r="AB11" s="275"/>
      <c r="AC11" s="275"/>
      <c r="AD11" s="275"/>
      <c r="AE11" s="275"/>
      <c r="AF11" s="275"/>
      <c r="AG11" s="275"/>
      <c r="AH11" s="275"/>
      <c r="AI11" s="275"/>
      <c r="AJ11" s="275"/>
      <c r="AK11" s="275"/>
      <c r="AL11" s="275"/>
    </row>
    <row r="12" spans="1:54" ht="14.5" x14ac:dyDescent="0.3">
      <c r="A12" s="232" t="s">
        <v>105</v>
      </c>
      <c r="B12" s="232"/>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32"/>
      <c r="AH12" s="232"/>
      <c r="AI12" s="232"/>
      <c r="AJ12" s="232"/>
      <c r="AK12" s="232"/>
      <c r="AL12" s="232"/>
    </row>
    <row r="13" spans="1:54" ht="17.25" customHeight="1" x14ac:dyDescent="0.3">
      <c r="A13" s="276" t="s">
        <v>798</v>
      </c>
      <c r="B13" s="276"/>
      <c r="C13" s="276"/>
      <c r="D13" s="276"/>
      <c r="E13" s="276"/>
      <c r="F13" s="276"/>
      <c r="G13" s="276"/>
      <c r="H13" s="276"/>
      <c r="I13" s="276"/>
      <c r="J13" s="276"/>
      <c r="K13" s="276"/>
      <c r="L13" s="276"/>
      <c r="M13" s="276"/>
      <c r="N13" s="276"/>
      <c r="O13" s="276"/>
      <c r="P13" s="276"/>
      <c r="Q13" s="276"/>
      <c r="R13" s="276"/>
      <c r="S13" s="276"/>
      <c r="T13" s="276"/>
      <c r="U13" s="276"/>
      <c r="V13" s="276"/>
      <c r="W13" s="276"/>
      <c r="X13" s="276"/>
      <c r="Y13" s="276"/>
      <c r="Z13" s="276"/>
      <c r="AA13" s="276"/>
      <c r="AB13" s="276"/>
      <c r="AC13" s="276"/>
      <c r="AD13" s="276"/>
      <c r="AE13" s="276"/>
      <c r="AF13" s="276"/>
      <c r="AG13" s="276"/>
      <c r="AH13" s="276"/>
      <c r="AI13" s="276"/>
      <c r="AJ13" s="276"/>
      <c r="AK13" s="276"/>
      <c r="AL13" s="276"/>
    </row>
    <row r="14" spans="1:54" x14ac:dyDescent="0.3">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row>
    <row r="15" spans="1:54" ht="14.5" x14ac:dyDescent="0.35">
      <c r="A15" s="277" t="s">
        <v>71</v>
      </c>
      <c r="B15" s="277"/>
      <c r="C15" s="277"/>
      <c r="D15" s="277"/>
      <c r="E15" s="277"/>
      <c r="F15" s="277"/>
      <c r="G15" s="277"/>
      <c r="H15" s="277"/>
      <c r="I15" s="277"/>
      <c r="J15" s="277"/>
      <c r="K15" s="277"/>
      <c r="L15" s="277"/>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89"/>
      <c r="AM15" s="43"/>
    </row>
    <row r="16" spans="1:54" ht="14.5" x14ac:dyDescent="0.3">
      <c r="A16" s="232" t="s">
        <v>1</v>
      </c>
      <c r="B16" s="278" t="s">
        <v>63</v>
      </c>
      <c r="C16" s="278"/>
      <c r="D16" s="278"/>
      <c r="E16" s="278"/>
      <c r="F16" s="278"/>
      <c r="G16" s="278"/>
      <c r="H16" s="278"/>
      <c r="I16" s="278"/>
      <c r="J16" s="278"/>
      <c r="K16" s="278"/>
      <c r="L16" s="278"/>
      <c r="M16" s="278"/>
      <c r="N16" s="278"/>
      <c r="O16" s="278"/>
      <c r="P16" s="278"/>
      <c r="Q16" s="278"/>
      <c r="R16" s="278"/>
      <c r="S16" s="278"/>
      <c r="T16" s="278"/>
      <c r="U16" s="278"/>
      <c r="V16" s="278"/>
      <c r="W16" s="278"/>
      <c r="X16" s="278"/>
      <c r="Y16" s="278"/>
      <c r="Z16" s="278"/>
      <c r="AA16" s="278"/>
      <c r="AB16" s="278"/>
      <c r="AC16" s="278"/>
      <c r="AD16" s="278"/>
      <c r="AE16" s="278"/>
      <c r="AF16" s="278"/>
      <c r="AG16" s="278"/>
      <c r="AH16" s="278"/>
      <c r="AI16" s="278"/>
      <c r="AJ16" s="278"/>
      <c r="AK16" s="278"/>
      <c r="AL16" s="278"/>
      <c r="AM16" s="43"/>
    </row>
    <row r="17" spans="1:39" ht="14.5" x14ac:dyDescent="0.3">
      <c r="A17" s="232"/>
      <c r="B17" s="152" t="s">
        <v>852</v>
      </c>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c r="AM17" s="44"/>
    </row>
    <row r="18" spans="1:39" ht="14.5" x14ac:dyDescent="0.35">
      <c r="A18" s="232" t="s">
        <v>4</v>
      </c>
      <c r="B18" s="235" t="s">
        <v>64</v>
      </c>
      <c r="C18" s="235"/>
      <c r="D18" s="235"/>
      <c r="E18" s="235"/>
      <c r="F18" s="235"/>
      <c r="G18" s="235"/>
      <c r="H18" s="235"/>
      <c r="I18" s="235"/>
      <c r="J18" s="235"/>
      <c r="K18" s="235"/>
      <c r="L18" s="235"/>
      <c r="M18" s="235"/>
      <c r="N18" s="235"/>
      <c r="O18" s="235"/>
      <c r="P18" s="235"/>
      <c r="Q18" s="235"/>
      <c r="R18" s="235"/>
      <c r="S18" s="235"/>
      <c r="T18" s="235"/>
      <c r="U18" s="235"/>
      <c r="V18" s="235"/>
      <c r="W18" s="235"/>
      <c r="X18" s="235"/>
      <c r="Y18" s="235"/>
      <c r="Z18" s="235"/>
      <c r="AA18" s="235"/>
      <c r="AB18" s="235"/>
      <c r="AC18" s="235"/>
      <c r="AD18" s="235"/>
      <c r="AE18" s="235"/>
      <c r="AF18" s="235"/>
      <c r="AG18" s="235"/>
      <c r="AH18" s="235"/>
      <c r="AI18" s="235"/>
      <c r="AJ18" s="235"/>
      <c r="AK18" s="235"/>
      <c r="AL18" s="235"/>
      <c r="AM18" s="58" t="s">
        <v>809</v>
      </c>
    </row>
    <row r="19" spans="1:39" ht="14.5" x14ac:dyDescent="0.3">
      <c r="A19" s="232"/>
      <c r="B19" s="273"/>
      <c r="C19" s="274"/>
      <c r="D19" s="274"/>
      <c r="E19" s="274"/>
      <c r="F19" s="274"/>
      <c r="G19" s="274"/>
      <c r="H19" s="274"/>
      <c r="I19" s="274"/>
      <c r="J19" s="274"/>
      <c r="K19" s="274"/>
      <c r="L19" s="274"/>
      <c r="M19" s="274"/>
      <c r="N19" s="274"/>
      <c r="O19" s="274"/>
      <c r="P19" s="274"/>
      <c r="Q19" s="274"/>
      <c r="R19" s="274"/>
      <c r="S19" s="274"/>
      <c r="T19" s="274"/>
      <c r="U19" s="274"/>
      <c r="V19" s="274"/>
      <c r="W19" s="274"/>
      <c r="X19" s="274"/>
      <c r="Y19" s="274"/>
      <c r="Z19" s="274"/>
      <c r="AA19" s="274"/>
      <c r="AB19" s="274"/>
      <c r="AC19" s="274"/>
      <c r="AD19" s="274"/>
      <c r="AE19" s="274"/>
      <c r="AF19" s="274"/>
      <c r="AG19" s="274"/>
      <c r="AH19" s="274"/>
      <c r="AI19" s="274"/>
      <c r="AJ19" s="274"/>
      <c r="AK19" s="274"/>
      <c r="AL19" s="274"/>
      <c r="AM19" s="44"/>
    </row>
    <row r="20" spans="1:39" ht="29.5" customHeight="1" x14ac:dyDescent="0.35">
      <c r="A20" s="232" t="s">
        <v>6</v>
      </c>
      <c r="B20" s="153" t="s">
        <v>811</v>
      </c>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58" t="s">
        <v>799</v>
      </c>
    </row>
    <row r="21" spans="1:39" ht="14.5" x14ac:dyDescent="0.3">
      <c r="A21" s="232"/>
      <c r="B21" s="154"/>
      <c r="C21" s="154"/>
      <c r="D21" s="154"/>
      <c r="E21" s="154"/>
      <c r="F21" s="154"/>
      <c r="G21" s="154"/>
      <c r="H21" s="154"/>
      <c r="I21" s="154"/>
      <c r="J21" s="154"/>
      <c r="K21" s="154"/>
      <c r="L21" s="154"/>
      <c r="M21" s="154"/>
      <c r="N21" s="154"/>
      <c r="O21" s="154"/>
      <c r="P21" s="154"/>
      <c r="Q21" s="154"/>
      <c r="R21" s="154"/>
      <c r="S21" s="154"/>
      <c r="T21" s="154"/>
      <c r="U21" s="154"/>
      <c r="V21" s="154"/>
      <c r="W21" s="154"/>
      <c r="X21" s="154"/>
      <c r="Y21" s="154"/>
      <c r="Z21" s="154"/>
      <c r="AA21" s="154"/>
      <c r="AB21" s="154"/>
      <c r="AC21" s="154"/>
      <c r="AD21" s="154"/>
      <c r="AE21" s="154"/>
      <c r="AF21" s="154"/>
      <c r="AG21" s="154"/>
      <c r="AH21" s="154"/>
      <c r="AI21" s="154"/>
      <c r="AJ21" s="154"/>
      <c r="AK21" s="154"/>
      <c r="AL21" s="154"/>
      <c r="AM21" s="44"/>
    </row>
    <row r="22" spans="1:39" ht="44" customHeight="1" x14ac:dyDescent="0.35">
      <c r="A22" s="232"/>
      <c r="B22" s="310" t="s">
        <v>853</v>
      </c>
      <c r="C22" s="310"/>
      <c r="D22" s="310"/>
      <c r="E22" s="310"/>
      <c r="F22" s="310"/>
      <c r="G22" s="310"/>
      <c r="H22" s="310"/>
      <c r="I22" s="310"/>
      <c r="J22" s="310"/>
      <c r="K22" s="310"/>
      <c r="L22" s="310"/>
      <c r="M22" s="310"/>
      <c r="N22" s="310"/>
      <c r="O22" s="310"/>
      <c r="P22" s="310"/>
      <c r="Q22" s="310"/>
      <c r="R22" s="310"/>
      <c r="S22" s="310"/>
      <c r="T22" s="310"/>
      <c r="U22" s="310"/>
      <c r="V22" s="310"/>
      <c r="W22" s="310"/>
      <c r="X22" s="310"/>
      <c r="Y22" s="310"/>
      <c r="Z22" s="310"/>
      <c r="AA22" s="310"/>
      <c r="AB22" s="310"/>
      <c r="AC22" s="310"/>
      <c r="AD22" s="310"/>
      <c r="AE22" s="310"/>
      <c r="AF22" s="310"/>
      <c r="AG22" s="310"/>
      <c r="AH22" s="310"/>
      <c r="AI22" s="310"/>
      <c r="AJ22" s="310"/>
      <c r="AK22" s="310"/>
      <c r="AL22" s="310"/>
      <c r="AM22" s="133" t="s">
        <v>807</v>
      </c>
    </row>
    <row r="23" spans="1:39" ht="14.5" customHeight="1" x14ac:dyDescent="0.3">
      <c r="A23" s="232"/>
      <c r="B23" s="273"/>
      <c r="C23" s="273"/>
      <c r="D23" s="273"/>
      <c r="E23" s="273"/>
      <c r="F23" s="273"/>
      <c r="G23" s="273"/>
      <c r="H23" s="273"/>
      <c r="I23" s="273"/>
      <c r="J23" s="273"/>
      <c r="K23" s="273"/>
      <c r="L23" s="273"/>
      <c r="M23" s="273"/>
      <c r="N23" s="273"/>
      <c r="O23" s="273"/>
      <c r="P23" s="273"/>
      <c r="Q23" s="273"/>
      <c r="R23" s="273"/>
      <c r="S23" s="273"/>
      <c r="T23" s="273"/>
      <c r="U23" s="273"/>
      <c r="V23" s="273"/>
      <c r="W23" s="273"/>
      <c r="X23" s="273"/>
      <c r="Y23" s="273"/>
      <c r="Z23" s="273"/>
      <c r="AA23" s="273"/>
      <c r="AB23" s="273"/>
      <c r="AC23" s="273"/>
      <c r="AD23" s="273"/>
      <c r="AE23" s="273"/>
      <c r="AF23" s="273"/>
      <c r="AG23" s="273"/>
      <c r="AH23" s="273"/>
      <c r="AI23" s="273"/>
      <c r="AJ23" s="273"/>
      <c r="AK23" s="273"/>
      <c r="AL23" s="273"/>
      <c r="AM23" s="44"/>
    </row>
    <row r="24" spans="1:39" ht="44" customHeight="1" x14ac:dyDescent="0.35">
      <c r="A24" s="231" t="s">
        <v>7</v>
      </c>
      <c r="B24" s="235" t="s">
        <v>65</v>
      </c>
      <c r="C24" s="235"/>
      <c r="D24" s="235"/>
      <c r="E24" s="235"/>
      <c r="F24" s="235"/>
      <c r="G24" s="235"/>
      <c r="H24" s="235"/>
      <c r="I24" s="235"/>
      <c r="J24" s="235"/>
      <c r="K24" s="235"/>
      <c r="L24" s="235"/>
      <c r="M24" s="235"/>
      <c r="N24" s="235"/>
      <c r="O24" s="235"/>
      <c r="P24" s="235"/>
      <c r="Q24" s="235"/>
      <c r="R24" s="235"/>
      <c r="S24" s="235"/>
      <c r="T24" s="235"/>
      <c r="U24" s="235"/>
      <c r="V24" s="235"/>
      <c r="W24" s="281" t="s">
        <v>854</v>
      </c>
      <c r="X24" s="282"/>
      <c r="Y24" s="282"/>
      <c r="Z24" s="282"/>
      <c r="AA24" s="282"/>
      <c r="AB24" s="282"/>
      <c r="AC24" s="282"/>
      <c r="AD24" s="282"/>
      <c r="AE24" s="282"/>
      <c r="AF24" s="282"/>
      <c r="AG24" s="282"/>
      <c r="AH24" s="282"/>
      <c r="AI24" s="282"/>
      <c r="AJ24" s="282"/>
      <c r="AK24" s="282"/>
      <c r="AL24" s="282"/>
      <c r="AM24" s="58" t="s">
        <v>808</v>
      </c>
    </row>
    <row r="25" spans="1:39" ht="14.5" x14ac:dyDescent="0.35">
      <c r="A25" s="231"/>
      <c r="B25" s="291"/>
      <c r="C25" s="291"/>
      <c r="D25" s="291"/>
      <c r="E25" s="291"/>
      <c r="F25" s="291"/>
      <c r="G25" s="291"/>
      <c r="H25" s="291"/>
      <c r="I25" s="291"/>
      <c r="J25" s="291"/>
      <c r="K25" s="291"/>
      <c r="L25" s="291"/>
      <c r="M25" s="291"/>
      <c r="N25" s="291"/>
      <c r="O25" s="291"/>
      <c r="P25" s="291"/>
      <c r="Q25" s="291"/>
      <c r="R25" s="291"/>
      <c r="S25" s="291"/>
      <c r="T25" s="291"/>
      <c r="U25" s="291"/>
      <c r="V25" s="291"/>
      <c r="W25" s="292"/>
      <c r="X25" s="292"/>
      <c r="Y25" s="292"/>
      <c r="Z25" s="292"/>
      <c r="AA25" s="292"/>
      <c r="AB25" s="292"/>
      <c r="AC25" s="292"/>
      <c r="AD25" s="292"/>
      <c r="AE25" s="292"/>
      <c r="AF25" s="292"/>
      <c r="AG25" s="292"/>
      <c r="AH25" s="292"/>
      <c r="AI25" s="292"/>
      <c r="AJ25" s="292"/>
      <c r="AK25" s="292"/>
      <c r="AL25" s="292"/>
      <c r="AM25" s="44"/>
    </row>
    <row r="26" spans="1:39" ht="14.5" x14ac:dyDescent="0.3">
      <c r="A26" s="231" t="s">
        <v>9</v>
      </c>
      <c r="B26" s="235" t="s">
        <v>66</v>
      </c>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c r="AM26" s="44"/>
    </row>
    <row r="27" spans="1:39" ht="14.5" x14ac:dyDescent="0.3">
      <c r="A27" s="232"/>
      <c r="B27" s="235" t="s">
        <v>137</v>
      </c>
      <c r="C27" s="235"/>
      <c r="D27" s="235"/>
      <c r="E27" s="235"/>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235"/>
      <c r="AJ27" s="235"/>
      <c r="AK27" s="235"/>
      <c r="AL27" s="235"/>
      <c r="AM27" s="44"/>
    </row>
    <row r="28" spans="1:39" ht="14.5" x14ac:dyDescent="0.3">
      <c r="A28" s="232"/>
      <c r="B28" s="154"/>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44"/>
    </row>
    <row r="29" spans="1:39" ht="14.5" x14ac:dyDescent="0.3">
      <c r="A29" s="232"/>
      <c r="B29" s="234" t="s">
        <v>621</v>
      </c>
      <c r="C29" s="235"/>
      <c r="D29" s="235"/>
      <c r="E29" s="235"/>
      <c r="F29" s="235"/>
      <c r="G29" s="235"/>
      <c r="H29" s="235"/>
      <c r="I29" s="235"/>
      <c r="J29" s="235"/>
      <c r="K29" s="235"/>
      <c r="L29" s="235"/>
      <c r="M29" s="235"/>
      <c r="N29" s="235"/>
      <c r="O29" s="235"/>
      <c r="P29" s="235"/>
      <c r="Q29" s="235"/>
      <c r="R29" s="235"/>
      <c r="S29" s="235"/>
      <c r="T29" s="235"/>
      <c r="U29" s="235"/>
      <c r="V29" s="235"/>
      <c r="W29" s="235"/>
      <c r="X29" s="235"/>
      <c r="Y29" s="235"/>
      <c r="Z29" s="235"/>
      <c r="AA29" s="235"/>
      <c r="AB29" s="235"/>
      <c r="AC29" s="235"/>
      <c r="AD29" s="235"/>
      <c r="AE29" s="235"/>
      <c r="AF29" s="235"/>
      <c r="AG29" s="235"/>
      <c r="AH29" s="235"/>
      <c r="AI29" s="235"/>
      <c r="AJ29" s="235"/>
      <c r="AK29" s="235"/>
      <c r="AL29" s="235"/>
      <c r="AM29" s="44"/>
    </row>
    <row r="30" spans="1:39" ht="14.5" x14ac:dyDescent="0.3">
      <c r="A30" s="232"/>
      <c r="B30" s="154"/>
      <c r="C30" s="286"/>
      <c r="D30" s="286"/>
      <c r="E30" s="286"/>
      <c r="F30" s="286"/>
      <c r="G30" s="286"/>
      <c r="H30" s="286"/>
      <c r="I30" s="286"/>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59" t="s">
        <v>139</v>
      </c>
    </row>
    <row r="31" spans="1:39" ht="14.5" x14ac:dyDescent="0.3">
      <c r="A31" s="232"/>
      <c r="B31" s="235" t="s">
        <v>138</v>
      </c>
      <c r="C31" s="235"/>
      <c r="D31" s="235"/>
      <c r="E31" s="235"/>
      <c r="F31" s="235"/>
      <c r="G31" s="235"/>
      <c r="H31" s="235"/>
      <c r="I31" s="235"/>
      <c r="J31" s="235"/>
      <c r="K31" s="235"/>
      <c r="L31" s="235"/>
      <c r="M31" s="235"/>
      <c r="N31" s="235"/>
      <c r="O31" s="235"/>
      <c r="P31" s="235"/>
      <c r="Q31" s="235"/>
      <c r="R31" s="235"/>
      <c r="S31" s="235"/>
      <c r="T31" s="235"/>
      <c r="U31" s="235"/>
      <c r="V31" s="235"/>
      <c r="W31" s="235"/>
      <c r="X31" s="235"/>
      <c r="Y31" s="235"/>
      <c r="Z31" s="235"/>
      <c r="AA31" s="235"/>
      <c r="AB31" s="235"/>
      <c r="AC31" s="235"/>
      <c r="AD31" s="235"/>
      <c r="AE31" s="235"/>
      <c r="AF31" s="235"/>
      <c r="AG31" s="235"/>
      <c r="AH31" s="235"/>
      <c r="AI31" s="235"/>
      <c r="AJ31" s="235"/>
      <c r="AK31" s="235"/>
      <c r="AL31" s="235"/>
    </row>
    <row r="32" spans="1:39" ht="14.5" x14ac:dyDescent="0.3">
      <c r="A32" s="232"/>
      <c r="B32" s="154"/>
      <c r="C32" s="286"/>
      <c r="D32" s="286"/>
      <c r="E32" s="286"/>
      <c r="F32" s="286"/>
      <c r="G32" s="286"/>
      <c r="H32" s="286"/>
      <c r="I32" s="286"/>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59" t="s">
        <v>139</v>
      </c>
    </row>
    <row r="33" spans="1:41" ht="14.5" x14ac:dyDescent="0.3">
      <c r="A33" s="232"/>
      <c r="B33" s="288" t="s">
        <v>673</v>
      </c>
      <c r="C33" s="235"/>
      <c r="D33" s="235"/>
      <c r="E33" s="235"/>
      <c r="F33" s="235"/>
      <c r="G33" s="235"/>
      <c r="H33" s="235"/>
      <c r="I33" s="235"/>
      <c r="J33" s="235"/>
      <c r="K33" s="235"/>
      <c r="L33" s="235"/>
      <c r="M33" s="235"/>
      <c r="N33" s="235"/>
      <c r="O33" s="235"/>
      <c r="P33" s="235"/>
      <c r="Q33" s="235"/>
      <c r="R33" s="235"/>
      <c r="S33" s="235"/>
      <c r="T33" s="235"/>
      <c r="U33" s="235"/>
      <c r="V33" s="235"/>
      <c r="W33" s="235"/>
      <c r="X33" s="235"/>
      <c r="Y33" s="235"/>
      <c r="Z33" s="235"/>
      <c r="AA33" s="235"/>
      <c r="AB33" s="235"/>
      <c r="AC33" s="235"/>
      <c r="AD33" s="235"/>
      <c r="AE33" s="235"/>
      <c r="AF33" s="235"/>
      <c r="AG33" s="235"/>
      <c r="AH33" s="235"/>
      <c r="AI33" s="235"/>
      <c r="AJ33" s="235"/>
      <c r="AK33" s="235"/>
      <c r="AL33" s="235"/>
      <c r="AM33" s="43"/>
    </row>
    <row r="34" spans="1:41" ht="14.5" x14ac:dyDescent="0.3">
      <c r="A34" s="232"/>
      <c r="B34" s="154"/>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43"/>
    </row>
    <row r="35" spans="1:41" ht="37.5" customHeight="1" x14ac:dyDescent="0.3">
      <c r="A35" s="231" t="s">
        <v>581</v>
      </c>
      <c r="B35" s="287" t="s">
        <v>668</v>
      </c>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c r="AF35" s="287"/>
      <c r="AG35" s="287"/>
      <c r="AH35" s="287"/>
      <c r="AI35" s="287"/>
      <c r="AJ35" s="287"/>
      <c r="AK35" s="287"/>
      <c r="AL35" s="287"/>
      <c r="AM35" s="29"/>
    </row>
    <row r="36" spans="1:41" ht="14.5" x14ac:dyDescent="0.35">
      <c r="A36" s="232"/>
      <c r="B36" s="293"/>
      <c r="C36" s="293"/>
      <c r="D36" s="293"/>
      <c r="E36" s="293"/>
      <c r="F36" s="293"/>
      <c r="G36" s="293"/>
      <c r="H36" s="293"/>
      <c r="I36" s="293"/>
      <c r="J36" s="293"/>
      <c r="K36" s="293"/>
      <c r="L36" s="293"/>
      <c r="M36" s="293"/>
      <c r="N36" s="293"/>
      <c r="O36" s="293"/>
      <c r="P36" s="293"/>
      <c r="Q36" s="293"/>
      <c r="R36" s="293"/>
      <c r="S36" s="293"/>
      <c r="T36" s="289" t="str" cm="1">
        <f t="array" ref="T36">LEFT(B36,2)&amp;" "&amp;_xlfn.TEXTJOIN(" ",,MID(B36,{3,7,11,15,19,23},4))</f>
        <v xml:space="preserve"> </v>
      </c>
      <c r="U36" s="289"/>
      <c r="V36" s="289"/>
      <c r="W36" s="289"/>
      <c r="X36" s="289"/>
      <c r="Y36" s="289"/>
      <c r="Z36" s="289"/>
      <c r="AA36" s="289"/>
      <c r="AB36" s="289"/>
      <c r="AC36" s="289"/>
      <c r="AD36" s="289"/>
      <c r="AE36" s="289"/>
      <c r="AF36" s="289"/>
      <c r="AG36" s="289"/>
      <c r="AH36" s="289"/>
      <c r="AI36" s="289"/>
      <c r="AJ36" s="289"/>
      <c r="AK36" s="289"/>
      <c r="AL36" s="289"/>
      <c r="AM36" s="29"/>
    </row>
    <row r="37" spans="1:41" ht="14.5" x14ac:dyDescent="0.3">
      <c r="A37" s="90" t="s">
        <v>67</v>
      </c>
      <c r="B37" s="240" t="s">
        <v>68</v>
      </c>
      <c r="C37" s="240"/>
      <c r="D37" s="240"/>
      <c r="E37" s="240"/>
      <c r="F37" s="240"/>
      <c r="G37" s="240"/>
      <c r="H37" s="240"/>
      <c r="I37" s="240"/>
      <c r="J37" s="240"/>
      <c r="K37" s="240"/>
      <c r="L37" s="240"/>
      <c r="M37" s="240"/>
      <c r="N37" s="240"/>
      <c r="O37" s="240"/>
      <c r="P37" s="240"/>
      <c r="Q37" s="240"/>
      <c r="R37" s="240"/>
      <c r="S37" s="240"/>
      <c r="T37" s="240"/>
      <c r="U37" s="240"/>
      <c r="V37" s="240"/>
      <c r="W37" s="240"/>
      <c r="X37" s="240"/>
      <c r="Y37" s="240"/>
      <c r="Z37" s="240"/>
      <c r="AA37" s="240"/>
      <c r="AB37" s="240"/>
      <c r="AC37" s="240"/>
      <c r="AD37" s="240"/>
      <c r="AE37" s="240"/>
      <c r="AF37" s="240"/>
      <c r="AG37" s="240"/>
      <c r="AH37" s="240"/>
      <c r="AI37" s="240"/>
      <c r="AJ37" s="240"/>
      <c r="AK37" s="240"/>
      <c r="AL37" s="240"/>
    </row>
    <row r="38" spans="1:41" ht="14.5" x14ac:dyDescent="0.3">
      <c r="A38" s="232" t="s">
        <v>1</v>
      </c>
      <c r="B38" s="319" t="s">
        <v>140</v>
      </c>
      <c r="C38" s="235"/>
      <c r="D38" s="235"/>
      <c r="E38" s="235"/>
      <c r="F38" s="235"/>
      <c r="G38" s="235"/>
      <c r="H38" s="235"/>
      <c r="I38" s="235"/>
      <c r="J38" s="235"/>
      <c r="K38" s="235"/>
      <c r="L38" s="235"/>
      <c r="M38" s="235"/>
      <c r="N38" s="235"/>
      <c r="O38" s="235"/>
      <c r="P38" s="235"/>
      <c r="Q38" s="235"/>
      <c r="R38" s="235"/>
      <c r="S38" s="235"/>
      <c r="T38" s="235"/>
      <c r="U38" s="235"/>
      <c r="V38" s="235"/>
      <c r="W38" s="235"/>
      <c r="X38" s="235"/>
      <c r="Y38" s="235"/>
      <c r="Z38" s="235"/>
      <c r="AA38" s="235"/>
      <c r="AB38" s="235"/>
      <c r="AC38" s="235"/>
      <c r="AD38" s="235"/>
      <c r="AE38" s="235"/>
      <c r="AF38" s="235"/>
      <c r="AG38" s="235"/>
      <c r="AH38" s="235"/>
      <c r="AI38" s="235"/>
      <c r="AJ38" s="235"/>
      <c r="AK38" s="235"/>
      <c r="AL38" s="235"/>
    </row>
    <row r="39" spans="1:41" ht="14.5" x14ac:dyDescent="0.35">
      <c r="A39" s="232"/>
      <c r="B39" s="241" t="e">
        <f>T98</f>
        <v>#DIV/0!</v>
      </c>
      <c r="C39" s="241"/>
      <c r="D39" s="241"/>
      <c r="E39" s="241"/>
      <c r="F39" s="241"/>
      <c r="G39" s="241"/>
      <c r="H39" s="241"/>
      <c r="I39" s="241"/>
      <c r="J39" s="241"/>
      <c r="K39" s="241"/>
      <c r="L39" s="241"/>
      <c r="M39" s="241"/>
      <c r="N39" s="241"/>
      <c r="O39" s="241"/>
      <c r="P39" s="241"/>
      <c r="Q39" s="241"/>
      <c r="R39" s="241"/>
      <c r="S39" s="241"/>
      <c r="T39" s="241"/>
      <c r="U39" s="241"/>
      <c r="V39" s="241"/>
      <c r="W39" s="241"/>
      <c r="X39" s="241"/>
      <c r="Y39" s="241"/>
      <c r="Z39" s="241"/>
      <c r="AA39" s="241"/>
      <c r="AB39" s="241"/>
      <c r="AC39" s="241"/>
      <c r="AD39" s="241"/>
      <c r="AE39" s="241"/>
      <c r="AF39" s="241"/>
      <c r="AG39" s="241"/>
      <c r="AH39" s="241"/>
      <c r="AI39" s="241"/>
      <c r="AJ39" s="241"/>
      <c r="AK39" s="241"/>
      <c r="AL39" s="241"/>
      <c r="AM39" s="64" t="s">
        <v>170</v>
      </c>
      <c r="AN39" s="66"/>
      <c r="AO39" s="66"/>
    </row>
    <row r="40" spans="1:41" ht="31.5" customHeight="1" x14ac:dyDescent="0.3">
      <c r="A40" s="344" t="s">
        <v>6</v>
      </c>
      <c r="B40" s="345" t="s">
        <v>822</v>
      </c>
      <c r="C40" s="346"/>
      <c r="D40" s="346"/>
      <c r="E40" s="346"/>
      <c r="F40" s="346"/>
      <c r="G40" s="346"/>
      <c r="H40" s="346"/>
      <c r="I40" s="346"/>
      <c r="J40" s="346"/>
      <c r="K40" s="346"/>
      <c r="L40" s="346"/>
      <c r="M40" s="346"/>
      <c r="N40" s="346"/>
      <c r="O40" s="346"/>
      <c r="P40" s="346"/>
      <c r="Q40" s="346"/>
      <c r="R40" s="346"/>
      <c r="S40" s="346"/>
      <c r="T40" s="346"/>
      <c r="U40" s="346"/>
      <c r="V40" s="346"/>
      <c r="W40" s="346"/>
      <c r="X40" s="346"/>
      <c r="Y40" s="346"/>
      <c r="Z40" s="346"/>
      <c r="AA40" s="346"/>
      <c r="AB40" s="346"/>
      <c r="AC40" s="346"/>
      <c r="AD40" s="346"/>
      <c r="AE40" s="346"/>
      <c r="AF40" s="346"/>
      <c r="AG40" s="346"/>
      <c r="AH40" s="346"/>
      <c r="AI40" s="346"/>
      <c r="AJ40" s="346"/>
      <c r="AK40" s="346"/>
      <c r="AL40" s="346"/>
      <c r="AM40" s="59" t="s">
        <v>169</v>
      </c>
      <c r="AO40" s="67"/>
    </row>
    <row r="41" spans="1:41" ht="14.5" customHeight="1" x14ac:dyDescent="0.3">
      <c r="A41" s="232"/>
      <c r="B41" s="211"/>
      <c r="C41" s="211"/>
      <c r="D41" s="211"/>
      <c r="E41" s="211"/>
      <c r="F41" s="211"/>
      <c r="G41" s="211"/>
      <c r="H41" s="211"/>
      <c r="I41" s="211"/>
      <c r="J41" s="211"/>
      <c r="K41" s="211"/>
      <c r="L41" s="211"/>
      <c r="M41" s="211"/>
      <c r="N41" s="211"/>
      <c r="O41" s="211"/>
      <c r="P41" s="211"/>
      <c r="Q41" s="211"/>
      <c r="R41" s="211"/>
      <c r="S41" s="211"/>
      <c r="T41" s="211"/>
      <c r="U41" s="211"/>
      <c r="V41" s="211"/>
      <c r="W41" s="211"/>
      <c r="X41" s="211"/>
      <c r="Y41" s="211"/>
      <c r="Z41" s="211"/>
      <c r="AA41" s="211"/>
      <c r="AB41" s="211"/>
      <c r="AC41" s="211"/>
      <c r="AD41" s="211"/>
      <c r="AE41" s="211"/>
      <c r="AF41" s="211"/>
      <c r="AG41" s="211"/>
      <c r="AH41" s="211"/>
      <c r="AI41" s="211"/>
      <c r="AJ41" s="211"/>
      <c r="AK41" s="211"/>
      <c r="AL41" s="211"/>
      <c r="AO41" s="67"/>
    </row>
    <row r="42" spans="1:41" ht="31" customHeight="1" x14ac:dyDescent="0.3">
      <c r="A42" s="344" t="s">
        <v>7</v>
      </c>
      <c r="B42" s="345" t="s">
        <v>823</v>
      </c>
      <c r="C42" s="346"/>
      <c r="D42" s="346"/>
      <c r="E42" s="346"/>
      <c r="F42" s="346"/>
      <c r="G42" s="346"/>
      <c r="H42" s="346"/>
      <c r="I42" s="346"/>
      <c r="J42" s="346"/>
      <c r="K42" s="346"/>
      <c r="L42" s="346"/>
      <c r="M42" s="346"/>
      <c r="N42" s="346"/>
      <c r="O42" s="346"/>
      <c r="P42" s="346"/>
      <c r="Q42" s="346"/>
      <c r="R42" s="346"/>
      <c r="S42" s="346"/>
      <c r="T42" s="346"/>
      <c r="U42" s="346"/>
      <c r="V42" s="346"/>
      <c r="W42" s="346"/>
      <c r="X42" s="346"/>
      <c r="Y42" s="346"/>
      <c r="Z42" s="346"/>
      <c r="AA42" s="346"/>
      <c r="AB42" s="346"/>
      <c r="AC42" s="346"/>
      <c r="AD42" s="346"/>
      <c r="AE42" s="346"/>
      <c r="AF42" s="346"/>
      <c r="AG42" s="346"/>
      <c r="AH42" s="346"/>
      <c r="AI42" s="346"/>
      <c r="AJ42" s="346"/>
      <c r="AK42" s="346"/>
      <c r="AL42" s="346"/>
      <c r="AM42" s="44" t="s">
        <v>579</v>
      </c>
      <c r="AO42" s="67"/>
    </row>
    <row r="43" spans="1:41" ht="14.5" x14ac:dyDescent="0.3">
      <c r="A43" s="232"/>
      <c r="B43" s="211"/>
      <c r="C43" s="211"/>
      <c r="D43" s="211"/>
      <c r="E43" s="211"/>
      <c r="F43" s="211"/>
      <c r="G43" s="211"/>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1"/>
      <c r="AJ43" s="211"/>
      <c r="AK43" s="211"/>
      <c r="AL43" s="211"/>
      <c r="AM43" s="66"/>
      <c r="AO43" s="68"/>
    </row>
    <row r="44" spans="1:41" ht="14.5" x14ac:dyDescent="0.3">
      <c r="A44" s="234" t="s">
        <v>9</v>
      </c>
      <c r="B44" s="236" t="s">
        <v>177</v>
      </c>
      <c r="C44" s="235"/>
      <c r="D44" s="235"/>
      <c r="E44" s="235"/>
      <c r="F44" s="235"/>
      <c r="G44" s="235"/>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5"/>
      <c r="AI44" s="235"/>
      <c r="AJ44" s="235"/>
      <c r="AK44" s="235"/>
      <c r="AL44" s="235"/>
      <c r="AN44" s="67"/>
    </row>
    <row r="45" spans="1:41" ht="14.5" customHeight="1" x14ac:dyDescent="0.3">
      <c r="A45" s="235"/>
      <c r="B45" s="242" t="s">
        <v>622</v>
      </c>
      <c r="C45" s="242"/>
      <c r="D45" s="242"/>
      <c r="E45" s="242"/>
      <c r="F45" s="242"/>
      <c r="G45" s="242"/>
      <c r="H45" s="242"/>
      <c r="I45" s="242"/>
      <c r="J45" s="242"/>
      <c r="K45" s="242"/>
      <c r="L45" s="242"/>
      <c r="M45" s="242"/>
      <c r="N45" s="242"/>
      <c r="O45" s="242"/>
      <c r="P45" s="242"/>
      <c r="Q45" s="242"/>
      <c r="R45" s="242"/>
      <c r="S45" s="242"/>
      <c r="T45" s="242"/>
      <c r="U45" s="242"/>
      <c r="V45" s="242"/>
      <c r="W45" s="242"/>
      <c r="X45" s="242"/>
      <c r="Y45" s="243"/>
      <c r="Z45" s="238" t="s">
        <v>624</v>
      </c>
      <c r="AA45" s="239"/>
      <c r="AB45" s="239"/>
      <c r="AC45" s="239"/>
      <c r="AD45" s="239"/>
      <c r="AE45" s="239"/>
      <c r="AF45" s="239"/>
      <c r="AG45" s="239"/>
      <c r="AH45" s="239"/>
      <c r="AI45" s="239"/>
      <c r="AJ45" s="239"/>
      <c r="AK45" s="238" t="s">
        <v>623</v>
      </c>
      <c r="AL45" s="239"/>
      <c r="AN45" s="67"/>
    </row>
    <row r="46" spans="1:41" ht="14.5" customHeight="1" x14ac:dyDescent="0.35">
      <c r="A46" s="235"/>
      <c r="B46" s="242" t="s">
        <v>176</v>
      </c>
      <c r="C46" s="242"/>
      <c r="D46" s="242"/>
      <c r="E46" s="242"/>
      <c r="F46" s="242"/>
      <c r="G46" s="242"/>
      <c r="H46" s="242"/>
      <c r="I46" s="242"/>
      <c r="J46" s="242"/>
      <c r="K46" s="242"/>
      <c r="L46" s="242"/>
      <c r="M46" s="242"/>
      <c r="N46" s="242"/>
      <c r="O46" s="242"/>
      <c r="P46" s="242"/>
      <c r="Q46" s="242"/>
      <c r="R46" s="242"/>
      <c r="S46" s="242"/>
      <c r="T46" s="242"/>
      <c r="U46" s="242"/>
      <c r="V46" s="242"/>
      <c r="W46" s="242"/>
      <c r="X46" s="242"/>
      <c r="Y46" s="243"/>
      <c r="Z46" s="209"/>
      <c r="AA46" s="209"/>
      <c r="AB46" s="209"/>
      <c r="AC46" s="209"/>
      <c r="AD46" s="209"/>
      <c r="AE46" s="209"/>
      <c r="AF46" s="209"/>
      <c r="AG46" s="209"/>
      <c r="AH46" s="209"/>
      <c r="AI46" s="209"/>
      <c r="AJ46" s="209"/>
      <c r="AK46" s="208" t="e">
        <f>ROUND(Z46/Z$49,5)</f>
        <v>#DIV/0!</v>
      </c>
      <c r="AL46" s="208"/>
      <c r="AN46" s="67"/>
    </row>
    <row r="47" spans="1:41" ht="14.5" customHeight="1" x14ac:dyDescent="0.35">
      <c r="A47" s="235"/>
      <c r="B47" s="242" t="s">
        <v>87</v>
      </c>
      <c r="C47" s="242"/>
      <c r="D47" s="242"/>
      <c r="E47" s="242"/>
      <c r="F47" s="242"/>
      <c r="G47" s="242"/>
      <c r="H47" s="242"/>
      <c r="I47" s="242"/>
      <c r="J47" s="242"/>
      <c r="K47" s="242"/>
      <c r="L47" s="242"/>
      <c r="M47" s="242"/>
      <c r="N47" s="242"/>
      <c r="O47" s="242"/>
      <c r="P47" s="242"/>
      <c r="Q47" s="242"/>
      <c r="R47" s="242"/>
      <c r="S47" s="242"/>
      <c r="T47" s="242"/>
      <c r="U47" s="242"/>
      <c r="V47" s="242"/>
      <c r="W47" s="242"/>
      <c r="X47" s="242"/>
      <c r="Y47" s="243"/>
      <c r="Z47" s="294" t="e">
        <f>B$39</f>
        <v>#DIV/0!</v>
      </c>
      <c r="AA47" s="208"/>
      <c r="AB47" s="208"/>
      <c r="AC47" s="208"/>
      <c r="AD47" s="208"/>
      <c r="AE47" s="208"/>
      <c r="AF47" s="208"/>
      <c r="AG47" s="208"/>
      <c r="AH47" s="208"/>
      <c r="AI47" s="208"/>
      <c r="AJ47" s="208"/>
      <c r="AK47" s="208" t="e">
        <f>ROUND(Z47/Z$49,5)</f>
        <v>#DIV/0!</v>
      </c>
      <c r="AL47" s="208"/>
      <c r="AN47" s="67"/>
    </row>
    <row r="48" spans="1:41" ht="14.5" customHeight="1" x14ac:dyDescent="0.35">
      <c r="A48" s="235"/>
      <c r="B48" s="242" t="s">
        <v>91</v>
      </c>
      <c r="C48" s="242"/>
      <c r="D48" s="242"/>
      <c r="E48" s="242"/>
      <c r="F48" s="242"/>
      <c r="G48" s="242"/>
      <c r="H48" s="242"/>
      <c r="I48" s="242"/>
      <c r="J48" s="242"/>
      <c r="K48" s="242"/>
      <c r="L48" s="242"/>
      <c r="M48" s="242"/>
      <c r="N48" s="242"/>
      <c r="O48" s="242"/>
      <c r="P48" s="242"/>
      <c r="Q48" s="242"/>
      <c r="R48" s="242"/>
      <c r="S48" s="242"/>
      <c r="T48" s="242"/>
      <c r="U48" s="242"/>
      <c r="V48" s="242"/>
      <c r="W48" s="242"/>
      <c r="X48" s="242"/>
      <c r="Y48" s="243"/>
      <c r="Z48" s="209"/>
      <c r="AA48" s="209"/>
      <c r="AB48" s="209"/>
      <c r="AC48" s="209"/>
      <c r="AD48" s="209"/>
      <c r="AE48" s="209"/>
      <c r="AF48" s="209"/>
      <c r="AG48" s="209"/>
      <c r="AH48" s="209"/>
      <c r="AI48" s="209"/>
      <c r="AJ48" s="209"/>
      <c r="AK48" s="208" t="e">
        <f>ROUND(Z48/Z$49,5)</f>
        <v>#DIV/0!</v>
      </c>
      <c r="AL48" s="208"/>
      <c r="AN48" s="67"/>
    </row>
    <row r="49" spans="1:59" ht="14.5" customHeight="1" x14ac:dyDescent="0.35">
      <c r="A49" s="235"/>
      <c r="B49" s="340" t="s">
        <v>88</v>
      </c>
      <c r="C49" s="340"/>
      <c r="D49" s="340"/>
      <c r="E49" s="340"/>
      <c r="F49" s="340"/>
      <c r="G49" s="340"/>
      <c r="H49" s="340"/>
      <c r="I49" s="340"/>
      <c r="J49" s="340"/>
      <c r="K49" s="340"/>
      <c r="L49" s="340"/>
      <c r="M49" s="340"/>
      <c r="N49" s="340"/>
      <c r="O49" s="340"/>
      <c r="P49" s="340"/>
      <c r="Q49" s="340"/>
      <c r="R49" s="340"/>
      <c r="S49" s="340"/>
      <c r="T49" s="340"/>
      <c r="U49" s="340"/>
      <c r="V49" s="340"/>
      <c r="W49" s="340"/>
      <c r="X49" s="340"/>
      <c r="Y49" s="341"/>
      <c r="Z49" s="350" t="e">
        <f>SUM(Z46:AJ48)</f>
        <v>#DIV/0!</v>
      </c>
      <c r="AA49" s="350"/>
      <c r="AB49" s="350"/>
      <c r="AC49" s="350"/>
      <c r="AD49" s="350"/>
      <c r="AE49" s="350"/>
      <c r="AF49" s="350"/>
      <c r="AG49" s="350"/>
      <c r="AH49" s="350"/>
      <c r="AI49" s="350"/>
      <c r="AJ49" s="350"/>
      <c r="AK49" s="347" t="e">
        <f>SUM(AK46:AL48)</f>
        <v>#DIV/0!</v>
      </c>
      <c r="AL49" s="347"/>
      <c r="AM49" s="44" t="s">
        <v>921</v>
      </c>
    </row>
    <row r="50" spans="1:59" ht="118" customHeight="1" x14ac:dyDescent="0.3">
      <c r="A50" s="344" t="s">
        <v>582</v>
      </c>
      <c r="B50" s="348" t="s">
        <v>898</v>
      </c>
      <c r="C50" s="349"/>
      <c r="D50" s="349"/>
      <c r="E50" s="349"/>
      <c r="F50" s="349"/>
      <c r="G50" s="349"/>
      <c r="H50" s="349"/>
      <c r="I50" s="349"/>
      <c r="J50" s="349"/>
      <c r="K50" s="349"/>
      <c r="L50" s="349"/>
      <c r="M50" s="349"/>
      <c r="N50" s="349"/>
      <c r="O50" s="349"/>
      <c r="P50" s="349"/>
      <c r="Q50" s="349"/>
      <c r="R50" s="349"/>
      <c r="S50" s="349"/>
      <c r="T50" s="349"/>
      <c r="U50" s="349"/>
      <c r="V50" s="349"/>
      <c r="W50" s="349"/>
      <c r="X50" s="349"/>
      <c r="Y50" s="349"/>
      <c r="Z50" s="349"/>
      <c r="AA50" s="349"/>
      <c r="AB50" s="349"/>
      <c r="AC50" s="349"/>
      <c r="AD50" s="349"/>
      <c r="AE50" s="349"/>
      <c r="AF50" s="349"/>
      <c r="AG50" s="349"/>
      <c r="AH50" s="349"/>
      <c r="AI50" s="349"/>
      <c r="AJ50" s="349"/>
      <c r="AK50" s="349"/>
      <c r="AL50" s="349"/>
    </row>
    <row r="51" spans="1:59" ht="14.5" customHeight="1" x14ac:dyDescent="0.35">
      <c r="A51" s="232"/>
      <c r="B51" s="343" t="s">
        <v>677</v>
      </c>
      <c r="C51" s="206"/>
      <c r="D51" s="206"/>
      <c r="E51" s="206"/>
      <c r="F51" s="206"/>
      <c r="G51" s="206"/>
      <c r="H51" s="206"/>
      <c r="I51" s="206"/>
      <c r="J51" s="206"/>
      <c r="K51" s="206"/>
      <c r="L51" s="206"/>
      <c r="M51" s="206"/>
      <c r="N51" s="206"/>
      <c r="O51" s="206"/>
      <c r="P51" s="206"/>
      <c r="Q51" s="206"/>
      <c r="R51" s="206"/>
      <c r="S51" s="158"/>
      <c r="T51" s="158"/>
      <c r="U51" s="158"/>
      <c r="V51" s="158"/>
      <c r="W51" s="158"/>
      <c r="X51" s="158"/>
      <c r="Y51" s="158"/>
      <c r="Z51" s="158"/>
      <c r="AA51" s="158"/>
      <c r="AB51" s="158"/>
      <c r="AC51" s="158"/>
      <c r="AD51" s="158"/>
      <c r="AE51" s="158"/>
      <c r="AF51" s="158"/>
      <c r="AG51" s="158"/>
      <c r="AH51" s="158"/>
      <c r="AI51" s="158"/>
      <c r="AJ51" s="158"/>
      <c r="AK51" s="158"/>
      <c r="AL51" s="158"/>
    </row>
    <row r="52" spans="1:59" ht="14.5" customHeight="1" x14ac:dyDescent="0.35">
      <c r="A52" s="232"/>
      <c r="B52" s="343" t="s">
        <v>678</v>
      </c>
      <c r="C52" s="206"/>
      <c r="D52" s="206"/>
      <c r="E52" s="206"/>
      <c r="F52" s="206"/>
      <c r="G52" s="206"/>
      <c r="H52" s="206"/>
      <c r="I52" s="206"/>
      <c r="J52" s="206"/>
      <c r="K52" s="206"/>
      <c r="L52" s="206"/>
      <c r="M52" s="206"/>
      <c r="N52" s="206"/>
      <c r="O52" s="206"/>
      <c r="P52" s="206"/>
      <c r="Q52" s="206"/>
      <c r="R52" s="206"/>
      <c r="S52" s="158"/>
      <c r="T52" s="158"/>
      <c r="U52" s="158"/>
      <c r="V52" s="158"/>
      <c r="W52" s="158"/>
      <c r="X52" s="158"/>
      <c r="Y52" s="158"/>
      <c r="Z52" s="158"/>
      <c r="AA52" s="158"/>
      <c r="AB52" s="158"/>
      <c r="AC52" s="158"/>
      <c r="AD52" s="158"/>
      <c r="AE52" s="158"/>
      <c r="AF52" s="158"/>
      <c r="AG52" s="158"/>
      <c r="AH52" s="158"/>
      <c r="AI52" s="158"/>
      <c r="AJ52" s="158"/>
      <c r="AK52" s="158"/>
      <c r="AL52" s="158"/>
    </row>
    <row r="53" spans="1:59" ht="32.5" customHeight="1" x14ac:dyDescent="0.35">
      <c r="A53" s="232"/>
      <c r="B53" s="343" t="s">
        <v>679</v>
      </c>
      <c r="C53" s="206"/>
      <c r="D53" s="206"/>
      <c r="E53" s="206"/>
      <c r="F53" s="206"/>
      <c r="G53" s="206"/>
      <c r="H53" s="206"/>
      <c r="I53" s="206"/>
      <c r="J53" s="206"/>
      <c r="K53" s="206"/>
      <c r="L53" s="206"/>
      <c r="M53" s="206"/>
      <c r="N53" s="206"/>
      <c r="O53" s="206"/>
      <c r="P53" s="206"/>
      <c r="Q53" s="206"/>
      <c r="R53" s="206"/>
      <c r="S53" s="353"/>
      <c r="T53" s="353"/>
      <c r="U53" s="353"/>
      <c r="V53" s="353"/>
      <c r="W53" s="353"/>
      <c r="X53" s="353"/>
      <c r="Y53" s="353"/>
      <c r="Z53" s="353"/>
      <c r="AA53" s="353"/>
      <c r="AB53" s="353"/>
      <c r="AC53" s="353"/>
      <c r="AD53" s="353"/>
      <c r="AE53" s="353"/>
      <c r="AF53" s="353"/>
      <c r="AG53" s="353"/>
      <c r="AH53" s="353"/>
      <c r="AI53" s="353"/>
      <c r="AJ53" s="353"/>
      <c r="AK53" s="353"/>
      <c r="AL53" s="353"/>
    </row>
    <row r="54" spans="1:59" ht="14.5" customHeight="1" x14ac:dyDescent="0.35">
      <c r="A54" s="91" t="s">
        <v>69</v>
      </c>
      <c r="B54" s="317" t="s">
        <v>70</v>
      </c>
      <c r="C54" s="317"/>
      <c r="D54" s="317"/>
      <c r="E54" s="317"/>
      <c r="F54" s="317"/>
      <c r="G54" s="317"/>
      <c r="H54" s="317"/>
      <c r="I54" s="317"/>
      <c r="J54" s="317"/>
      <c r="K54" s="317"/>
      <c r="L54" s="317"/>
      <c r="M54" s="317"/>
      <c r="N54" s="317"/>
      <c r="O54" s="317"/>
      <c r="P54" s="317"/>
      <c r="Q54" s="317"/>
      <c r="R54" s="317"/>
      <c r="S54" s="317"/>
      <c r="T54" s="317"/>
      <c r="U54" s="317"/>
      <c r="V54" s="317"/>
      <c r="W54" s="317"/>
      <c r="X54" s="317"/>
      <c r="Y54" s="317"/>
      <c r="Z54" s="317"/>
      <c r="AA54" s="317"/>
      <c r="AB54" s="317"/>
      <c r="AC54" s="317"/>
      <c r="AD54" s="317"/>
      <c r="AE54" s="317"/>
      <c r="AF54" s="317"/>
      <c r="AG54" s="317"/>
      <c r="AH54" s="317"/>
      <c r="AI54" s="317"/>
      <c r="AJ54" s="317"/>
      <c r="AK54" s="317"/>
      <c r="AL54" s="317"/>
    </row>
    <row r="55" spans="1:59" ht="58" customHeight="1" x14ac:dyDescent="0.3">
      <c r="A55" s="312" t="s">
        <v>860</v>
      </c>
      <c r="B55" s="312"/>
      <c r="C55" s="312"/>
      <c r="D55" s="312"/>
      <c r="E55" s="312"/>
      <c r="F55" s="312"/>
      <c r="G55" s="312"/>
      <c r="H55" s="312"/>
      <c r="I55" s="312"/>
      <c r="J55" s="312"/>
      <c r="K55" s="312"/>
      <c r="L55" s="312"/>
      <c r="M55" s="312"/>
      <c r="N55" s="312"/>
      <c r="O55" s="312"/>
      <c r="P55" s="312"/>
      <c r="Q55" s="312"/>
      <c r="R55" s="312"/>
      <c r="S55" s="312"/>
      <c r="T55" s="312"/>
      <c r="U55" s="312"/>
      <c r="V55" s="312"/>
      <c r="W55" s="312"/>
      <c r="X55" s="312"/>
      <c r="Y55" s="312"/>
      <c r="Z55" s="312"/>
      <c r="AA55" s="312"/>
      <c r="AB55" s="312"/>
      <c r="AC55" s="312"/>
      <c r="AD55" s="312"/>
      <c r="AE55" s="312"/>
      <c r="AF55" s="312"/>
      <c r="AG55" s="312"/>
      <c r="AH55" s="312"/>
      <c r="AI55" s="312"/>
      <c r="AJ55" s="312"/>
      <c r="AK55" s="312"/>
      <c r="AL55" s="312"/>
    </row>
    <row r="56" spans="1:59" s="33" customFormat="1" ht="14.5" x14ac:dyDescent="0.35">
      <c r="A56" s="91" t="s">
        <v>89</v>
      </c>
      <c r="B56" s="216" t="s">
        <v>607</v>
      </c>
      <c r="C56" s="216"/>
      <c r="D56" s="216"/>
      <c r="E56" s="216"/>
      <c r="F56" s="216"/>
      <c r="G56" s="216"/>
      <c r="H56" s="216"/>
      <c r="I56" s="216"/>
      <c r="J56" s="216"/>
      <c r="K56" s="216"/>
      <c r="L56" s="216"/>
      <c r="M56" s="216"/>
      <c r="N56" s="216"/>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60"/>
      <c r="AN56" s="49"/>
      <c r="AO56" s="49"/>
      <c r="AP56" s="49"/>
      <c r="AQ56" s="49"/>
      <c r="AR56" s="49"/>
      <c r="AS56" s="49"/>
      <c r="AT56" s="49"/>
      <c r="AU56" s="49"/>
      <c r="AV56" s="49"/>
      <c r="AW56" s="49"/>
      <c r="AX56" s="49"/>
      <c r="AY56" s="49"/>
      <c r="AZ56" s="49"/>
      <c r="BA56" s="49"/>
      <c r="BB56" s="49"/>
      <c r="BC56" s="49"/>
      <c r="BD56" s="49"/>
      <c r="BE56" s="49"/>
      <c r="BF56" s="49"/>
      <c r="BG56" s="49"/>
    </row>
    <row r="57" spans="1:59" ht="46.5" customHeight="1" x14ac:dyDescent="0.3">
      <c r="A57" s="281" t="s">
        <v>861</v>
      </c>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307"/>
    </row>
    <row r="58" spans="1:59" ht="36.5" customHeight="1" x14ac:dyDescent="0.3">
      <c r="A58" s="219" t="s">
        <v>862</v>
      </c>
      <c r="B58" s="220"/>
      <c r="C58" s="220"/>
      <c r="D58" s="220"/>
      <c r="E58" s="220"/>
      <c r="F58" s="220"/>
      <c r="G58" s="220"/>
      <c r="H58" s="220"/>
      <c r="I58" s="220"/>
      <c r="J58" s="220"/>
      <c r="K58" s="220"/>
      <c r="L58" s="220"/>
      <c r="M58" s="220"/>
      <c r="N58" s="220"/>
      <c r="O58" s="220"/>
      <c r="P58" s="220"/>
      <c r="Q58" s="220"/>
      <c r="R58" s="220"/>
      <c r="S58" s="221"/>
      <c r="T58" s="219" t="s">
        <v>863</v>
      </c>
      <c r="U58" s="220"/>
      <c r="V58" s="220"/>
      <c r="W58" s="220"/>
      <c r="X58" s="220"/>
      <c r="Y58" s="220"/>
      <c r="Z58" s="220"/>
      <c r="AA58" s="220"/>
      <c r="AB58" s="220"/>
      <c r="AC58" s="220"/>
      <c r="AD58" s="220"/>
      <c r="AE58" s="220"/>
      <c r="AF58" s="220"/>
      <c r="AG58" s="220"/>
      <c r="AH58" s="220"/>
      <c r="AI58" s="220"/>
      <c r="AJ58" s="220"/>
      <c r="AK58" s="220"/>
      <c r="AL58" s="221"/>
      <c r="AM58" s="307"/>
    </row>
    <row r="59" spans="1:59" ht="36.5" customHeight="1" x14ac:dyDescent="0.35">
      <c r="A59" s="256"/>
      <c r="B59" s="257"/>
      <c r="C59" s="257"/>
      <c r="D59" s="257"/>
      <c r="E59" s="257"/>
      <c r="F59" s="257"/>
      <c r="G59" s="257"/>
      <c r="H59" s="257"/>
      <c r="I59" s="257"/>
      <c r="J59" s="257"/>
      <c r="K59" s="257"/>
      <c r="L59" s="257"/>
      <c r="M59" s="257"/>
      <c r="N59" s="257"/>
      <c r="O59" s="257"/>
      <c r="P59" s="257"/>
      <c r="Q59" s="257"/>
      <c r="R59" s="257"/>
      <c r="S59" s="258"/>
      <c r="T59" s="256"/>
      <c r="U59" s="257"/>
      <c r="V59" s="257"/>
      <c r="W59" s="257"/>
      <c r="X59" s="257"/>
      <c r="Y59" s="257"/>
      <c r="Z59" s="257"/>
      <c r="AA59" s="257"/>
      <c r="AB59" s="257"/>
      <c r="AC59" s="257"/>
      <c r="AD59" s="257"/>
      <c r="AE59" s="257"/>
      <c r="AF59" s="257"/>
      <c r="AG59" s="257"/>
      <c r="AH59" s="257"/>
      <c r="AI59" s="257"/>
      <c r="AJ59" s="257"/>
      <c r="AK59" s="257"/>
      <c r="AL59" s="258"/>
      <c r="AM59" s="101"/>
    </row>
    <row r="60" spans="1:59" ht="15" customHeight="1" x14ac:dyDescent="0.3">
      <c r="A60" s="90" t="s">
        <v>90</v>
      </c>
      <c r="B60" s="240" t="s">
        <v>864</v>
      </c>
      <c r="C60" s="240"/>
      <c r="D60" s="240"/>
      <c r="E60" s="240"/>
      <c r="F60" s="240"/>
      <c r="G60" s="240"/>
      <c r="H60" s="240"/>
      <c r="I60" s="240"/>
      <c r="J60" s="240"/>
      <c r="K60" s="240"/>
      <c r="L60" s="240"/>
      <c r="M60" s="240"/>
      <c r="N60" s="240"/>
      <c r="O60" s="240"/>
      <c r="P60" s="240"/>
      <c r="Q60" s="240"/>
      <c r="R60" s="240"/>
      <c r="S60" s="240"/>
      <c r="T60" s="240"/>
      <c r="U60" s="240"/>
      <c r="V60" s="240"/>
      <c r="W60" s="240"/>
      <c r="X60" s="240"/>
      <c r="Y60" s="240"/>
      <c r="Z60" s="240"/>
      <c r="AA60" s="240"/>
      <c r="AB60" s="240"/>
      <c r="AC60" s="240"/>
      <c r="AD60" s="240"/>
      <c r="AE60" s="240"/>
      <c r="AF60" s="240"/>
      <c r="AG60" s="240"/>
      <c r="AH60" s="240"/>
      <c r="AI60" s="240"/>
      <c r="AJ60" s="240"/>
      <c r="AK60" s="240"/>
      <c r="AL60" s="240"/>
      <c r="AM60" s="65"/>
    </row>
    <row r="61" spans="1:59" ht="55" customHeight="1" x14ac:dyDescent="0.3">
      <c r="A61" s="339" t="s">
        <v>899</v>
      </c>
      <c r="B61" s="312"/>
      <c r="C61" s="312"/>
      <c r="D61" s="312"/>
      <c r="E61" s="312"/>
      <c r="F61" s="312"/>
      <c r="G61" s="312"/>
      <c r="H61" s="312"/>
      <c r="I61" s="312"/>
      <c r="J61" s="312"/>
      <c r="K61" s="312"/>
      <c r="L61" s="312"/>
      <c r="M61" s="312"/>
      <c r="N61" s="312"/>
      <c r="O61" s="312"/>
      <c r="P61" s="312"/>
      <c r="Q61" s="312"/>
      <c r="R61" s="312"/>
      <c r="S61" s="312"/>
      <c r="T61" s="312"/>
      <c r="U61" s="312"/>
      <c r="V61" s="312"/>
      <c r="W61" s="312"/>
      <c r="X61" s="312"/>
      <c r="Y61" s="312"/>
      <c r="Z61" s="312"/>
      <c r="AA61" s="312"/>
      <c r="AB61" s="312"/>
      <c r="AC61" s="312"/>
      <c r="AD61" s="312"/>
      <c r="AE61" s="312"/>
      <c r="AF61" s="312"/>
      <c r="AG61" s="312"/>
      <c r="AH61" s="312"/>
      <c r="AI61" s="312"/>
      <c r="AJ61" s="312"/>
      <c r="AK61" s="312"/>
      <c r="AL61" s="312"/>
      <c r="AM61" s="280"/>
      <c r="AN61" s="280"/>
      <c r="AO61" s="280"/>
      <c r="AP61" s="280"/>
      <c r="AQ61" s="280"/>
      <c r="AR61" s="280"/>
      <c r="AS61" s="280"/>
      <c r="AT61" s="280"/>
      <c r="AU61" s="280"/>
    </row>
    <row r="62" spans="1:59" ht="27" customHeight="1" x14ac:dyDescent="0.3">
      <c r="A62" s="149" t="s">
        <v>904</v>
      </c>
      <c r="B62" s="183"/>
      <c r="C62" s="183"/>
      <c r="D62" s="183"/>
      <c r="E62" s="183"/>
      <c r="F62" s="183"/>
      <c r="G62" s="183"/>
      <c r="H62" s="183"/>
      <c r="I62" s="183"/>
      <c r="J62" s="183"/>
      <c r="K62" s="183"/>
      <c r="L62" s="183"/>
      <c r="M62" s="183"/>
      <c r="N62" s="183"/>
      <c r="O62" s="183"/>
      <c r="P62" s="183"/>
      <c r="Q62" s="183"/>
      <c r="R62" s="183"/>
      <c r="S62" s="183"/>
      <c r="T62" s="183"/>
      <c r="U62" s="183"/>
      <c r="V62" s="183"/>
      <c r="W62" s="183"/>
      <c r="X62" s="183"/>
      <c r="Y62" s="183"/>
      <c r="Z62" s="183"/>
      <c r="AA62" s="183"/>
      <c r="AB62" s="183"/>
      <c r="AC62" s="183"/>
      <c r="AD62" s="183"/>
      <c r="AE62" s="183"/>
      <c r="AF62" s="183"/>
      <c r="AG62" s="183"/>
      <c r="AH62" s="183"/>
      <c r="AI62" s="183"/>
      <c r="AJ62" s="183"/>
      <c r="AK62" s="183"/>
      <c r="AL62" s="183"/>
      <c r="AM62" s="280"/>
      <c r="AN62" s="280"/>
      <c r="AO62" s="280"/>
      <c r="AP62" s="280"/>
      <c r="AQ62" s="280"/>
      <c r="AR62" s="280"/>
      <c r="AS62" s="280"/>
      <c r="AT62" s="280"/>
      <c r="AU62" s="280"/>
    </row>
    <row r="63" spans="1:59" ht="14.5" customHeight="1" x14ac:dyDescent="0.3">
      <c r="A63" s="227"/>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c r="AA63" s="227"/>
      <c r="AB63" s="227"/>
      <c r="AC63" s="227"/>
      <c r="AD63" s="227"/>
      <c r="AE63" s="227"/>
      <c r="AF63" s="227"/>
      <c r="AG63" s="227"/>
      <c r="AH63" s="227"/>
      <c r="AI63" s="227"/>
      <c r="AJ63" s="227"/>
      <c r="AK63" s="227"/>
      <c r="AL63" s="227"/>
      <c r="AM63" s="280"/>
      <c r="AN63" s="280"/>
      <c r="AO63" s="280"/>
      <c r="AP63" s="280"/>
      <c r="AQ63" s="280"/>
      <c r="AR63" s="280"/>
      <c r="AS63" s="280"/>
      <c r="AT63" s="280"/>
      <c r="AU63" s="280"/>
    </row>
    <row r="64" spans="1:59" ht="14.5" customHeight="1" x14ac:dyDescent="0.3">
      <c r="A64" s="149" t="s">
        <v>903</v>
      </c>
      <c r="B64" s="183"/>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c r="AA64" s="183"/>
      <c r="AB64" s="183"/>
      <c r="AC64" s="183"/>
      <c r="AD64" s="183"/>
      <c r="AE64" s="183"/>
      <c r="AF64" s="183"/>
      <c r="AG64" s="183"/>
      <c r="AH64" s="183"/>
      <c r="AI64" s="183"/>
      <c r="AJ64" s="183"/>
      <c r="AK64" s="183"/>
      <c r="AL64" s="183"/>
      <c r="AM64" s="280"/>
      <c r="AN64" s="280"/>
      <c r="AO64" s="280"/>
      <c r="AP64" s="280"/>
      <c r="AQ64" s="280"/>
      <c r="AR64" s="280"/>
      <c r="AS64" s="280"/>
      <c r="AT64" s="280"/>
      <c r="AU64" s="280"/>
    </row>
    <row r="65" spans="1:59" ht="14.5" customHeight="1" x14ac:dyDescent="0.3">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c r="AA65" s="227"/>
      <c r="AB65" s="227"/>
      <c r="AC65" s="227"/>
      <c r="AD65" s="227"/>
      <c r="AE65" s="227"/>
      <c r="AF65" s="227"/>
      <c r="AG65" s="227"/>
      <c r="AH65" s="227"/>
      <c r="AI65" s="227"/>
      <c r="AJ65" s="227"/>
      <c r="AK65" s="227"/>
      <c r="AL65" s="227"/>
      <c r="AM65" s="280"/>
      <c r="AN65" s="280"/>
      <c r="AO65" s="280"/>
      <c r="AP65" s="280"/>
      <c r="AQ65" s="280"/>
      <c r="AR65" s="280"/>
      <c r="AS65" s="280"/>
      <c r="AT65" s="280"/>
      <c r="AU65" s="280"/>
    </row>
    <row r="66" spans="1:59" ht="14.5" customHeight="1" x14ac:dyDescent="0.3">
      <c r="A66" s="149" t="s">
        <v>902</v>
      </c>
      <c r="B66" s="183"/>
      <c r="C66" s="183"/>
      <c r="D66" s="183"/>
      <c r="E66" s="183"/>
      <c r="F66" s="183"/>
      <c r="G66" s="183"/>
      <c r="H66" s="183"/>
      <c r="I66" s="183"/>
      <c r="J66" s="183"/>
      <c r="K66" s="183"/>
      <c r="L66" s="183"/>
      <c r="M66" s="183"/>
      <c r="N66" s="183"/>
      <c r="O66" s="183"/>
      <c r="P66" s="183"/>
      <c r="Q66" s="183"/>
      <c r="R66" s="183"/>
      <c r="S66" s="183"/>
      <c r="T66" s="183"/>
      <c r="U66" s="183"/>
      <c r="V66" s="183"/>
      <c r="W66" s="183"/>
      <c r="X66" s="183"/>
      <c r="Y66" s="183"/>
      <c r="Z66" s="183"/>
      <c r="AA66" s="183"/>
      <c r="AB66" s="183"/>
      <c r="AC66" s="183"/>
      <c r="AD66" s="183"/>
      <c r="AE66" s="183"/>
      <c r="AF66" s="183"/>
      <c r="AG66" s="183"/>
      <c r="AH66" s="183"/>
      <c r="AI66" s="183"/>
      <c r="AJ66" s="183"/>
      <c r="AK66" s="183"/>
      <c r="AL66" s="183"/>
      <c r="AM66" s="280"/>
      <c r="AN66" s="280"/>
      <c r="AO66" s="280"/>
      <c r="AP66" s="280"/>
      <c r="AQ66" s="280"/>
      <c r="AR66" s="280"/>
      <c r="AS66" s="280"/>
      <c r="AT66" s="280"/>
      <c r="AU66" s="280"/>
    </row>
    <row r="67" spans="1:59" ht="14.5" customHeight="1" x14ac:dyDescent="0.3">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c r="AA67" s="227"/>
      <c r="AB67" s="227"/>
      <c r="AC67" s="227"/>
      <c r="AD67" s="227"/>
      <c r="AE67" s="227"/>
      <c r="AF67" s="227"/>
      <c r="AG67" s="227"/>
      <c r="AH67" s="227"/>
      <c r="AI67" s="227"/>
      <c r="AJ67" s="227"/>
      <c r="AK67" s="227"/>
      <c r="AL67" s="227"/>
      <c r="AM67" s="280"/>
      <c r="AN67" s="280"/>
      <c r="AO67" s="280"/>
      <c r="AP67" s="280"/>
      <c r="AQ67" s="280"/>
      <c r="AR67" s="280"/>
      <c r="AS67" s="280"/>
      <c r="AT67" s="280"/>
      <c r="AU67" s="280"/>
    </row>
    <row r="68" spans="1:59" ht="34.5" customHeight="1" x14ac:dyDescent="0.3">
      <c r="A68" s="183" t="s">
        <v>901</v>
      </c>
      <c r="B68" s="183"/>
      <c r="C68" s="183"/>
      <c r="D68" s="183"/>
      <c r="E68" s="183"/>
      <c r="F68" s="183"/>
      <c r="G68" s="183"/>
      <c r="H68" s="183"/>
      <c r="I68" s="183"/>
      <c r="J68" s="183"/>
      <c r="K68" s="183"/>
      <c r="L68" s="183"/>
      <c r="M68" s="183"/>
      <c r="N68" s="183"/>
      <c r="O68" s="183"/>
      <c r="P68" s="183"/>
      <c r="Q68" s="183"/>
      <c r="R68" s="183"/>
      <c r="S68" s="183"/>
      <c r="T68" s="183"/>
      <c r="U68" s="183"/>
      <c r="V68" s="183"/>
      <c r="W68" s="183"/>
      <c r="X68" s="183"/>
      <c r="Y68" s="183"/>
      <c r="Z68" s="183"/>
      <c r="AA68" s="183"/>
      <c r="AB68" s="183"/>
      <c r="AC68" s="183"/>
      <c r="AD68" s="183"/>
      <c r="AE68" s="183"/>
      <c r="AF68" s="183"/>
      <c r="AG68" s="183"/>
      <c r="AH68" s="183"/>
      <c r="AI68" s="183"/>
      <c r="AJ68" s="183"/>
      <c r="AK68" s="183"/>
      <c r="AL68" s="183"/>
      <c r="AM68" s="280"/>
      <c r="AN68" s="280"/>
      <c r="AO68" s="280"/>
      <c r="AP68" s="280"/>
      <c r="AQ68" s="280"/>
      <c r="AR68" s="280"/>
      <c r="AS68" s="280"/>
      <c r="AT68" s="280"/>
      <c r="AU68" s="280"/>
    </row>
    <row r="69" spans="1:59" ht="14.5" customHeight="1" x14ac:dyDescent="0.3">
      <c r="A69" s="259"/>
      <c r="B69" s="259"/>
      <c r="C69" s="259"/>
      <c r="D69" s="259"/>
      <c r="E69" s="259"/>
      <c r="F69" s="259"/>
      <c r="G69" s="259"/>
      <c r="H69" s="259"/>
      <c r="I69" s="259"/>
      <c r="J69" s="259"/>
      <c r="K69" s="259"/>
      <c r="L69" s="259"/>
      <c r="M69" s="259"/>
      <c r="N69" s="259"/>
      <c r="O69" s="259"/>
      <c r="P69" s="259"/>
      <c r="Q69" s="259"/>
      <c r="R69" s="259"/>
      <c r="S69" s="259"/>
      <c r="T69" s="259"/>
      <c r="U69" s="259"/>
      <c r="V69" s="259"/>
      <c r="W69" s="259"/>
      <c r="X69" s="259"/>
      <c r="Y69" s="259"/>
      <c r="Z69" s="259"/>
      <c r="AA69" s="259"/>
      <c r="AB69" s="259"/>
      <c r="AC69" s="259"/>
      <c r="AD69" s="259"/>
      <c r="AE69" s="259"/>
      <c r="AF69" s="259"/>
      <c r="AG69" s="259"/>
      <c r="AH69" s="259"/>
      <c r="AI69" s="259"/>
      <c r="AJ69" s="259"/>
      <c r="AK69" s="259"/>
      <c r="AL69" s="259"/>
      <c r="AM69" s="280"/>
      <c r="AN69" s="280"/>
      <c r="AO69" s="280"/>
      <c r="AP69" s="280"/>
      <c r="AQ69" s="280"/>
      <c r="AR69" s="280"/>
      <c r="AS69" s="280"/>
      <c r="AT69" s="280"/>
      <c r="AU69" s="280"/>
    </row>
    <row r="70" spans="1:59" ht="30.5" customHeight="1" x14ac:dyDescent="0.3">
      <c r="A70" s="183" t="s">
        <v>900</v>
      </c>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c r="AE70" s="149"/>
      <c r="AF70" s="149"/>
      <c r="AG70" s="149"/>
      <c r="AH70" s="149"/>
      <c r="AI70" s="149"/>
      <c r="AJ70" s="149"/>
      <c r="AK70" s="149"/>
      <c r="AL70" s="149"/>
      <c r="AM70" s="280"/>
      <c r="AN70" s="280"/>
      <c r="AO70" s="280"/>
      <c r="AP70" s="280"/>
      <c r="AQ70" s="280"/>
      <c r="AR70" s="280"/>
      <c r="AS70" s="280"/>
      <c r="AT70" s="280"/>
      <c r="AU70" s="280"/>
    </row>
    <row r="71" spans="1:59" ht="14.5" customHeight="1" x14ac:dyDescent="0.3">
      <c r="A71" s="259"/>
      <c r="B71" s="259"/>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c r="AA71" s="259"/>
      <c r="AB71" s="259"/>
      <c r="AC71" s="259"/>
      <c r="AD71" s="259"/>
      <c r="AE71" s="259"/>
      <c r="AF71" s="259"/>
      <c r="AG71" s="259"/>
      <c r="AH71" s="259"/>
      <c r="AI71" s="259"/>
      <c r="AJ71" s="259"/>
      <c r="AK71" s="259"/>
      <c r="AL71" s="259"/>
      <c r="AM71" s="280"/>
      <c r="AN71" s="280"/>
      <c r="AO71" s="280"/>
      <c r="AP71" s="280"/>
      <c r="AQ71" s="280"/>
      <c r="AR71" s="280"/>
      <c r="AS71" s="280"/>
      <c r="AT71" s="280"/>
      <c r="AU71" s="280"/>
    </row>
    <row r="72" spans="1:59" ht="28.5" customHeight="1" x14ac:dyDescent="0.3">
      <c r="A72" s="311" t="s">
        <v>868</v>
      </c>
      <c r="B72" s="311"/>
      <c r="C72" s="311"/>
      <c r="D72" s="311"/>
      <c r="E72" s="311"/>
      <c r="F72" s="311"/>
      <c r="G72" s="311"/>
      <c r="H72" s="311"/>
      <c r="I72" s="311"/>
      <c r="J72" s="311"/>
      <c r="K72" s="311"/>
      <c r="L72" s="311"/>
      <c r="M72" s="311"/>
      <c r="N72" s="311"/>
      <c r="O72" s="311"/>
      <c r="P72" s="311"/>
      <c r="Q72" s="311"/>
      <c r="R72" s="311"/>
      <c r="S72" s="311"/>
      <c r="T72" s="311"/>
      <c r="U72" s="311"/>
      <c r="V72" s="311"/>
      <c r="W72" s="311"/>
      <c r="X72" s="311"/>
      <c r="Y72" s="311"/>
      <c r="Z72" s="311"/>
      <c r="AA72" s="311"/>
      <c r="AB72" s="311"/>
      <c r="AC72" s="311"/>
      <c r="AD72" s="311"/>
      <c r="AE72" s="311"/>
      <c r="AF72" s="311"/>
      <c r="AG72" s="311"/>
      <c r="AH72" s="311"/>
      <c r="AI72" s="311"/>
      <c r="AJ72" s="311"/>
      <c r="AK72" s="311"/>
      <c r="AL72" s="311"/>
      <c r="AM72" s="280"/>
      <c r="AN72" s="280"/>
      <c r="AO72" s="280"/>
      <c r="AP72" s="280"/>
      <c r="AQ72" s="280"/>
      <c r="AR72" s="280"/>
      <c r="AS72" s="280"/>
      <c r="AT72" s="280"/>
      <c r="AU72" s="280"/>
    </row>
    <row r="73" spans="1:59" ht="14.5" customHeight="1" x14ac:dyDescent="0.3">
      <c r="A73" s="259"/>
      <c r="B73" s="259"/>
      <c r="C73" s="259"/>
      <c r="D73" s="259"/>
      <c r="E73" s="259"/>
      <c r="F73" s="259"/>
      <c r="G73" s="259"/>
      <c r="H73" s="259"/>
      <c r="I73" s="259"/>
      <c r="J73" s="259"/>
      <c r="K73" s="259"/>
      <c r="L73" s="259"/>
      <c r="M73" s="259"/>
      <c r="N73" s="259"/>
      <c r="O73" s="259"/>
      <c r="P73" s="259"/>
      <c r="Q73" s="259"/>
      <c r="R73" s="259"/>
      <c r="S73" s="259"/>
      <c r="T73" s="259"/>
      <c r="U73" s="259"/>
      <c r="V73" s="259"/>
      <c r="W73" s="259"/>
      <c r="X73" s="259"/>
      <c r="Y73" s="259"/>
      <c r="Z73" s="259"/>
      <c r="AA73" s="259"/>
      <c r="AB73" s="259"/>
      <c r="AC73" s="259"/>
      <c r="AD73" s="259"/>
      <c r="AE73" s="259"/>
      <c r="AF73" s="259"/>
      <c r="AG73" s="259"/>
      <c r="AH73" s="259"/>
      <c r="AI73" s="259"/>
      <c r="AJ73" s="259"/>
      <c r="AK73" s="259"/>
      <c r="AL73" s="259"/>
      <c r="AM73" s="280"/>
      <c r="AN73" s="280"/>
      <c r="AO73" s="280"/>
      <c r="AP73" s="280"/>
      <c r="AQ73" s="280"/>
      <c r="AR73" s="280"/>
      <c r="AS73" s="280"/>
      <c r="AT73" s="280"/>
      <c r="AU73" s="280"/>
    </row>
    <row r="74" spans="1:59" ht="14.5" x14ac:dyDescent="0.3">
      <c r="A74" s="216" t="s">
        <v>611</v>
      </c>
      <c r="B74" s="216"/>
      <c r="C74" s="216"/>
      <c r="D74" s="216"/>
      <c r="E74" s="216"/>
      <c r="F74" s="216"/>
      <c r="G74" s="216"/>
      <c r="H74" s="216"/>
      <c r="I74" s="216"/>
      <c r="J74" s="216"/>
      <c r="K74" s="216"/>
      <c r="L74" s="216"/>
      <c r="M74" s="216"/>
      <c r="N74" s="216"/>
      <c r="O74" s="216"/>
      <c r="P74" s="216"/>
      <c r="Q74" s="216"/>
      <c r="R74" s="216"/>
      <c r="S74" s="216"/>
      <c r="T74" s="216"/>
      <c r="U74" s="216"/>
      <c r="V74" s="216"/>
      <c r="W74" s="216"/>
      <c r="X74" s="216"/>
      <c r="Y74" s="216"/>
      <c r="Z74" s="216"/>
      <c r="AA74" s="216"/>
      <c r="AB74" s="216"/>
      <c r="AC74" s="216"/>
      <c r="AD74" s="216"/>
      <c r="AE74" s="216"/>
      <c r="AF74" s="216"/>
      <c r="AG74" s="216"/>
      <c r="AH74" s="216"/>
      <c r="AI74" s="216"/>
      <c r="AJ74" s="216"/>
      <c r="AK74" s="216"/>
      <c r="AL74" s="216"/>
      <c r="AM74" s="65"/>
    </row>
    <row r="75" spans="1:59" ht="32.25" customHeight="1" x14ac:dyDescent="0.3">
      <c r="A75" s="260" t="s">
        <v>654</v>
      </c>
      <c r="B75" s="260"/>
      <c r="C75" s="260"/>
      <c r="D75" s="260"/>
      <c r="E75" s="260"/>
      <c r="F75" s="260"/>
      <c r="G75" s="260"/>
      <c r="H75" s="260"/>
      <c r="I75" s="260"/>
      <c r="J75" s="260"/>
      <c r="K75" s="260"/>
      <c r="L75" s="260"/>
      <c r="M75" s="260"/>
      <c r="N75" s="260"/>
      <c r="O75" s="260"/>
      <c r="P75" s="260"/>
      <c r="Q75" s="260"/>
      <c r="R75" s="260"/>
      <c r="S75" s="260"/>
      <c r="T75" s="260"/>
      <c r="U75" s="260"/>
      <c r="V75" s="260"/>
      <c r="W75" s="260"/>
      <c r="X75" s="260"/>
      <c r="Y75" s="260"/>
      <c r="Z75" s="260"/>
      <c r="AA75" s="260"/>
      <c r="AB75" s="260"/>
      <c r="AC75" s="260"/>
      <c r="AD75" s="260"/>
      <c r="AE75" s="260"/>
      <c r="AF75" s="260"/>
      <c r="AG75" s="260"/>
      <c r="AH75" s="260"/>
      <c r="AI75" s="260"/>
      <c r="AJ75" s="260"/>
      <c r="AK75" s="260"/>
      <c r="AL75" s="260"/>
    </row>
    <row r="76" spans="1:59" s="62" customFormat="1" ht="45" customHeight="1" x14ac:dyDescent="0.25">
      <c r="A76" s="261" t="s">
        <v>655</v>
      </c>
      <c r="B76" s="261"/>
      <c r="C76" s="261"/>
      <c r="D76" s="261"/>
      <c r="E76" s="261"/>
      <c r="F76" s="261"/>
      <c r="G76" s="261"/>
      <c r="H76" s="261"/>
      <c r="I76" s="261"/>
      <c r="J76" s="261"/>
      <c r="K76" s="261"/>
      <c r="L76" s="261"/>
      <c r="M76" s="261"/>
      <c r="N76" s="261"/>
      <c r="O76" s="261"/>
      <c r="P76" s="261"/>
      <c r="Q76" s="261"/>
      <c r="R76" s="261"/>
      <c r="S76" s="261"/>
      <c r="T76" s="261"/>
      <c r="U76" s="261"/>
      <c r="V76" s="261"/>
      <c r="W76" s="261"/>
      <c r="X76" s="261"/>
      <c r="Y76" s="261"/>
      <c r="Z76" s="261"/>
      <c r="AA76" s="261"/>
      <c r="AB76" s="261"/>
      <c r="AC76" s="261"/>
      <c r="AD76" s="261"/>
      <c r="AE76" s="261"/>
      <c r="AF76" s="261"/>
      <c r="AG76" s="261"/>
      <c r="AH76" s="261"/>
      <c r="AI76" s="261"/>
      <c r="AJ76" s="261"/>
      <c r="AK76" s="261"/>
      <c r="AL76" s="261"/>
      <c r="AM76" s="59"/>
      <c r="AN76" s="69"/>
      <c r="AO76" s="69"/>
      <c r="AP76" s="69"/>
      <c r="AQ76" s="69"/>
      <c r="AR76" s="69"/>
      <c r="AS76" s="69"/>
      <c r="AT76" s="69"/>
      <c r="AU76" s="69"/>
      <c r="AV76" s="69"/>
      <c r="AW76" s="69"/>
      <c r="AX76" s="69"/>
      <c r="AY76" s="69"/>
      <c r="AZ76" s="69"/>
      <c r="BA76" s="69"/>
      <c r="BB76" s="69"/>
      <c r="BC76" s="69"/>
      <c r="BD76" s="69"/>
      <c r="BE76" s="69"/>
      <c r="BF76" s="69"/>
      <c r="BG76" s="69"/>
    </row>
    <row r="77" spans="1:59" ht="45" customHeight="1" x14ac:dyDescent="0.3">
      <c r="A77" s="244" t="s">
        <v>773</v>
      </c>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row>
    <row r="78" spans="1:59" ht="165" customHeight="1" x14ac:dyDescent="0.35">
      <c r="A78" s="300" t="s">
        <v>905</v>
      </c>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c r="AA78" s="301"/>
      <c r="AB78" s="301"/>
      <c r="AC78" s="301"/>
      <c r="AD78" s="301"/>
      <c r="AE78" s="301"/>
      <c r="AF78" s="301"/>
      <c r="AG78" s="301"/>
      <c r="AH78" s="301"/>
      <c r="AI78" s="302"/>
      <c r="AJ78" s="303" t="e">
        <f>ROUNDDOWN(A71/(A71+A73),6)</f>
        <v>#DIV/0!</v>
      </c>
      <c r="AK78" s="304"/>
      <c r="AL78" s="304"/>
    </row>
    <row r="79" spans="1:59" ht="72" customHeight="1" x14ac:dyDescent="0.3">
      <c r="A79" s="253" t="s">
        <v>834</v>
      </c>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c r="AE79" s="185"/>
      <c r="AF79" s="185"/>
      <c r="AG79" s="185"/>
      <c r="AH79" s="185"/>
      <c r="AI79" s="185"/>
      <c r="AJ79" s="185"/>
      <c r="AK79" s="185"/>
      <c r="AL79" s="185"/>
    </row>
    <row r="80" spans="1:59" ht="121.5" customHeight="1" x14ac:dyDescent="0.3">
      <c r="A80" s="298"/>
      <c r="B80" s="299"/>
      <c r="C80" s="299"/>
      <c r="D80" s="299"/>
      <c r="E80" s="299"/>
      <c r="F80" s="299"/>
      <c r="G80" s="299"/>
      <c r="H80" s="299"/>
      <c r="I80" s="299"/>
      <c r="J80" s="299"/>
      <c r="K80" s="299"/>
      <c r="L80" s="299"/>
      <c r="M80" s="299"/>
      <c r="N80" s="299"/>
      <c r="O80" s="299"/>
      <c r="P80" s="299"/>
      <c r="Q80" s="299"/>
      <c r="R80" s="299"/>
      <c r="S80" s="299"/>
      <c r="T80" s="299"/>
      <c r="U80" s="299"/>
      <c r="V80" s="299"/>
      <c r="W80" s="299"/>
      <c r="X80" s="299"/>
      <c r="Y80" s="299"/>
      <c r="Z80" s="299"/>
      <c r="AA80" s="299"/>
      <c r="AB80" s="299"/>
      <c r="AC80" s="299"/>
      <c r="AD80" s="299"/>
      <c r="AE80" s="299"/>
      <c r="AF80" s="299"/>
      <c r="AG80" s="299"/>
      <c r="AH80" s="299"/>
      <c r="AI80" s="299"/>
      <c r="AJ80" s="299"/>
      <c r="AK80" s="299"/>
      <c r="AL80" s="299"/>
    </row>
    <row r="81" spans="1:59" ht="151" customHeight="1" x14ac:dyDescent="0.3">
      <c r="A81" s="149" t="s">
        <v>870</v>
      </c>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49"/>
      <c r="AH81" s="149"/>
      <c r="AI81" s="149"/>
      <c r="AJ81" s="149"/>
      <c r="AK81" s="149"/>
      <c r="AL81" s="149"/>
    </row>
    <row r="82" spans="1:59" ht="84.75" customHeight="1" x14ac:dyDescent="0.3">
      <c r="A82" s="78" t="s">
        <v>118</v>
      </c>
      <c r="B82" s="295" t="s">
        <v>704</v>
      </c>
      <c r="C82" s="296"/>
      <c r="D82" s="296"/>
      <c r="E82" s="296"/>
      <c r="F82" s="297"/>
      <c r="G82" s="213" t="s">
        <v>705</v>
      </c>
      <c r="H82" s="213"/>
      <c r="I82" s="213"/>
      <c r="J82" s="213"/>
      <c r="K82" s="213"/>
      <c r="L82" s="213" t="s">
        <v>147</v>
      </c>
      <c r="M82" s="213"/>
      <c r="N82" s="213"/>
      <c r="O82" s="213"/>
      <c r="P82" s="213" t="s">
        <v>146</v>
      </c>
      <c r="Q82" s="213"/>
      <c r="R82" s="213"/>
      <c r="S82" s="213"/>
      <c r="T82" s="213" t="s">
        <v>600</v>
      </c>
      <c r="U82" s="213"/>
      <c r="V82" s="213"/>
      <c r="W82" s="213"/>
      <c r="X82" s="213"/>
      <c r="Y82" s="213"/>
      <c r="Z82" s="213"/>
      <c r="AA82" s="213" t="s">
        <v>599</v>
      </c>
      <c r="AB82" s="213"/>
      <c r="AC82" s="213"/>
      <c r="AD82" s="213"/>
      <c r="AE82" s="213"/>
      <c r="AF82" s="213"/>
      <c r="AG82" s="213"/>
      <c r="AH82" s="213" t="s">
        <v>142</v>
      </c>
      <c r="AI82" s="213"/>
      <c r="AJ82" s="213"/>
      <c r="AK82" s="213" t="s">
        <v>148</v>
      </c>
      <c r="AL82" s="213"/>
      <c r="AM82" s="85" t="s">
        <v>175</v>
      </c>
      <c r="AN82" s="30"/>
      <c r="AO82" s="30"/>
      <c r="AP82" s="29"/>
      <c r="AQ82" s="29"/>
      <c r="AR82" s="29"/>
      <c r="AS82" s="29"/>
      <c r="AT82" s="29"/>
      <c r="AU82" s="29"/>
      <c r="AV82" s="29"/>
      <c r="AW82" s="29"/>
      <c r="AX82" s="29"/>
      <c r="AY82" s="29"/>
      <c r="AZ82" s="29"/>
      <c r="BA82" s="29"/>
      <c r="BB82" s="29"/>
      <c r="BC82" s="29"/>
      <c r="BD82" s="29"/>
      <c r="BE82" s="29"/>
      <c r="BF82" s="29"/>
      <c r="BG82" s="29"/>
    </row>
    <row r="83" spans="1:59" ht="14.15" customHeight="1" x14ac:dyDescent="0.3">
      <c r="A83" s="78">
        <v>1</v>
      </c>
      <c r="B83" s="295">
        <v>2</v>
      </c>
      <c r="C83" s="296"/>
      <c r="D83" s="296"/>
      <c r="E83" s="296"/>
      <c r="F83" s="296"/>
      <c r="G83" s="295">
        <v>3</v>
      </c>
      <c r="H83" s="296"/>
      <c r="I83" s="296"/>
      <c r="J83" s="296"/>
      <c r="K83" s="297"/>
      <c r="L83" s="295">
        <v>4</v>
      </c>
      <c r="M83" s="296"/>
      <c r="N83" s="296"/>
      <c r="O83" s="297"/>
      <c r="P83" s="295">
        <v>5</v>
      </c>
      <c r="Q83" s="296"/>
      <c r="R83" s="296"/>
      <c r="S83" s="297"/>
      <c r="T83" s="295">
        <v>6</v>
      </c>
      <c r="U83" s="296"/>
      <c r="V83" s="296"/>
      <c r="W83" s="296"/>
      <c r="X83" s="296"/>
      <c r="Y83" s="296"/>
      <c r="Z83" s="297"/>
      <c r="AA83" s="295" t="s">
        <v>711</v>
      </c>
      <c r="AB83" s="296"/>
      <c r="AC83" s="296"/>
      <c r="AD83" s="296"/>
      <c r="AE83" s="296"/>
      <c r="AF83" s="296"/>
      <c r="AG83" s="297"/>
      <c r="AH83" s="295">
        <v>8</v>
      </c>
      <c r="AI83" s="296"/>
      <c r="AJ83" s="297"/>
      <c r="AK83" s="295" t="s">
        <v>601</v>
      </c>
      <c r="AL83" s="297"/>
      <c r="AM83" s="85"/>
      <c r="AN83" s="30"/>
      <c r="AO83" s="30"/>
      <c r="AP83" s="29"/>
      <c r="AQ83" s="29"/>
      <c r="AR83" s="29"/>
      <c r="AS83" s="29"/>
      <c r="AT83" s="29"/>
      <c r="AU83" s="29"/>
      <c r="AV83" s="29"/>
      <c r="AW83" s="29"/>
      <c r="AX83" s="29"/>
      <c r="AY83" s="29"/>
      <c r="AZ83" s="29"/>
      <c r="BA83" s="29"/>
      <c r="BB83" s="29"/>
      <c r="BC83" s="29"/>
      <c r="BD83" s="29"/>
      <c r="BE83" s="29"/>
      <c r="BF83" s="29"/>
      <c r="BG83" s="29"/>
    </row>
    <row r="84" spans="1:59" s="124" customFormat="1" ht="36" customHeight="1" x14ac:dyDescent="0.3">
      <c r="A84" s="71">
        <v>1</v>
      </c>
      <c r="B84" s="170" t="s">
        <v>727</v>
      </c>
      <c r="C84" s="171"/>
      <c r="D84" s="171"/>
      <c r="E84" s="171"/>
      <c r="F84" s="172"/>
      <c r="G84" s="160"/>
      <c r="H84" s="161"/>
      <c r="I84" s="161"/>
      <c r="J84" s="161"/>
      <c r="K84" s="162"/>
      <c r="L84" s="163"/>
      <c r="M84" s="164"/>
      <c r="N84" s="164"/>
      <c r="O84" s="164"/>
      <c r="P84" s="176"/>
      <c r="Q84" s="177"/>
      <c r="R84" s="177"/>
      <c r="S84" s="177"/>
      <c r="T84" s="334">
        <v>1</v>
      </c>
      <c r="U84" s="334"/>
      <c r="V84" s="334"/>
      <c r="W84" s="334"/>
      <c r="X84" s="334"/>
      <c r="Y84" s="334"/>
      <c r="Z84" s="335"/>
      <c r="AA84" s="336">
        <f>L84+ROUND(L84*P84*T84,2)</f>
        <v>0</v>
      </c>
      <c r="AB84" s="337"/>
      <c r="AC84" s="337"/>
      <c r="AD84" s="337"/>
      <c r="AE84" s="337"/>
      <c r="AF84" s="337"/>
      <c r="AG84" s="338"/>
      <c r="AH84" s="331" t="e">
        <f>AJ$78</f>
        <v>#DIV/0!</v>
      </c>
      <c r="AI84" s="332"/>
      <c r="AJ84" s="333"/>
      <c r="AK84" s="336" t="e">
        <f>ROUND(AA84*AH84,2)</f>
        <v>#DIV/0!</v>
      </c>
      <c r="AL84" s="338"/>
      <c r="AM84" s="122"/>
      <c r="AN84" s="123"/>
      <c r="AO84" s="123"/>
    </row>
    <row r="85" spans="1:59" s="124" customFormat="1" ht="42.5" customHeight="1" x14ac:dyDescent="0.3">
      <c r="A85" s="71">
        <v>2</v>
      </c>
      <c r="B85" s="170"/>
      <c r="C85" s="171"/>
      <c r="D85" s="171"/>
      <c r="E85" s="171"/>
      <c r="F85" s="172"/>
      <c r="G85" s="160"/>
      <c r="H85" s="161"/>
      <c r="I85" s="161"/>
      <c r="J85" s="161"/>
      <c r="K85" s="162"/>
      <c r="L85" s="163"/>
      <c r="M85" s="164"/>
      <c r="N85" s="164"/>
      <c r="O85" s="164"/>
      <c r="P85" s="176">
        <f>IF(OR(B85=Słowniki!A$46,B85=Słowniki!A$56,B85=Słowniki!A$58,B85=Słowniki!A$59),0.08,0.23)</f>
        <v>0.23</v>
      </c>
      <c r="Q85" s="177"/>
      <c r="R85" s="177"/>
      <c r="S85" s="177"/>
      <c r="T85" s="334">
        <v>1</v>
      </c>
      <c r="U85" s="334"/>
      <c r="V85" s="334"/>
      <c r="W85" s="334"/>
      <c r="X85" s="334"/>
      <c r="Y85" s="334"/>
      <c r="Z85" s="335"/>
      <c r="AA85" s="336">
        <f t="shared" ref="AA85:AA94" si="0">L85+ROUND(L85*P85*T85,2)</f>
        <v>0</v>
      </c>
      <c r="AB85" s="337"/>
      <c r="AC85" s="337"/>
      <c r="AD85" s="337"/>
      <c r="AE85" s="337"/>
      <c r="AF85" s="337"/>
      <c r="AG85" s="338"/>
      <c r="AH85" s="331" t="e">
        <f>AJ$78</f>
        <v>#DIV/0!</v>
      </c>
      <c r="AI85" s="332"/>
      <c r="AJ85" s="333"/>
      <c r="AK85" s="336" t="e">
        <f t="shared" ref="AK85:AK94" si="1">ROUND(AA85*AH85,2)</f>
        <v>#DIV/0!</v>
      </c>
      <c r="AL85" s="338"/>
      <c r="AM85" s="122"/>
      <c r="AN85" s="122"/>
      <c r="AO85" s="123"/>
    </row>
    <row r="86" spans="1:59" s="124" customFormat="1" ht="43" customHeight="1" x14ac:dyDescent="0.3">
      <c r="A86" s="71">
        <v>3</v>
      </c>
      <c r="B86" s="170"/>
      <c r="C86" s="171"/>
      <c r="D86" s="171"/>
      <c r="E86" s="171"/>
      <c r="F86" s="172"/>
      <c r="G86" s="160"/>
      <c r="H86" s="161"/>
      <c r="I86" s="161"/>
      <c r="J86" s="161"/>
      <c r="K86" s="162"/>
      <c r="L86" s="163"/>
      <c r="M86" s="164"/>
      <c r="N86" s="164"/>
      <c r="O86" s="164"/>
      <c r="P86" s="176">
        <f>IF(OR(B86=Słowniki!A$46,B86=Słowniki!A$56,B86=Słowniki!A$58,B86=Słowniki!A$59),0.08,0.23)</f>
        <v>0.23</v>
      </c>
      <c r="Q86" s="177"/>
      <c r="R86" s="177"/>
      <c r="S86" s="177"/>
      <c r="T86" s="334">
        <v>1</v>
      </c>
      <c r="U86" s="334"/>
      <c r="V86" s="334"/>
      <c r="W86" s="334"/>
      <c r="X86" s="334"/>
      <c r="Y86" s="334"/>
      <c r="Z86" s="335"/>
      <c r="AA86" s="336">
        <f t="shared" si="0"/>
        <v>0</v>
      </c>
      <c r="AB86" s="337"/>
      <c r="AC86" s="337"/>
      <c r="AD86" s="337"/>
      <c r="AE86" s="337"/>
      <c r="AF86" s="337"/>
      <c r="AG86" s="338"/>
      <c r="AH86" s="331" t="e">
        <f t="shared" ref="AH86:AH94" si="2">AJ$78</f>
        <v>#DIV/0!</v>
      </c>
      <c r="AI86" s="332"/>
      <c r="AJ86" s="333"/>
      <c r="AK86" s="336" t="e">
        <f t="shared" si="1"/>
        <v>#DIV/0!</v>
      </c>
      <c r="AL86" s="338"/>
      <c r="AM86" s="122"/>
      <c r="AN86" s="122"/>
      <c r="AO86" s="123"/>
    </row>
    <row r="87" spans="1:59" s="124" customFormat="1" ht="43" customHeight="1" x14ac:dyDescent="0.3">
      <c r="A87" s="71">
        <v>4</v>
      </c>
      <c r="B87" s="170"/>
      <c r="C87" s="171"/>
      <c r="D87" s="171"/>
      <c r="E87" s="171"/>
      <c r="F87" s="172"/>
      <c r="G87" s="160"/>
      <c r="H87" s="161"/>
      <c r="I87" s="161"/>
      <c r="J87" s="161"/>
      <c r="K87" s="162"/>
      <c r="L87" s="163"/>
      <c r="M87" s="164"/>
      <c r="N87" s="164"/>
      <c r="O87" s="164"/>
      <c r="P87" s="176">
        <f>IF(OR(B87=Słowniki!A$46,B87=Słowniki!A$56,B87=Słowniki!A$58,B87=Słowniki!A$59),0.08,0.23)</f>
        <v>0.23</v>
      </c>
      <c r="Q87" s="177"/>
      <c r="R87" s="177"/>
      <c r="S87" s="177"/>
      <c r="T87" s="334">
        <v>1</v>
      </c>
      <c r="U87" s="334"/>
      <c r="V87" s="334"/>
      <c r="W87" s="334"/>
      <c r="X87" s="334"/>
      <c r="Y87" s="334"/>
      <c r="Z87" s="335"/>
      <c r="AA87" s="336">
        <f t="shared" si="0"/>
        <v>0</v>
      </c>
      <c r="AB87" s="337"/>
      <c r="AC87" s="337"/>
      <c r="AD87" s="337"/>
      <c r="AE87" s="337"/>
      <c r="AF87" s="337"/>
      <c r="AG87" s="338"/>
      <c r="AH87" s="331" t="e">
        <f t="shared" si="2"/>
        <v>#DIV/0!</v>
      </c>
      <c r="AI87" s="332"/>
      <c r="AJ87" s="333"/>
      <c r="AK87" s="336" t="e">
        <f t="shared" si="1"/>
        <v>#DIV/0!</v>
      </c>
      <c r="AL87" s="338"/>
      <c r="AM87" s="122"/>
      <c r="AN87" s="122"/>
      <c r="AO87" s="123"/>
    </row>
    <row r="88" spans="1:59" s="124" customFormat="1" ht="43" customHeight="1" x14ac:dyDescent="0.3">
      <c r="A88" s="71">
        <v>5</v>
      </c>
      <c r="B88" s="170"/>
      <c r="C88" s="171"/>
      <c r="D88" s="171"/>
      <c r="E88" s="171"/>
      <c r="F88" s="172"/>
      <c r="G88" s="160"/>
      <c r="H88" s="161"/>
      <c r="I88" s="161"/>
      <c r="J88" s="161"/>
      <c r="K88" s="162"/>
      <c r="L88" s="163"/>
      <c r="M88" s="164"/>
      <c r="N88" s="164"/>
      <c r="O88" s="164"/>
      <c r="P88" s="176">
        <f>IF(OR(B88=Słowniki!A$46,B88=Słowniki!A$56,B88=Słowniki!A$58,B88=Słowniki!A$59),0.08,0.23)</f>
        <v>0.23</v>
      </c>
      <c r="Q88" s="177"/>
      <c r="R88" s="177"/>
      <c r="S88" s="177"/>
      <c r="T88" s="334">
        <v>1</v>
      </c>
      <c r="U88" s="334"/>
      <c r="V88" s="334"/>
      <c r="W88" s="334"/>
      <c r="X88" s="334"/>
      <c r="Y88" s="334"/>
      <c r="Z88" s="335"/>
      <c r="AA88" s="336">
        <f t="shared" si="0"/>
        <v>0</v>
      </c>
      <c r="AB88" s="337"/>
      <c r="AC88" s="337"/>
      <c r="AD88" s="337"/>
      <c r="AE88" s="337"/>
      <c r="AF88" s="337"/>
      <c r="AG88" s="338"/>
      <c r="AH88" s="331" t="e">
        <f t="shared" si="2"/>
        <v>#DIV/0!</v>
      </c>
      <c r="AI88" s="332"/>
      <c r="AJ88" s="333"/>
      <c r="AK88" s="336" t="e">
        <f t="shared" si="1"/>
        <v>#DIV/0!</v>
      </c>
      <c r="AL88" s="338"/>
      <c r="AM88" s="122"/>
      <c r="AN88" s="122"/>
      <c r="AO88" s="123"/>
    </row>
    <row r="89" spans="1:59" s="124" customFormat="1" ht="43" customHeight="1" x14ac:dyDescent="0.3">
      <c r="A89" s="71">
        <v>6</v>
      </c>
      <c r="B89" s="170"/>
      <c r="C89" s="171"/>
      <c r="D89" s="171"/>
      <c r="E89" s="171"/>
      <c r="F89" s="172"/>
      <c r="G89" s="160"/>
      <c r="H89" s="161"/>
      <c r="I89" s="161"/>
      <c r="J89" s="161"/>
      <c r="K89" s="162"/>
      <c r="L89" s="163"/>
      <c r="M89" s="164"/>
      <c r="N89" s="164"/>
      <c r="O89" s="164"/>
      <c r="P89" s="176">
        <f>IF(OR(B89=Słowniki!A$46,B89=Słowniki!A$56,B89=Słowniki!A$58,B89=Słowniki!A$59),0.08,0.23)</f>
        <v>0.23</v>
      </c>
      <c r="Q89" s="177"/>
      <c r="R89" s="177"/>
      <c r="S89" s="177"/>
      <c r="T89" s="334">
        <v>1</v>
      </c>
      <c r="U89" s="334"/>
      <c r="V89" s="334"/>
      <c r="W89" s="334"/>
      <c r="X89" s="334"/>
      <c r="Y89" s="334"/>
      <c r="Z89" s="335"/>
      <c r="AA89" s="336">
        <f t="shared" si="0"/>
        <v>0</v>
      </c>
      <c r="AB89" s="337"/>
      <c r="AC89" s="337"/>
      <c r="AD89" s="337"/>
      <c r="AE89" s="337"/>
      <c r="AF89" s="337"/>
      <c r="AG89" s="338"/>
      <c r="AH89" s="331" t="e">
        <f t="shared" si="2"/>
        <v>#DIV/0!</v>
      </c>
      <c r="AI89" s="332"/>
      <c r="AJ89" s="333"/>
      <c r="AK89" s="336" t="e">
        <f t="shared" si="1"/>
        <v>#DIV/0!</v>
      </c>
      <c r="AL89" s="338"/>
      <c r="AM89" s="122"/>
      <c r="AN89" s="122"/>
      <c r="AO89" s="123"/>
    </row>
    <row r="90" spans="1:59" s="124" customFormat="1" ht="43" customHeight="1" x14ac:dyDescent="0.3">
      <c r="A90" s="71">
        <v>7</v>
      </c>
      <c r="B90" s="170"/>
      <c r="C90" s="171"/>
      <c r="D90" s="171"/>
      <c r="E90" s="171"/>
      <c r="F90" s="172"/>
      <c r="G90" s="160"/>
      <c r="H90" s="161"/>
      <c r="I90" s="161"/>
      <c r="J90" s="161"/>
      <c r="K90" s="162"/>
      <c r="L90" s="163"/>
      <c r="M90" s="164"/>
      <c r="N90" s="164"/>
      <c r="O90" s="164"/>
      <c r="P90" s="176">
        <f>IF(OR(B90=Słowniki!A$46,B90=Słowniki!A$56,B90=Słowniki!A$58,B90=Słowniki!A$59),0.08,0.23)</f>
        <v>0.23</v>
      </c>
      <c r="Q90" s="177"/>
      <c r="R90" s="177"/>
      <c r="S90" s="177"/>
      <c r="T90" s="334">
        <v>1</v>
      </c>
      <c r="U90" s="334"/>
      <c r="V90" s="334"/>
      <c r="W90" s="334"/>
      <c r="X90" s="334"/>
      <c r="Y90" s="334"/>
      <c r="Z90" s="335"/>
      <c r="AA90" s="336">
        <f t="shared" si="0"/>
        <v>0</v>
      </c>
      <c r="AB90" s="337"/>
      <c r="AC90" s="337"/>
      <c r="AD90" s="337"/>
      <c r="AE90" s="337"/>
      <c r="AF90" s="337"/>
      <c r="AG90" s="338"/>
      <c r="AH90" s="331" t="e">
        <f t="shared" si="2"/>
        <v>#DIV/0!</v>
      </c>
      <c r="AI90" s="332"/>
      <c r="AJ90" s="333"/>
      <c r="AK90" s="336" t="e">
        <f t="shared" si="1"/>
        <v>#DIV/0!</v>
      </c>
      <c r="AL90" s="338"/>
      <c r="AM90" s="122"/>
      <c r="AN90" s="122"/>
      <c r="AO90" s="123"/>
    </row>
    <row r="91" spans="1:59" s="124" customFormat="1" ht="43" customHeight="1" x14ac:dyDescent="0.3">
      <c r="A91" s="71">
        <v>8</v>
      </c>
      <c r="B91" s="170"/>
      <c r="C91" s="171"/>
      <c r="D91" s="171"/>
      <c r="E91" s="171"/>
      <c r="F91" s="172"/>
      <c r="G91" s="160"/>
      <c r="H91" s="161"/>
      <c r="I91" s="161"/>
      <c r="J91" s="161"/>
      <c r="K91" s="162"/>
      <c r="L91" s="163"/>
      <c r="M91" s="164"/>
      <c r="N91" s="164"/>
      <c r="O91" s="164"/>
      <c r="P91" s="176">
        <f>IF(OR(B91=Słowniki!A$46,B91=Słowniki!A$56,B91=Słowniki!A$58,B91=Słowniki!A$59),0.08,0.23)</f>
        <v>0.23</v>
      </c>
      <c r="Q91" s="177"/>
      <c r="R91" s="177"/>
      <c r="S91" s="177"/>
      <c r="T91" s="334">
        <v>1</v>
      </c>
      <c r="U91" s="334"/>
      <c r="V91" s="334"/>
      <c r="W91" s="334"/>
      <c r="X91" s="334"/>
      <c r="Y91" s="334"/>
      <c r="Z91" s="335"/>
      <c r="AA91" s="336">
        <f t="shared" si="0"/>
        <v>0</v>
      </c>
      <c r="AB91" s="337"/>
      <c r="AC91" s="337"/>
      <c r="AD91" s="337"/>
      <c r="AE91" s="337"/>
      <c r="AF91" s="337"/>
      <c r="AG91" s="338"/>
      <c r="AH91" s="331" t="e">
        <f t="shared" si="2"/>
        <v>#DIV/0!</v>
      </c>
      <c r="AI91" s="332"/>
      <c r="AJ91" s="333"/>
      <c r="AK91" s="336" t="e">
        <f t="shared" si="1"/>
        <v>#DIV/0!</v>
      </c>
      <c r="AL91" s="338"/>
      <c r="AM91" s="122"/>
      <c r="AN91" s="122"/>
      <c r="AO91" s="123"/>
    </row>
    <row r="92" spans="1:59" s="124" customFormat="1" ht="43" customHeight="1" x14ac:dyDescent="0.3">
      <c r="A92" s="71">
        <v>9</v>
      </c>
      <c r="B92" s="170"/>
      <c r="C92" s="171"/>
      <c r="D92" s="171"/>
      <c r="E92" s="171"/>
      <c r="F92" s="172"/>
      <c r="G92" s="160"/>
      <c r="H92" s="161"/>
      <c r="I92" s="161"/>
      <c r="J92" s="161"/>
      <c r="K92" s="162"/>
      <c r="L92" s="163"/>
      <c r="M92" s="164"/>
      <c r="N92" s="164"/>
      <c r="O92" s="164"/>
      <c r="P92" s="176">
        <f>IF(OR(B92=Słowniki!A$46,B92=Słowniki!A$56,B92=Słowniki!A$58,B92=Słowniki!A$59),0.08,0.23)</f>
        <v>0.23</v>
      </c>
      <c r="Q92" s="177"/>
      <c r="R92" s="177"/>
      <c r="S92" s="177"/>
      <c r="T92" s="334">
        <v>1</v>
      </c>
      <c r="U92" s="334"/>
      <c r="V92" s="334"/>
      <c r="W92" s="334"/>
      <c r="X92" s="334"/>
      <c r="Y92" s="334"/>
      <c r="Z92" s="335"/>
      <c r="AA92" s="336">
        <f t="shared" si="0"/>
        <v>0</v>
      </c>
      <c r="AB92" s="337"/>
      <c r="AC92" s="337"/>
      <c r="AD92" s="337"/>
      <c r="AE92" s="337"/>
      <c r="AF92" s="337"/>
      <c r="AG92" s="338"/>
      <c r="AH92" s="331" t="e">
        <f t="shared" si="2"/>
        <v>#DIV/0!</v>
      </c>
      <c r="AI92" s="332"/>
      <c r="AJ92" s="333"/>
      <c r="AK92" s="336" t="e">
        <f t="shared" si="1"/>
        <v>#DIV/0!</v>
      </c>
      <c r="AL92" s="338"/>
      <c r="AM92" s="122"/>
      <c r="AN92" s="122"/>
      <c r="AO92" s="123"/>
    </row>
    <row r="93" spans="1:59" s="124" customFormat="1" ht="43" customHeight="1" x14ac:dyDescent="0.3">
      <c r="A93" s="71">
        <v>10</v>
      </c>
      <c r="B93" s="170"/>
      <c r="C93" s="171"/>
      <c r="D93" s="171"/>
      <c r="E93" s="171"/>
      <c r="F93" s="172"/>
      <c r="G93" s="160"/>
      <c r="H93" s="161"/>
      <c r="I93" s="161"/>
      <c r="J93" s="161"/>
      <c r="K93" s="162"/>
      <c r="L93" s="163"/>
      <c r="M93" s="164"/>
      <c r="N93" s="164"/>
      <c r="O93" s="164"/>
      <c r="P93" s="176">
        <f>IF(OR(B93=Słowniki!A$46,B93=Słowniki!A$56,B93=Słowniki!A$58,B93=Słowniki!A$59),0.08,0.23)</f>
        <v>0.23</v>
      </c>
      <c r="Q93" s="177"/>
      <c r="R93" s="177"/>
      <c r="S93" s="177"/>
      <c r="T93" s="334">
        <v>1</v>
      </c>
      <c r="U93" s="334"/>
      <c r="V93" s="334"/>
      <c r="W93" s="334"/>
      <c r="X93" s="334"/>
      <c r="Y93" s="334"/>
      <c r="Z93" s="335"/>
      <c r="AA93" s="336">
        <f>L93+ROUND(L93*P93*T93,2)</f>
        <v>0</v>
      </c>
      <c r="AB93" s="337"/>
      <c r="AC93" s="337"/>
      <c r="AD93" s="337"/>
      <c r="AE93" s="337"/>
      <c r="AF93" s="337"/>
      <c r="AG93" s="338"/>
      <c r="AH93" s="331" t="e">
        <f t="shared" si="2"/>
        <v>#DIV/0!</v>
      </c>
      <c r="AI93" s="332"/>
      <c r="AJ93" s="333"/>
      <c r="AK93" s="336" t="e">
        <f t="shared" si="1"/>
        <v>#DIV/0!</v>
      </c>
      <c r="AL93" s="338"/>
      <c r="AM93" s="122"/>
      <c r="AN93" s="122"/>
      <c r="AO93" s="123"/>
    </row>
    <row r="94" spans="1:59" s="124" customFormat="1" ht="43" customHeight="1" x14ac:dyDescent="0.3">
      <c r="A94" s="71">
        <v>11</v>
      </c>
      <c r="B94" s="170"/>
      <c r="C94" s="171"/>
      <c r="D94" s="171"/>
      <c r="E94" s="171"/>
      <c r="F94" s="172"/>
      <c r="G94" s="160"/>
      <c r="H94" s="161"/>
      <c r="I94" s="161"/>
      <c r="J94" s="161"/>
      <c r="K94" s="162"/>
      <c r="L94" s="163"/>
      <c r="M94" s="164"/>
      <c r="N94" s="164"/>
      <c r="O94" s="164"/>
      <c r="P94" s="176">
        <f>IF(OR(B94=Słowniki!A$46,B94=Słowniki!A$56,B94=Słowniki!A$58,B94=Słowniki!A$59),0.08,0.23)</f>
        <v>0.23</v>
      </c>
      <c r="Q94" s="177"/>
      <c r="R94" s="177"/>
      <c r="S94" s="177"/>
      <c r="T94" s="334">
        <v>1</v>
      </c>
      <c r="U94" s="334"/>
      <c r="V94" s="334"/>
      <c r="W94" s="334"/>
      <c r="X94" s="334"/>
      <c r="Y94" s="334"/>
      <c r="Z94" s="335"/>
      <c r="AA94" s="336">
        <f t="shared" si="0"/>
        <v>0</v>
      </c>
      <c r="AB94" s="337"/>
      <c r="AC94" s="337"/>
      <c r="AD94" s="337"/>
      <c r="AE94" s="337"/>
      <c r="AF94" s="337"/>
      <c r="AG94" s="338"/>
      <c r="AH94" s="331" t="e">
        <f t="shared" si="2"/>
        <v>#DIV/0!</v>
      </c>
      <c r="AI94" s="332"/>
      <c r="AJ94" s="333"/>
      <c r="AK94" s="336" t="e">
        <f t="shared" si="1"/>
        <v>#DIV/0!</v>
      </c>
      <c r="AL94" s="338"/>
      <c r="AM94" s="122"/>
      <c r="AN94" s="122"/>
      <c r="AO94" s="123"/>
    </row>
    <row r="95" spans="1:59" ht="14.15" customHeight="1" x14ac:dyDescent="0.3">
      <c r="A95" s="71">
        <v>23</v>
      </c>
      <c r="B95" s="193" t="s">
        <v>119</v>
      </c>
      <c r="C95" s="194"/>
      <c r="D95" s="194"/>
      <c r="E95" s="194"/>
      <c r="F95" s="194"/>
      <c r="G95" s="194"/>
      <c r="H95" s="194"/>
      <c r="I95" s="194"/>
      <c r="J95" s="194"/>
      <c r="K95" s="194"/>
      <c r="L95" s="308">
        <f>SUM(L84:O94)</f>
        <v>0</v>
      </c>
      <c r="M95" s="308"/>
      <c r="N95" s="308"/>
      <c r="O95" s="309"/>
      <c r="P95" s="187" t="s">
        <v>120</v>
      </c>
      <c r="Q95" s="187"/>
      <c r="R95" s="187"/>
      <c r="S95" s="187"/>
      <c r="T95" s="190" t="s">
        <v>120</v>
      </c>
      <c r="U95" s="190"/>
      <c r="V95" s="190"/>
      <c r="W95" s="190"/>
      <c r="X95" s="190"/>
      <c r="Y95" s="190"/>
      <c r="Z95" s="190"/>
      <c r="AA95" s="178">
        <f>SUM(AA84:AG94)</f>
        <v>0</v>
      </c>
      <c r="AB95" s="178"/>
      <c r="AC95" s="178"/>
      <c r="AD95" s="178"/>
      <c r="AE95" s="178"/>
      <c r="AF95" s="178"/>
      <c r="AG95" s="178"/>
      <c r="AH95" s="189" t="s">
        <v>120</v>
      </c>
      <c r="AI95" s="189"/>
      <c r="AJ95" s="189"/>
      <c r="AK95" s="178" t="e">
        <f>ROUND(SUM(AK84:AL94),2)</f>
        <v>#DIV/0!</v>
      </c>
      <c r="AL95" s="178"/>
      <c r="AM95" s="44"/>
      <c r="AO95" s="30"/>
      <c r="AP95" s="29"/>
      <c r="AQ95" s="29"/>
      <c r="AR95" s="29"/>
      <c r="AS95" s="29"/>
      <c r="AT95" s="29"/>
      <c r="AU95" s="29"/>
      <c r="AV95" s="29"/>
      <c r="AW95" s="29"/>
      <c r="AX95" s="29"/>
      <c r="AY95" s="29"/>
      <c r="AZ95" s="29"/>
      <c r="BA95" s="29"/>
      <c r="BB95" s="29"/>
      <c r="BC95" s="29"/>
      <c r="BD95" s="29"/>
      <c r="BE95" s="29"/>
      <c r="BF95" s="29"/>
      <c r="BG95" s="29"/>
    </row>
    <row r="96" spans="1:59" ht="89.5" customHeight="1" x14ac:dyDescent="0.3">
      <c r="A96" s="179" t="s">
        <v>872</v>
      </c>
      <c r="B96" s="179"/>
      <c r="C96" s="179"/>
      <c r="D96" s="179"/>
      <c r="E96" s="179"/>
      <c r="F96" s="179"/>
      <c r="G96" s="179"/>
      <c r="H96" s="179"/>
      <c r="I96" s="179"/>
      <c r="J96" s="179"/>
      <c r="K96" s="179"/>
      <c r="L96" s="179"/>
      <c r="M96" s="179"/>
      <c r="N96" s="179"/>
      <c r="O96" s="179"/>
      <c r="P96" s="179"/>
      <c r="Q96" s="179"/>
      <c r="R96" s="179"/>
      <c r="S96" s="179"/>
      <c r="T96" s="179"/>
      <c r="U96" s="179"/>
      <c r="V96" s="179"/>
      <c r="W96" s="179"/>
      <c r="X96" s="179"/>
      <c r="Y96" s="179"/>
      <c r="Z96" s="179"/>
      <c r="AA96" s="179"/>
      <c r="AB96" s="179"/>
      <c r="AC96" s="179"/>
      <c r="AD96" s="179"/>
      <c r="AE96" s="179"/>
      <c r="AF96" s="179"/>
      <c r="AG96" s="179"/>
      <c r="AH96" s="179"/>
      <c r="AI96" s="179"/>
      <c r="AJ96" s="179"/>
      <c r="AK96" s="179"/>
      <c r="AL96" s="179"/>
      <c r="AM96" s="44"/>
      <c r="AO96" s="30"/>
      <c r="AP96" s="29"/>
      <c r="AQ96" s="29"/>
      <c r="AR96" s="29"/>
      <c r="AS96" s="29"/>
      <c r="AT96" s="29"/>
      <c r="AU96" s="29"/>
      <c r="AV96" s="29"/>
      <c r="AW96" s="29"/>
      <c r="AX96" s="29"/>
      <c r="AY96" s="29"/>
      <c r="AZ96" s="29"/>
      <c r="BA96" s="29"/>
      <c r="BB96" s="29"/>
      <c r="BC96" s="29"/>
      <c r="BD96" s="29"/>
      <c r="BE96" s="29"/>
      <c r="BF96" s="29"/>
      <c r="BG96" s="29"/>
    </row>
    <row r="97" spans="1:59" ht="14" customHeight="1" x14ac:dyDescent="0.3">
      <c r="A97" s="72"/>
      <c r="B97" s="180" t="s">
        <v>143</v>
      </c>
      <c r="C97" s="180"/>
      <c r="D97" s="180"/>
      <c r="E97" s="180"/>
      <c r="F97" s="180"/>
      <c r="G97" s="180"/>
      <c r="H97" s="180"/>
      <c r="I97" s="180"/>
      <c r="J97" s="180"/>
      <c r="K97" s="180"/>
      <c r="L97" s="180"/>
      <c r="M97" s="180"/>
      <c r="N97" s="180"/>
      <c r="O97" s="180"/>
      <c r="P97" s="180"/>
      <c r="Q97" s="180"/>
      <c r="R97" s="180"/>
      <c r="S97" s="180"/>
      <c r="T97" s="188">
        <v>0.8</v>
      </c>
      <c r="U97" s="188"/>
      <c r="V97" s="188"/>
      <c r="W97" s="188"/>
      <c r="X97" s="188"/>
      <c r="Y97" s="188"/>
      <c r="Z97" s="188"/>
      <c r="AA97" s="188"/>
      <c r="AB97" s="188"/>
      <c r="AC97" s="188"/>
      <c r="AD97" s="188"/>
      <c r="AE97" s="188"/>
      <c r="AF97" s="188"/>
      <c r="AG97" s="188"/>
      <c r="AH97" s="188"/>
      <c r="AI97" s="188"/>
      <c r="AJ97" s="188"/>
      <c r="AK97" s="73"/>
      <c r="AL97" s="74"/>
      <c r="AM97" s="44"/>
      <c r="AN97" s="30"/>
      <c r="AO97" s="30"/>
      <c r="AP97" s="29"/>
      <c r="AQ97" s="29"/>
      <c r="AR97" s="29"/>
      <c r="AS97" s="29"/>
      <c r="AT97" s="29"/>
      <c r="AU97" s="29"/>
      <c r="AV97" s="29"/>
      <c r="AW97" s="29"/>
      <c r="AX97" s="29"/>
      <c r="AY97" s="29"/>
      <c r="AZ97" s="29"/>
      <c r="BA97" s="29"/>
      <c r="BB97" s="29"/>
      <c r="BC97" s="29"/>
      <c r="BD97" s="29"/>
      <c r="BE97" s="29"/>
      <c r="BF97" s="29"/>
      <c r="BG97" s="29"/>
    </row>
    <row r="98" spans="1:59" ht="14.5" customHeight="1" x14ac:dyDescent="0.35">
      <c r="A98" s="72"/>
      <c r="B98" s="180" t="s">
        <v>144</v>
      </c>
      <c r="C98" s="180"/>
      <c r="D98" s="180"/>
      <c r="E98" s="180"/>
      <c r="F98" s="180"/>
      <c r="G98" s="180"/>
      <c r="H98" s="180"/>
      <c r="I98" s="180"/>
      <c r="J98" s="180"/>
      <c r="K98" s="180"/>
      <c r="L98" s="180"/>
      <c r="M98" s="180"/>
      <c r="N98" s="180"/>
      <c r="O98" s="180"/>
      <c r="P98" s="180"/>
      <c r="Q98" s="180"/>
      <c r="R98" s="180"/>
      <c r="S98" s="180"/>
      <c r="T98" s="159" t="e">
        <f>ROUNDDOWN(AK95*(T97),2)</f>
        <v>#DIV/0!</v>
      </c>
      <c r="U98" s="159"/>
      <c r="V98" s="159"/>
      <c r="W98" s="159"/>
      <c r="X98" s="159"/>
      <c r="Y98" s="159"/>
      <c r="Z98" s="159"/>
      <c r="AA98" s="159"/>
      <c r="AB98" s="159"/>
      <c r="AC98" s="159"/>
      <c r="AD98" s="159"/>
      <c r="AE98" s="159"/>
      <c r="AF98" s="159"/>
      <c r="AG98" s="159"/>
      <c r="AH98" s="159"/>
      <c r="AI98" s="159"/>
      <c r="AJ98" s="159"/>
      <c r="AK98" s="73"/>
      <c r="AL98" s="74"/>
      <c r="AM98" s="76" t="s">
        <v>171</v>
      </c>
      <c r="AN98" s="30"/>
      <c r="AO98" s="30"/>
      <c r="AP98" s="29"/>
      <c r="AQ98" s="29"/>
      <c r="AR98" s="29"/>
      <c r="AS98" s="29"/>
      <c r="AT98" s="29"/>
      <c r="AU98" s="29"/>
      <c r="AV98" s="29"/>
      <c r="AW98" s="29"/>
      <c r="AX98" s="29"/>
      <c r="AY98" s="29"/>
      <c r="AZ98" s="29"/>
      <c r="BA98" s="29"/>
      <c r="BB98" s="29"/>
      <c r="BC98" s="29"/>
      <c r="BD98" s="29"/>
      <c r="BE98" s="29"/>
      <c r="BF98" s="29"/>
      <c r="BG98" s="29"/>
    </row>
    <row r="99" spans="1:59" ht="47.25" customHeight="1" x14ac:dyDescent="0.3">
      <c r="A99" s="183" t="s">
        <v>690</v>
      </c>
      <c r="B99" s="183"/>
      <c r="C99" s="183"/>
      <c r="D99" s="183"/>
      <c r="E99" s="183"/>
      <c r="F99" s="183"/>
      <c r="G99" s="183"/>
      <c r="H99" s="183"/>
      <c r="I99" s="183"/>
      <c r="J99" s="183"/>
      <c r="K99" s="183"/>
      <c r="L99" s="183"/>
      <c r="M99" s="183"/>
      <c r="N99" s="183"/>
      <c r="O99" s="183"/>
      <c r="P99" s="183"/>
      <c r="Q99" s="183"/>
      <c r="R99" s="183"/>
      <c r="S99" s="183"/>
      <c r="T99" s="183"/>
      <c r="U99" s="183"/>
      <c r="V99" s="183"/>
      <c r="W99" s="183"/>
      <c r="X99" s="183"/>
      <c r="Y99" s="183"/>
      <c r="Z99" s="183"/>
      <c r="AA99" s="183"/>
      <c r="AB99" s="183"/>
      <c r="AC99" s="183"/>
      <c r="AD99" s="183"/>
      <c r="AE99" s="183"/>
      <c r="AF99" s="183"/>
      <c r="AG99" s="183"/>
      <c r="AH99" s="183"/>
      <c r="AI99" s="183"/>
      <c r="AJ99" s="183"/>
      <c r="AK99" s="183"/>
      <c r="AL99" s="342"/>
      <c r="AM99" s="63"/>
    </row>
    <row r="100" spans="1:59" ht="45" customHeight="1" x14ac:dyDescent="0.3">
      <c r="A100" s="184" t="s">
        <v>712</v>
      </c>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c r="X100" s="184"/>
      <c r="Y100" s="184"/>
      <c r="Z100" s="184"/>
      <c r="AA100" s="184"/>
      <c r="AB100" s="184"/>
      <c r="AC100" s="184"/>
      <c r="AD100" s="184"/>
      <c r="AE100" s="184"/>
      <c r="AF100" s="184"/>
      <c r="AG100" s="184"/>
      <c r="AH100" s="184"/>
      <c r="AI100" s="184"/>
      <c r="AJ100" s="184"/>
      <c r="AK100" s="184"/>
      <c r="AL100" s="184"/>
      <c r="AM100" s="59" t="s">
        <v>796</v>
      </c>
    </row>
    <row r="101" spans="1:59" ht="88" customHeight="1" x14ac:dyDescent="0.3">
      <c r="A101" s="149" t="s">
        <v>909</v>
      </c>
      <c r="B101" s="183"/>
      <c r="C101" s="183"/>
      <c r="D101" s="183"/>
      <c r="E101" s="183"/>
      <c r="F101" s="183"/>
      <c r="G101" s="183"/>
      <c r="H101" s="183"/>
      <c r="I101" s="183"/>
      <c r="J101" s="183"/>
      <c r="K101" s="183"/>
      <c r="L101" s="183"/>
      <c r="M101" s="183"/>
      <c r="N101" s="183"/>
      <c r="O101" s="183"/>
      <c r="P101" s="183"/>
      <c r="Q101" s="183"/>
      <c r="R101" s="183"/>
      <c r="S101" s="183"/>
      <c r="T101" s="183"/>
      <c r="U101" s="183"/>
      <c r="V101" s="183"/>
      <c r="W101" s="183"/>
      <c r="X101" s="183"/>
      <c r="Y101" s="183"/>
      <c r="Z101" s="183"/>
      <c r="AA101" s="183"/>
      <c r="AB101" s="183"/>
      <c r="AC101" s="183"/>
      <c r="AD101" s="183"/>
      <c r="AE101" s="183"/>
      <c r="AF101" s="183"/>
      <c r="AG101" s="183"/>
      <c r="AH101" s="183"/>
      <c r="AI101" s="183"/>
      <c r="AJ101" s="183"/>
      <c r="AK101" s="183"/>
      <c r="AL101" s="183"/>
      <c r="AM101" s="63"/>
    </row>
    <row r="102" spans="1:59" ht="45" customHeight="1" x14ac:dyDescent="0.3">
      <c r="A102" s="184"/>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c r="X102" s="184"/>
      <c r="Y102" s="184"/>
      <c r="Z102" s="184"/>
      <c r="AA102" s="184"/>
      <c r="AB102" s="184"/>
      <c r="AC102" s="184"/>
      <c r="AD102" s="184"/>
      <c r="AE102" s="184"/>
      <c r="AF102" s="184"/>
      <c r="AG102" s="184"/>
      <c r="AH102" s="184"/>
      <c r="AI102" s="184"/>
      <c r="AJ102" s="184"/>
      <c r="AK102" s="184"/>
      <c r="AL102" s="184"/>
      <c r="AM102" s="50" t="s">
        <v>665</v>
      </c>
    </row>
    <row r="103" spans="1:59" ht="64" customHeight="1" x14ac:dyDescent="0.3">
      <c r="A103" s="185" t="s">
        <v>780</v>
      </c>
      <c r="B103" s="185"/>
      <c r="C103" s="185"/>
      <c r="D103" s="185"/>
      <c r="E103" s="185"/>
      <c r="F103" s="185"/>
      <c r="G103" s="185"/>
      <c r="H103" s="185"/>
      <c r="I103" s="185"/>
      <c r="J103" s="185"/>
      <c r="K103" s="185"/>
      <c r="L103" s="185"/>
      <c r="M103" s="185"/>
      <c r="N103" s="185"/>
      <c r="O103" s="185"/>
      <c r="P103" s="185"/>
      <c r="Q103" s="185"/>
      <c r="R103" s="185"/>
      <c r="S103" s="185"/>
      <c r="T103" s="185"/>
      <c r="U103" s="185"/>
      <c r="V103" s="185"/>
      <c r="W103" s="185"/>
      <c r="X103" s="185"/>
      <c r="Y103" s="185"/>
      <c r="Z103" s="185"/>
      <c r="AA103" s="185"/>
      <c r="AB103" s="185"/>
      <c r="AC103" s="185"/>
      <c r="AD103" s="185"/>
      <c r="AE103" s="185"/>
      <c r="AF103" s="185"/>
      <c r="AG103" s="185"/>
      <c r="AH103" s="185"/>
      <c r="AI103" s="185"/>
      <c r="AJ103" s="185"/>
      <c r="AK103" s="185"/>
      <c r="AL103" s="185"/>
      <c r="AM103" s="44"/>
    </row>
    <row r="104" spans="1:59" ht="61" customHeight="1" x14ac:dyDescent="0.3">
      <c r="A104" s="185" t="s">
        <v>874</v>
      </c>
      <c r="B104" s="185"/>
      <c r="C104" s="185"/>
      <c r="D104" s="185"/>
      <c r="E104" s="185"/>
      <c r="F104" s="185"/>
      <c r="G104" s="185"/>
      <c r="H104" s="185"/>
      <c r="I104" s="185"/>
      <c r="J104" s="185"/>
      <c r="K104" s="185"/>
      <c r="L104" s="185"/>
      <c r="M104" s="185"/>
      <c r="N104" s="185"/>
      <c r="O104" s="185"/>
      <c r="P104" s="185"/>
      <c r="Q104" s="185"/>
      <c r="R104" s="185"/>
      <c r="S104" s="185"/>
      <c r="T104" s="185"/>
      <c r="U104" s="185"/>
      <c r="V104" s="185"/>
      <c r="W104" s="185"/>
      <c r="X104" s="185"/>
      <c r="Y104" s="185"/>
      <c r="Z104" s="185"/>
      <c r="AA104" s="185"/>
      <c r="AB104" s="185"/>
      <c r="AC104" s="185"/>
      <c r="AD104" s="185"/>
      <c r="AE104" s="185"/>
      <c r="AF104" s="185"/>
      <c r="AG104" s="185"/>
      <c r="AH104" s="185"/>
      <c r="AI104" s="185"/>
      <c r="AJ104" s="185"/>
      <c r="AK104" s="185"/>
      <c r="AL104" s="185"/>
      <c r="AM104" s="44"/>
    </row>
    <row r="105" spans="1:59" ht="57.5" customHeight="1" x14ac:dyDescent="0.3">
      <c r="A105" s="184" t="s">
        <v>877</v>
      </c>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c r="Z105" s="184"/>
      <c r="AA105" s="184"/>
      <c r="AB105" s="184"/>
      <c r="AC105" s="184"/>
      <c r="AD105" s="184"/>
      <c r="AE105" s="184"/>
      <c r="AF105" s="184"/>
      <c r="AG105" s="184"/>
      <c r="AH105" s="184"/>
      <c r="AI105" s="184"/>
      <c r="AJ105" s="184"/>
      <c r="AK105" s="184"/>
      <c r="AL105" s="184"/>
      <c r="AM105" s="44"/>
    </row>
    <row r="106" spans="1:59" ht="92" customHeight="1" x14ac:dyDescent="0.3">
      <c r="A106" s="183" t="s">
        <v>878</v>
      </c>
      <c r="B106" s="183"/>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c r="AA106" s="183"/>
      <c r="AB106" s="183"/>
      <c r="AC106" s="183"/>
      <c r="AD106" s="183"/>
      <c r="AE106" s="183"/>
      <c r="AF106" s="183"/>
      <c r="AG106" s="183"/>
      <c r="AH106" s="183"/>
      <c r="AI106" s="183"/>
      <c r="AJ106" s="183"/>
      <c r="AK106" s="183"/>
      <c r="AL106" s="183"/>
      <c r="AM106" s="44"/>
    </row>
    <row r="107" spans="1:59" ht="71" customHeight="1" x14ac:dyDescent="0.3">
      <c r="A107" s="184" t="s">
        <v>879</v>
      </c>
      <c r="B107" s="184"/>
      <c r="C107" s="184"/>
      <c r="D107" s="184"/>
      <c r="E107" s="184"/>
      <c r="F107" s="184"/>
      <c r="G107" s="184"/>
      <c r="H107" s="184"/>
      <c r="I107" s="184"/>
      <c r="J107" s="184"/>
      <c r="K107" s="184"/>
      <c r="L107" s="184"/>
      <c r="M107" s="184"/>
      <c r="N107" s="184"/>
      <c r="O107" s="184"/>
      <c r="P107" s="184"/>
      <c r="Q107" s="184"/>
      <c r="R107" s="184"/>
      <c r="S107" s="184"/>
      <c r="T107" s="184"/>
      <c r="U107" s="184"/>
      <c r="V107" s="184"/>
      <c r="W107" s="184"/>
      <c r="X107" s="184"/>
      <c r="Y107" s="184"/>
      <c r="Z107" s="184"/>
      <c r="AA107" s="184"/>
      <c r="AB107" s="184"/>
      <c r="AC107" s="184"/>
      <c r="AD107" s="184"/>
      <c r="AE107" s="184"/>
      <c r="AF107" s="184"/>
      <c r="AG107" s="184"/>
      <c r="AH107" s="184"/>
      <c r="AI107" s="184"/>
      <c r="AJ107" s="184"/>
      <c r="AK107" s="184"/>
      <c r="AL107" s="184"/>
      <c r="AM107" s="44"/>
    </row>
    <row r="108" spans="1:59" ht="40.5" customHeight="1" x14ac:dyDescent="0.3">
      <c r="A108" s="149" t="s">
        <v>881</v>
      </c>
      <c r="B108" s="183"/>
      <c r="C108" s="183"/>
      <c r="D108" s="183"/>
      <c r="E108" s="183"/>
      <c r="F108" s="183"/>
      <c r="G108" s="183"/>
      <c r="H108" s="183"/>
      <c r="I108" s="183"/>
      <c r="J108" s="183"/>
      <c r="K108" s="183"/>
      <c r="L108" s="183"/>
      <c r="M108" s="183"/>
      <c r="N108" s="183"/>
      <c r="O108" s="183"/>
      <c r="P108" s="183"/>
      <c r="Q108" s="183"/>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44"/>
    </row>
    <row r="109" spans="1:59" ht="47" customHeight="1" x14ac:dyDescent="0.3">
      <c r="A109" s="184" t="s">
        <v>882</v>
      </c>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c r="AA109" s="184"/>
      <c r="AB109" s="184"/>
      <c r="AC109" s="184"/>
      <c r="AD109" s="184"/>
      <c r="AE109" s="184"/>
      <c r="AF109" s="184"/>
      <c r="AG109" s="184"/>
      <c r="AH109" s="184"/>
      <c r="AI109" s="184"/>
      <c r="AJ109" s="184"/>
      <c r="AK109" s="184"/>
      <c r="AL109" s="184"/>
      <c r="AM109" s="44"/>
    </row>
    <row r="110" spans="1:59" ht="39" customHeight="1" x14ac:dyDescent="0.3">
      <c r="A110" s="149" t="s">
        <v>884</v>
      </c>
      <c r="B110" s="183"/>
      <c r="C110" s="183"/>
      <c r="D110" s="183"/>
      <c r="E110" s="183"/>
      <c r="F110" s="183"/>
      <c r="G110" s="183"/>
      <c r="H110" s="183"/>
      <c r="I110" s="183"/>
      <c r="J110" s="183"/>
      <c r="K110" s="183"/>
      <c r="L110" s="183"/>
      <c r="M110" s="183"/>
      <c r="N110" s="183"/>
      <c r="O110" s="183"/>
      <c r="P110" s="183"/>
      <c r="Q110" s="183"/>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44"/>
    </row>
    <row r="111" spans="1:59" ht="52" customHeight="1" x14ac:dyDescent="0.3">
      <c r="A111" s="184" t="s">
        <v>885</v>
      </c>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c r="AA111" s="184"/>
      <c r="AB111" s="184"/>
      <c r="AC111" s="184"/>
      <c r="AD111" s="184"/>
      <c r="AE111" s="184"/>
      <c r="AF111" s="184"/>
      <c r="AG111" s="184"/>
      <c r="AH111" s="184"/>
      <c r="AI111" s="184"/>
      <c r="AJ111" s="184"/>
      <c r="AK111" s="184"/>
      <c r="AL111" s="184"/>
      <c r="AM111" s="44"/>
    </row>
    <row r="112" spans="1:59" ht="51" customHeight="1" x14ac:dyDescent="0.3">
      <c r="A112" s="149" t="s">
        <v>906</v>
      </c>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c r="AB112" s="149"/>
      <c r="AC112" s="149"/>
      <c r="AD112" s="149"/>
      <c r="AE112" s="149"/>
      <c r="AF112" s="149"/>
      <c r="AG112" s="149"/>
      <c r="AH112" s="149"/>
      <c r="AI112" s="149"/>
      <c r="AJ112" s="149"/>
      <c r="AK112" s="149"/>
      <c r="AL112" s="149"/>
      <c r="AM112" s="44"/>
    </row>
    <row r="113" spans="1:59" ht="39.5" customHeight="1" x14ac:dyDescent="0.3">
      <c r="A113" s="184" t="s">
        <v>907</v>
      </c>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184"/>
      <c r="Y113" s="184"/>
      <c r="Z113" s="184"/>
      <c r="AA113" s="184"/>
      <c r="AB113" s="184"/>
      <c r="AC113" s="184"/>
      <c r="AD113" s="184"/>
      <c r="AE113" s="184"/>
      <c r="AF113" s="184"/>
      <c r="AG113" s="184"/>
      <c r="AH113" s="184"/>
      <c r="AI113" s="184"/>
      <c r="AJ113" s="184"/>
      <c r="AK113" s="184"/>
      <c r="AL113" s="184"/>
      <c r="AM113" s="50" t="s">
        <v>665</v>
      </c>
    </row>
    <row r="114" spans="1:59" ht="41" customHeight="1" x14ac:dyDescent="0.3">
      <c r="A114" s="149" t="s">
        <v>887</v>
      </c>
      <c r="B114" s="183"/>
      <c r="C114" s="183"/>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c r="Z114" s="183"/>
      <c r="AA114" s="183"/>
      <c r="AB114" s="183"/>
      <c r="AC114" s="183"/>
      <c r="AD114" s="183"/>
      <c r="AE114" s="183"/>
      <c r="AF114" s="183"/>
      <c r="AG114" s="183"/>
      <c r="AH114" s="183"/>
      <c r="AI114" s="183"/>
      <c r="AJ114" s="183"/>
      <c r="AK114" s="183"/>
      <c r="AL114" s="183"/>
      <c r="AM114" s="44"/>
    </row>
    <row r="115" spans="1:59" ht="71" customHeight="1" x14ac:dyDescent="0.3">
      <c r="A115" s="184" t="s">
        <v>891</v>
      </c>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c r="Z115" s="184"/>
      <c r="AA115" s="184"/>
      <c r="AB115" s="184"/>
      <c r="AC115" s="184"/>
      <c r="AD115" s="184"/>
      <c r="AE115" s="184"/>
      <c r="AF115" s="184"/>
      <c r="AG115" s="184"/>
      <c r="AH115" s="184"/>
      <c r="AI115" s="184"/>
      <c r="AJ115" s="184"/>
      <c r="AK115" s="184"/>
      <c r="AL115" s="184"/>
      <c r="AM115" s="50" t="s">
        <v>665</v>
      </c>
    </row>
    <row r="116" spans="1:59" ht="27.65" customHeight="1" x14ac:dyDescent="0.3">
      <c r="A116" s="149" t="s">
        <v>666</v>
      </c>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c r="AA116" s="149"/>
      <c r="AB116" s="149"/>
      <c r="AC116" s="149"/>
      <c r="AD116" s="149"/>
      <c r="AE116" s="149"/>
      <c r="AF116" s="149"/>
      <c r="AG116" s="149"/>
      <c r="AH116" s="149"/>
      <c r="AI116" s="149"/>
      <c r="AJ116" s="149"/>
      <c r="AK116" s="149"/>
      <c r="AL116" s="149"/>
      <c r="AM116" s="44"/>
      <c r="AN116" s="30"/>
      <c r="AO116" s="30"/>
      <c r="AP116" s="29"/>
      <c r="AQ116" s="29"/>
      <c r="AR116" s="29"/>
      <c r="AS116" s="29"/>
      <c r="AT116" s="29"/>
      <c r="AU116" s="29"/>
      <c r="AV116" s="29"/>
      <c r="AW116" s="29"/>
      <c r="AX116" s="29"/>
      <c r="AY116" s="29"/>
      <c r="AZ116" s="29"/>
      <c r="BA116" s="29"/>
      <c r="BB116" s="29"/>
      <c r="BC116" s="29"/>
      <c r="BD116" s="29"/>
      <c r="BE116" s="29"/>
      <c r="BF116" s="29"/>
      <c r="BG116" s="29"/>
    </row>
    <row r="117" spans="1:59" ht="59.5" customHeight="1" x14ac:dyDescent="0.3">
      <c r="A117" s="149" t="s">
        <v>810</v>
      </c>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c r="AB117" s="149"/>
      <c r="AC117" s="149"/>
      <c r="AD117" s="149"/>
      <c r="AE117" s="149"/>
      <c r="AF117" s="149"/>
      <c r="AG117" s="149"/>
      <c r="AH117" s="149"/>
      <c r="AI117" s="149"/>
      <c r="AJ117" s="149"/>
      <c r="AK117" s="149"/>
      <c r="AL117" s="149"/>
      <c r="AM117" s="80"/>
      <c r="AN117" s="30"/>
      <c r="AO117" s="30"/>
      <c r="AP117" s="29"/>
      <c r="AQ117" s="29"/>
      <c r="AR117" s="29"/>
      <c r="AS117" s="29"/>
      <c r="AT117" s="29"/>
      <c r="AU117" s="29"/>
      <c r="AV117" s="29"/>
      <c r="AW117" s="29"/>
      <c r="AX117" s="29"/>
      <c r="AY117" s="29"/>
      <c r="AZ117" s="29"/>
      <c r="BA117" s="29"/>
      <c r="BB117" s="29"/>
      <c r="BC117" s="29"/>
      <c r="BD117" s="29"/>
      <c r="BE117" s="29"/>
      <c r="BF117" s="29"/>
      <c r="BG117" s="29"/>
    </row>
    <row r="118" spans="1:59" ht="38" customHeight="1" x14ac:dyDescent="0.3">
      <c r="A118" s="149" t="s">
        <v>825</v>
      </c>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c r="AB118" s="149"/>
      <c r="AC118" s="149"/>
      <c r="AD118" s="149"/>
      <c r="AE118" s="149"/>
      <c r="AF118" s="149"/>
      <c r="AG118" s="149"/>
      <c r="AH118" s="149"/>
      <c r="AI118" s="149"/>
      <c r="AJ118" s="149"/>
      <c r="AK118" s="149"/>
      <c r="AL118" s="149"/>
      <c r="AM118" s="80"/>
      <c r="AN118" s="30"/>
      <c r="AO118" s="30"/>
      <c r="AP118" s="29"/>
      <c r="AQ118" s="29"/>
      <c r="AR118" s="29"/>
      <c r="AS118" s="29"/>
      <c r="AT118" s="29"/>
      <c r="AU118" s="29"/>
      <c r="AV118" s="29"/>
      <c r="AW118" s="29"/>
      <c r="AX118" s="29"/>
      <c r="AY118" s="29"/>
      <c r="AZ118" s="29"/>
      <c r="BA118" s="29"/>
      <c r="BB118" s="29"/>
      <c r="BC118" s="29"/>
      <c r="BD118" s="29"/>
      <c r="BE118" s="29"/>
      <c r="BF118" s="29"/>
      <c r="BG118" s="29"/>
    </row>
    <row r="119" spans="1:59" ht="76.5" customHeight="1" x14ac:dyDescent="0.3">
      <c r="A119" s="149" t="s">
        <v>922</v>
      </c>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c r="AA119" s="149"/>
      <c r="AB119" s="149"/>
      <c r="AC119" s="149"/>
      <c r="AD119" s="149"/>
      <c r="AE119" s="149"/>
      <c r="AF119" s="149"/>
      <c r="AG119" s="149"/>
      <c r="AH119" s="149"/>
      <c r="AI119" s="149"/>
      <c r="AJ119" s="149"/>
      <c r="AK119" s="149"/>
      <c r="AL119" s="149"/>
      <c r="AM119" s="80"/>
      <c r="AN119" s="30"/>
      <c r="AO119" s="30"/>
      <c r="AP119" s="29"/>
      <c r="AQ119" s="29"/>
      <c r="AR119" s="29"/>
      <c r="AS119" s="29"/>
      <c r="AT119" s="29"/>
      <c r="AU119" s="29"/>
      <c r="AV119" s="29"/>
      <c r="AW119" s="29"/>
      <c r="AX119" s="29"/>
      <c r="AY119" s="29"/>
      <c r="AZ119" s="29"/>
      <c r="BA119" s="29"/>
      <c r="BB119" s="29"/>
      <c r="BC119" s="29"/>
      <c r="BD119" s="29"/>
      <c r="BE119" s="29"/>
      <c r="BF119" s="29"/>
      <c r="BG119" s="29"/>
    </row>
    <row r="120" spans="1:59" ht="44.5" customHeight="1" x14ac:dyDescent="0.3">
      <c r="A120" s="149" t="s">
        <v>915</v>
      </c>
      <c r="B120" s="216"/>
      <c r="C120" s="216"/>
      <c r="D120" s="216"/>
      <c r="E120" s="216"/>
      <c r="F120" s="216"/>
      <c r="G120" s="216"/>
      <c r="H120" s="216"/>
      <c r="I120" s="216"/>
      <c r="J120" s="216"/>
      <c r="K120" s="216"/>
      <c r="L120" s="216"/>
      <c r="M120" s="216"/>
      <c r="N120" s="216"/>
      <c r="O120" s="216"/>
      <c r="P120" s="216"/>
      <c r="Q120" s="216"/>
      <c r="R120" s="216"/>
      <c r="S120" s="216"/>
      <c r="T120" s="216"/>
      <c r="U120" s="216"/>
      <c r="V120" s="216"/>
      <c r="W120" s="216"/>
      <c r="X120" s="216"/>
      <c r="Y120" s="216"/>
      <c r="Z120" s="216"/>
      <c r="AA120" s="216"/>
      <c r="AB120" s="216"/>
      <c r="AC120" s="216"/>
      <c r="AD120" s="216"/>
      <c r="AE120" s="216"/>
      <c r="AF120" s="216"/>
      <c r="AG120" s="216"/>
      <c r="AH120" s="216"/>
      <c r="AI120" s="216"/>
      <c r="AJ120" s="216"/>
      <c r="AK120" s="216"/>
      <c r="AL120" s="216"/>
    </row>
    <row r="121" spans="1:59" ht="23.5" customHeight="1" x14ac:dyDescent="0.3">
      <c r="A121" s="149" t="s">
        <v>844</v>
      </c>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c r="AA121" s="149"/>
      <c r="AB121" s="149"/>
      <c r="AC121" s="149"/>
      <c r="AD121" s="149"/>
      <c r="AE121" s="149"/>
      <c r="AF121" s="149"/>
      <c r="AG121" s="149"/>
      <c r="AH121" s="149"/>
      <c r="AI121" s="149"/>
      <c r="AJ121" s="149"/>
      <c r="AK121" s="149"/>
      <c r="AL121" s="149"/>
    </row>
    <row r="122" spans="1:59" ht="29.5" customHeight="1" x14ac:dyDescent="0.3">
      <c r="A122" s="282" t="s">
        <v>910</v>
      </c>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181" t="s">
        <v>896</v>
      </c>
    </row>
    <row r="123" spans="1:59" s="62" customFormat="1" ht="45" customHeight="1" x14ac:dyDescent="0.35">
      <c r="A123" s="195" t="s">
        <v>667</v>
      </c>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95"/>
      <c r="Z123" s="195"/>
      <c r="AA123" s="195"/>
      <c r="AB123" s="195"/>
      <c r="AC123" s="195"/>
      <c r="AD123" s="195"/>
      <c r="AE123" s="195"/>
      <c r="AF123" s="195"/>
      <c r="AG123" s="195"/>
      <c r="AH123" s="195"/>
      <c r="AI123" s="195"/>
      <c r="AJ123" s="195"/>
      <c r="AK123" s="195"/>
      <c r="AL123" s="195"/>
      <c r="AM123" s="182"/>
      <c r="AN123" s="69"/>
      <c r="AO123" s="69"/>
      <c r="AP123" s="69"/>
      <c r="AQ123" s="69"/>
      <c r="AR123" s="69"/>
      <c r="AS123" s="69"/>
      <c r="AT123" s="69"/>
      <c r="AU123" s="69"/>
      <c r="AV123" s="69"/>
      <c r="AW123" s="69"/>
      <c r="AX123" s="69"/>
      <c r="AY123" s="69"/>
      <c r="AZ123" s="69"/>
      <c r="BA123" s="69"/>
      <c r="BB123" s="69"/>
      <c r="BC123" s="69"/>
      <c r="BD123" s="69"/>
      <c r="BE123" s="69"/>
      <c r="BF123" s="69"/>
      <c r="BG123" s="69"/>
    </row>
    <row r="124" spans="1:59" ht="14" customHeight="1" x14ac:dyDescent="0.3">
      <c r="A124" s="191" t="s">
        <v>920</v>
      </c>
      <c r="B124" s="191"/>
      <c r="C124" s="191"/>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c r="AA124" s="191"/>
      <c r="AB124" s="191"/>
      <c r="AC124" s="191"/>
      <c r="AD124" s="191"/>
      <c r="AE124" s="191"/>
      <c r="AF124" s="191"/>
      <c r="AG124" s="191"/>
      <c r="AH124" s="191"/>
      <c r="AI124" s="191"/>
      <c r="AJ124" s="191"/>
      <c r="AK124" s="191"/>
      <c r="AL124" s="191"/>
    </row>
    <row r="125" spans="1:59" ht="14" customHeight="1" x14ac:dyDescent="0.3">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c r="AE125" s="192"/>
      <c r="AF125" s="192"/>
      <c r="AG125" s="192"/>
      <c r="AH125" s="192"/>
      <c r="AI125" s="192"/>
      <c r="AJ125" s="192"/>
      <c r="AK125" s="192"/>
      <c r="AL125" s="192"/>
    </row>
    <row r="126" spans="1:59" ht="14" customHeight="1" x14ac:dyDescent="0.3">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c r="AE126" s="192"/>
      <c r="AF126" s="192"/>
      <c r="AG126" s="192"/>
      <c r="AH126" s="192"/>
      <c r="AI126" s="192"/>
      <c r="AJ126" s="192"/>
      <c r="AK126" s="192"/>
      <c r="AL126" s="192"/>
    </row>
    <row r="127" spans="1:59" ht="14" customHeight="1" x14ac:dyDescent="0.3">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c r="AE127" s="192"/>
      <c r="AF127" s="192"/>
      <c r="AG127" s="192"/>
      <c r="AH127" s="192"/>
      <c r="AI127" s="192"/>
      <c r="AJ127" s="192"/>
      <c r="AK127" s="192"/>
      <c r="AL127" s="192"/>
    </row>
    <row r="128" spans="1:59" ht="160" customHeight="1" x14ac:dyDescent="0.3">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c r="AE128" s="192"/>
      <c r="AF128" s="192"/>
      <c r="AG128" s="192"/>
      <c r="AH128" s="192"/>
      <c r="AI128" s="192"/>
      <c r="AJ128" s="192"/>
      <c r="AK128" s="192"/>
      <c r="AL128" s="192"/>
    </row>
  </sheetData>
  <sheetProtection algorithmName="SHA-512" hashValue="ffWp3tFcmYEPxBOV1TdA6POVe5lgHnJbb9fpfoqvkxsEHWTimjovPNr2ur9QsDGEFR/u5i9vp257h6516XtFUg==" saltValue="gDQ/NZDLDWYxq+Bd7i6SOg==" spinCount="100000" sheet="1" formatCells="0" formatRows="0" insertRows="0"/>
  <mergeCells count="258">
    <mergeCell ref="B23:AL23"/>
    <mergeCell ref="B22:AL22"/>
    <mergeCell ref="A24:A25"/>
    <mergeCell ref="A58:S58"/>
    <mergeCell ref="T58:AL58"/>
    <mergeCell ref="A72:AL72"/>
    <mergeCell ref="A73:AL73"/>
    <mergeCell ref="A64:AL64"/>
    <mergeCell ref="A65:AL65"/>
    <mergeCell ref="A62:AL62"/>
    <mergeCell ref="A63:AL63"/>
    <mergeCell ref="A66:AL66"/>
    <mergeCell ref="A67:AL67"/>
    <mergeCell ref="A20:A23"/>
    <mergeCell ref="B20:AL20"/>
    <mergeCell ref="B21:AL21"/>
    <mergeCell ref="B33:AL33"/>
    <mergeCell ref="S52:AL52"/>
    <mergeCell ref="B53:R53"/>
    <mergeCell ref="S53:AL53"/>
    <mergeCell ref="A50:A53"/>
    <mergeCell ref="B36:S36"/>
    <mergeCell ref="T36:AL36"/>
    <mergeCell ref="B38:AL38"/>
    <mergeCell ref="AM57:AM58"/>
    <mergeCell ref="AM61:AU73"/>
    <mergeCell ref="A4:F4"/>
    <mergeCell ref="H4:L4"/>
    <mergeCell ref="A5:F5"/>
    <mergeCell ref="H5:L5"/>
    <mergeCell ref="A11:AL11"/>
    <mergeCell ref="A12:AL12"/>
    <mergeCell ref="A7:F7"/>
    <mergeCell ref="G7:L7"/>
    <mergeCell ref="N7:P7"/>
    <mergeCell ref="Q7:AA7"/>
    <mergeCell ref="AB7:AE7"/>
    <mergeCell ref="A8:P8"/>
    <mergeCell ref="Q8:AL8"/>
    <mergeCell ref="A9:AL9"/>
    <mergeCell ref="A13:AL13"/>
    <mergeCell ref="A15:AK15"/>
    <mergeCell ref="A16:A17"/>
    <mergeCell ref="B16:AL16"/>
    <mergeCell ref="B17:AL17"/>
    <mergeCell ref="A18:A19"/>
    <mergeCell ref="B18:AL18"/>
    <mergeCell ref="B19:AL19"/>
    <mergeCell ref="B24:V24"/>
    <mergeCell ref="B82:F82"/>
    <mergeCell ref="G82:K82"/>
    <mergeCell ref="L82:O82"/>
    <mergeCell ref="AH82:AJ82"/>
    <mergeCell ref="AK82:AL82"/>
    <mergeCell ref="A74:AL74"/>
    <mergeCell ref="A76:AL76"/>
    <mergeCell ref="A75:AL75"/>
    <mergeCell ref="B56:AL56"/>
    <mergeCell ref="A57:AL57"/>
    <mergeCell ref="Z46:AJ46"/>
    <mergeCell ref="Z47:AJ47"/>
    <mergeCell ref="A38:A39"/>
    <mergeCell ref="B41:AL41"/>
    <mergeCell ref="A59:S59"/>
    <mergeCell ref="W24:AL24"/>
    <mergeCell ref="B25:V25"/>
    <mergeCell ref="W25:AL25"/>
    <mergeCell ref="B40:AL40"/>
    <mergeCell ref="AK49:AL49"/>
    <mergeCell ref="B50:AL50"/>
    <mergeCell ref="Z49:AJ49"/>
    <mergeCell ref="B31:AL31"/>
    <mergeCell ref="L89:O89"/>
    <mergeCell ref="G85:K85"/>
    <mergeCell ref="L85:O85"/>
    <mergeCell ref="A26:A34"/>
    <mergeCell ref="A35:A36"/>
    <mergeCell ref="B37:AL37"/>
    <mergeCell ref="B39:AL39"/>
    <mergeCell ref="AK45:AL45"/>
    <mergeCell ref="B51:R51"/>
    <mergeCell ref="S51:AL51"/>
    <mergeCell ref="B52:R52"/>
    <mergeCell ref="A40:A41"/>
    <mergeCell ref="A42:A43"/>
    <mergeCell ref="B42:AL42"/>
    <mergeCell ref="B44:AL44"/>
    <mergeCell ref="B26:AL26"/>
    <mergeCell ref="B27:AL27"/>
    <mergeCell ref="B28:AL28"/>
    <mergeCell ref="P87:S87"/>
    <mergeCell ref="T87:Z87"/>
    <mergeCell ref="AA87:AG87"/>
    <mergeCell ref="AH87:AJ87"/>
    <mergeCell ref="B29:AL29"/>
    <mergeCell ref="B30:AL30"/>
    <mergeCell ref="B32:AL32"/>
    <mergeCell ref="P84:S84"/>
    <mergeCell ref="A81:AL81"/>
    <mergeCell ref="P82:S82"/>
    <mergeCell ref="T82:Z82"/>
    <mergeCell ref="AA82:AG82"/>
    <mergeCell ref="B34:AL34"/>
    <mergeCell ref="B35:AL35"/>
    <mergeCell ref="T59:AL59"/>
    <mergeCell ref="G84:K84"/>
    <mergeCell ref="L84:O84"/>
    <mergeCell ref="AH84:AJ84"/>
    <mergeCell ref="AK84:AL84"/>
    <mergeCell ref="AA83:AG83"/>
    <mergeCell ref="AH83:AJ83"/>
    <mergeCell ref="AK83:AL83"/>
    <mergeCell ref="T84:Z84"/>
    <mergeCell ref="AA84:AG84"/>
    <mergeCell ref="A77:AL77"/>
    <mergeCell ref="A123:AL123"/>
    <mergeCell ref="A101:AL101"/>
    <mergeCell ref="A120:AL120"/>
    <mergeCell ref="A122:AL122"/>
    <mergeCell ref="A117:AL117"/>
    <mergeCell ref="A116:AL116"/>
    <mergeCell ref="A102:AL102"/>
    <mergeCell ref="A103:AL103"/>
    <mergeCell ref="A104:AL104"/>
    <mergeCell ref="A118:AL118"/>
    <mergeCell ref="A121:AL121"/>
    <mergeCell ref="A105:AL105"/>
    <mergeCell ref="A115:AL115"/>
    <mergeCell ref="A106:AL106"/>
    <mergeCell ref="A107:AL107"/>
    <mergeCell ref="A108:AL108"/>
    <mergeCell ref="A109:AL109"/>
    <mergeCell ref="A110:AL110"/>
    <mergeCell ref="A111:AL111"/>
    <mergeCell ref="A112:AL112"/>
    <mergeCell ref="A113:AL113"/>
    <mergeCell ref="A114:AL114"/>
    <mergeCell ref="A119:AL119"/>
    <mergeCell ref="A99:AL99"/>
    <mergeCell ref="A100:AL100"/>
    <mergeCell ref="AA90:AG90"/>
    <mergeCell ref="P92:S92"/>
    <mergeCell ref="AK95:AL95"/>
    <mergeCell ref="A71:AL71"/>
    <mergeCell ref="B60:AL60"/>
    <mergeCell ref="A69:AL69"/>
    <mergeCell ref="A70:AL70"/>
    <mergeCell ref="T88:Z88"/>
    <mergeCell ref="AA88:AG88"/>
    <mergeCell ref="AH88:AJ88"/>
    <mergeCell ref="B88:F88"/>
    <mergeCell ref="AA86:AG86"/>
    <mergeCell ref="L88:O88"/>
    <mergeCell ref="AK87:AL87"/>
    <mergeCell ref="AK85:AL85"/>
    <mergeCell ref="AK89:AL89"/>
    <mergeCell ref="P89:S89"/>
    <mergeCell ref="T89:Z89"/>
    <mergeCell ref="AA89:AG89"/>
    <mergeCell ref="T97:AJ97"/>
    <mergeCell ref="B97:S97"/>
    <mergeCell ref="G88:K88"/>
    <mergeCell ref="AK91:AL91"/>
    <mergeCell ref="P86:S86"/>
    <mergeCell ref="AH89:AJ89"/>
    <mergeCell ref="B98:S98"/>
    <mergeCell ref="T98:AJ98"/>
    <mergeCell ref="A96:AL96"/>
    <mergeCell ref="G90:K90"/>
    <mergeCell ref="L90:O90"/>
    <mergeCell ref="L94:O94"/>
    <mergeCell ref="AK94:AL94"/>
    <mergeCell ref="AK93:AL93"/>
    <mergeCell ref="P94:S94"/>
    <mergeCell ref="P95:S95"/>
    <mergeCell ref="AA95:AG95"/>
    <mergeCell ref="AH94:AJ94"/>
    <mergeCell ref="T93:Z93"/>
    <mergeCell ref="AA93:AG93"/>
    <mergeCell ref="AH93:AJ93"/>
    <mergeCell ref="T92:Z92"/>
    <mergeCell ref="AA92:AG92"/>
    <mergeCell ref="AK92:AL92"/>
    <mergeCell ref="AH95:AJ95"/>
    <mergeCell ref="L87:O87"/>
    <mergeCell ref="T95:Z95"/>
    <mergeCell ref="P91:S91"/>
    <mergeCell ref="P88:S88"/>
    <mergeCell ref="AH90:AJ90"/>
    <mergeCell ref="B91:F91"/>
    <mergeCell ref="G91:K91"/>
    <mergeCell ref="L91:O91"/>
    <mergeCell ref="A79:AL79"/>
    <mergeCell ref="AJ78:AL78"/>
    <mergeCell ref="A78:AI78"/>
    <mergeCell ref="T86:Z86"/>
    <mergeCell ref="AK86:AL86"/>
    <mergeCell ref="G86:K86"/>
    <mergeCell ref="L86:O86"/>
    <mergeCell ref="AH86:AJ86"/>
    <mergeCell ref="AA85:AG85"/>
    <mergeCell ref="AH85:AJ85"/>
    <mergeCell ref="B83:F83"/>
    <mergeCell ref="G83:K83"/>
    <mergeCell ref="L83:O83"/>
    <mergeCell ref="B84:F84"/>
    <mergeCell ref="T85:Z85"/>
    <mergeCell ref="P85:S85"/>
    <mergeCell ref="B89:F89"/>
    <mergeCell ref="AK90:AL90"/>
    <mergeCell ref="A124:AL128"/>
    <mergeCell ref="B45:Y45"/>
    <mergeCell ref="B46:Y46"/>
    <mergeCell ref="B47:Y47"/>
    <mergeCell ref="B48:Y48"/>
    <mergeCell ref="B49:Y49"/>
    <mergeCell ref="B95:K95"/>
    <mergeCell ref="L95:O95"/>
    <mergeCell ref="B93:F93"/>
    <mergeCell ref="G93:K93"/>
    <mergeCell ref="L93:O93"/>
    <mergeCell ref="B94:F94"/>
    <mergeCell ref="G94:K94"/>
    <mergeCell ref="B90:F90"/>
    <mergeCell ref="A68:AL68"/>
    <mergeCell ref="T91:Z91"/>
    <mergeCell ref="AA91:AG91"/>
    <mergeCell ref="P90:S90"/>
    <mergeCell ref="T90:Z90"/>
    <mergeCell ref="B85:F85"/>
    <mergeCell ref="G89:K89"/>
    <mergeCell ref="B86:F86"/>
    <mergeCell ref="AH91:AJ91"/>
    <mergeCell ref="P83:S83"/>
    <mergeCell ref="A1:AL1"/>
    <mergeCell ref="B92:F92"/>
    <mergeCell ref="G92:K92"/>
    <mergeCell ref="L92:O92"/>
    <mergeCell ref="AH92:AJ92"/>
    <mergeCell ref="T94:Z94"/>
    <mergeCell ref="AA94:AG94"/>
    <mergeCell ref="AM122:AM123"/>
    <mergeCell ref="B43:AL43"/>
    <mergeCell ref="A44:A49"/>
    <mergeCell ref="Z45:AJ45"/>
    <mergeCell ref="AK46:AL46"/>
    <mergeCell ref="AK47:AL47"/>
    <mergeCell ref="AK48:AL48"/>
    <mergeCell ref="B54:AL54"/>
    <mergeCell ref="Z48:AJ48"/>
    <mergeCell ref="A55:AL55"/>
    <mergeCell ref="P93:S93"/>
    <mergeCell ref="A80:AL80"/>
    <mergeCell ref="T83:Z83"/>
    <mergeCell ref="AK88:AL88"/>
    <mergeCell ref="A61:AL61"/>
    <mergeCell ref="B87:F87"/>
    <mergeCell ref="G87:K87"/>
  </mergeCells>
  <conditionalFormatting sqref="A4 H4 B51:B53 A55 A61 AJ78 A78:A80">
    <cfRule type="expression" dxfId="51" priority="345">
      <formula>IF(A4="",1,0)</formula>
    </cfRule>
  </conditionalFormatting>
  <conditionalFormatting sqref="A57:A59">
    <cfRule type="expression" dxfId="50" priority="6">
      <formula>IF(A57="",1,0)</formula>
    </cfRule>
  </conditionalFormatting>
  <conditionalFormatting sqref="A63">
    <cfRule type="expression" dxfId="48" priority="11">
      <formula>IF(A63="",1,0)</formula>
    </cfRule>
  </conditionalFormatting>
  <conditionalFormatting sqref="A65">
    <cfRule type="expression" dxfId="47" priority="12">
      <formula>IF(A65="",1,0)</formula>
    </cfRule>
  </conditionalFormatting>
  <conditionalFormatting sqref="A67 A69">
    <cfRule type="expression" dxfId="46" priority="14">
      <formula>IF(A67="",1,0)</formula>
    </cfRule>
  </conditionalFormatting>
  <conditionalFormatting sqref="A71:A73">
    <cfRule type="expression" dxfId="45" priority="13">
      <formula>IF(A71="",1,0)</formula>
    </cfRule>
  </conditionalFormatting>
  <conditionalFormatting sqref="A76">
    <cfRule type="expression" dxfId="44" priority="167">
      <formula>IF(A76="",1,0)</formula>
    </cfRule>
  </conditionalFormatting>
  <conditionalFormatting sqref="A99:A115">
    <cfRule type="expression" dxfId="43" priority="8">
      <formula>IF(A99="",1,0)</formula>
    </cfRule>
  </conditionalFormatting>
  <conditionalFormatting sqref="A117:A119">
    <cfRule type="expression" dxfId="42" priority="1">
      <formula>IF(A117="",1,0)</formula>
    </cfRule>
  </conditionalFormatting>
  <conditionalFormatting sqref="A122:A123">
    <cfRule type="expression" dxfId="41" priority="7">
      <formula>IF(A122="",1,0)</formula>
    </cfRule>
  </conditionalFormatting>
  <conditionalFormatting sqref="B21">
    <cfRule type="expression" dxfId="38" priority="43">
      <formula>IF(B21="",1,0)</formula>
    </cfRule>
  </conditionalFormatting>
  <conditionalFormatting sqref="B23">
    <cfRule type="expression" dxfId="37" priority="80">
      <formula>IF(B23="",1,0)</formula>
    </cfRule>
  </conditionalFormatting>
  <conditionalFormatting sqref="B28">
    <cfRule type="expression" dxfId="36" priority="88">
      <formula>IF(B28="",1,0)</formula>
    </cfRule>
  </conditionalFormatting>
  <conditionalFormatting sqref="B30">
    <cfRule type="expression" dxfId="35" priority="86">
      <formula>IF(B30="",1,0)</formula>
    </cfRule>
  </conditionalFormatting>
  <conditionalFormatting sqref="B32">
    <cfRule type="expression" dxfId="34" priority="87">
      <formula>IF(B32="",1,0)</formula>
    </cfRule>
  </conditionalFormatting>
  <conditionalFormatting sqref="B34">
    <cfRule type="expression" dxfId="33" priority="85">
      <formula>IF(B34="",1,0)</formula>
    </cfRule>
  </conditionalFormatting>
  <conditionalFormatting sqref="B36">
    <cfRule type="expression" dxfId="32" priority="21">
      <formula>IF(B36="",1,0)</formula>
    </cfRule>
  </conditionalFormatting>
  <conditionalFormatting sqref="B40:B43">
    <cfRule type="expression" dxfId="31" priority="76">
      <formula>IF(B40="",1,0)</formula>
    </cfRule>
  </conditionalFormatting>
  <conditionalFormatting sqref="B84:B94">
    <cfRule type="expression" dxfId="30" priority="90">
      <formula>IF(B84="",1,0)</formula>
    </cfRule>
  </conditionalFormatting>
  <conditionalFormatting sqref="B17:AL17 B19 B25 W25">
    <cfRule type="expression" dxfId="29" priority="89">
      <formula>IF(B17="",1,0)</formula>
    </cfRule>
  </conditionalFormatting>
  <conditionalFormatting sqref="G84:G94">
    <cfRule type="expression" dxfId="28" priority="94">
      <formula>IF(G84="",1,0)</formula>
    </cfRule>
  </conditionalFormatting>
  <conditionalFormatting sqref="L84:L94">
    <cfRule type="expression" dxfId="27" priority="93">
      <formula>IF(L84="",1,0)</formula>
    </cfRule>
  </conditionalFormatting>
  <conditionalFormatting sqref="N7">
    <cfRule type="expression" dxfId="26" priority="46">
      <formula>IF(N7="",1,0)</formula>
    </cfRule>
  </conditionalFormatting>
  <conditionalFormatting sqref="P84:P94">
    <cfRule type="expression" dxfId="25" priority="91">
      <formula>IF(P84="",1,0)</formula>
    </cfRule>
  </conditionalFormatting>
  <conditionalFormatting sqref="Q8:AL8">
    <cfRule type="expression" dxfId="24" priority="44">
      <formula>IF(Q8="",1,0)</formula>
    </cfRule>
  </conditionalFormatting>
  <conditionalFormatting sqref="S51:S53">
    <cfRule type="expression" dxfId="23" priority="144">
      <formula>IF(S51="",1,0)</formula>
    </cfRule>
  </conditionalFormatting>
  <conditionalFormatting sqref="T58">
    <cfRule type="expression" dxfId="22" priority="2">
      <formula>IF(T58="",1,0)</formula>
    </cfRule>
  </conditionalFormatting>
  <conditionalFormatting sqref="T59">
    <cfRule type="expression" dxfId="20" priority="4">
      <formula>IF(T59="",1,0)</formula>
    </cfRule>
  </conditionalFormatting>
  <conditionalFormatting sqref="T97">
    <cfRule type="expression" dxfId="19" priority="115">
      <formula>IF(#REF!="",1,0)</formula>
    </cfRule>
  </conditionalFormatting>
  <conditionalFormatting sqref="Z46">
    <cfRule type="expression" dxfId="18" priority="172">
      <formula>IF(Z46="",1,0)</formula>
    </cfRule>
  </conditionalFormatting>
  <conditionalFormatting sqref="Z48">
    <cfRule type="expression" dxfId="17" priority="171">
      <formula>IF(Z48="",1,0)</formula>
    </cfRule>
  </conditionalFormatting>
  <conditionalFormatting sqref="Z49">
    <cfRule type="expression" dxfId="16" priority="7465">
      <formula>IF($Z$49&lt;&gt;$AK$95,1,0)</formula>
    </cfRule>
  </conditionalFormatting>
  <conditionalFormatting sqref="AB7">
    <cfRule type="expression" dxfId="15" priority="45">
      <formula>IF(AB7="",1,0)</formula>
    </cfRule>
  </conditionalFormatting>
  <conditionalFormatting sqref="AH84:AH94">
    <cfRule type="expression" dxfId="14" priority="99">
      <formula>IF(AH84="",1,0)</formula>
    </cfRule>
  </conditionalFormatting>
  <dataValidations xWindow="338" yWindow="716" count="28">
    <dataValidation type="textLength" operator="equal" allowBlank="1" showInputMessage="1" showErrorMessage="1" errorTitle="REGON" error="REGON to ciąg dziewięciu cyfr np. 571961124" promptTitle="Wprowadź" prompt="nr REGON" sqref="W25:AL25" xr:uid="{00000000-0002-0000-0500-000000000000}">
      <formula1>9</formula1>
    </dataValidation>
    <dataValidation allowBlank="1" showInputMessage="1" showErrorMessage="1" promptTitle="Wprowadź" prompt="dane" sqref="B28:AL28 B30:AL30 AJ78:AL78" xr:uid="{00000000-0002-0000-0500-000001000000}"/>
    <dataValidation allowBlank="1" showInputMessage="1" showErrorMessage="1" promptTitle="Wprowadź" prompt="adres beneficjenta" sqref="B21" xr:uid="{00000000-0002-0000-0500-000002000000}"/>
    <dataValidation type="textLength" operator="equal" allowBlank="1" showInputMessage="1" showErrorMessage="1" errorTitle="NIP" error="NIP to ciąg dziesięciu cyfr np. 5719611245" promptTitle="Wprowadź" prompt="NIP" sqref="B25:V25" xr:uid="{00000000-0002-0000-0500-000004000000}">
      <formula1>10</formula1>
    </dataValidation>
    <dataValidation type="decimal" allowBlank="1" showInputMessage="1" showErrorMessage="1" sqref="AH84:AJ94" xr:uid="{00000000-0002-0000-0500-000008000000}">
      <formula1>0</formula1>
      <formula2>1</formula2>
    </dataValidation>
    <dataValidation allowBlank="1" showInputMessage="1" showErrorMessage="1" promptTitle="Wybierz" prompt="właściwe" sqref="A57:AL57 B60:AL60 A112:AL112" xr:uid="{00000000-0002-0000-0500-00000B000000}"/>
    <dataValidation type="decimal" allowBlank="1" showInputMessage="1" showErrorMessage="1" promptTitle="Wprowadź" prompt="kwotę" sqref="Z47" xr:uid="{00000000-0002-0000-0500-00000E000000}">
      <formula1>0</formula1>
      <formula2>100000000000000000</formula2>
    </dataValidation>
    <dataValidation type="decimal" allowBlank="1" showInputMessage="1" showErrorMessage="1" promptTitle="Wprowadź" prompt="kwotę" sqref="Z48" xr:uid="{00000000-0002-0000-0500-00000F000000}">
      <formula1>0</formula1>
      <formula2>10000000000000000000</formula2>
    </dataValidation>
    <dataValidation type="textLength" operator="greaterThan" allowBlank="1" showInputMessage="1" showErrorMessage="1" promptTitle="Wprowadź" prompt="nazwę beneficjenta" sqref="B19:AL19" xr:uid="{00000000-0002-0000-0500-000010000000}">
      <formula1>3</formula1>
    </dataValidation>
    <dataValidation allowBlank="1" showErrorMessage="1" promptTitle="Wprowadź" prompt="kwotę" sqref="B39" xr:uid="{00000000-0002-0000-0500-000011000000}"/>
    <dataValidation allowBlank="1" showInputMessage="1" showErrorMessage="1" promptTitle="Wprowadź" prompt="adres ePUAP beneficjenta" sqref="B22" xr:uid="{00000000-0002-0000-0500-000012000000}"/>
    <dataValidation allowBlank="1" showErrorMessage="1" promptTitle="Wybierz" prompt="właściwe oświadczenie" sqref="A99:AL99" xr:uid="{00000000-0002-0000-0500-000015000000}"/>
    <dataValidation allowBlank="1" showErrorMessage="1" promptTitle="Wprowadź" prompt="nr księgi wieczystej - nr działki ewidencyjnej" sqref="A101:AL101 A117:AL117 A118:A119" xr:uid="{00000000-0002-0000-0500-000017000000}"/>
    <dataValidation allowBlank="1" showInputMessage="1" showErrorMessage="1" promptTitle="Wprowadź" prompt="wartość_x000a_" sqref="S51:AL53" xr:uid="{00000000-0002-0000-0500-000018000000}"/>
    <dataValidation allowBlank="1" promptTitle="Wprowadź" prompt="numer rachunku bankowego" sqref="B51:R53" xr:uid="{00000000-0002-0000-0500-000019000000}"/>
    <dataValidation type="decimal" allowBlank="1" showInputMessage="1" promptTitle="Wybierz" prompt="właściwą wysokość wsparcia lub wpiszmniejszą wartość" sqref="T97:AJ97" xr:uid="{00000000-0002-0000-0500-00001A000000}">
      <formula1>0</formula1>
      <formula2>0.8</formula2>
    </dataValidation>
    <dataValidation allowBlank="1" showInputMessage="1" showErrorMessage="1" promptTitle="Wprowadź" prompt="Adres do doręczeń elektronicznych" sqref="B23:AL23" xr:uid="{00000000-0002-0000-0500-00001B000000}"/>
    <dataValidation operator="greaterThanOrEqual" allowBlank="1" showInputMessage="1" showErrorMessage="1" promptTitle="Wprowadź" prompt="datę w formacie rrrr-mm-dd_x000a_" sqref="B43:AL43" xr:uid="{00000000-0002-0000-0500-00001C000000}"/>
    <dataValidation type="textLength" operator="equal" allowBlank="1" showInputMessage="1" promptTitle="Wprowadź" prompt="numer rachunku bankowego" sqref="T36:AL36" xr:uid="{45CE9523-482F-4EC0-932E-F29838C8BF61}">
      <formula1>26</formula1>
    </dataValidation>
    <dataValidation type="textLength" operator="equal" showInputMessage="1" promptTitle="Wprowadź" prompt="numer rachunku bankowego tj. 26 cyfr" sqref="B36:S36" xr:uid="{678F46E2-4047-4B65-BAB0-78B38D216E77}">
      <formula1>26</formula1>
    </dataValidation>
    <dataValidation allowBlank="1" showInputMessage="1" showErrorMessage="1" promptTitle="Wybierz" prompt="właściwy rodzaj" sqref="A61:AL61" xr:uid="{00000000-0002-0000-0500-000028000000}"/>
    <dataValidation allowBlank="1" showErrorMessage="1" sqref="A58:AL58" xr:uid="{5A8846C3-EF5E-4DF6-8788-965DBA7AC946}"/>
    <dataValidation allowBlank="1" showInputMessage="1" showErrorMessage="1" promptTitle="Wprowadź " prompt="wielkość" sqref="A72:AL72" xr:uid="{E1B98863-D39C-4A05-B737-B4281E93FE15}"/>
    <dataValidation type="decimal" allowBlank="1" showInputMessage="1" showErrorMessage="1" promptTitle="Wprowadź" prompt="wielkość" sqref="A67:AL67 A65:AL65 A63:AL63" xr:uid="{57D030B7-0AF0-4902-BDEE-4C16F89E4DB7}">
      <formula1>0</formula1>
      <formula2>1.111E+32</formula2>
    </dataValidation>
    <dataValidation type="decimal" allowBlank="1" showInputMessage="1" showErrorMessage="1" promptTitle="Wprowadź " prompt="wielkość" sqref="A69:AL69 A71 A73" xr:uid="{03E25CB3-6512-4329-8059-086E1D5E7A89}">
      <formula1>0</formula1>
      <formula2>1E+31</formula2>
    </dataValidation>
    <dataValidation allowBlank="1" showInputMessage="1" sqref="AN77:XFD80" xr:uid="{00000000-0002-0000-0500-000005000000}"/>
    <dataValidation errorStyle="information" allowBlank="1" showInputMessage="1" showErrorMessage="1" promptTitle="Wybierz" prompt="właściwe" sqref="A122:AL122" xr:uid="{62875F4F-88A0-4906-B73B-FFC4EB74F8A6}"/>
    <dataValidation type="whole" allowBlank="1" showInputMessage="1" showErrorMessage="1" promptTitle="Wprowadź" prompt="liczbę" sqref="A59:AL59" xr:uid="{E27D0013-5CA3-437C-B0A1-55DB39F5E150}">
      <formula1>0</formula1>
      <formula2>10000000</formula2>
    </dataValidation>
  </dataValidations>
  <hyperlinks>
    <hyperlink ref="AM39" location="'Wniosek kupno'!B98" display="Kliknij &quot;tutaj&quot; i przejdź do wypełnienia zestawienia kosztów" xr:uid="{00000000-0004-0000-0500-000000000000}"/>
    <hyperlink ref="AM98" location="'Wniosek kupno'!B42" display="Wróć do wypełniania wniosku" xr:uid="{00000000-0004-0000-0500-000001000000}"/>
    <hyperlink ref="B39:AL39" location="'Wniosek kupno'!B95" display="'Wniosek kupno'!B95" xr:uid="{00000000-0004-0000-0500-000002000000}"/>
    <hyperlink ref="AM20" r:id="rId1" display="Weryfikocji można dokonać na stronie internetowej -&gt; https://eteryt.stat.gov.pl/eTeryt/rejestr_teryt/udostepnianie_danych/baza_teryt/uzytkownicy_indywidualni/wyszukiwanie/wyszukiwanie.aspx?contrast=default" xr:uid="{00000000-0004-0000-0500-000003000000}"/>
    <hyperlink ref="AM22" r:id="rId2" xr:uid="{00000000-0004-0000-0500-000004000000}"/>
    <hyperlink ref="AM18" r:id="rId3" xr:uid="{00000000-0004-0000-0500-000005000000}"/>
    <hyperlink ref="AM24" r:id="rId4" xr:uid="{00000000-0004-0000-0500-000006000000}"/>
  </hyperlinks>
  <pageMargins left="0.70866141732283472" right="0.70866141732283472" top="0.74803149606299213" bottom="0.74803149606299213" header="0.31496062992125984" footer="0.31496062992125984"/>
  <pageSetup paperSize="9" orientation="portrait" r:id="rId5"/>
  <headerFooter>
    <oddFooter>&amp;LStrona &amp;P z &amp;N&amp;R&amp;F&amp;A</oddFooter>
  </headerFooter>
  <drawing r:id="rId6"/>
  <extLst>
    <ext xmlns:x14="http://schemas.microsoft.com/office/spreadsheetml/2009/9/main" uri="{78C0D931-6437-407d-A8EE-F0AAD7539E65}">
      <x14:conditionalFormattings>
        <x14:conditionalFormatting xmlns:xm="http://schemas.microsoft.com/office/excel/2006/main">
          <x14:cfRule type="expression" priority="5" id="{B04F9BD4-59ED-420C-9848-1EC7F672AC0F}">
            <xm:f>IF(#REF!=Słowniki!$F$19,1,0)</xm:f>
            <x14:dxf>
              <fill>
                <patternFill>
                  <bgColor theme="0"/>
                </patternFill>
              </fill>
            </x14:dxf>
          </x14:cfRule>
          <xm:sqref>A59</xm:sqref>
        </x14:conditionalFormatting>
        <x14:conditionalFormatting xmlns:xm="http://schemas.microsoft.com/office/excel/2006/main">
          <x14:cfRule type="expression" priority="170" id="{8680F3A7-9542-42A3-9B29-15476170EF22}">
            <xm:f>IF(#REF!=Słowniki!$P$2,1,0)</xm:f>
            <x14:dxf>
              <font>
                <b/>
                <i val="0"/>
                <strike/>
                <color theme="1"/>
              </font>
            </x14:dxf>
          </x14:cfRule>
          <xm:sqref>A75:AL75</xm:sqref>
        </x14:conditionalFormatting>
        <x14:conditionalFormatting xmlns:xm="http://schemas.microsoft.com/office/excel/2006/main">
          <x14:cfRule type="expression" priority="30" id="{3408B6A6-6DFF-408D-818C-3502FE3098CE}">
            <xm:f>IF(#REF!=Słowniki!$P$2,1,0)</xm:f>
            <x14:dxf>
              <font>
                <strike/>
              </font>
            </x14:dxf>
          </x14:cfRule>
          <xm:sqref>A77:AL77</xm:sqref>
        </x14:conditionalFormatting>
        <x14:conditionalFormatting xmlns:xm="http://schemas.microsoft.com/office/excel/2006/main">
          <x14:cfRule type="expression" priority="3" id="{A8B9FA70-429E-4F43-8F45-D2D32D35DD44}">
            <xm:f>IF(#REF!=Słowniki!$F$19,1,0)</xm:f>
            <x14:dxf>
              <fill>
                <patternFill>
                  <bgColor theme="0"/>
                </patternFill>
              </fill>
            </x14:dxf>
          </x14:cfRule>
          <xm:sqref>T59</xm:sqref>
        </x14:conditionalFormatting>
      </x14:conditionalFormattings>
    </ext>
    <ext xmlns:x14="http://schemas.microsoft.com/office/spreadsheetml/2009/9/main" uri="{CCE6A557-97BC-4b89-ADB6-D9C93CAAB3DF}">
      <x14:dataValidations xmlns:xm="http://schemas.microsoft.com/office/excel/2006/main" xWindow="338" yWindow="716" count="19">
        <x14:dataValidation type="list" allowBlank="1" showInputMessage="1" showErrorMessage="1" promptTitle="Wybierz" prompt="rodzaj przedsięwzięcia" xr:uid="{00000000-0002-0000-0500-000021000000}">
          <x14:formula1>
            <xm:f>Słowniki!$B$13</xm:f>
          </x14:formula1>
          <xm:sqref>A55:AL55</xm:sqref>
        </x14:dataValidation>
        <x14:dataValidation type="list" allowBlank="1" showInputMessage="1" showErrorMessage="1" promptTitle="Wybierz" prompt="beneficjenta" xr:uid="{00000000-0002-0000-0500-000023000000}">
          <x14:formula1>
            <xm:f>Słowniki!$A$8</xm:f>
          </x14:formula1>
          <xm:sqref>B17:AL17</xm:sqref>
        </x14:dataValidation>
        <x14:dataValidation type="list" allowBlank="1" showInputMessage="1" showErrorMessage="1" promptTitle="Wybierz" prompt="właściwe" xr:uid="{00000000-0002-0000-0500-000024000000}">
          <x14:formula1>
            <xm:f>Słowniki!$AO$1:$AO$2</xm:f>
          </x14:formula1>
          <xm:sqref>B40:AL40</xm:sqref>
        </x14:dataValidation>
        <x14:dataValidation type="list" allowBlank="1" showInputMessage="1" promptTitle="Wprowadź" prompt="dane lub wybierz nie dotyczy" xr:uid="{00000000-0002-0000-0500-000027000000}">
          <x14:formula1>
            <xm:f>Słowniki!$F$26</xm:f>
          </x14:formula1>
          <xm:sqref>B32:AL32 B34:AL34</xm:sqref>
        </x14:dataValidation>
        <x14:dataValidation type="list" allowBlank="1" showInputMessage="1" showErrorMessage="1" promptTitle="Wybierz" prompt="właściwe" xr:uid="{00000000-0002-0000-0500-000029000000}">
          <x14:formula1>
            <xm:f>Słowniki!$U$1:$U$2</xm:f>
          </x14:formula1>
          <xm:sqref>A76:AL76</xm:sqref>
        </x14:dataValidation>
        <x14:dataValidation type="list" allowBlank="1" showInputMessage="1" showErrorMessage="1" promptTitle="Wybierz" prompt="właściwe" xr:uid="{00000000-0002-0000-0500-00002B000000}">
          <x14:formula1>
            <xm:f>Słowniki!$W$20:$W$22</xm:f>
          </x14:formula1>
          <xm:sqref>A100:AL100</xm:sqref>
        </x14:dataValidation>
        <x14:dataValidation type="list" allowBlank="1" showInputMessage="1" showErrorMessage="1" promptTitle="Wybierz" prompt="właściwe" xr:uid="{00000000-0002-0000-0500-000033000000}">
          <x14:formula1>
            <xm:f>Słowniki!$AD$9:$AD$10</xm:f>
          </x14:formula1>
          <xm:sqref>A102:AL102</xm:sqref>
        </x14:dataValidation>
        <x14:dataValidation type="list" allowBlank="1" showInputMessage="1" showErrorMessage="1" xr:uid="{00000000-0002-0000-0500-000036000000}">
          <x14:formula1>
            <xm:f>Słowniki!$AP$1:$AP$2</xm:f>
          </x14:formula1>
          <xm:sqref>B42:AL42</xm:sqref>
        </x14:dataValidation>
        <x14:dataValidation type="list" allowBlank="1" showInputMessage="1" showErrorMessage="1" promptTitle="Wybierz" prompt="właściwe" xr:uid="{00000000-0002-0000-0500-00003A000000}">
          <x14:formula1>
            <xm:f>Słowniki!$W$12:$W$14</xm:f>
          </x14:formula1>
          <xm:sqref>A105:AL105</xm:sqref>
        </x14:dataValidation>
        <x14:dataValidation type="list" allowBlank="1" showInputMessage="1" showErrorMessage="1" promptTitle="Wybierz" prompt="właściwe" xr:uid="{00000000-0002-0000-0500-00003C000000}">
          <x14:formula1>
            <xm:f>Słowniki!$C$3:$C$4</xm:f>
          </x14:formula1>
          <xm:sqref>AB7:AE7 N7:P7</xm:sqref>
        </x14:dataValidation>
        <x14:dataValidation type="list" errorStyle="information" allowBlank="1" showInputMessage="1" showErrorMessage="1" xr:uid="{7F3C3B4C-7952-4C4F-8C7F-08675AD24BEA}">
          <x14:formula1>
            <xm:f>Słowniki!$A$34:$A$40</xm:f>
          </x14:formula1>
          <xm:sqref>G84:K94</xm:sqref>
        </x14:dataValidation>
        <x14:dataValidation type="list" errorStyle="information" allowBlank="1" showInputMessage="1" showErrorMessage="1" promptTitle="Wybierz" prompt="właściwe" xr:uid="{00000000-0002-0000-0500-000035000000}">
          <x14:formula1>
            <xm:f>Słowniki!$A$48:$A$58</xm:f>
          </x14:formula1>
          <xm:sqref>B84:F84</xm:sqref>
        </x14:dataValidation>
        <x14:dataValidation type="list" errorStyle="information" allowBlank="1" showInputMessage="1" showErrorMessage="1" promptTitle="Wybierz" prompt="właściwe" xr:uid="{69D9DB1C-DF13-479F-ABE6-732D1AEF37F7}">
          <x14:formula1>
            <xm:f>Słowniki!$A$46:$A$60</xm:f>
          </x14:formula1>
          <xm:sqref>B85:F94</xm:sqref>
        </x14:dataValidation>
        <x14:dataValidation type="list" allowBlank="1" showInputMessage="1" showErrorMessage="1" promptTitle="Wybierz" prompt="właściwe" xr:uid="{B39FDA9E-D9EA-4578-858E-82E2BD52655E}">
          <x14:formula1>
            <xm:f>Słowniki!$Y$11:$Y$12</xm:f>
          </x14:formula1>
          <xm:sqref>A113:AL113</xm:sqref>
        </x14:dataValidation>
        <x14:dataValidation type="list" allowBlank="1" showInputMessage="1" showErrorMessage="1" promptTitle="Wybierz" prompt="właściwe" xr:uid="{CC949E4F-F2A5-448C-BE14-8B636FE6A3AF}">
          <x14:formula1>
            <xm:f>Słowniki!$Y$1:$Y$2</xm:f>
          </x14:formula1>
          <xm:sqref>A107:AL107</xm:sqref>
        </x14:dataValidation>
        <x14:dataValidation type="list" allowBlank="1" showInputMessage="1" showErrorMessage="1" promptTitle="Wybierz" prompt="właściwe" xr:uid="{74EC26D8-EFDA-459E-9121-0DEB5BB0F062}">
          <x14:formula1>
            <xm:f>Słowniki!$Y$3:$Y$4</xm:f>
          </x14:formula1>
          <xm:sqref>A109:AL109</xm:sqref>
        </x14:dataValidation>
        <x14:dataValidation type="list" allowBlank="1" showInputMessage="1" showErrorMessage="1" promptTitle="Wybierz" prompt="właściwe" xr:uid="{17554954-1C06-4689-BB2E-07636C1BE933}">
          <x14:formula1>
            <xm:f>Słowniki!$Y$5:$Y$6</xm:f>
          </x14:formula1>
          <xm:sqref>A111:AL111</xm:sqref>
        </x14:dataValidation>
        <x14:dataValidation type="list" allowBlank="1" showInputMessage="1" showErrorMessage="1" promptTitle="Wybierz" prompt="właściwe" xr:uid="{8B101F31-08E5-4574-8ABE-7D78E8D9323C}">
          <x14:formula1>
            <xm:f>Słowniki!$Y$9:$Y$10</xm:f>
          </x14:formula1>
          <xm:sqref>A115:AL115</xm:sqref>
        </x14:dataValidation>
        <x14:dataValidation type="date" operator="greaterThan" allowBlank="1" showInputMessage="1" showErrorMessage="1" promptTitle="Wprowadź" prompt="datę w formacie rrrr-mm-dd_x000a_" xr:uid="{00000000-0002-0000-0500-00003D000000}">
          <x14:formula1>
            <xm:f>Słowniki!AQ1</xm:f>
          </x14:formula1>
          <xm:sqref>B41:AL41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Arkusz12"/>
  <dimension ref="A1:CG200"/>
  <sheetViews>
    <sheetView topLeftCell="X10" zoomScale="70" zoomScaleNormal="70" workbookViewId="0">
      <selection activeCell="Z12" sqref="Z12"/>
    </sheetView>
  </sheetViews>
  <sheetFormatPr defaultRowHeight="14.5" x14ac:dyDescent="0.35"/>
  <cols>
    <col min="1" max="1" width="128.453125" bestFit="1" customWidth="1"/>
    <col min="2" max="2" width="65.7265625" customWidth="1"/>
    <col min="3" max="3" width="116.1796875" customWidth="1"/>
    <col min="4" max="4" width="49.81640625" customWidth="1"/>
    <col min="5" max="5" width="42.90625" customWidth="1"/>
    <col min="6" max="6" width="94.81640625" customWidth="1"/>
    <col min="7" max="7" width="4.54296875" bestFit="1" customWidth="1"/>
    <col min="8" max="8" width="76.1796875" customWidth="1"/>
    <col min="9" max="9" width="20.7265625" style="6" customWidth="1"/>
    <col min="10" max="10" width="72.453125" customWidth="1"/>
    <col min="13" max="13" width="113.54296875" customWidth="1"/>
    <col min="14" max="14" width="13.26953125" customWidth="1"/>
    <col min="15" max="15" width="92" customWidth="1"/>
    <col min="16" max="16" width="14.7265625" customWidth="1"/>
    <col min="17" max="17" width="16.453125" customWidth="1"/>
    <col min="21" max="21" width="73.08984375" customWidth="1"/>
    <col min="22" max="22" width="76.54296875" customWidth="1"/>
    <col min="23" max="23" width="89.7265625" customWidth="1"/>
    <col min="24" max="24" width="166.6328125" bestFit="1" customWidth="1"/>
    <col min="25" max="26" width="106.26953125" bestFit="1" customWidth="1"/>
    <col min="29" max="29" width="81.90625" customWidth="1"/>
    <col min="30" max="30" width="55.08984375" bestFit="1" customWidth="1"/>
    <col min="31" max="31" width="54.81640625" customWidth="1"/>
    <col min="32" max="32" width="46.90625" bestFit="1" customWidth="1"/>
    <col min="42" max="42" width="23.1796875" customWidth="1"/>
    <col min="43" max="43" width="26.08984375" bestFit="1" customWidth="1"/>
  </cols>
  <sheetData>
    <row r="1" spans="1:85" ht="87" customHeight="1" x14ac:dyDescent="0.35">
      <c r="A1" t="s">
        <v>63</v>
      </c>
      <c r="B1" s="6" t="s">
        <v>73</v>
      </c>
      <c r="C1" s="6" t="s">
        <v>84</v>
      </c>
      <c r="D1" s="1" t="s">
        <v>70</v>
      </c>
      <c r="F1" s="1" t="s">
        <v>608</v>
      </c>
      <c r="H1" t="s">
        <v>94</v>
      </c>
      <c r="I1" s="6" t="s">
        <v>94</v>
      </c>
      <c r="J1" t="s">
        <v>609</v>
      </c>
      <c r="N1" s="99">
        <v>41640</v>
      </c>
      <c r="O1" s="1" t="s">
        <v>101</v>
      </c>
      <c r="P1" t="s">
        <v>189</v>
      </c>
      <c r="Q1" t="s">
        <v>580</v>
      </c>
      <c r="U1" t="s">
        <v>655</v>
      </c>
      <c r="W1" s="116" t="s">
        <v>712</v>
      </c>
      <c r="X1" s="116" t="s">
        <v>661</v>
      </c>
      <c r="Y1" s="95" t="s">
        <v>879</v>
      </c>
      <c r="Z1" s="95"/>
      <c r="AA1" t="s">
        <v>122</v>
      </c>
      <c r="AC1" s="6" t="s">
        <v>189</v>
      </c>
      <c r="AO1" t="s">
        <v>824</v>
      </c>
      <c r="AP1" s="70" t="s">
        <v>743</v>
      </c>
      <c r="AQ1" s="99">
        <v>39083</v>
      </c>
    </row>
    <row r="2" spans="1:85" ht="126" customHeight="1" x14ac:dyDescent="0.35">
      <c r="A2" s="8" t="s">
        <v>76</v>
      </c>
      <c r="B2" s="6" t="s">
        <v>79</v>
      </c>
      <c r="C2" s="6"/>
      <c r="D2" s="96" t="s">
        <v>749</v>
      </c>
      <c r="F2" s="102" t="s">
        <v>826</v>
      </c>
      <c r="H2" s="1" t="s">
        <v>96</v>
      </c>
      <c r="I2" s="6" t="s">
        <v>96</v>
      </c>
      <c r="J2" s="106" t="s">
        <v>765</v>
      </c>
      <c r="M2" s="3" t="s">
        <v>0</v>
      </c>
      <c r="O2" s="3" t="s">
        <v>97</v>
      </c>
      <c r="P2" t="s">
        <v>134</v>
      </c>
      <c r="Q2" t="s">
        <v>134</v>
      </c>
      <c r="U2" t="s">
        <v>656</v>
      </c>
      <c r="W2" s="116" t="s">
        <v>713</v>
      </c>
      <c r="X2" s="116" t="s">
        <v>662</v>
      </c>
      <c r="Y2" s="95" t="s">
        <v>880</v>
      </c>
      <c r="Z2" s="95"/>
      <c r="AA2" t="s">
        <v>121</v>
      </c>
      <c r="AC2" t="s">
        <v>190</v>
      </c>
      <c r="AE2" s="119" t="s">
        <v>669</v>
      </c>
      <c r="AF2" s="6"/>
      <c r="AO2" t="s">
        <v>744</v>
      </c>
      <c r="AP2" t="s">
        <v>823</v>
      </c>
      <c r="AW2" s="79"/>
      <c r="AX2" s="79"/>
      <c r="AY2" s="79"/>
      <c r="AZ2" s="79"/>
      <c r="BA2" s="79"/>
      <c r="BB2" s="79"/>
      <c r="BC2" s="79"/>
      <c r="BD2" s="79"/>
      <c r="BE2" s="79"/>
      <c r="BF2" s="79"/>
      <c r="BG2" s="79"/>
      <c r="BH2" s="79"/>
      <c r="BI2" s="79"/>
      <c r="BJ2" s="79"/>
      <c r="BK2" s="79"/>
      <c r="BL2" s="79"/>
      <c r="BM2" s="79"/>
      <c r="BN2" s="79"/>
      <c r="BO2" s="79"/>
      <c r="BP2" s="79"/>
      <c r="BQ2" s="79"/>
      <c r="BR2" s="79"/>
      <c r="BS2" s="79"/>
      <c r="BT2" s="79"/>
      <c r="BU2" s="79"/>
      <c r="BV2" s="79"/>
      <c r="BW2" s="79"/>
      <c r="BX2" s="79"/>
      <c r="BY2" s="79"/>
      <c r="BZ2" s="79"/>
      <c r="CA2" s="79"/>
      <c r="CB2" s="79"/>
      <c r="CC2" s="79"/>
      <c r="CD2" s="79"/>
      <c r="CE2" s="79"/>
      <c r="CF2" s="79"/>
      <c r="CG2" s="79"/>
    </row>
    <row r="3" spans="1:85" ht="101.5" x14ac:dyDescent="0.35">
      <c r="A3" s="7" t="s">
        <v>72</v>
      </c>
      <c r="B3" s="6" t="s">
        <v>82</v>
      </c>
      <c r="C3" s="88" t="s">
        <v>121</v>
      </c>
      <c r="D3" s="127" t="s">
        <v>750</v>
      </c>
      <c r="E3" s="6" t="s">
        <v>847</v>
      </c>
      <c r="F3" s="104" t="s">
        <v>103</v>
      </c>
      <c r="H3" s="1" t="s">
        <v>93</v>
      </c>
      <c r="I3" s="6" t="s">
        <v>96</v>
      </c>
      <c r="J3" s="96" t="s">
        <v>767</v>
      </c>
      <c r="M3" s="3" t="s">
        <v>3</v>
      </c>
      <c r="O3" s="3" t="s">
        <v>98</v>
      </c>
      <c r="P3" t="s">
        <v>190</v>
      </c>
      <c r="Q3" t="s">
        <v>134</v>
      </c>
      <c r="U3" s="112" t="s">
        <v>657</v>
      </c>
      <c r="V3" s="112" t="s">
        <v>657</v>
      </c>
      <c r="W3" s="40" t="s">
        <v>800</v>
      </c>
      <c r="X3" s="41" t="s">
        <v>770</v>
      </c>
      <c r="Y3" s="139" t="s">
        <v>882</v>
      </c>
      <c r="Z3" s="117"/>
      <c r="AA3" s="125">
        <v>0</v>
      </c>
      <c r="AB3" s="40"/>
      <c r="AC3" s="111" t="s">
        <v>619</v>
      </c>
      <c r="AD3" s="118" t="s">
        <v>620</v>
      </c>
      <c r="AE3" t="s">
        <v>695</v>
      </c>
      <c r="AF3" t="s">
        <v>787</v>
      </c>
      <c r="AG3" s="40"/>
      <c r="AH3" s="40"/>
      <c r="AI3" s="40"/>
      <c r="AJ3" s="40"/>
      <c r="AK3" s="40"/>
      <c r="AL3" s="40"/>
      <c r="AM3" s="40"/>
      <c r="AN3" s="40"/>
      <c r="AO3" s="40"/>
      <c r="AP3" s="40"/>
      <c r="AQ3" s="40"/>
      <c r="AR3" s="40"/>
      <c r="AS3" s="40"/>
      <c r="AT3" s="40"/>
      <c r="AU3" s="40"/>
      <c r="AV3" s="40"/>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row>
    <row r="4" spans="1:85" ht="84" customHeight="1" x14ac:dyDescent="0.35">
      <c r="A4" s="7" t="s">
        <v>75</v>
      </c>
      <c r="B4" s="6" t="s">
        <v>81</v>
      </c>
      <c r="C4" s="88" t="s">
        <v>122</v>
      </c>
      <c r="D4" s="96" t="s">
        <v>751</v>
      </c>
      <c r="E4" s="96" t="s">
        <v>848</v>
      </c>
      <c r="F4" s="103" t="s">
        <v>758</v>
      </c>
      <c r="H4" s="3" t="s">
        <v>123</v>
      </c>
      <c r="I4" s="6" t="s">
        <v>96</v>
      </c>
      <c r="J4" s="96" t="s">
        <v>766</v>
      </c>
      <c r="M4" s="3" t="s">
        <v>5</v>
      </c>
      <c r="O4" s="3" t="s">
        <v>99</v>
      </c>
      <c r="Q4" t="s">
        <v>102</v>
      </c>
      <c r="U4" s="112" t="s">
        <v>658</v>
      </c>
      <c r="V4" s="112" t="s">
        <v>658</v>
      </c>
      <c r="W4" s="40" t="s">
        <v>801</v>
      </c>
      <c r="X4" s="96" t="s">
        <v>771</v>
      </c>
      <c r="Y4" s="139" t="s">
        <v>883</v>
      </c>
      <c r="Z4" s="95"/>
      <c r="AA4" s="40"/>
      <c r="AB4" s="40"/>
      <c r="AC4" s="111" t="s">
        <v>670</v>
      </c>
      <c r="AD4" s="118" t="s">
        <v>676</v>
      </c>
      <c r="AE4" s="119" t="s">
        <v>696</v>
      </c>
      <c r="AF4" s="119" t="s">
        <v>788</v>
      </c>
      <c r="AH4" s="40"/>
      <c r="AI4" s="40"/>
      <c r="AJ4" s="40"/>
      <c r="AK4" s="40"/>
      <c r="AL4" s="40"/>
      <c r="AM4" s="40"/>
      <c r="AN4" s="40"/>
      <c r="AO4" s="40"/>
      <c r="AP4" s="40"/>
      <c r="AQ4" s="40"/>
      <c r="AR4" s="40"/>
      <c r="AS4" s="40"/>
      <c r="AT4" s="40"/>
      <c r="AU4" s="40"/>
      <c r="AV4" s="40"/>
      <c r="AW4" s="40"/>
      <c r="AX4" s="40"/>
      <c r="AY4" s="40"/>
      <c r="AZ4" s="40"/>
    </row>
    <row r="5" spans="1:85" ht="104.5" customHeight="1" x14ac:dyDescent="0.35">
      <c r="A5" s="7" t="s">
        <v>185</v>
      </c>
      <c r="B5" s="6" t="s">
        <v>181</v>
      </c>
      <c r="C5" s="88" t="s">
        <v>126</v>
      </c>
      <c r="D5" s="96" t="s">
        <v>752</v>
      </c>
      <c r="E5" s="121" t="s">
        <v>849</v>
      </c>
      <c r="F5" s="103" t="s">
        <v>757</v>
      </c>
      <c r="H5" s="112"/>
      <c r="I5" s="6" t="s">
        <v>96</v>
      </c>
      <c r="J5" s="96"/>
      <c r="M5" s="9" t="s">
        <v>2</v>
      </c>
      <c r="O5" s="4" t="s">
        <v>179</v>
      </c>
      <c r="U5" s="112" t="s">
        <v>659</v>
      </c>
      <c r="V5" t="s">
        <v>741</v>
      </c>
      <c r="W5" s="112" t="s">
        <v>774</v>
      </c>
      <c r="Y5" s="139" t="s">
        <v>885</v>
      </c>
      <c r="Z5" s="139"/>
      <c r="AA5" s="139"/>
      <c r="AB5" s="139"/>
      <c r="AC5" s="139"/>
      <c r="AD5" s="118" t="s">
        <v>895</v>
      </c>
      <c r="AE5" s="139"/>
      <c r="AF5" s="139"/>
      <c r="AG5" s="139"/>
      <c r="AH5" s="139"/>
      <c r="AI5" s="139"/>
      <c r="AJ5" s="139"/>
      <c r="AK5" s="139"/>
      <c r="AL5" s="139"/>
      <c r="AM5" s="139"/>
      <c r="AN5" s="139"/>
      <c r="AO5" s="139"/>
      <c r="AP5" s="139"/>
      <c r="AQ5" s="139"/>
      <c r="AR5" s="139"/>
      <c r="AS5" s="139"/>
      <c r="AT5" s="139"/>
      <c r="AU5" s="139"/>
      <c r="AV5" s="139"/>
      <c r="AW5" s="139"/>
      <c r="AX5" s="139"/>
      <c r="AY5" s="139"/>
      <c r="AZ5" s="139"/>
      <c r="BA5" s="139"/>
      <c r="BB5" s="139"/>
      <c r="BC5" s="139"/>
      <c r="BD5" s="139"/>
      <c r="BE5" s="139"/>
      <c r="BF5" s="139"/>
      <c r="BG5" s="139"/>
      <c r="BH5" s="139"/>
      <c r="BI5" s="139"/>
      <c r="BJ5" s="139"/>
    </row>
    <row r="6" spans="1:85" ht="207.65" customHeight="1" x14ac:dyDescent="0.35">
      <c r="A6" s="6" t="s">
        <v>596</v>
      </c>
      <c r="B6" s="6" t="s">
        <v>182</v>
      </c>
      <c r="C6" s="6"/>
      <c r="D6" s="96" t="s">
        <v>753</v>
      </c>
      <c r="E6" s="96" t="s">
        <v>850</v>
      </c>
      <c r="F6" s="104" t="s">
        <v>603</v>
      </c>
      <c r="I6" s="6" t="s">
        <v>96</v>
      </c>
      <c r="J6" s="96" t="s">
        <v>768</v>
      </c>
      <c r="M6" s="9" t="s">
        <v>8</v>
      </c>
      <c r="O6" s="3" t="s">
        <v>97</v>
      </c>
      <c r="U6" s="112" t="s">
        <v>660</v>
      </c>
      <c r="W6" s="112" t="s">
        <v>775</v>
      </c>
      <c r="X6" t="s">
        <v>674</v>
      </c>
      <c r="Y6" s="139" t="s">
        <v>886</v>
      </c>
      <c r="Z6" s="139"/>
      <c r="AA6" s="139"/>
      <c r="AB6" s="139"/>
      <c r="AC6" s="139"/>
      <c r="AD6" s="139"/>
      <c r="AE6" s="139"/>
      <c r="AF6" s="139"/>
      <c r="AG6" s="139"/>
      <c r="AH6" s="139"/>
      <c r="AI6" s="139"/>
      <c r="AJ6" s="139"/>
      <c r="AK6" s="139"/>
      <c r="AL6" s="139"/>
      <c r="AM6" s="139"/>
      <c r="AN6" s="139"/>
      <c r="AO6" s="139"/>
      <c r="AP6" s="139"/>
      <c r="AQ6" s="139"/>
      <c r="AR6" s="139"/>
      <c r="AS6" s="139"/>
      <c r="AT6" s="139"/>
      <c r="AU6" s="139"/>
      <c r="AV6" s="139"/>
      <c r="AW6" s="139"/>
      <c r="AX6" s="139"/>
      <c r="AY6" s="139"/>
      <c r="AZ6" s="139"/>
      <c r="BA6" s="139"/>
      <c r="BB6" s="139"/>
      <c r="BC6" s="139"/>
      <c r="BD6" s="139"/>
      <c r="BE6" s="139"/>
      <c r="BF6" s="139"/>
      <c r="BG6" s="139"/>
      <c r="BH6" s="139"/>
      <c r="BI6" s="139"/>
      <c r="BJ6" s="139"/>
    </row>
    <row r="7" spans="1:85" ht="90.65" customHeight="1" x14ac:dyDescent="0.35">
      <c r="A7" s="7" t="s">
        <v>74</v>
      </c>
      <c r="B7" s="6" t="s">
        <v>80</v>
      </c>
      <c r="C7" s="127" t="s">
        <v>750</v>
      </c>
      <c r="D7" s="96" t="s">
        <v>754</v>
      </c>
      <c r="E7" s="96" t="s">
        <v>752</v>
      </c>
      <c r="F7" s="105" t="s">
        <v>813</v>
      </c>
      <c r="H7" s="105" t="s">
        <v>812</v>
      </c>
      <c r="I7" s="6" t="s">
        <v>96</v>
      </c>
      <c r="J7" s="119" t="s">
        <v>769</v>
      </c>
      <c r="M7" s="9" t="s">
        <v>10</v>
      </c>
      <c r="O7" s="3" t="s">
        <v>141</v>
      </c>
      <c r="W7" s="116" t="s">
        <v>714</v>
      </c>
      <c r="X7" t="s">
        <v>675</v>
      </c>
      <c r="Y7" s="139" t="s">
        <v>888</v>
      </c>
      <c r="AC7" s="111" t="s">
        <v>672</v>
      </c>
      <c r="AD7" s="118" t="s">
        <v>671</v>
      </c>
    </row>
    <row r="8" spans="1:85" ht="84" customHeight="1" x14ac:dyDescent="0.35">
      <c r="A8" t="s">
        <v>852</v>
      </c>
      <c r="C8" s="96" t="s">
        <v>751</v>
      </c>
      <c r="D8" s="96" t="s">
        <v>755</v>
      </c>
      <c r="E8" s="88" t="s">
        <v>126</v>
      </c>
      <c r="F8" s="104" t="s">
        <v>759</v>
      </c>
      <c r="J8" s="96"/>
      <c r="M8" s="9" t="s">
        <v>12</v>
      </c>
      <c r="O8" s="1" t="s">
        <v>180</v>
      </c>
      <c r="W8" s="116" t="s">
        <v>715</v>
      </c>
      <c r="X8" s="115" t="s">
        <v>691</v>
      </c>
      <c r="Y8" s="139" t="s">
        <v>889</v>
      </c>
      <c r="AC8" s="111" t="s">
        <v>728</v>
      </c>
    </row>
    <row r="9" spans="1:85" ht="103.15" customHeight="1" x14ac:dyDescent="0.35">
      <c r="B9" s="6" t="s">
        <v>815</v>
      </c>
      <c r="C9" s="88" t="s">
        <v>126</v>
      </c>
      <c r="D9" s="96" t="s">
        <v>756</v>
      </c>
      <c r="F9" s="96" t="s">
        <v>760</v>
      </c>
      <c r="J9" s="115"/>
      <c r="M9" s="9" t="s">
        <v>13</v>
      </c>
      <c r="W9" t="s">
        <v>675</v>
      </c>
      <c r="X9" s="115" t="s">
        <v>692</v>
      </c>
      <c r="Y9" s="96" t="s">
        <v>891</v>
      </c>
      <c r="AC9" s="111" t="s">
        <v>729</v>
      </c>
      <c r="AD9" s="118" t="s">
        <v>676</v>
      </c>
    </row>
    <row r="10" spans="1:85" ht="144.65" customHeight="1" x14ac:dyDescent="0.35">
      <c r="A10" s="107" t="s">
        <v>95</v>
      </c>
      <c r="B10" s="108"/>
      <c r="C10" s="88" t="s">
        <v>126</v>
      </c>
      <c r="D10" s="96"/>
      <c r="F10" s="96" t="s">
        <v>761</v>
      </c>
      <c r="J10" s="96"/>
      <c r="M10" s="9" t="s">
        <v>14</v>
      </c>
      <c r="W10" t="s">
        <v>776</v>
      </c>
      <c r="X10" t="s">
        <v>675</v>
      </c>
      <c r="Y10" s="96" t="s">
        <v>892</v>
      </c>
      <c r="AD10" t="s">
        <v>675</v>
      </c>
    </row>
    <row r="11" spans="1:85" ht="126.65" customHeight="1" x14ac:dyDescent="0.35">
      <c r="A11" s="109" t="s">
        <v>108</v>
      </c>
      <c r="B11" s="109"/>
      <c r="C11" s="6" t="s">
        <v>847</v>
      </c>
      <c r="D11" s="96"/>
      <c r="F11" s="96" t="s">
        <v>762</v>
      </c>
      <c r="I11" t="s">
        <v>93</v>
      </c>
      <c r="J11" s="96"/>
      <c r="M11" s="9" t="s">
        <v>15</v>
      </c>
      <c r="W11" t="s">
        <v>675</v>
      </c>
      <c r="X11" s="96" t="s">
        <v>693</v>
      </c>
      <c r="Y11" s="139" t="s">
        <v>907</v>
      </c>
      <c r="AE11" t="s">
        <v>669</v>
      </c>
    </row>
    <row r="12" spans="1:85" ht="75.5" customHeight="1" x14ac:dyDescent="0.35">
      <c r="A12" s="109" t="s">
        <v>109</v>
      </c>
      <c r="B12" s="109"/>
      <c r="C12" s="96" t="s">
        <v>848</v>
      </c>
      <c r="D12" s="96"/>
      <c r="F12" s="96" t="s">
        <v>763</v>
      </c>
      <c r="I12" t="s">
        <v>93</v>
      </c>
      <c r="K12" s="96" t="s">
        <v>652</v>
      </c>
      <c r="M12" s="3" t="s">
        <v>16</v>
      </c>
      <c r="W12" s="135" t="s">
        <v>877</v>
      </c>
      <c r="X12" s="96" t="s">
        <v>694</v>
      </c>
      <c r="Y12" s="139" t="s">
        <v>908</v>
      </c>
      <c r="AE12" s="6"/>
    </row>
    <row r="13" spans="1:85" ht="100.5" customHeight="1" x14ac:dyDescent="0.35">
      <c r="A13" s="110" t="s">
        <v>110</v>
      </c>
      <c r="B13" s="96" t="s">
        <v>860</v>
      </c>
      <c r="C13" s="88" t="s">
        <v>126</v>
      </c>
      <c r="D13" s="96"/>
      <c r="F13" s="104" t="s">
        <v>605</v>
      </c>
      <c r="I13" t="s">
        <v>93</v>
      </c>
      <c r="K13" s="96" t="s">
        <v>653</v>
      </c>
      <c r="M13" s="9" t="s">
        <v>2</v>
      </c>
      <c r="W13" s="136" t="s">
        <v>876</v>
      </c>
      <c r="X13" s="121" t="s">
        <v>785</v>
      </c>
      <c r="AE13" s="6"/>
    </row>
    <row r="14" spans="1:85" ht="135.65" customHeight="1" x14ac:dyDescent="0.35">
      <c r="A14" s="109" t="s">
        <v>111</v>
      </c>
      <c r="B14" s="109"/>
      <c r="C14" s="127" t="s">
        <v>750</v>
      </c>
      <c r="D14" s="96"/>
      <c r="F14" s="104" t="s">
        <v>606</v>
      </c>
      <c r="J14" s="96"/>
      <c r="M14" s="9" t="s">
        <v>17</v>
      </c>
      <c r="W14" s="129" t="s">
        <v>875</v>
      </c>
      <c r="X14" s="121" t="s">
        <v>786</v>
      </c>
    </row>
    <row r="15" spans="1:85" ht="93" customHeight="1" x14ac:dyDescent="0.35">
      <c r="A15" s="109" t="s">
        <v>112</v>
      </c>
      <c r="B15" s="109"/>
      <c r="C15" s="96" t="s">
        <v>751</v>
      </c>
      <c r="D15" s="96"/>
      <c r="F15" s="1" t="s">
        <v>608</v>
      </c>
      <c r="J15" s="96"/>
      <c r="M15" s="9" t="s">
        <v>18</v>
      </c>
      <c r="W15" s="121" t="s">
        <v>814</v>
      </c>
      <c r="X15" t="s">
        <v>782</v>
      </c>
    </row>
    <row r="16" spans="1:85" ht="141.65" customHeight="1" x14ac:dyDescent="0.35">
      <c r="A16" s="109" t="s">
        <v>113</v>
      </c>
      <c r="B16" s="109"/>
      <c r="C16" s="132" t="s">
        <v>789</v>
      </c>
      <c r="D16" s="132"/>
      <c r="E16" s="132"/>
      <c r="F16" s="132"/>
      <c r="G16" s="132"/>
      <c r="H16" s="132"/>
      <c r="I16" s="132"/>
      <c r="J16" s="132"/>
      <c r="K16" s="132"/>
      <c r="L16" s="132"/>
      <c r="M16" s="132"/>
      <c r="N16" s="132"/>
      <c r="O16" s="132"/>
      <c r="P16" s="132"/>
      <c r="Q16" s="132"/>
      <c r="R16" s="132"/>
      <c r="S16" s="132"/>
      <c r="T16" s="132"/>
      <c r="U16" s="132"/>
      <c r="V16" s="132"/>
      <c r="W16" t="s">
        <v>134</v>
      </c>
      <c r="X16" s="132"/>
      <c r="Y16" s="132"/>
      <c r="Z16" s="132"/>
      <c r="AA16" s="132"/>
      <c r="AB16" s="132"/>
      <c r="AC16" s="132"/>
      <c r="AD16" s="132"/>
      <c r="AE16" s="132"/>
      <c r="AF16" s="132"/>
      <c r="AG16" s="132"/>
      <c r="AH16" s="132"/>
      <c r="AI16" s="132"/>
      <c r="AJ16" s="132"/>
      <c r="AK16" s="132"/>
      <c r="AL16" s="132"/>
      <c r="AM16" s="132"/>
      <c r="AN16" s="132"/>
    </row>
    <row r="17" spans="1:24" ht="121.15" customHeight="1" x14ac:dyDescent="0.35">
      <c r="A17" s="109" t="s">
        <v>114</v>
      </c>
      <c r="B17" s="109"/>
      <c r="C17" s="96" t="s">
        <v>830</v>
      </c>
      <c r="D17" s="96" t="s">
        <v>790</v>
      </c>
      <c r="F17" s="104" t="s">
        <v>603</v>
      </c>
      <c r="H17" s="104"/>
      <c r="M17" s="9" t="s">
        <v>19</v>
      </c>
      <c r="X17" s="112" t="s">
        <v>783</v>
      </c>
    </row>
    <row r="18" spans="1:24" ht="193.15" customHeight="1" x14ac:dyDescent="0.35">
      <c r="C18" s="96" t="s">
        <v>830</v>
      </c>
      <c r="D18" s="96" t="s">
        <v>791</v>
      </c>
      <c r="E18" s="96" t="s">
        <v>642</v>
      </c>
      <c r="F18" s="104" t="s">
        <v>103</v>
      </c>
      <c r="H18" s="103"/>
      <c r="M18" s="9" t="s">
        <v>20</v>
      </c>
      <c r="X18" s="112" t="s">
        <v>784</v>
      </c>
    </row>
    <row r="19" spans="1:24" ht="99" customHeight="1" x14ac:dyDescent="0.35">
      <c r="C19" s="96"/>
      <c r="E19" s="96" t="s">
        <v>643</v>
      </c>
      <c r="F19" s="103"/>
      <c r="H19" s="103"/>
      <c r="M19" s="9" t="s">
        <v>15</v>
      </c>
      <c r="X19" s="6" t="s">
        <v>797</v>
      </c>
    </row>
    <row r="20" spans="1:24" ht="118.9" customHeight="1" x14ac:dyDescent="0.35">
      <c r="A20" s="91" t="s">
        <v>95</v>
      </c>
      <c r="C20" s="96" t="s">
        <v>792</v>
      </c>
      <c r="D20" s="96"/>
      <c r="F20" s="128" t="s">
        <v>764</v>
      </c>
      <c r="H20" s="104" t="s">
        <v>603</v>
      </c>
      <c r="M20" s="3" t="s">
        <v>21</v>
      </c>
      <c r="W20" s="116" t="s">
        <v>712</v>
      </c>
      <c r="X20" t="s">
        <v>675</v>
      </c>
    </row>
    <row r="21" spans="1:24" ht="145.15" customHeight="1" x14ac:dyDescent="0.35">
      <c r="A21" t="s">
        <v>127</v>
      </c>
      <c r="C21" s="96" t="s">
        <v>793</v>
      </c>
      <c r="D21" s="96"/>
      <c r="F21" s="104" t="s">
        <v>604</v>
      </c>
      <c r="M21" s="9"/>
      <c r="W21" s="116" t="s">
        <v>713</v>
      </c>
    </row>
    <row r="22" spans="1:24" ht="177.65" customHeight="1" x14ac:dyDescent="0.35">
      <c r="A22" t="s">
        <v>183</v>
      </c>
      <c r="D22" s="96"/>
      <c r="F22" s="3" t="s">
        <v>103</v>
      </c>
      <c r="M22" s="9" t="s">
        <v>22</v>
      </c>
      <c r="W22" t="s">
        <v>675</v>
      </c>
    </row>
    <row r="23" spans="1:24" ht="123.5" customHeight="1" x14ac:dyDescent="0.35">
      <c r="A23" t="s">
        <v>129</v>
      </c>
      <c r="C23" s="96"/>
      <c r="D23" s="96"/>
      <c r="M23" s="9" t="s">
        <v>23</v>
      </c>
    </row>
    <row r="24" spans="1:24" ht="165.65" customHeight="1" x14ac:dyDescent="0.35">
      <c r="A24" t="s">
        <v>128</v>
      </c>
      <c r="C24" s="96"/>
      <c r="E24" s="96" t="s">
        <v>645</v>
      </c>
      <c r="F24" s="102" t="s">
        <v>826</v>
      </c>
      <c r="M24" s="9" t="s">
        <v>24</v>
      </c>
    </row>
    <row r="25" spans="1:24" ht="124" x14ac:dyDescent="0.35">
      <c r="A25" t="s">
        <v>130</v>
      </c>
      <c r="C25" s="96"/>
      <c r="E25" s="96" t="s">
        <v>646</v>
      </c>
      <c r="F25" s="103" t="s">
        <v>602</v>
      </c>
      <c r="M25" s="9" t="s">
        <v>26</v>
      </c>
    </row>
    <row r="26" spans="1:24" ht="15.5" x14ac:dyDescent="0.35">
      <c r="C26" s="96"/>
      <c r="D26" s="96"/>
      <c r="F26" s="3" t="s">
        <v>103</v>
      </c>
      <c r="M26" s="3" t="s">
        <v>28</v>
      </c>
    </row>
    <row r="27" spans="1:24" ht="15.5" x14ac:dyDescent="0.35">
      <c r="C27" s="3"/>
      <c r="D27" s="96"/>
      <c r="M27" s="10" t="s">
        <v>29</v>
      </c>
    </row>
    <row r="28" spans="1:24" ht="15.5" x14ac:dyDescent="0.35">
      <c r="A28" t="s">
        <v>595</v>
      </c>
      <c r="D28" s="96"/>
      <c r="M28" s="10" t="s">
        <v>30</v>
      </c>
    </row>
    <row r="29" spans="1:24" ht="15.5" x14ac:dyDescent="0.35">
      <c r="A29" t="s">
        <v>173</v>
      </c>
      <c r="D29" s="96"/>
      <c r="M29" s="10" t="s">
        <v>31</v>
      </c>
    </row>
    <row r="30" spans="1:24" ht="15.5" x14ac:dyDescent="0.35">
      <c r="A30" t="s">
        <v>781</v>
      </c>
      <c r="D30" s="96"/>
      <c r="F30" s="96" t="s">
        <v>187</v>
      </c>
      <c r="M30" s="10" t="s">
        <v>33</v>
      </c>
    </row>
    <row r="31" spans="1:24" ht="23" x14ac:dyDescent="0.35">
      <c r="F31" s="96" t="s">
        <v>188</v>
      </c>
      <c r="M31" s="10" t="s">
        <v>34</v>
      </c>
    </row>
    <row r="32" spans="1:24" ht="15.5" x14ac:dyDescent="0.35">
      <c r="D32" s="113"/>
      <c r="M32" s="10" t="s">
        <v>35</v>
      </c>
    </row>
    <row r="33" spans="1:13" ht="39" x14ac:dyDescent="0.35">
      <c r="D33" s="2" t="s">
        <v>650</v>
      </c>
      <c r="E33" s="114" t="s">
        <v>651</v>
      </c>
      <c r="M33" s="10" t="s">
        <v>36</v>
      </c>
    </row>
    <row r="34" spans="1:13" x14ac:dyDescent="0.35">
      <c r="A34" t="s">
        <v>706</v>
      </c>
      <c r="J34" s="5" t="s">
        <v>25</v>
      </c>
      <c r="M34" s="10" t="s">
        <v>37</v>
      </c>
    </row>
    <row r="35" spans="1:13" x14ac:dyDescent="0.35">
      <c r="A35" t="s">
        <v>707</v>
      </c>
      <c r="J35" s="5" t="s">
        <v>25</v>
      </c>
      <c r="M35" s="10" t="s">
        <v>38</v>
      </c>
    </row>
    <row r="36" spans="1:13" x14ac:dyDescent="0.35">
      <c r="A36" t="s">
        <v>708</v>
      </c>
      <c r="J36" s="5" t="s">
        <v>25</v>
      </c>
      <c r="M36" s="10" t="s">
        <v>39</v>
      </c>
    </row>
    <row r="37" spans="1:13" x14ac:dyDescent="0.35">
      <c r="A37" t="s">
        <v>709</v>
      </c>
      <c r="J37" s="5" t="s">
        <v>27</v>
      </c>
      <c r="M37" s="3" t="s">
        <v>40</v>
      </c>
    </row>
    <row r="38" spans="1:13" ht="186" x14ac:dyDescent="0.35">
      <c r="A38" t="s">
        <v>710</v>
      </c>
      <c r="D38" s="96" t="s">
        <v>644</v>
      </c>
      <c r="F38" s="102" t="s">
        <v>826</v>
      </c>
      <c r="J38" s="5" t="s">
        <v>25</v>
      </c>
      <c r="M38" s="10" t="s">
        <v>41</v>
      </c>
    </row>
    <row r="39" spans="1:13" ht="201.5" x14ac:dyDescent="0.35">
      <c r="A39" t="s">
        <v>716</v>
      </c>
      <c r="D39" s="96" t="s">
        <v>647</v>
      </c>
      <c r="F39" s="104" t="s">
        <v>603</v>
      </c>
      <c r="J39" s="5" t="s">
        <v>25</v>
      </c>
      <c r="M39" s="10" t="s">
        <v>42</v>
      </c>
    </row>
    <row r="40" spans="1:13" ht="27" x14ac:dyDescent="0.35">
      <c r="A40" t="s">
        <v>821</v>
      </c>
      <c r="F40" s="104" t="s">
        <v>103</v>
      </c>
      <c r="J40" s="5" t="s">
        <v>25</v>
      </c>
      <c r="M40" s="10" t="s">
        <v>43</v>
      </c>
    </row>
    <row r="41" spans="1:13" x14ac:dyDescent="0.35">
      <c r="A41" t="s">
        <v>717</v>
      </c>
      <c r="F41" s="104"/>
      <c r="J41" s="5" t="s">
        <v>32</v>
      </c>
      <c r="M41" s="10" t="s">
        <v>44</v>
      </c>
    </row>
    <row r="42" spans="1:13" ht="23" x14ac:dyDescent="0.35">
      <c r="A42" t="s">
        <v>718</v>
      </c>
      <c r="F42" s="104"/>
      <c r="J42" s="5" t="s">
        <v>25</v>
      </c>
      <c r="M42" s="10" t="s">
        <v>34</v>
      </c>
    </row>
    <row r="43" spans="1:13" ht="23" x14ac:dyDescent="0.35">
      <c r="A43" t="s">
        <v>719</v>
      </c>
      <c r="J43" s="5" t="s">
        <v>25</v>
      </c>
      <c r="M43" s="10" t="s">
        <v>45</v>
      </c>
    </row>
    <row r="44" spans="1:13" x14ac:dyDescent="0.35">
      <c r="J44" s="5" t="s">
        <v>25</v>
      </c>
      <c r="M44" s="10" t="s">
        <v>46</v>
      </c>
    </row>
    <row r="45" spans="1:13" ht="23" x14ac:dyDescent="0.35">
      <c r="J45" s="5" t="s">
        <v>27</v>
      </c>
      <c r="M45" s="10" t="s">
        <v>47</v>
      </c>
    </row>
    <row r="46" spans="1:13" x14ac:dyDescent="0.35">
      <c r="A46" s="126" t="s">
        <v>816</v>
      </c>
      <c r="M46" s="10" t="s">
        <v>48</v>
      </c>
    </row>
    <row r="47" spans="1:13" x14ac:dyDescent="0.35">
      <c r="A47" s="126" t="s">
        <v>820</v>
      </c>
      <c r="M47" s="10" t="s">
        <v>49</v>
      </c>
    </row>
    <row r="48" spans="1:13" x14ac:dyDescent="0.35">
      <c r="A48" s="126" t="s">
        <v>871</v>
      </c>
      <c r="M48" s="10" t="s">
        <v>50</v>
      </c>
    </row>
    <row r="49" spans="1:13" ht="130.5" x14ac:dyDescent="0.35">
      <c r="A49" s="126" t="s">
        <v>720</v>
      </c>
      <c r="B49" s="126" t="s">
        <v>827</v>
      </c>
      <c r="C49" s="6" t="s">
        <v>835</v>
      </c>
      <c r="D49" s="6" t="s">
        <v>837</v>
      </c>
      <c r="M49" s="10" t="s">
        <v>51</v>
      </c>
    </row>
    <row r="50" spans="1:13" ht="72.5" x14ac:dyDescent="0.35">
      <c r="A50" s="126" t="s">
        <v>721</v>
      </c>
      <c r="B50" s="134"/>
      <c r="C50" s="112" t="s">
        <v>836</v>
      </c>
      <c r="D50" s="112" t="s">
        <v>838</v>
      </c>
      <c r="M50" s="10" t="s">
        <v>52</v>
      </c>
    </row>
    <row r="51" spans="1:13" x14ac:dyDescent="0.35">
      <c r="A51" s="126" t="s">
        <v>722</v>
      </c>
      <c r="M51" s="3" t="s">
        <v>53</v>
      </c>
    </row>
    <row r="52" spans="1:13" x14ac:dyDescent="0.35">
      <c r="A52" s="126" t="s">
        <v>723</v>
      </c>
      <c r="M52" s="10" t="s">
        <v>54</v>
      </c>
    </row>
    <row r="53" spans="1:13" ht="16.5" x14ac:dyDescent="0.35">
      <c r="A53" s="126" t="s">
        <v>724</v>
      </c>
      <c r="C53" t="s">
        <v>843</v>
      </c>
      <c r="M53" s="10" t="s">
        <v>55</v>
      </c>
    </row>
    <row r="54" spans="1:13" x14ac:dyDescent="0.35">
      <c r="A54" s="126" t="s">
        <v>725</v>
      </c>
      <c r="C54" t="s">
        <v>839</v>
      </c>
      <c r="M54" s="10" t="s">
        <v>56</v>
      </c>
    </row>
    <row r="55" spans="1:13" ht="23" x14ac:dyDescent="0.35">
      <c r="A55" s="126" t="s">
        <v>726</v>
      </c>
      <c r="C55" t="s">
        <v>840</v>
      </c>
      <c r="M55" s="10" t="s">
        <v>57</v>
      </c>
    </row>
    <row r="56" spans="1:13" x14ac:dyDescent="0.35">
      <c r="A56" s="126" t="s">
        <v>772</v>
      </c>
      <c r="C56" t="s">
        <v>841</v>
      </c>
      <c r="M56" s="10" t="s">
        <v>58</v>
      </c>
    </row>
    <row r="57" spans="1:13" ht="23" x14ac:dyDescent="0.35">
      <c r="A57" s="134" t="s">
        <v>818</v>
      </c>
      <c r="C57" t="s">
        <v>842</v>
      </c>
      <c r="M57" s="10" t="s">
        <v>59</v>
      </c>
    </row>
    <row r="58" spans="1:13" ht="23" x14ac:dyDescent="0.35">
      <c r="A58" s="134" t="s">
        <v>817</v>
      </c>
      <c r="C58" t="s">
        <v>845</v>
      </c>
      <c r="M58" s="3" t="s">
        <v>60</v>
      </c>
    </row>
    <row r="59" spans="1:13" ht="34.5" x14ac:dyDescent="0.35">
      <c r="A59" s="126" t="s">
        <v>828</v>
      </c>
      <c r="M59" s="3" t="s">
        <v>61</v>
      </c>
    </row>
    <row r="60" spans="1:13" ht="23" x14ac:dyDescent="0.35">
      <c r="A60" s="134" t="s">
        <v>829</v>
      </c>
      <c r="M60" s="3" t="s">
        <v>62</v>
      </c>
    </row>
    <row r="61" spans="1:13" ht="35.5" x14ac:dyDescent="0.35">
      <c r="A61" s="134"/>
      <c r="M61" s="4" t="s">
        <v>92</v>
      </c>
    </row>
    <row r="62" spans="1:13" x14ac:dyDescent="0.35">
      <c r="A62" t="s">
        <v>63</v>
      </c>
      <c r="B62" s="1" t="s">
        <v>101</v>
      </c>
    </row>
    <row r="63" spans="1:13" x14ac:dyDescent="0.35">
      <c r="A63" s="8" t="s">
        <v>72</v>
      </c>
      <c r="B63" s="3" t="s">
        <v>97</v>
      </c>
    </row>
    <row r="64" spans="1:13" x14ac:dyDescent="0.35">
      <c r="A64" s="7" t="s">
        <v>75</v>
      </c>
      <c r="B64" s="3" t="s">
        <v>99</v>
      </c>
    </row>
    <row r="65" spans="1:2" x14ac:dyDescent="0.35">
      <c r="A65" s="7" t="s">
        <v>76</v>
      </c>
      <c r="B65" s="3" t="s">
        <v>98</v>
      </c>
    </row>
    <row r="66" spans="1:2" x14ac:dyDescent="0.35">
      <c r="A66" s="7" t="s">
        <v>77</v>
      </c>
      <c r="B66" s="1" t="s">
        <v>100</v>
      </c>
    </row>
    <row r="67" spans="1:2" x14ac:dyDescent="0.35">
      <c r="A67" s="7" t="s">
        <v>78</v>
      </c>
      <c r="B67" s="1" t="s">
        <v>100</v>
      </c>
    </row>
    <row r="68" spans="1:2" x14ac:dyDescent="0.35">
      <c r="A68" s="7" t="s">
        <v>74</v>
      </c>
      <c r="B68" s="1" t="s">
        <v>100</v>
      </c>
    </row>
    <row r="69" spans="1:2" x14ac:dyDescent="0.35">
      <c r="A69" s="7" t="s">
        <v>851</v>
      </c>
    </row>
    <row r="70" spans="1:2" x14ac:dyDescent="0.35">
      <c r="A70" t="str">
        <f>IF(B15="Gmina","1)  w przypadku gminy - wójta (burmistrza, prezydenta miasta)",IF(B15="Powiat","3)  w przypadku powiatu - starostę)",IF(B15="Związek międzygminny","2)  w przypadku związku międzygminnego - zarząd związku",IF(B15="Organizacja pożytku publicznego","4)  w przypadku jednoosobowej spółki gminnej, spółki celowej i organizacji pożytku publicznego - osobę lub osoby uprawnione do składania oświadczeń woli w imieniu spółki i organizacji (należy dołączyć aktualny dokument potwierdzający uprawnienia)",IF(B15="Spółka celowa","4)  w przypadku jednoosobowej spółki gminnej, spółki celowej i organizacji pożytku publicznego - osobę lub osoby uprawnione do składania oświadczeń woli w imieniu spółki i organizacji (należy dołączyć aktualny dokument potwierdzający uprawnienia)",IF(B15="Jednoosobowa spółka gminna","4)  w przypadku jednoosobowej spółki gminnej, spółki celowej i organizacji pożytku publicznego - osobę lub osoby uprawnione do składania oświadczeń woli w imieniu spółki i organizacji (należy dołączyć aktualny dokument potwierdzający uprawnienia)",IF(B15="","")))))))</f>
        <v/>
      </c>
    </row>
    <row r="71" spans="1:2" x14ac:dyDescent="0.35">
      <c r="A71" t="s">
        <v>733</v>
      </c>
    </row>
    <row r="73" spans="1:2" x14ac:dyDescent="0.35">
      <c r="A73" t="s">
        <v>734</v>
      </c>
    </row>
    <row r="165" spans="3:7" x14ac:dyDescent="0.35">
      <c r="F165" s="81" t="s">
        <v>132</v>
      </c>
    </row>
    <row r="166" spans="3:7" x14ac:dyDescent="0.35">
      <c r="C166" s="147" t="s">
        <v>132</v>
      </c>
      <c r="D166" s="147" t="s">
        <v>132</v>
      </c>
      <c r="F166" s="81"/>
    </row>
    <row r="167" spans="3:7" ht="15" thickBot="1" x14ac:dyDescent="0.4">
      <c r="C167" s="147"/>
      <c r="D167" s="147"/>
      <c r="F167" s="82"/>
    </row>
    <row r="168" spans="3:7" ht="15" thickBot="1" x14ac:dyDescent="0.4">
      <c r="C168" s="148"/>
      <c r="D168" s="148"/>
      <c r="F168" s="56">
        <v>0.5</v>
      </c>
    </row>
    <row r="169" spans="3:7" ht="15" thickBot="1" x14ac:dyDescent="0.4">
      <c r="C169" s="56">
        <v>0.8</v>
      </c>
      <c r="D169" s="24">
        <v>0.25</v>
      </c>
      <c r="E169" s="56">
        <v>0</v>
      </c>
      <c r="F169" s="57">
        <v>0.8</v>
      </c>
      <c r="G169" s="57">
        <v>0.2</v>
      </c>
    </row>
    <row r="170" spans="3:7" x14ac:dyDescent="0.35">
      <c r="C170" s="56">
        <v>0.9</v>
      </c>
      <c r="D170" s="22">
        <v>0.25</v>
      </c>
      <c r="E170" s="56">
        <v>0.1</v>
      </c>
      <c r="F170" s="57">
        <v>0.9</v>
      </c>
      <c r="G170" s="57">
        <v>0.45</v>
      </c>
    </row>
    <row r="171" spans="3:7" x14ac:dyDescent="0.35">
      <c r="C171" s="57">
        <v>0.9</v>
      </c>
      <c r="D171" s="23">
        <v>0.8</v>
      </c>
      <c r="E171" s="56">
        <v>0.1</v>
      </c>
    </row>
    <row r="172" spans="3:7" ht="15" thickBot="1" x14ac:dyDescent="0.4">
      <c r="D172" s="24">
        <v>0.45</v>
      </c>
    </row>
    <row r="173" spans="3:7" x14ac:dyDescent="0.35">
      <c r="D173" s="22">
        <v>0.5</v>
      </c>
    </row>
    <row r="174" spans="3:7" x14ac:dyDescent="0.35">
      <c r="D174" s="23">
        <v>0.6</v>
      </c>
    </row>
    <row r="175" spans="3:7" ht="15" thickBot="1" x14ac:dyDescent="0.4">
      <c r="D175" s="24">
        <v>0.6</v>
      </c>
    </row>
    <row r="176" spans="3:7" x14ac:dyDescent="0.35">
      <c r="D176" s="22"/>
    </row>
    <row r="177" spans="1:4" x14ac:dyDescent="0.35">
      <c r="D177" s="23"/>
    </row>
    <row r="178" spans="1:4" x14ac:dyDescent="0.35">
      <c r="D178" s="23"/>
    </row>
    <row r="179" spans="1:4" ht="15" thickBot="1" x14ac:dyDescent="0.4">
      <c r="B179" t="s">
        <v>162</v>
      </c>
      <c r="D179" s="24"/>
    </row>
    <row r="180" spans="1:4" x14ac:dyDescent="0.35">
      <c r="B180">
        <v>2018</v>
      </c>
      <c r="D180" s="22"/>
    </row>
    <row r="181" spans="1:4" x14ac:dyDescent="0.35">
      <c r="A181" t="s">
        <v>161</v>
      </c>
      <c r="B181">
        <v>2019</v>
      </c>
      <c r="D181" s="23"/>
    </row>
    <row r="182" spans="1:4" ht="15" thickBot="1" x14ac:dyDescent="0.4">
      <c r="A182" t="s">
        <v>149</v>
      </c>
      <c r="B182">
        <v>2020</v>
      </c>
      <c r="D182" s="24"/>
    </row>
    <row r="183" spans="1:4" x14ac:dyDescent="0.35">
      <c r="A183" t="s">
        <v>150</v>
      </c>
      <c r="B183">
        <v>2021</v>
      </c>
      <c r="D183" s="22"/>
    </row>
    <row r="184" spans="1:4" x14ac:dyDescent="0.35">
      <c r="A184" t="s">
        <v>151</v>
      </c>
      <c r="B184">
        <v>2022</v>
      </c>
      <c r="D184" s="23"/>
    </row>
    <row r="185" spans="1:4" x14ac:dyDescent="0.35">
      <c r="A185" t="s">
        <v>152</v>
      </c>
      <c r="B185">
        <v>2023</v>
      </c>
      <c r="D185" s="23"/>
    </row>
    <row r="186" spans="1:4" ht="15" thickBot="1" x14ac:dyDescent="0.4">
      <c r="A186" t="s">
        <v>153</v>
      </c>
      <c r="B186">
        <v>2024</v>
      </c>
      <c r="D186" s="24"/>
    </row>
    <row r="187" spans="1:4" x14ac:dyDescent="0.35">
      <c r="A187" t="s">
        <v>154</v>
      </c>
      <c r="B187">
        <v>2025</v>
      </c>
      <c r="D187" s="22"/>
    </row>
    <row r="188" spans="1:4" x14ac:dyDescent="0.35">
      <c r="A188" t="s">
        <v>155</v>
      </c>
      <c r="B188">
        <v>2026</v>
      </c>
      <c r="D188" s="23"/>
    </row>
    <row r="189" spans="1:4" ht="15" thickBot="1" x14ac:dyDescent="0.4">
      <c r="A189" t="s">
        <v>156</v>
      </c>
      <c r="B189">
        <v>2027</v>
      </c>
      <c r="D189" s="24"/>
    </row>
    <row r="190" spans="1:4" ht="15" thickBot="1" x14ac:dyDescent="0.4">
      <c r="A190" t="s">
        <v>157</v>
      </c>
      <c r="B190">
        <v>2028</v>
      </c>
      <c r="D190" s="25"/>
    </row>
    <row r="191" spans="1:4" ht="15" thickBot="1" x14ac:dyDescent="0.4">
      <c r="A191" t="s">
        <v>158</v>
      </c>
      <c r="B191">
        <v>2029</v>
      </c>
      <c r="D191" s="25"/>
    </row>
    <row r="192" spans="1:4" ht="15" thickBot="1" x14ac:dyDescent="0.4">
      <c r="A192" t="s">
        <v>159</v>
      </c>
      <c r="D192" s="25"/>
    </row>
    <row r="193" spans="1:4" ht="15" thickBot="1" x14ac:dyDescent="0.4">
      <c r="A193" t="s">
        <v>160</v>
      </c>
      <c r="D193" s="25"/>
    </row>
    <row r="194" spans="1:4" ht="15" thickBot="1" x14ac:dyDescent="0.4">
      <c r="D194" s="25"/>
    </row>
    <row r="195" spans="1:4" x14ac:dyDescent="0.35">
      <c r="A195" t="s">
        <v>163</v>
      </c>
      <c r="D195" s="22"/>
    </row>
    <row r="196" spans="1:4" x14ac:dyDescent="0.35">
      <c r="A196" t="s">
        <v>164</v>
      </c>
      <c r="D196" s="23"/>
    </row>
    <row r="197" spans="1:4" ht="15" thickBot="1" x14ac:dyDescent="0.4">
      <c r="A197" t="s">
        <v>165</v>
      </c>
      <c r="D197" s="24"/>
    </row>
    <row r="198" spans="1:4" x14ac:dyDescent="0.35">
      <c r="A198" t="s">
        <v>166</v>
      </c>
      <c r="D198" s="20"/>
    </row>
    <row r="199" spans="1:4" ht="15" thickBot="1" x14ac:dyDescent="0.4">
      <c r="D199" s="19"/>
    </row>
    <row r="200" spans="1:4" ht="15" thickBot="1" x14ac:dyDescent="0.4">
      <c r="A200" s="55" t="s">
        <v>131</v>
      </c>
      <c r="D200" s="21"/>
    </row>
  </sheetData>
  <mergeCells count="2">
    <mergeCell ref="D166:D168"/>
    <mergeCell ref="C166:C168"/>
  </mergeCells>
  <conditionalFormatting sqref="A200">
    <cfRule type="expression" dxfId="13" priority="73">
      <formula>IF($B$1=#REF!,1,0)</formula>
    </cfRule>
  </conditionalFormatting>
  <conditionalFormatting sqref="A95:AA95">
    <cfRule type="expression" priority="3612">
      <formula>IF(#REF!=$P$2,1,0)</formula>
    </cfRule>
  </conditionalFormatting>
  <conditionalFormatting sqref="C16">
    <cfRule type="expression" dxfId="12" priority="2">
      <formula>IF(C16="",1,0)</formula>
    </cfRule>
  </conditionalFormatting>
  <conditionalFormatting sqref="D169 D171:D172 D174:D175 D177:D179 D181:D182 D184:D188 D190:D194 D196:D197 D199:D200">
    <cfRule type="expression" dxfId="11" priority="12">
      <formula>IF($B$2=$B$7,1,0)</formula>
    </cfRule>
  </conditionalFormatting>
  <conditionalFormatting sqref="D169:D170 D172:D177 D179:D184 D186 D188:D191 D195 D197:D198 D200">
    <cfRule type="expression" dxfId="10" priority="8">
      <formula>IF($B$2=$B$12,1,0)</formula>
    </cfRule>
  </conditionalFormatting>
  <conditionalFormatting sqref="D169:D172 D176:D179 D183:D200 A200">
    <cfRule type="expression" dxfId="9" priority="6">
      <formula>IF($B$3=$A$29,1,0)</formula>
    </cfRule>
  </conditionalFormatting>
  <conditionalFormatting sqref="D169:D173 D175:D180 D182:D200 A200">
    <cfRule type="expression" dxfId="8" priority="11">
      <formula>IF($B$2=$B$8,1,0)</formula>
    </cfRule>
  </conditionalFormatting>
  <conditionalFormatting sqref="D169:D176 D178:D183 D185:D200 A200">
    <cfRule type="expression" dxfId="7" priority="9">
      <formula>IF($B$2=$B$11,1,0)</formula>
    </cfRule>
  </conditionalFormatting>
  <conditionalFormatting sqref="D169:D200">
    <cfRule type="expression" dxfId="6" priority="67">
      <formula>IF($B$1=#REF!,1,0)</formula>
    </cfRule>
  </conditionalFormatting>
  <conditionalFormatting sqref="D170:D171 D173:D174 D176:D178 D180:D181 D183:D185 D187 D189 D191:D196 D198:D199">
    <cfRule type="expression" dxfId="5" priority="10">
      <formula>IF($B$2=$B$9,1,0)</formula>
    </cfRule>
  </conditionalFormatting>
  <conditionalFormatting sqref="D170:D200 A200">
    <cfRule type="expression" dxfId="4" priority="7">
      <formula>IF($B$3=$A$28,1,0)</formula>
    </cfRule>
  </conditionalFormatting>
  <conditionalFormatting sqref="AW2:CG3">
    <cfRule type="expression" dxfId="3" priority="5">
      <formula>IF($A$123=$P$2,1,0)</formula>
    </cfRule>
  </conditionalFormatting>
  <hyperlinks>
    <hyperlink ref="H2" location="_edn1" display="_edn1" xr:uid="{00000000-0004-0000-1100-000000000000}"/>
    <hyperlink ref="J34" location="_ednref1" display="_ednref1" xr:uid="{00000000-0004-0000-1100-000001000000}"/>
    <hyperlink ref="J35" location="_ednref2" display="_ednref2" xr:uid="{00000000-0004-0000-1100-000002000000}"/>
    <hyperlink ref="J36" location="_ednref3" display="_ednref3" xr:uid="{00000000-0004-0000-1100-000003000000}"/>
    <hyperlink ref="J37" location="_ednref4" display="_ednref4" xr:uid="{00000000-0004-0000-1100-000004000000}"/>
    <hyperlink ref="J38" location="_ednref5" display="_ednref5" xr:uid="{00000000-0004-0000-1100-000005000000}"/>
    <hyperlink ref="J39" location="_ednref6" display="_ednref6" xr:uid="{00000000-0004-0000-1100-000006000000}"/>
    <hyperlink ref="J40" location="_ednref7" display="_ednref7" xr:uid="{00000000-0004-0000-1100-000007000000}"/>
    <hyperlink ref="J41" location="_ednref8" display="_ednref8" xr:uid="{00000000-0004-0000-1100-000008000000}"/>
    <hyperlink ref="J42" location="_ednref9" display="_ednref9" xr:uid="{00000000-0004-0000-1100-000009000000}"/>
    <hyperlink ref="J43" location="_ednref10" display="_ednref10" xr:uid="{00000000-0004-0000-1100-00000A000000}"/>
    <hyperlink ref="J44" location="_ednref11" display="_ednref11" xr:uid="{00000000-0004-0000-1100-00000B000000}"/>
    <hyperlink ref="J45" location="_ednref12" display="_ednref12" xr:uid="{00000000-0004-0000-1100-00000C000000}"/>
    <hyperlink ref="H3" location="_edn1" display="_edn1" xr:uid="{00000000-0004-0000-1100-00000D000000}"/>
    <hyperlink ref="I2:I7" location="_edn1" display="_edn1" xr:uid="{00000000-0004-0000-1100-00000E000000}"/>
    <hyperlink ref="I11:I13" location="_edn1" display="_edn1" xr:uid="{00000000-0004-0000-1100-00000F000000}"/>
    <hyperlink ref="D33" location="_ftnref1" display="_ftnref1" xr:uid="{00000000-0004-0000-1100-00001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Arkusz13"/>
  <dimension ref="A1:Q9"/>
  <sheetViews>
    <sheetView view="pageBreakPreview" topLeftCell="A2" zoomScale="80" zoomScaleNormal="100" zoomScaleSheetLayoutView="80" workbookViewId="0">
      <selection activeCell="A133" sqref="A133:AL133"/>
    </sheetView>
  </sheetViews>
  <sheetFormatPr defaultRowHeight="14.5" x14ac:dyDescent="0.35"/>
  <cols>
    <col min="1" max="1" width="73.7265625" customWidth="1"/>
    <col min="2" max="2" width="53.54296875" customWidth="1"/>
    <col min="4" max="4" width="21.453125" customWidth="1"/>
    <col min="6" max="6" width="30.453125" bestFit="1" customWidth="1"/>
    <col min="7" max="7" width="71" customWidth="1"/>
    <col min="8" max="8" width="16.54296875" customWidth="1"/>
    <col min="17" max="17" width="48.26953125" customWidth="1"/>
  </cols>
  <sheetData>
    <row r="1" spans="1:17" ht="51" customHeight="1" x14ac:dyDescent="0.35">
      <c r="A1" s="97" t="s">
        <v>184</v>
      </c>
      <c r="B1" s="3" t="s">
        <v>0</v>
      </c>
      <c r="C1" s="56">
        <v>0.8</v>
      </c>
      <c r="F1" t="s">
        <v>63</v>
      </c>
      <c r="G1" s="6" t="s">
        <v>73</v>
      </c>
      <c r="O1" s="6" t="s">
        <v>684</v>
      </c>
      <c r="Q1" s="111" t="s">
        <v>686</v>
      </c>
    </row>
    <row r="2" spans="1:17" ht="73.5" customHeight="1" x14ac:dyDescent="0.35">
      <c r="A2" s="96" t="s">
        <v>637</v>
      </c>
      <c r="B2" s="119" t="s">
        <v>680</v>
      </c>
      <c r="D2" s="1" t="s">
        <v>124</v>
      </c>
      <c r="E2" t="s">
        <v>122</v>
      </c>
      <c r="F2" s="8" t="s">
        <v>72</v>
      </c>
      <c r="G2" s="6" t="s">
        <v>79</v>
      </c>
      <c r="H2" t="s">
        <v>168</v>
      </c>
      <c r="I2" s="70" t="s">
        <v>167</v>
      </c>
      <c r="O2" s="6" t="s">
        <v>685</v>
      </c>
      <c r="Q2" s="118" t="s">
        <v>670</v>
      </c>
    </row>
    <row r="3" spans="1:17" ht="116" customHeight="1" x14ac:dyDescent="0.35">
      <c r="A3" s="96" t="s">
        <v>638</v>
      </c>
      <c r="B3" s="96" t="s">
        <v>681</v>
      </c>
      <c r="E3" t="s">
        <v>121</v>
      </c>
      <c r="F3" s="7" t="s">
        <v>76</v>
      </c>
      <c r="G3" s="6" t="s">
        <v>81</v>
      </c>
      <c r="H3" t="s">
        <v>85</v>
      </c>
      <c r="I3" t="s">
        <v>86</v>
      </c>
      <c r="Q3" s="118" t="s">
        <v>676</v>
      </c>
    </row>
    <row r="4" spans="1:17" ht="129.5" customHeight="1" x14ac:dyDescent="0.35">
      <c r="A4" s="96" t="s">
        <v>639</v>
      </c>
      <c r="B4" s="96" t="s">
        <v>610</v>
      </c>
      <c r="F4" s="7" t="s">
        <v>74</v>
      </c>
      <c r="G4" s="6" t="s">
        <v>83</v>
      </c>
      <c r="Q4" s="120" t="s">
        <v>689</v>
      </c>
    </row>
    <row r="5" spans="1:17" ht="126.5" customHeight="1" x14ac:dyDescent="0.35">
      <c r="A5" s="96" t="s">
        <v>640</v>
      </c>
      <c r="B5" s="96" t="s">
        <v>682</v>
      </c>
      <c r="F5" t="s">
        <v>185</v>
      </c>
      <c r="G5" s="6" t="s">
        <v>80</v>
      </c>
      <c r="Q5" s="120" t="s">
        <v>688</v>
      </c>
    </row>
    <row r="6" spans="1:17" ht="126.5" customHeight="1" x14ac:dyDescent="0.35">
      <c r="A6" s="96" t="s">
        <v>641</v>
      </c>
      <c r="B6" s="119" t="s">
        <v>683</v>
      </c>
      <c r="F6" s="98" t="s">
        <v>186</v>
      </c>
      <c r="Q6" s="111"/>
    </row>
    <row r="8" spans="1:17" ht="15.5" x14ac:dyDescent="0.35">
      <c r="A8" s="113"/>
    </row>
    <row r="9" spans="1:17" ht="39" x14ac:dyDescent="0.35">
      <c r="A9" s="2" t="s">
        <v>650</v>
      </c>
      <c r="B9" s="114" t="s">
        <v>651</v>
      </c>
    </row>
  </sheetData>
  <sheetProtection algorithmName="SHA-512" hashValue="EGbmY9/+MBGI4Fp1ZUaW6yR7zHpWNkglq+QQb1N4xulpwohUeApVegvzu1xKpJFOkgDa4OUIzuN9R+gqi1j8wQ==" saltValue="Cihlka9iOBNoQ6WEwrV5Zw==" spinCount="100000" sheet="1" objects="1" scenarios="1"/>
  <hyperlinks>
    <hyperlink ref="A6" location="_ftn1" display="_ftn1" xr:uid="{00000000-0004-0000-1200-000000000000}"/>
    <hyperlink ref="A9" location="_ftnref1" display="_ftnref1" xr:uid="{00000000-0004-0000-1200-000001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X12"/>
  <sheetViews>
    <sheetView topLeftCell="A2" zoomScale="70" zoomScaleNormal="70" workbookViewId="0">
      <selection activeCell="A133" sqref="A133:AL133"/>
    </sheetView>
  </sheetViews>
  <sheetFormatPr defaultRowHeight="14.5" x14ac:dyDescent="0.35"/>
  <cols>
    <col min="1" max="1" width="57.26953125" customWidth="1"/>
    <col min="2" max="2" width="74" customWidth="1"/>
    <col min="3" max="3" width="77.6328125" bestFit="1" customWidth="1"/>
    <col min="4" max="4" width="25.7265625" customWidth="1"/>
  </cols>
  <sheetData>
    <row r="1" spans="1:50" ht="15" x14ac:dyDescent="0.35">
      <c r="A1" s="100" t="s">
        <v>583</v>
      </c>
      <c r="B1" s="100" t="s">
        <v>584</v>
      </c>
    </row>
    <row r="2" spans="1:50" ht="147.65" customHeight="1" x14ac:dyDescent="0.35">
      <c r="A2" s="96" t="s">
        <v>648</v>
      </c>
      <c r="B2" s="96" t="s">
        <v>700</v>
      </c>
      <c r="C2" s="96" t="s">
        <v>701</v>
      </c>
      <c r="D2" s="96" t="s">
        <v>702</v>
      </c>
    </row>
    <row r="3" spans="1:50" ht="210.65" customHeight="1" x14ac:dyDescent="0.35">
      <c r="A3" s="119" t="s">
        <v>649</v>
      </c>
      <c r="B3" t="s">
        <v>585</v>
      </c>
      <c r="D3" s="96" t="s">
        <v>703</v>
      </c>
      <c r="M3" s="354" t="s">
        <v>594</v>
      </c>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row>
    <row r="4" spans="1:50" ht="72.5" x14ac:dyDescent="0.35">
      <c r="B4" s="6" t="s">
        <v>593</v>
      </c>
      <c r="C4" t="s">
        <v>612</v>
      </c>
      <c r="M4" t="s">
        <v>597</v>
      </c>
    </row>
    <row r="5" spans="1:50" x14ac:dyDescent="0.35">
      <c r="B5" t="s">
        <v>586</v>
      </c>
      <c r="C5" t="s">
        <v>613</v>
      </c>
      <c r="M5" t="s">
        <v>598</v>
      </c>
    </row>
    <row r="6" spans="1:50" x14ac:dyDescent="0.35">
      <c r="B6" t="s">
        <v>587</v>
      </c>
      <c r="C6" t="s">
        <v>614</v>
      </c>
    </row>
    <row r="7" spans="1:50" x14ac:dyDescent="0.35">
      <c r="B7" t="s">
        <v>588</v>
      </c>
      <c r="C7" t="s">
        <v>615</v>
      </c>
    </row>
    <row r="8" spans="1:50" x14ac:dyDescent="0.35">
      <c r="B8" t="s">
        <v>589</v>
      </c>
      <c r="C8" t="s">
        <v>616</v>
      </c>
    </row>
    <row r="9" spans="1:50" ht="43.5" x14ac:dyDescent="0.35">
      <c r="B9" s="6" t="s">
        <v>590</v>
      </c>
      <c r="C9" t="s">
        <v>617</v>
      </c>
    </row>
    <row r="10" spans="1:50" x14ac:dyDescent="0.35">
      <c r="B10" t="s">
        <v>591</v>
      </c>
      <c r="C10" t="s">
        <v>618</v>
      </c>
    </row>
    <row r="11" spans="1:50" x14ac:dyDescent="0.35">
      <c r="B11" t="s">
        <v>592</v>
      </c>
      <c r="C11" t="s">
        <v>103</v>
      </c>
    </row>
    <row r="12" spans="1:50" x14ac:dyDescent="0.35">
      <c r="B12" t="s">
        <v>103</v>
      </c>
    </row>
  </sheetData>
  <sheetProtection algorithmName="SHA-512" hashValue="7i92DReyUzQH2T1fiZ5nzR33q1rN7Sqedatu1reqeXqS6AjzJERvnzCNPbaWlklBnXXmc01u4MOuj3Fb62F8VQ==" saltValue="9Cgkr78EQLwUUXGHggQhHQ==" spinCount="100000" sheet="1" objects="1" scenarios="1"/>
  <mergeCells count="1">
    <mergeCell ref="M3:AX3"/>
  </mergeCells>
  <conditionalFormatting sqref="M3">
    <cfRule type="expression" dxfId="2" priority="4">
      <formula>IF(#REF!="",1,0)</formula>
    </cfRule>
  </conditionalFormatting>
  <dataValidations count="1">
    <dataValidation allowBlank="1" showErrorMessage="1" promptTitle="Wybierz" prompt="właściwe" sqref="M3" xr:uid="{00000000-0002-0000-1300-000000000000}"/>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1" id="{5AB7C3AF-C7F0-49E9-8A20-52036E5AF7CE}">
            <xm:f>IF(#REF!=Słowniki!$P$2,1,0)</xm:f>
            <x14:dxf>
              <font>
                <strike/>
              </font>
            </x14:dxf>
          </x14:cfRule>
          <xm:sqref>M3:AX3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81"/>
  <sheetViews>
    <sheetView topLeftCell="A316" workbookViewId="0">
      <selection activeCell="B332" sqref="B332"/>
    </sheetView>
  </sheetViews>
  <sheetFormatPr defaultRowHeight="14.5" x14ac:dyDescent="0.35"/>
  <cols>
    <col min="1" max="1" width="22.26953125" bestFit="1" customWidth="1"/>
    <col min="5" max="5" width="22.26953125" bestFit="1" customWidth="1"/>
    <col min="6" max="6" width="11" customWidth="1"/>
  </cols>
  <sheetData>
    <row r="1" spans="1:6" x14ac:dyDescent="0.35">
      <c r="A1" t="s">
        <v>577</v>
      </c>
      <c r="E1" t="s">
        <v>577</v>
      </c>
      <c r="F1" t="s">
        <v>578</v>
      </c>
    </row>
    <row r="2" spans="1:6" x14ac:dyDescent="0.35">
      <c r="A2" t="s">
        <v>191</v>
      </c>
      <c r="E2" t="s">
        <v>191</v>
      </c>
      <c r="F2" t="s">
        <v>192</v>
      </c>
    </row>
    <row r="3" spans="1:6" x14ac:dyDescent="0.35">
      <c r="A3" t="s">
        <v>222</v>
      </c>
      <c r="E3" t="s">
        <v>191</v>
      </c>
      <c r="F3" t="s">
        <v>193</v>
      </c>
    </row>
    <row r="4" spans="1:6" x14ac:dyDescent="0.35">
      <c r="A4" t="s">
        <v>246</v>
      </c>
      <c r="E4" t="s">
        <v>191</v>
      </c>
      <c r="F4" t="s">
        <v>194</v>
      </c>
    </row>
    <row r="5" spans="1:6" x14ac:dyDescent="0.35">
      <c r="A5" t="s">
        <v>270</v>
      </c>
      <c r="E5" t="s">
        <v>191</v>
      </c>
      <c r="F5" t="s">
        <v>195</v>
      </c>
    </row>
    <row r="6" spans="1:6" x14ac:dyDescent="0.35">
      <c r="A6" t="s">
        <v>285</v>
      </c>
      <c r="E6" t="s">
        <v>191</v>
      </c>
      <c r="F6" t="s">
        <v>196</v>
      </c>
    </row>
    <row r="7" spans="1:6" x14ac:dyDescent="0.35">
      <c r="A7" t="s">
        <v>309</v>
      </c>
      <c r="E7" t="s">
        <v>191</v>
      </c>
      <c r="F7" t="s">
        <v>197</v>
      </c>
    </row>
    <row r="8" spans="1:6" x14ac:dyDescent="0.35">
      <c r="A8" t="s">
        <v>332</v>
      </c>
      <c r="E8" t="s">
        <v>191</v>
      </c>
      <c r="F8" t="s">
        <v>198</v>
      </c>
    </row>
    <row r="9" spans="1:6" x14ac:dyDescent="0.35">
      <c r="A9" t="s">
        <v>375</v>
      </c>
      <c r="E9" t="s">
        <v>191</v>
      </c>
      <c r="F9" t="s">
        <v>199</v>
      </c>
    </row>
    <row r="10" spans="1:6" x14ac:dyDescent="0.35">
      <c r="A10" t="s">
        <v>386</v>
      </c>
      <c r="E10" t="s">
        <v>191</v>
      </c>
      <c r="F10" t="s">
        <v>200</v>
      </c>
    </row>
    <row r="11" spans="1:6" x14ac:dyDescent="0.35">
      <c r="A11" t="s">
        <v>411</v>
      </c>
      <c r="E11" t="s">
        <v>191</v>
      </c>
      <c r="F11" t="s">
        <v>201</v>
      </c>
    </row>
    <row r="12" spans="1:6" x14ac:dyDescent="0.35">
      <c r="A12" t="s">
        <v>429</v>
      </c>
      <c r="E12" t="s">
        <v>191</v>
      </c>
      <c r="F12" t="s">
        <v>202</v>
      </c>
    </row>
    <row r="13" spans="1:6" x14ac:dyDescent="0.35">
      <c r="A13" t="s">
        <v>449</v>
      </c>
      <c r="E13" t="s">
        <v>191</v>
      </c>
      <c r="F13" t="s">
        <v>203</v>
      </c>
    </row>
    <row r="14" spans="1:6" x14ac:dyDescent="0.35">
      <c r="A14" t="s">
        <v>485</v>
      </c>
      <c r="E14" t="s">
        <v>191</v>
      </c>
      <c r="F14" t="s">
        <v>204</v>
      </c>
    </row>
    <row r="15" spans="1:6" x14ac:dyDescent="0.35">
      <c r="A15" t="s">
        <v>500</v>
      </c>
      <c r="E15" t="s">
        <v>191</v>
      </c>
      <c r="F15" t="s">
        <v>205</v>
      </c>
    </row>
    <row r="16" spans="1:6" x14ac:dyDescent="0.35">
      <c r="A16" t="s">
        <v>522</v>
      </c>
      <c r="E16" t="s">
        <v>191</v>
      </c>
      <c r="F16" t="s">
        <v>206</v>
      </c>
    </row>
    <row r="17" spans="1:6" x14ac:dyDescent="0.35">
      <c r="A17" t="s">
        <v>555</v>
      </c>
      <c r="E17" t="s">
        <v>191</v>
      </c>
      <c r="F17" t="s">
        <v>207</v>
      </c>
    </row>
    <row r="18" spans="1:6" x14ac:dyDescent="0.35">
      <c r="E18" t="s">
        <v>191</v>
      </c>
      <c r="F18" t="s">
        <v>208</v>
      </c>
    </row>
    <row r="19" spans="1:6" x14ac:dyDescent="0.35">
      <c r="E19" t="s">
        <v>191</v>
      </c>
      <c r="F19" t="s">
        <v>209</v>
      </c>
    </row>
    <row r="20" spans="1:6" x14ac:dyDescent="0.35">
      <c r="E20" t="s">
        <v>191</v>
      </c>
      <c r="F20" t="s">
        <v>210</v>
      </c>
    </row>
    <row r="21" spans="1:6" x14ac:dyDescent="0.35">
      <c r="E21" t="s">
        <v>191</v>
      </c>
      <c r="F21" t="s">
        <v>211</v>
      </c>
    </row>
    <row r="22" spans="1:6" x14ac:dyDescent="0.35">
      <c r="E22" t="s">
        <v>191</v>
      </c>
      <c r="F22" t="s">
        <v>212</v>
      </c>
    </row>
    <row r="23" spans="1:6" x14ac:dyDescent="0.35">
      <c r="E23" t="s">
        <v>191</v>
      </c>
      <c r="F23" t="s">
        <v>213</v>
      </c>
    </row>
    <row r="24" spans="1:6" x14ac:dyDescent="0.35">
      <c r="E24" t="s">
        <v>191</v>
      </c>
      <c r="F24" t="s">
        <v>214</v>
      </c>
    </row>
    <row r="25" spans="1:6" x14ac:dyDescent="0.35">
      <c r="E25" t="s">
        <v>191</v>
      </c>
      <c r="F25" t="s">
        <v>215</v>
      </c>
    </row>
    <row r="26" spans="1:6" x14ac:dyDescent="0.35">
      <c r="E26" t="s">
        <v>191</v>
      </c>
      <c r="F26" t="s">
        <v>216</v>
      </c>
    </row>
    <row r="27" spans="1:6" x14ac:dyDescent="0.35">
      <c r="E27" t="s">
        <v>191</v>
      </c>
      <c r="F27" t="s">
        <v>217</v>
      </c>
    </row>
    <row r="28" spans="1:6" x14ac:dyDescent="0.35">
      <c r="E28" t="s">
        <v>191</v>
      </c>
      <c r="F28" t="s">
        <v>218</v>
      </c>
    </row>
    <row r="29" spans="1:6" x14ac:dyDescent="0.35">
      <c r="E29" t="s">
        <v>191</v>
      </c>
      <c r="F29" t="s">
        <v>219</v>
      </c>
    </row>
    <row r="30" spans="1:6" x14ac:dyDescent="0.35">
      <c r="E30" t="s">
        <v>191</v>
      </c>
      <c r="F30" t="s">
        <v>220</v>
      </c>
    </row>
    <row r="31" spans="1:6" x14ac:dyDescent="0.35">
      <c r="E31" t="s">
        <v>191</v>
      </c>
      <c r="F31" t="s">
        <v>221</v>
      </c>
    </row>
    <row r="32" spans="1:6" x14ac:dyDescent="0.35">
      <c r="E32" t="s">
        <v>222</v>
      </c>
      <c r="F32" t="s">
        <v>223</v>
      </c>
    </row>
    <row r="33" spans="5:6" x14ac:dyDescent="0.35">
      <c r="E33" t="s">
        <v>222</v>
      </c>
      <c r="F33" t="s">
        <v>224</v>
      </c>
    </row>
    <row r="34" spans="5:6" x14ac:dyDescent="0.35">
      <c r="E34" t="s">
        <v>222</v>
      </c>
      <c r="F34" t="s">
        <v>225</v>
      </c>
    </row>
    <row r="35" spans="5:6" x14ac:dyDescent="0.35">
      <c r="E35" t="s">
        <v>222</v>
      </c>
      <c r="F35" t="s">
        <v>226</v>
      </c>
    </row>
    <row r="36" spans="5:6" x14ac:dyDescent="0.35">
      <c r="E36" t="s">
        <v>222</v>
      </c>
      <c r="F36" t="s">
        <v>227</v>
      </c>
    </row>
    <row r="37" spans="5:6" x14ac:dyDescent="0.35">
      <c r="E37" t="s">
        <v>222</v>
      </c>
      <c r="F37" t="s">
        <v>228</v>
      </c>
    </row>
    <row r="38" spans="5:6" x14ac:dyDescent="0.35">
      <c r="E38" t="s">
        <v>222</v>
      </c>
      <c r="F38" t="s">
        <v>229</v>
      </c>
    </row>
    <row r="39" spans="5:6" x14ac:dyDescent="0.35">
      <c r="E39" t="s">
        <v>222</v>
      </c>
      <c r="F39" t="s">
        <v>230</v>
      </c>
    </row>
    <row r="40" spans="5:6" x14ac:dyDescent="0.35">
      <c r="E40" t="s">
        <v>222</v>
      </c>
      <c r="F40" t="s">
        <v>231</v>
      </c>
    </row>
    <row r="41" spans="5:6" x14ac:dyDescent="0.35">
      <c r="E41" t="s">
        <v>222</v>
      </c>
      <c r="F41" t="s">
        <v>232</v>
      </c>
    </row>
    <row r="42" spans="5:6" x14ac:dyDescent="0.35">
      <c r="E42" t="s">
        <v>222</v>
      </c>
      <c r="F42" t="s">
        <v>233</v>
      </c>
    </row>
    <row r="43" spans="5:6" x14ac:dyDescent="0.35">
      <c r="E43" t="s">
        <v>222</v>
      </c>
      <c r="F43" t="s">
        <v>234</v>
      </c>
    </row>
    <row r="44" spans="5:6" x14ac:dyDescent="0.35">
      <c r="E44" t="s">
        <v>222</v>
      </c>
      <c r="F44" t="s">
        <v>235</v>
      </c>
    </row>
    <row r="45" spans="5:6" x14ac:dyDescent="0.35">
      <c r="E45" t="s">
        <v>222</v>
      </c>
      <c r="F45" t="s">
        <v>236</v>
      </c>
    </row>
    <row r="46" spans="5:6" x14ac:dyDescent="0.35">
      <c r="E46" t="s">
        <v>222</v>
      </c>
      <c r="F46" t="s">
        <v>237</v>
      </c>
    </row>
    <row r="47" spans="5:6" x14ac:dyDescent="0.35">
      <c r="E47" t="s">
        <v>222</v>
      </c>
      <c r="F47" t="s">
        <v>238</v>
      </c>
    </row>
    <row r="48" spans="5:6" x14ac:dyDescent="0.35">
      <c r="E48" t="s">
        <v>222</v>
      </c>
      <c r="F48" t="s">
        <v>239</v>
      </c>
    </row>
    <row r="49" spans="5:6" x14ac:dyDescent="0.35">
      <c r="E49" t="s">
        <v>222</v>
      </c>
      <c r="F49" t="s">
        <v>240</v>
      </c>
    </row>
    <row r="50" spans="5:6" x14ac:dyDescent="0.35">
      <c r="E50" t="s">
        <v>222</v>
      </c>
      <c r="F50" t="s">
        <v>241</v>
      </c>
    </row>
    <row r="51" spans="5:6" x14ac:dyDescent="0.35">
      <c r="E51" t="s">
        <v>222</v>
      </c>
      <c r="F51" t="s">
        <v>242</v>
      </c>
    </row>
    <row r="52" spans="5:6" x14ac:dyDescent="0.35">
      <c r="E52" t="s">
        <v>222</v>
      </c>
      <c r="F52" t="s">
        <v>243</v>
      </c>
    </row>
    <row r="53" spans="5:6" x14ac:dyDescent="0.35">
      <c r="E53" t="s">
        <v>222</v>
      </c>
      <c r="F53" t="s">
        <v>244</v>
      </c>
    </row>
    <row r="54" spans="5:6" x14ac:dyDescent="0.35">
      <c r="E54" t="s">
        <v>222</v>
      </c>
      <c r="F54" t="s">
        <v>245</v>
      </c>
    </row>
    <row r="55" spans="5:6" x14ac:dyDescent="0.35">
      <c r="E55" t="s">
        <v>246</v>
      </c>
      <c r="F55" t="s">
        <v>247</v>
      </c>
    </row>
    <row r="56" spans="5:6" x14ac:dyDescent="0.35">
      <c r="E56" t="s">
        <v>246</v>
      </c>
      <c r="F56" t="s">
        <v>248</v>
      </c>
    </row>
    <row r="57" spans="5:6" x14ac:dyDescent="0.35">
      <c r="E57" t="s">
        <v>246</v>
      </c>
      <c r="F57" t="s">
        <v>249</v>
      </c>
    </row>
    <row r="58" spans="5:6" x14ac:dyDescent="0.35">
      <c r="E58" t="s">
        <v>246</v>
      </c>
      <c r="F58" t="s">
        <v>250</v>
      </c>
    </row>
    <row r="59" spans="5:6" x14ac:dyDescent="0.35">
      <c r="E59" t="s">
        <v>246</v>
      </c>
      <c r="F59" t="s">
        <v>251</v>
      </c>
    </row>
    <row r="60" spans="5:6" x14ac:dyDescent="0.35">
      <c r="E60" t="s">
        <v>246</v>
      </c>
      <c r="F60" t="s">
        <v>252</v>
      </c>
    </row>
    <row r="61" spans="5:6" x14ac:dyDescent="0.35">
      <c r="E61" t="s">
        <v>246</v>
      </c>
      <c r="F61" t="s">
        <v>253</v>
      </c>
    </row>
    <row r="62" spans="5:6" x14ac:dyDescent="0.35">
      <c r="E62" t="s">
        <v>246</v>
      </c>
      <c r="F62" t="s">
        <v>254</v>
      </c>
    </row>
    <row r="63" spans="5:6" x14ac:dyDescent="0.35">
      <c r="E63" t="s">
        <v>246</v>
      </c>
      <c r="F63" t="s">
        <v>255</v>
      </c>
    </row>
    <row r="64" spans="5:6" x14ac:dyDescent="0.35">
      <c r="E64" t="s">
        <v>246</v>
      </c>
      <c r="F64" t="s">
        <v>256</v>
      </c>
    </row>
    <row r="65" spans="5:6" x14ac:dyDescent="0.35">
      <c r="E65" t="s">
        <v>246</v>
      </c>
      <c r="F65" t="s">
        <v>257</v>
      </c>
    </row>
    <row r="66" spans="5:6" x14ac:dyDescent="0.35">
      <c r="E66" t="s">
        <v>246</v>
      </c>
      <c r="F66" t="s">
        <v>258</v>
      </c>
    </row>
    <row r="67" spans="5:6" x14ac:dyDescent="0.35">
      <c r="E67" t="s">
        <v>246</v>
      </c>
      <c r="F67" t="s">
        <v>259</v>
      </c>
    </row>
    <row r="68" spans="5:6" x14ac:dyDescent="0.35">
      <c r="E68" t="s">
        <v>246</v>
      </c>
      <c r="F68" t="s">
        <v>260</v>
      </c>
    </row>
    <row r="69" spans="5:6" x14ac:dyDescent="0.35">
      <c r="E69" t="s">
        <v>246</v>
      </c>
      <c r="F69" t="s">
        <v>261</v>
      </c>
    </row>
    <row r="70" spans="5:6" x14ac:dyDescent="0.35">
      <c r="E70" t="s">
        <v>246</v>
      </c>
      <c r="F70" t="s">
        <v>262</v>
      </c>
    </row>
    <row r="71" spans="5:6" x14ac:dyDescent="0.35">
      <c r="E71" t="s">
        <v>246</v>
      </c>
      <c r="F71" t="s">
        <v>210</v>
      </c>
    </row>
    <row r="72" spans="5:6" x14ac:dyDescent="0.35">
      <c r="E72" t="s">
        <v>246</v>
      </c>
      <c r="F72" t="s">
        <v>263</v>
      </c>
    </row>
    <row r="73" spans="5:6" x14ac:dyDescent="0.35">
      <c r="E73" t="s">
        <v>246</v>
      </c>
      <c r="F73" t="s">
        <v>264</v>
      </c>
    </row>
    <row r="74" spans="5:6" x14ac:dyDescent="0.35">
      <c r="E74" t="s">
        <v>246</v>
      </c>
      <c r="F74" t="s">
        <v>265</v>
      </c>
    </row>
    <row r="75" spans="5:6" x14ac:dyDescent="0.35">
      <c r="E75" t="s">
        <v>246</v>
      </c>
      <c r="F75" t="s">
        <v>266</v>
      </c>
    </row>
    <row r="76" spans="5:6" x14ac:dyDescent="0.35">
      <c r="E76" t="s">
        <v>246</v>
      </c>
      <c r="F76" t="s">
        <v>267</v>
      </c>
    </row>
    <row r="77" spans="5:6" x14ac:dyDescent="0.35">
      <c r="E77" t="s">
        <v>246</v>
      </c>
      <c r="F77" t="s">
        <v>268</v>
      </c>
    </row>
    <row r="78" spans="5:6" x14ac:dyDescent="0.35">
      <c r="E78" t="s">
        <v>246</v>
      </c>
      <c r="F78" t="s">
        <v>269</v>
      </c>
    </row>
    <row r="79" spans="5:6" x14ac:dyDescent="0.35">
      <c r="E79" t="s">
        <v>270</v>
      </c>
      <c r="F79" t="s">
        <v>271</v>
      </c>
    </row>
    <row r="80" spans="5:6" x14ac:dyDescent="0.35">
      <c r="E80" t="s">
        <v>270</v>
      </c>
      <c r="F80" t="s">
        <v>272</v>
      </c>
    </row>
    <row r="81" spans="5:6" x14ac:dyDescent="0.35">
      <c r="E81" t="s">
        <v>270</v>
      </c>
      <c r="F81" t="s">
        <v>273</v>
      </c>
    </row>
    <row r="82" spans="5:6" x14ac:dyDescent="0.35">
      <c r="E82" t="s">
        <v>270</v>
      </c>
      <c r="F82" t="s">
        <v>274</v>
      </c>
    </row>
    <row r="83" spans="5:6" x14ac:dyDescent="0.35">
      <c r="E83" t="s">
        <v>270</v>
      </c>
      <c r="F83" t="s">
        <v>275</v>
      </c>
    </row>
    <row r="84" spans="5:6" x14ac:dyDescent="0.35">
      <c r="E84" t="s">
        <v>270</v>
      </c>
      <c r="F84" t="s">
        <v>276</v>
      </c>
    </row>
    <row r="85" spans="5:6" x14ac:dyDescent="0.35">
      <c r="E85" t="s">
        <v>270</v>
      </c>
      <c r="F85" t="s">
        <v>277</v>
      </c>
    </row>
    <row r="86" spans="5:6" x14ac:dyDescent="0.35">
      <c r="E86" t="s">
        <v>270</v>
      </c>
      <c r="F86" t="s">
        <v>278</v>
      </c>
    </row>
    <row r="87" spans="5:6" x14ac:dyDescent="0.35">
      <c r="E87" t="s">
        <v>270</v>
      </c>
      <c r="F87" t="s">
        <v>279</v>
      </c>
    </row>
    <row r="88" spans="5:6" x14ac:dyDescent="0.35">
      <c r="E88" t="s">
        <v>270</v>
      </c>
      <c r="F88" t="s">
        <v>280</v>
      </c>
    </row>
    <row r="89" spans="5:6" x14ac:dyDescent="0.35">
      <c r="E89" t="s">
        <v>270</v>
      </c>
      <c r="F89" t="s">
        <v>281</v>
      </c>
    </row>
    <row r="90" spans="5:6" x14ac:dyDescent="0.35">
      <c r="E90" t="s">
        <v>270</v>
      </c>
      <c r="F90" t="s">
        <v>282</v>
      </c>
    </row>
    <row r="91" spans="5:6" x14ac:dyDescent="0.35">
      <c r="E91" t="s">
        <v>270</v>
      </c>
      <c r="F91" t="s">
        <v>283</v>
      </c>
    </row>
    <row r="92" spans="5:6" x14ac:dyDescent="0.35">
      <c r="E92" t="s">
        <v>270</v>
      </c>
      <c r="F92" t="s">
        <v>284</v>
      </c>
    </row>
    <row r="93" spans="5:6" x14ac:dyDescent="0.35">
      <c r="E93" t="s">
        <v>285</v>
      </c>
      <c r="F93" t="s">
        <v>286</v>
      </c>
    </row>
    <row r="94" spans="5:6" x14ac:dyDescent="0.35">
      <c r="E94" t="s">
        <v>285</v>
      </c>
      <c r="F94" t="s">
        <v>287</v>
      </c>
    </row>
    <row r="95" spans="5:6" x14ac:dyDescent="0.35">
      <c r="E95" t="s">
        <v>285</v>
      </c>
      <c r="F95" t="s">
        <v>288</v>
      </c>
    </row>
    <row r="96" spans="5:6" x14ac:dyDescent="0.35">
      <c r="E96" t="s">
        <v>285</v>
      </c>
      <c r="F96" t="s">
        <v>289</v>
      </c>
    </row>
    <row r="97" spans="5:6" x14ac:dyDescent="0.35">
      <c r="E97" t="s">
        <v>285</v>
      </c>
      <c r="F97" t="s">
        <v>290</v>
      </c>
    </row>
    <row r="98" spans="5:6" x14ac:dyDescent="0.35">
      <c r="E98" t="s">
        <v>285</v>
      </c>
      <c r="F98" t="s">
        <v>291</v>
      </c>
    </row>
    <row r="99" spans="5:6" x14ac:dyDescent="0.35">
      <c r="E99" t="s">
        <v>285</v>
      </c>
      <c r="F99" t="s">
        <v>292</v>
      </c>
    </row>
    <row r="100" spans="5:6" x14ac:dyDescent="0.35">
      <c r="E100" t="s">
        <v>285</v>
      </c>
      <c r="F100" t="s">
        <v>293</v>
      </c>
    </row>
    <row r="101" spans="5:6" x14ac:dyDescent="0.35">
      <c r="E101" t="s">
        <v>285</v>
      </c>
      <c r="F101" t="s">
        <v>294</v>
      </c>
    </row>
    <row r="102" spans="5:6" x14ac:dyDescent="0.35">
      <c r="E102" t="s">
        <v>285</v>
      </c>
      <c r="F102" t="s">
        <v>295</v>
      </c>
    </row>
    <row r="103" spans="5:6" x14ac:dyDescent="0.35">
      <c r="E103" t="s">
        <v>285</v>
      </c>
      <c r="F103" t="s">
        <v>296</v>
      </c>
    </row>
    <row r="104" spans="5:6" x14ac:dyDescent="0.35">
      <c r="E104" t="s">
        <v>285</v>
      </c>
      <c r="F104" t="s">
        <v>297</v>
      </c>
    </row>
    <row r="105" spans="5:6" x14ac:dyDescent="0.35">
      <c r="E105" t="s">
        <v>285</v>
      </c>
      <c r="F105" t="s">
        <v>298</v>
      </c>
    </row>
    <row r="106" spans="5:6" x14ac:dyDescent="0.35">
      <c r="E106" t="s">
        <v>285</v>
      </c>
      <c r="F106" t="s">
        <v>299</v>
      </c>
    </row>
    <row r="107" spans="5:6" x14ac:dyDescent="0.35">
      <c r="E107" t="s">
        <v>285</v>
      </c>
      <c r="F107" t="s">
        <v>300</v>
      </c>
    </row>
    <row r="108" spans="5:6" x14ac:dyDescent="0.35">
      <c r="E108" t="s">
        <v>285</v>
      </c>
      <c r="F108" t="s">
        <v>263</v>
      </c>
    </row>
    <row r="109" spans="5:6" x14ac:dyDescent="0.35">
      <c r="E109" t="s">
        <v>285</v>
      </c>
      <c r="F109" t="s">
        <v>301</v>
      </c>
    </row>
    <row r="110" spans="5:6" x14ac:dyDescent="0.35">
      <c r="E110" t="s">
        <v>285</v>
      </c>
      <c r="F110" t="s">
        <v>302</v>
      </c>
    </row>
    <row r="111" spans="5:6" x14ac:dyDescent="0.35">
      <c r="E111" t="s">
        <v>285</v>
      </c>
      <c r="F111" t="s">
        <v>303</v>
      </c>
    </row>
    <row r="112" spans="5:6" x14ac:dyDescent="0.35">
      <c r="E112" t="s">
        <v>285</v>
      </c>
      <c r="F112" t="s">
        <v>304</v>
      </c>
    </row>
    <row r="113" spans="5:6" x14ac:dyDescent="0.35">
      <c r="E113" t="s">
        <v>285</v>
      </c>
      <c r="F113" t="s">
        <v>305</v>
      </c>
    </row>
    <row r="114" spans="5:6" x14ac:dyDescent="0.35">
      <c r="E114" t="s">
        <v>285</v>
      </c>
      <c r="F114" t="s">
        <v>306</v>
      </c>
    </row>
    <row r="115" spans="5:6" x14ac:dyDescent="0.35">
      <c r="E115" t="s">
        <v>285</v>
      </c>
      <c r="F115" t="s">
        <v>307</v>
      </c>
    </row>
    <row r="116" spans="5:6" x14ac:dyDescent="0.35">
      <c r="E116" t="s">
        <v>285</v>
      </c>
      <c r="F116" t="s">
        <v>308</v>
      </c>
    </row>
    <row r="117" spans="5:6" x14ac:dyDescent="0.35">
      <c r="E117" t="s">
        <v>309</v>
      </c>
      <c r="F117" t="s">
        <v>310</v>
      </c>
    </row>
    <row r="118" spans="5:6" x14ac:dyDescent="0.35">
      <c r="E118" t="s">
        <v>309</v>
      </c>
      <c r="F118" t="s">
        <v>311</v>
      </c>
    </row>
    <row r="119" spans="5:6" x14ac:dyDescent="0.35">
      <c r="E119" t="s">
        <v>309</v>
      </c>
      <c r="F119" t="s">
        <v>312</v>
      </c>
    </row>
    <row r="120" spans="5:6" x14ac:dyDescent="0.35">
      <c r="E120" t="s">
        <v>309</v>
      </c>
      <c r="F120" t="s">
        <v>313</v>
      </c>
    </row>
    <row r="121" spans="5:6" x14ac:dyDescent="0.35">
      <c r="E121" t="s">
        <v>309</v>
      </c>
      <c r="F121" t="s">
        <v>314</v>
      </c>
    </row>
    <row r="122" spans="5:6" x14ac:dyDescent="0.35">
      <c r="E122" t="s">
        <v>309</v>
      </c>
      <c r="F122" t="s">
        <v>315</v>
      </c>
    </row>
    <row r="123" spans="5:6" x14ac:dyDescent="0.35">
      <c r="E123" t="s">
        <v>309</v>
      </c>
      <c r="F123" t="s">
        <v>316</v>
      </c>
    </row>
    <row r="124" spans="5:6" x14ac:dyDescent="0.35">
      <c r="E124" t="s">
        <v>309</v>
      </c>
      <c r="F124" t="s">
        <v>317</v>
      </c>
    </row>
    <row r="125" spans="5:6" x14ac:dyDescent="0.35">
      <c r="E125" t="s">
        <v>309</v>
      </c>
      <c r="F125" t="s">
        <v>318</v>
      </c>
    </row>
    <row r="126" spans="5:6" x14ac:dyDescent="0.35">
      <c r="E126" t="s">
        <v>309</v>
      </c>
      <c r="F126" t="s">
        <v>319</v>
      </c>
    </row>
    <row r="127" spans="5:6" x14ac:dyDescent="0.35">
      <c r="E127" t="s">
        <v>309</v>
      </c>
      <c r="F127" t="s">
        <v>320</v>
      </c>
    </row>
    <row r="128" spans="5:6" x14ac:dyDescent="0.35">
      <c r="E128" t="s">
        <v>309</v>
      </c>
      <c r="F128" t="s">
        <v>321</v>
      </c>
    </row>
    <row r="129" spans="5:6" x14ac:dyDescent="0.35">
      <c r="E129" t="s">
        <v>309</v>
      </c>
      <c r="F129" t="s">
        <v>322</v>
      </c>
    </row>
    <row r="130" spans="5:6" x14ac:dyDescent="0.35">
      <c r="E130" t="s">
        <v>309</v>
      </c>
      <c r="F130" t="s">
        <v>323</v>
      </c>
    </row>
    <row r="131" spans="5:6" x14ac:dyDescent="0.35">
      <c r="E131" t="s">
        <v>309</v>
      </c>
      <c r="F131" t="s">
        <v>324</v>
      </c>
    </row>
    <row r="132" spans="5:6" x14ac:dyDescent="0.35">
      <c r="E132" t="s">
        <v>309</v>
      </c>
      <c r="F132" t="s">
        <v>325</v>
      </c>
    </row>
    <row r="133" spans="5:6" x14ac:dyDescent="0.35">
      <c r="E133" t="s">
        <v>309</v>
      </c>
      <c r="F133" t="s">
        <v>326</v>
      </c>
    </row>
    <row r="134" spans="5:6" x14ac:dyDescent="0.35">
      <c r="E134" t="s">
        <v>309</v>
      </c>
      <c r="F134" t="s">
        <v>327</v>
      </c>
    </row>
    <row r="135" spans="5:6" x14ac:dyDescent="0.35">
      <c r="E135" t="s">
        <v>309</v>
      </c>
      <c r="F135" t="s">
        <v>328</v>
      </c>
    </row>
    <row r="136" spans="5:6" x14ac:dyDescent="0.35">
      <c r="E136" t="s">
        <v>309</v>
      </c>
      <c r="F136" t="s">
        <v>329</v>
      </c>
    </row>
    <row r="137" spans="5:6" x14ac:dyDescent="0.35">
      <c r="E137" t="s">
        <v>309</v>
      </c>
      <c r="F137" t="s">
        <v>330</v>
      </c>
    </row>
    <row r="138" spans="5:6" x14ac:dyDescent="0.35">
      <c r="E138" t="s">
        <v>309</v>
      </c>
      <c r="F138" t="s">
        <v>331</v>
      </c>
    </row>
    <row r="139" spans="5:6" x14ac:dyDescent="0.35">
      <c r="E139" t="s">
        <v>332</v>
      </c>
      <c r="F139" t="s">
        <v>333</v>
      </c>
    </row>
    <row r="140" spans="5:6" x14ac:dyDescent="0.35">
      <c r="E140" t="s">
        <v>332</v>
      </c>
      <c r="F140" t="s">
        <v>334</v>
      </c>
    </row>
    <row r="141" spans="5:6" x14ac:dyDescent="0.35">
      <c r="E141" t="s">
        <v>332</v>
      </c>
      <c r="F141" t="s">
        <v>335</v>
      </c>
    </row>
    <row r="142" spans="5:6" x14ac:dyDescent="0.35">
      <c r="E142" t="s">
        <v>332</v>
      </c>
      <c r="F142" t="s">
        <v>336</v>
      </c>
    </row>
    <row r="143" spans="5:6" x14ac:dyDescent="0.35">
      <c r="E143" t="s">
        <v>332</v>
      </c>
      <c r="F143" t="s">
        <v>337</v>
      </c>
    </row>
    <row r="144" spans="5:6" x14ac:dyDescent="0.35">
      <c r="E144" t="s">
        <v>332</v>
      </c>
      <c r="F144" t="s">
        <v>338</v>
      </c>
    </row>
    <row r="145" spans="5:6" x14ac:dyDescent="0.35">
      <c r="E145" t="s">
        <v>332</v>
      </c>
      <c r="F145" t="s">
        <v>339</v>
      </c>
    </row>
    <row r="146" spans="5:6" x14ac:dyDescent="0.35">
      <c r="E146" t="s">
        <v>332</v>
      </c>
      <c r="F146" t="s">
        <v>340</v>
      </c>
    </row>
    <row r="147" spans="5:6" x14ac:dyDescent="0.35">
      <c r="E147" t="s">
        <v>332</v>
      </c>
      <c r="F147" t="s">
        <v>341</v>
      </c>
    </row>
    <row r="148" spans="5:6" x14ac:dyDescent="0.35">
      <c r="E148" t="s">
        <v>332</v>
      </c>
      <c r="F148" t="s">
        <v>342</v>
      </c>
    </row>
    <row r="149" spans="5:6" x14ac:dyDescent="0.35">
      <c r="E149" t="s">
        <v>332</v>
      </c>
      <c r="F149" t="s">
        <v>343</v>
      </c>
    </row>
    <row r="150" spans="5:6" x14ac:dyDescent="0.35">
      <c r="E150" t="s">
        <v>332</v>
      </c>
      <c r="F150" t="s">
        <v>344</v>
      </c>
    </row>
    <row r="151" spans="5:6" x14ac:dyDescent="0.35">
      <c r="E151" t="s">
        <v>332</v>
      </c>
      <c r="F151" t="s">
        <v>345</v>
      </c>
    </row>
    <row r="152" spans="5:6" x14ac:dyDescent="0.35">
      <c r="E152" t="s">
        <v>332</v>
      </c>
      <c r="F152" t="s">
        <v>346</v>
      </c>
    </row>
    <row r="153" spans="5:6" x14ac:dyDescent="0.35">
      <c r="E153" t="s">
        <v>332</v>
      </c>
      <c r="F153" t="s">
        <v>347</v>
      </c>
    </row>
    <row r="154" spans="5:6" x14ac:dyDescent="0.35">
      <c r="E154" t="s">
        <v>332</v>
      </c>
      <c r="F154" t="s">
        <v>348</v>
      </c>
    </row>
    <row r="155" spans="5:6" x14ac:dyDescent="0.35">
      <c r="E155" t="s">
        <v>332</v>
      </c>
      <c r="F155" t="s">
        <v>349</v>
      </c>
    </row>
    <row r="156" spans="5:6" x14ac:dyDescent="0.35">
      <c r="E156" t="s">
        <v>332</v>
      </c>
      <c r="F156" t="s">
        <v>350</v>
      </c>
    </row>
    <row r="157" spans="5:6" x14ac:dyDescent="0.35">
      <c r="E157" t="s">
        <v>332</v>
      </c>
      <c r="F157" t="s">
        <v>351</v>
      </c>
    </row>
    <row r="158" spans="5:6" x14ac:dyDescent="0.35">
      <c r="E158" t="s">
        <v>332</v>
      </c>
      <c r="F158" t="s">
        <v>352</v>
      </c>
    </row>
    <row r="159" spans="5:6" x14ac:dyDescent="0.35">
      <c r="E159" t="s">
        <v>332</v>
      </c>
      <c r="F159" t="s">
        <v>353</v>
      </c>
    </row>
    <row r="160" spans="5:6" x14ac:dyDescent="0.35">
      <c r="E160" t="s">
        <v>332</v>
      </c>
      <c r="F160" t="s">
        <v>354</v>
      </c>
    </row>
    <row r="161" spans="5:6" x14ac:dyDescent="0.35">
      <c r="E161" t="s">
        <v>332</v>
      </c>
      <c r="F161" t="s">
        <v>355</v>
      </c>
    </row>
    <row r="162" spans="5:6" x14ac:dyDescent="0.35">
      <c r="E162" t="s">
        <v>332</v>
      </c>
      <c r="F162" t="s">
        <v>356</v>
      </c>
    </row>
    <row r="163" spans="5:6" x14ac:dyDescent="0.35">
      <c r="E163" t="s">
        <v>332</v>
      </c>
      <c r="F163" t="s">
        <v>357</v>
      </c>
    </row>
    <row r="164" spans="5:6" x14ac:dyDescent="0.35">
      <c r="E164" t="s">
        <v>332</v>
      </c>
      <c r="F164" t="s">
        <v>358</v>
      </c>
    </row>
    <row r="165" spans="5:6" x14ac:dyDescent="0.35">
      <c r="E165" t="s">
        <v>332</v>
      </c>
      <c r="F165" t="s">
        <v>359</v>
      </c>
    </row>
    <row r="166" spans="5:6" x14ac:dyDescent="0.35">
      <c r="E166" t="s">
        <v>332</v>
      </c>
      <c r="F166" t="s">
        <v>360</v>
      </c>
    </row>
    <row r="167" spans="5:6" x14ac:dyDescent="0.35">
      <c r="E167" t="s">
        <v>332</v>
      </c>
      <c r="F167" t="s">
        <v>361</v>
      </c>
    </row>
    <row r="168" spans="5:6" x14ac:dyDescent="0.35">
      <c r="E168" t="s">
        <v>332</v>
      </c>
      <c r="F168" t="s">
        <v>362</v>
      </c>
    </row>
    <row r="169" spans="5:6" x14ac:dyDescent="0.35">
      <c r="E169" t="s">
        <v>332</v>
      </c>
      <c r="F169" t="s">
        <v>363</v>
      </c>
    </row>
    <row r="170" spans="5:6" x14ac:dyDescent="0.35">
      <c r="E170" t="s">
        <v>332</v>
      </c>
      <c r="F170" t="s">
        <v>364</v>
      </c>
    </row>
    <row r="171" spans="5:6" x14ac:dyDescent="0.35">
      <c r="E171" t="s">
        <v>332</v>
      </c>
      <c r="F171" t="s">
        <v>365</v>
      </c>
    </row>
    <row r="172" spans="5:6" x14ac:dyDescent="0.35">
      <c r="E172" t="s">
        <v>332</v>
      </c>
      <c r="F172" t="s">
        <v>366</v>
      </c>
    </row>
    <row r="173" spans="5:6" x14ac:dyDescent="0.35">
      <c r="E173" t="s">
        <v>332</v>
      </c>
      <c r="F173" t="s">
        <v>367</v>
      </c>
    </row>
    <row r="174" spans="5:6" x14ac:dyDescent="0.35">
      <c r="E174" t="s">
        <v>332</v>
      </c>
      <c r="F174" t="s">
        <v>368</v>
      </c>
    </row>
    <row r="175" spans="5:6" x14ac:dyDescent="0.35">
      <c r="E175" t="s">
        <v>332</v>
      </c>
      <c r="F175" t="s">
        <v>369</v>
      </c>
    </row>
    <row r="176" spans="5:6" x14ac:dyDescent="0.35">
      <c r="E176" t="s">
        <v>332</v>
      </c>
      <c r="F176" t="s">
        <v>370</v>
      </c>
    </row>
    <row r="177" spans="5:6" x14ac:dyDescent="0.35">
      <c r="E177" t="s">
        <v>332</v>
      </c>
      <c r="F177" t="s">
        <v>371</v>
      </c>
    </row>
    <row r="178" spans="5:6" x14ac:dyDescent="0.35">
      <c r="E178" t="s">
        <v>332</v>
      </c>
      <c r="F178" t="s">
        <v>372</v>
      </c>
    </row>
    <row r="179" spans="5:6" x14ac:dyDescent="0.35">
      <c r="E179" t="s">
        <v>332</v>
      </c>
      <c r="F179" t="s">
        <v>373</v>
      </c>
    </row>
    <row r="180" spans="5:6" x14ac:dyDescent="0.35">
      <c r="E180" t="s">
        <v>332</v>
      </c>
      <c r="F180" t="s">
        <v>374</v>
      </c>
    </row>
    <row r="181" spans="5:6" x14ac:dyDescent="0.35">
      <c r="E181" t="s">
        <v>375</v>
      </c>
      <c r="F181" t="s">
        <v>311</v>
      </c>
    </row>
    <row r="182" spans="5:6" x14ac:dyDescent="0.35">
      <c r="E182" t="s">
        <v>375</v>
      </c>
      <c r="F182" t="s">
        <v>376</v>
      </c>
    </row>
    <row r="183" spans="5:6" x14ac:dyDescent="0.35">
      <c r="E183" t="s">
        <v>375</v>
      </c>
      <c r="F183" t="s">
        <v>377</v>
      </c>
    </row>
    <row r="184" spans="5:6" x14ac:dyDescent="0.35">
      <c r="E184" t="s">
        <v>375</v>
      </c>
      <c r="F184" t="s">
        <v>378</v>
      </c>
    </row>
    <row r="185" spans="5:6" x14ac:dyDescent="0.35">
      <c r="E185" t="s">
        <v>375</v>
      </c>
      <c r="F185" t="s">
        <v>379</v>
      </c>
    </row>
    <row r="186" spans="5:6" x14ac:dyDescent="0.35">
      <c r="E186" t="s">
        <v>375</v>
      </c>
      <c r="F186" t="s">
        <v>380</v>
      </c>
    </row>
    <row r="187" spans="5:6" x14ac:dyDescent="0.35">
      <c r="E187" t="s">
        <v>375</v>
      </c>
      <c r="F187" t="s">
        <v>381</v>
      </c>
    </row>
    <row r="188" spans="5:6" x14ac:dyDescent="0.35">
      <c r="E188" t="s">
        <v>375</v>
      </c>
      <c r="F188" t="s">
        <v>382</v>
      </c>
    </row>
    <row r="189" spans="5:6" x14ac:dyDescent="0.35">
      <c r="E189" t="s">
        <v>375</v>
      </c>
      <c r="F189" t="s">
        <v>258</v>
      </c>
    </row>
    <row r="190" spans="5:6" x14ac:dyDescent="0.35">
      <c r="E190" t="s">
        <v>375</v>
      </c>
      <c r="F190" t="s">
        <v>383</v>
      </c>
    </row>
    <row r="191" spans="5:6" x14ac:dyDescent="0.35">
      <c r="E191" t="s">
        <v>375</v>
      </c>
      <c r="F191" t="s">
        <v>384</v>
      </c>
    </row>
    <row r="192" spans="5:6" x14ac:dyDescent="0.35">
      <c r="E192" t="s">
        <v>375</v>
      </c>
      <c r="F192" t="s">
        <v>385</v>
      </c>
    </row>
    <row r="193" spans="5:6" x14ac:dyDescent="0.35">
      <c r="E193" t="s">
        <v>386</v>
      </c>
      <c r="F193" t="s">
        <v>387</v>
      </c>
    </row>
    <row r="194" spans="5:6" x14ac:dyDescent="0.35">
      <c r="E194" t="s">
        <v>386</v>
      </c>
      <c r="F194" t="s">
        <v>388</v>
      </c>
    </row>
    <row r="195" spans="5:6" x14ac:dyDescent="0.35">
      <c r="E195" t="s">
        <v>386</v>
      </c>
      <c r="F195" t="s">
        <v>389</v>
      </c>
    </row>
    <row r="196" spans="5:6" x14ac:dyDescent="0.35">
      <c r="E196" t="s">
        <v>386</v>
      </c>
      <c r="F196" t="s">
        <v>390</v>
      </c>
    </row>
    <row r="197" spans="5:6" x14ac:dyDescent="0.35">
      <c r="E197" t="s">
        <v>386</v>
      </c>
      <c r="F197" t="s">
        <v>391</v>
      </c>
    </row>
    <row r="198" spans="5:6" x14ac:dyDescent="0.35">
      <c r="E198" t="s">
        <v>386</v>
      </c>
      <c r="F198" t="s">
        <v>392</v>
      </c>
    </row>
    <row r="199" spans="5:6" x14ac:dyDescent="0.35">
      <c r="E199" t="s">
        <v>386</v>
      </c>
      <c r="F199" t="s">
        <v>272</v>
      </c>
    </row>
    <row r="200" spans="5:6" x14ac:dyDescent="0.35">
      <c r="E200" t="s">
        <v>386</v>
      </c>
      <c r="F200" t="s">
        <v>393</v>
      </c>
    </row>
    <row r="201" spans="5:6" x14ac:dyDescent="0.35">
      <c r="E201" t="s">
        <v>386</v>
      </c>
      <c r="F201" t="s">
        <v>394</v>
      </c>
    </row>
    <row r="202" spans="5:6" x14ac:dyDescent="0.35">
      <c r="E202" t="s">
        <v>386</v>
      </c>
      <c r="F202" t="s">
        <v>395</v>
      </c>
    </row>
    <row r="203" spans="5:6" x14ac:dyDescent="0.35">
      <c r="E203" t="s">
        <v>386</v>
      </c>
      <c r="F203" t="s">
        <v>396</v>
      </c>
    </row>
    <row r="204" spans="5:6" x14ac:dyDescent="0.35">
      <c r="E204" t="s">
        <v>386</v>
      </c>
      <c r="F204" t="s">
        <v>397</v>
      </c>
    </row>
    <row r="205" spans="5:6" x14ac:dyDescent="0.35">
      <c r="E205" t="s">
        <v>386</v>
      </c>
      <c r="F205" t="s">
        <v>398</v>
      </c>
    </row>
    <row r="206" spans="5:6" x14ac:dyDescent="0.35">
      <c r="E206" t="s">
        <v>386</v>
      </c>
      <c r="F206" t="s">
        <v>399</v>
      </c>
    </row>
    <row r="207" spans="5:6" x14ac:dyDescent="0.35">
      <c r="E207" t="s">
        <v>386</v>
      </c>
      <c r="F207" t="s">
        <v>400</v>
      </c>
    </row>
    <row r="208" spans="5:6" x14ac:dyDescent="0.35">
      <c r="E208" t="s">
        <v>386</v>
      </c>
      <c r="F208" t="s">
        <v>401</v>
      </c>
    </row>
    <row r="209" spans="5:6" x14ac:dyDescent="0.35">
      <c r="E209" t="s">
        <v>386</v>
      </c>
      <c r="F209" t="s">
        <v>402</v>
      </c>
    </row>
    <row r="210" spans="5:6" x14ac:dyDescent="0.35">
      <c r="E210" t="s">
        <v>386</v>
      </c>
      <c r="F210" t="s">
        <v>403</v>
      </c>
    </row>
    <row r="211" spans="5:6" x14ac:dyDescent="0.35">
      <c r="E211" t="s">
        <v>386</v>
      </c>
      <c r="F211" t="s">
        <v>404</v>
      </c>
    </row>
    <row r="212" spans="5:6" x14ac:dyDescent="0.35">
      <c r="E212" t="s">
        <v>386</v>
      </c>
      <c r="F212" t="s">
        <v>405</v>
      </c>
    </row>
    <row r="213" spans="5:6" x14ac:dyDescent="0.35">
      <c r="E213" t="s">
        <v>386</v>
      </c>
      <c r="F213" t="s">
        <v>406</v>
      </c>
    </row>
    <row r="214" spans="5:6" x14ac:dyDescent="0.35">
      <c r="E214" t="s">
        <v>386</v>
      </c>
      <c r="F214" t="s">
        <v>407</v>
      </c>
    </row>
    <row r="215" spans="5:6" x14ac:dyDescent="0.35">
      <c r="E215" t="s">
        <v>386</v>
      </c>
      <c r="F215" t="s">
        <v>408</v>
      </c>
    </row>
    <row r="216" spans="5:6" x14ac:dyDescent="0.35">
      <c r="E216" t="s">
        <v>386</v>
      </c>
      <c r="F216" t="s">
        <v>409</v>
      </c>
    </row>
    <row r="217" spans="5:6" x14ac:dyDescent="0.35">
      <c r="E217" t="s">
        <v>386</v>
      </c>
      <c r="F217" t="s">
        <v>410</v>
      </c>
    </row>
    <row r="218" spans="5:6" x14ac:dyDescent="0.35">
      <c r="E218" t="s">
        <v>411</v>
      </c>
      <c r="F218" t="s">
        <v>412</v>
      </c>
    </row>
    <row r="219" spans="5:6" x14ac:dyDescent="0.35">
      <c r="E219" t="s">
        <v>411</v>
      </c>
      <c r="F219" t="s">
        <v>413</v>
      </c>
    </row>
    <row r="220" spans="5:6" x14ac:dyDescent="0.35">
      <c r="E220" t="s">
        <v>411</v>
      </c>
      <c r="F220" t="s">
        <v>414</v>
      </c>
    </row>
    <row r="221" spans="5:6" x14ac:dyDescent="0.35">
      <c r="E221" t="s">
        <v>411</v>
      </c>
      <c r="F221" t="s">
        <v>415</v>
      </c>
    </row>
    <row r="222" spans="5:6" x14ac:dyDescent="0.35">
      <c r="E222" t="s">
        <v>411</v>
      </c>
      <c r="F222" t="s">
        <v>416</v>
      </c>
    </row>
    <row r="223" spans="5:6" x14ac:dyDescent="0.35">
      <c r="E223" t="s">
        <v>411</v>
      </c>
      <c r="F223" t="s">
        <v>417</v>
      </c>
    </row>
    <row r="224" spans="5:6" x14ac:dyDescent="0.35">
      <c r="E224" t="s">
        <v>411</v>
      </c>
      <c r="F224" t="s">
        <v>418</v>
      </c>
    </row>
    <row r="225" spans="5:6" x14ac:dyDescent="0.35">
      <c r="E225" t="s">
        <v>411</v>
      </c>
      <c r="F225" t="s">
        <v>419</v>
      </c>
    </row>
    <row r="226" spans="5:6" x14ac:dyDescent="0.35">
      <c r="E226" t="s">
        <v>411</v>
      </c>
      <c r="F226" t="s">
        <v>420</v>
      </c>
    </row>
    <row r="227" spans="5:6" x14ac:dyDescent="0.35">
      <c r="E227" t="s">
        <v>411</v>
      </c>
      <c r="F227" t="s">
        <v>421</v>
      </c>
    </row>
    <row r="228" spans="5:6" x14ac:dyDescent="0.35">
      <c r="E228" t="s">
        <v>411</v>
      </c>
      <c r="F228" t="s">
        <v>422</v>
      </c>
    </row>
    <row r="229" spans="5:6" x14ac:dyDescent="0.35">
      <c r="E229" t="s">
        <v>411</v>
      </c>
      <c r="F229" t="s">
        <v>423</v>
      </c>
    </row>
    <row r="230" spans="5:6" x14ac:dyDescent="0.35">
      <c r="E230" t="s">
        <v>411</v>
      </c>
      <c r="F230" t="s">
        <v>424</v>
      </c>
    </row>
    <row r="231" spans="5:6" x14ac:dyDescent="0.35">
      <c r="E231" t="s">
        <v>411</v>
      </c>
      <c r="F231" t="s">
        <v>425</v>
      </c>
    </row>
    <row r="232" spans="5:6" x14ac:dyDescent="0.35">
      <c r="E232" t="s">
        <v>411</v>
      </c>
      <c r="F232" t="s">
        <v>426</v>
      </c>
    </row>
    <row r="233" spans="5:6" x14ac:dyDescent="0.35">
      <c r="E233" t="s">
        <v>411</v>
      </c>
      <c r="F233" t="s">
        <v>427</v>
      </c>
    </row>
    <row r="234" spans="5:6" x14ac:dyDescent="0.35">
      <c r="E234" t="s">
        <v>411</v>
      </c>
      <c r="F234" t="s">
        <v>428</v>
      </c>
    </row>
    <row r="235" spans="5:6" x14ac:dyDescent="0.35">
      <c r="E235" t="s">
        <v>429</v>
      </c>
      <c r="F235" t="s">
        <v>430</v>
      </c>
    </row>
    <row r="236" spans="5:6" x14ac:dyDescent="0.35">
      <c r="E236" t="s">
        <v>429</v>
      </c>
      <c r="F236" t="s">
        <v>431</v>
      </c>
    </row>
    <row r="237" spans="5:6" x14ac:dyDescent="0.35">
      <c r="E237" t="s">
        <v>429</v>
      </c>
      <c r="F237" t="s">
        <v>432</v>
      </c>
    </row>
    <row r="238" spans="5:6" x14ac:dyDescent="0.35">
      <c r="E238" t="s">
        <v>429</v>
      </c>
      <c r="F238" t="s">
        <v>433</v>
      </c>
    </row>
    <row r="239" spans="5:6" x14ac:dyDescent="0.35">
      <c r="E239" t="s">
        <v>429</v>
      </c>
      <c r="F239" t="s">
        <v>434</v>
      </c>
    </row>
    <row r="240" spans="5:6" x14ac:dyDescent="0.35">
      <c r="E240" t="s">
        <v>429</v>
      </c>
      <c r="F240" t="s">
        <v>435</v>
      </c>
    </row>
    <row r="241" spans="5:6" x14ac:dyDescent="0.35">
      <c r="E241" t="s">
        <v>429</v>
      </c>
      <c r="F241" t="s">
        <v>436</v>
      </c>
    </row>
    <row r="242" spans="5:6" x14ac:dyDescent="0.35">
      <c r="E242" t="s">
        <v>429</v>
      </c>
      <c r="F242" t="s">
        <v>437</v>
      </c>
    </row>
    <row r="243" spans="5:6" x14ac:dyDescent="0.35">
      <c r="E243" t="s">
        <v>429</v>
      </c>
      <c r="F243" t="s">
        <v>438</v>
      </c>
    </row>
    <row r="244" spans="5:6" x14ac:dyDescent="0.35">
      <c r="E244" t="s">
        <v>429</v>
      </c>
      <c r="F244" t="s">
        <v>346</v>
      </c>
    </row>
    <row r="245" spans="5:6" x14ac:dyDescent="0.35">
      <c r="E245" t="s">
        <v>429</v>
      </c>
      <c r="F245" t="s">
        <v>439</v>
      </c>
    </row>
    <row r="246" spans="5:6" x14ac:dyDescent="0.35">
      <c r="E246" t="s">
        <v>429</v>
      </c>
      <c r="F246" t="s">
        <v>440</v>
      </c>
    </row>
    <row r="247" spans="5:6" x14ac:dyDescent="0.35">
      <c r="E247" t="s">
        <v>429</v>
      </c>
      <c r="F247" t="s">
        <v>441</v>
      </c>
    </row>
    <row r="248" spans="5:6" x14ac:dyDescent="0.35">
      <c r="E248" t="s">
        <v>429</v>
      </c>
      <c r="F248" t="s">
        <v>442</v>
      </c>
    </row>
    <row r="249" spans="5:6" x14ac:dyDescent="0.35">
      <c r="E249" t="s">
        <v>429</v>
      </c>
      <c r="F249" t="s">
        <v>443</v>
      </c>
    </row>
    <row r="250" spans="5:6" x14ac:dyDescent="0.35">
      <c r="E250" t="s">
        <v>429</v>
      </c>
      <c r="F250" t="s">
        <v>444</v>
      </c>
    </row>
    <row r="251" spans="5:6" x14ac:dyDescent="0.35">
      <c r="E251" t="s">
        <v>429</v>
      </c>
      <c r="F251" t="s">
        <v>445</v>
      </c>
    </row>
    <row r="252" spans="5:6" x14ac:dyDescent="0.35">
      <c r="E252" t="s">
        <v>429</v>
      </c>
      <c r="F252" t="s">
        <v>446</v>
      </c>
    </row>
    <row r="253" spans="5:6" x14ac:dyDescent="0.35">
      <c r="E253" t="s">
        <v>429</v>
      </c>
      <c r="F253" t="s">
        <v>447</v>
      </c>
    </row>
    <row r="254" spans="5:6" x14ac:dyDescent="0.35">
      <c r="E254" t="s">
        <v>429</v>
      </c>
      <c r="F254" t="s">
        <v>448</v>
      </c>
    </row>
    <row r="255" spans="5:6" x14ac:dyDescent="0.35">
      <c r="E255" t="s">
        <v>449</v>
      </c>
      <c r="F255" t="s">
        <v>450</v>
      </c>
    </row>
    <row r="256" spans="5:6" x14ac:dyDescent="0.35">
      <c r="E256" t="s">
        <v>449</v>
      </c>
      <c r="F256" t="s">
        <v>414</v>
      </c>
    </row>
    <row r="257" spans="5:6" x14ac:dyDescent="0.35">
      <c r="E257" t="s">
        <v>449</v>
      </c>
      <c r="F257" t="s">
        <v>451</v>
      </c>
    </row>
    <row r="258" spans="5:6" x14ac:dyDescent="0.35">
      <c r="E258" t="s">
        <v>449</v>
      </c>
      <c r="F258" t="s">
        <v>452</v>
      </c>
    </row>
    <row r="259" spans="5:6" x14ac:dyDescent="0.35">
      <c r="E259" t="s">
        <v>449</v>
      </c>
      <c r="F259" t="s">
        <v>453</v>
      </c>
    </row>
    <row r="260" spans="5:6" x14ac:dyDescent="0.35">
      <c r="E260" t="s">
        <v>449</v>
      </c>
      <c r="F260" t="s">
        <v>454</v>
      </c>
    </row>
    <row r="261" spans="5:6" x14ac:dyDescent="0.35">
      <c r="E261" t="s">
        <v>449</v>
      </c>
      <c r="F261" t="s">
        <v>455</v>
      </c>
    </row>
    <row r="262" spans="5:6" x14ac:dyDescent="0.35">
      <c r="E262" t="s">
        <v>449</v>
      </c>
      <c r="F262" t="s">
        <v>456</v>
      </c>
    </row>
    <row r="263" spans="5:6" x14ac:dyDescent="0.35">
      <c r="E263" t="s">
        <v>449</v>
      </c>
      <c r="F263" t="s">
        <v>457</v>
      </c>
    </row>
    <row r="264" spans="5:6" x14ac:dyDescent="0.35">
      <c r="E264" t="s">
        <v>449</v>
      </c>
      <c r="F264" t="s">
        <v>458</v>
      </c>
    </row>
    <row r="265" spans="5:6" x14ac:dyDescent="0.35">
      <c r="E265" t="s">
        <v>449</v>
      </c>
      <c r="F265" t="s">
        <v>459</v>
      </c>
    </row>
    <row r="266" spans="5:6" x14ac:dyDescent="0.35">
      <c r="E266" t="s">
        <v>449</v>
      </c>
      <c r="F266" t="s">
        <v>460</v>
      </c>
    </row>
    <row r="267" spans="5:6" x14ac:dyDescent="0.35">
      <c r="E267" t="s">
        <v>449</v>
      </c>
      <c r="F267" t="s">
        <v>461</v>
      </c>
    </row>
    <row r="268" spans="5:6" x14ac:dyDescent="0.35">
      <c r="E268" t="s">
        <v>449</v>
      </c>
      <c r="F268" t="s">
        <v>462</v>
      </c>
    </row>
    <row r="269" spans="5:6" x14ac:dyDescent="0.35">
      <c r="E269" t="s">
        <v>449</v>
      </c>
      <c r="F269" t="s">
        <v>463</v>
      </c>
    </row>
    <row r="270" spans="5:6" x14ac:dyDescent="0.35">
      <c r="E270" t="s">
        <v>449</v>
      </c>
      <c r="F270" t="s">
        <v>464</v>
      </c>
    </row>
    <row r="271" spans="5:6" x14ac:dyDescent="0.35">
      <c r="E271" t="s">
        <v>449</v>
      </c>
      <c r="F271" t="s">
        <v>465</v>
      </c>
    </row>
    <row r="272" spans="5:6" x14ac:dyDescent="0.35">
      <c r="E272" t="s">
        <v>449</v>
      </c>
      <c r="F272" t="s">
        <v>466</v>
      </c>
    </row>
    <row r="273" spans="5:6" x14ac:dyDescent="0.35">
      <c r="E273" t="s">
        <v>449</v>
      </c>
      <c r="F273" t="s">
        <v>467</v>
      </c>
    </row>
    <row r="274" spans="5:6" x14ac:dyDescent="0.35">
      <c r="E274" t="s">
        <v>449</v>
      </c>
      <c r="F274" t="s">
        <v>468</v>
      </c>
    </row>
    <row r="275" spans="5:6" x14ac:dyDescent="0.35">
      <c r="E275" t="s">
        <v>449</v>
      </c>
      <c r="F275" t="s">
        <v>469</v>
      </c>
    </row>
    <row r="276" spans="5:6" x14ac:dyDescent="0.35">
      <c r="E276" t="s">
        <v>449</v>
      </c>
      <c r="F276" t="s">
        <v>470</v>
      </c>
    </row>
    <row r="277" spans="5:6" x14ac:dyDescent="0.35">
      <c r="E277" t="s">
        <v>449</v>
      </c>
      <c r="F277" t="s">
        <v>471</v>
      </c>
    </row>
    <row r="278" spans="5:6" x14ac:dyDescent="0.35">
      <c r="E278" t="s">
        <v>449</v>
      </c>
      <c r="F278" t="s">
        <v>472</v>
      </c>
    </row>
    <row r="279" spans="5:6" x14ac:dyDescent="0.35">
      <c r="E279" t="s">
        <v>449</v>
      </c>
      <c r="F279" t="s">
        <v>473</v>
      </c>
    </row>
    <row r="280" spans="5:6" x14ac:dyDescent="0.35">
      <c r="E280" t="s">
        <v>449</v>
      </c>
      <c r="F280" t="s">
        <v>474</v>
      </c>
    </row>
    <row r="281" spans="5:6" x14ac:dyDescent="0.35">
      <c r="E281" t="s">
        <v>449</v>
      </c>
      <c r="F281" t="s">
        <v>475</v>
      </c>
    </row>
    <row r="282" spans="5:6" x14ac:dyDescent="0.35">
      <c r="E282" t="s">
        <v>449</v>
      </c>
      <c r="F282" t="s">
        <v>476</v>
      </c>
    </row>
    <row r="283" spans="5:6" x14ac:dyDescent="0.35">
      <c r="E283" t="s">
        <v>449</v>
      </c>
      <c r="F283" t="s">
        <v>477</v>
      </c>
    </row>
    <row r="284" spans="5:6" x14ac:dyDescent="0.35">
      <c r="E284" t="s">
        <v>449</v>
      </c>
      <c r="F284" t="s">
        <v>478</v>
      </c>
    </row>
    <row r="285" spans="5:6" x14ac:dyDescent="0.35">
      <c r="E285" t="s">
        <v>449</v>
      </c>
      <c r="F285" t="s">
        <v>479</v>
      </c>
    </row>
    <row r="286" spans="5:6" x14ac:dyDescent="0.35">
      <c r="E286" t="s">
        <v>449</v>
      </c>
      <c r="F286" t="s">
        <v>480</v>
      </c>
    </row>
    <row r="287" spans="5:6" x14ac:dyDescent="0.35">
      <c r="E287" t="s">
        <v>449</v>
      </c>
      <c r="F287" t="s">
        <v>481</v>
      </c>
    </row>
    <row r="288" spans="5:6" x14ac:dyDescent="0.35">
      <c r="E288" t="s">
        <v>449</v>
      </c>
      <c r="F288" t="s">
        <v>482</v>
      </c>
    </row>
    <row r="289" spans="5:6" x14ac:dyDescent="0.35">
      <c r="E289" t="s">
        <v>449</v>
      </c>
      <c r="F289" t="s">
        <v>483</v>
      </c>
    </row>
    <row r="290" spans="5:6" x14ac:dyDescent="0.35">
      <c r="E290" t="s">
        <v>449</v>
      </c>
      <c r="F290" t="s">
        <v>484</v>
      </c>
    </row>
    <row r="291" spans="5:6" x14ac:dyDescent="0.35">
      <c r="E291" t="s">
        <v>485</v>
      </c>
      <c r="F291" t="s">
        <v>486</v>
      </c>
    </row>
    <row r="292" spans="5:6" x14ac:dyDescent="0.35">
      <c r="E292" t="s">
        <v>485</v>
      </c>
      <c r="F292" t="s">
        <v>487</v>
      </c>
    </row>
    <row r="293" spans="5:6" x14ac:dyDescent="0.35">
      <c r="E293" t="s">
        <v>485</v>
      </c>
      <c r="F293" t="s">
        <v>488</v>
      </c>
    </row>
    <row r="294" spans="5:6" x14ac:dyDescent="0.35">
      <c r="E294" t="s">
        <v>485</v>
      </c>
      <c r="F294" t="s">
        <v>489</v>
      </c>
    </row>
    <row r="295" spans="5:6" x14ac:dyDescent="0.35">
      <c r="E295" t="s">
        <v>485</v>
      </c>
      <c r="F295" t="s">
        <v>490</v>
      </c>
    </row>
    <row r="296" spans="5:6" x14ac:dyDescent="0.35">
      <c r="E296" t="s">
        <v>485</v>
      </c>
      <c r="F296" t="s">
        <v>491</v>
      </c>
    </row>
    <row r="297" spans="5:6" x14ac:dyDescent="0.35">
      <c r="E297" t="s">
        <v>485</v>
      </c>
      <c r="F297" t="s">
        <v>492</v>
      </c>
    </row>
    <row r="298" spans="5:6" x14ac:dyDescent="0.35">
      <c r="E298" t="s">
        <v>485</v>
      </c>
      <c r="F298" t="s">
        <v>493</v>
      </c>
    </row>
    <row r="299" spans="5:6" x14ac:dyDescent="0.35">
      <c r="E299" t="s">
        <v>485</v>
      </c>
      <c r="F299" t="s">
        <v>494</v>
      </c>
    </row>
    <row r="300" spans="5:6" x14ac:dyDescent="0.35">
      <c r="E300" t="s">
        <v>485</v>
      </c>
      <c r="F300" t="s">
        <v>495</v>
      </c>
    </row>
    <row r="301" spans="5:6" x14ac:dyDescent="0.35">
      <c r="E301" t="s">
        <v>485</v>
      </c>
      <c r="F301" t="s">
        <v>496</v>
      </c>
    </row>
    <row r="302" spans="5:6" x14ac:dyDescent="0.35">
      <c r="E302" t="s">
        <v>485</v>
      </c>
      <c r="F302" t="s">
        <v>497</v>
      </c>
    </row>
    <row r="303" spans="5:6" x14ac:dyDescent="0.35">
      <c r="E303" t="s">
        <v>485</v>
      </c>
      <c r="F303" t="s">
        <v>498</v>
      </c>
    </row>
    <row r="304" spans="5:6" x14ac:dyDescent="0.35">
      <c r="E304" t="s">
        <v>485</v>
      </c>
      <c r="F304" t="s">
        <v>499</v>
      </c>
    </row>
    <row r="305" spans="5:6" x14ac:dyDescent="0.35">
      <c r="E305" t="s">
        <v>500</v>
      </c>
      <c r="F305" t="s">
        <v>501</v>
      </c>
    </row>
    <row r="306" spans="5:6" x14ac:dyDescent="0.35">
      <c r="E306" t="s">
        <v>500</v>
      </c>
      <c r="F306" t="s">
        <v>502</v>
      </c>
    </row>
    <row r="307" spans="5:6" x14ac:dyDescent="0.35">
      <c r="E307" t="s">
        <v>500</v>
      </c>
      <c r="F307" t="s">
        <v>503</v>
      </c>
    </row>
    <row r="308" spans="5:6" x14ac:dyDescent="0.35">
      <c r="E308" t="s">
        <v>500</v>
      </c>
      <c r="F308" t="s">
        <v>504</v>
      </c>
    </row>
    <row r="309" spans="5:6" x14ac:dyDescent="0.35">
      <c r="E309" t="s">
        <v>500</v>
      </c>
      <c r="F309" t="s">
        <v>505</v>
      </c>
    </row>
    <row r="310" spans="5:6" x14ac:dyDescent="0.35">
      <c r="E310" t="s">
        <v>500</v>
      </c>
      <c r="F310" t="s">
        <v>506</v>
      </c>
    </row>
    <row r="311" spans="5:6" x14ac:dyDescent="0.35">
      <c r="E311" t="s">
        <v>500</v>
      </c>
      <c r="F311" t="s">
        <v>507</v>
      </c>
    </row>
    <row r="312" spans="5:6" x14ac:dyDescent="0.35">
      <c r="E312" t="s">
        <v>500</v>
      </c>
      <c r="F312" t="s">
        <v>508</v>
      </c>
    </row>
    <row r="313" spans="5:6" x14ac:dyDescent="0.35">
      <c r="E313" t="s">
        <v>500</v>
      </c>
      <c r="F313" t="s">
        <v>509</v>
      </c>
    </row>
    <row r="314" spans="5:6" x14ac:dyDescent="0.35">
      <c r="E314" t="s">
        <v>500</v>
      </c>
      <c r="F314" t="s">
        <v>510</v>
      </c>
    </row>
    <row r="315" spans="5:6" x14ac:dyDescent="0.35">
      <c r="E315" t="s">
        <v>500</v>
      </c>
      <c r="F315" t="s">
        <v>511</v>
      </c>
    </row>
    <row r="316" spans="5:6" x14ac:dyDescent="0.35">
      <c r="E316" t="s">
        <v>500</v>
      </c>
      <c r="F316" t="s">
        <v>512</v>
      </c>
    </row>
    <row r="317" spans="5:6" x14ac:dyDescent="0.35">
      <c r="E317" t="s">
        <v>500</v>
      </c>
      <c r="F317" t="s">
        <v>513</v>
      </c>
    </row>
    <row r="318" spans="5:6" x14ac:dyDescent="0.35">
      <c r="E318" t="s">
        <v>500</v>
      </c>
      <c r="F318" t="s">
        <v>514</v>
      </c>
    </row>
    <row r="319" spans="5:6" x14ac:dyDescent="0.35">
      <c r="E319" t="s">
        <v>500</v>
      </c>
      <c r="F319" t="s">
        <v>515</v>
      </c>
    </row>
    <row r="320" spans="5:6" x14ac:dyDescent="0.35">
      <c r="E320" t="s">
        <v>500</v>
      </c>
      <c r="F320" t="s">
        <v>516</v>
      </c>
    </row>
    <row r="321" spans="5:6" x14ac:dyDescent="0.35">
      <c r="E321" t="s">
        <v>500</v>
      </c>
      <c r="F321" t="s">
        <v>517</v>
      </c>
    </row>
    <row r="322" spans="5:6" x14ac:dyDescent="0.35">
      <c r="E322" t="s">
        <v>500</v>
      </c>
      <c r="F322" t="s">
        <v>518</v>
      </c>
    </row>
    <row r="323" spans="5:6" x14ac:dyDescent="0.35">
      <c r="E323" t="s">
        <v>500</v>
      </c>
      <c r="F323" t="s">
        <v>519</v>
      </c>
    </row>
    <row r="324" spans="5:6" x14ac:dyDescent="0.35">
      <c r="E324" t="s">
        <v>500</v>
      </c>
      <c r="F324" t="s">
        <v>520</v>
      </c>
    </row>
    <row r="325" spans="5:6" x14ac:dyDescent="0.35">
      <c r="E325" t="s">
        <v>500</v>
      </c>
      <c r="F325" t="s">
        <v>521</v>
      </c>
    </row>
    <row r="326" spans="5:6" x14ac:dyDescent="0.35">
      <c r="E326" t="s">
        <v>522</v>
      </c>
      <c r="F326" t="s">
        <v>523</v>
      </c>
    </row>
    <row r="327" spans="5:6" x14ac:dyDescent="0.35">
      <c r="E327" t="s">
        <v>522</v>
      </c>
      <c r="F327" t="s">
        <v>524</v>
      </c>
    </row>
    <row r="328" spans="5:6" x14ac:dyDescent="0.35">
      <c r="E328" t="s">
        <v>522</v>
      </c>
      <c r="F328" t="s">
        <v>525</v>
      </c>
    </row>
    <row r="329" spans="5:6" x14ac:dyDescent="0.35">
      <c r="E329" t="s">
        <v>522</v>
      </c>
      <c r="F329" t="s">
        <v>526</v>
      </c>
    </row>
    <row r="330" spans="5:6" x14ac:dyDescent="0.35">
      <c r="E330" t="s">
        <v>522</v>
      </c>
      <c r="F330" t="s">
        <v>337</v>
      </c>
    </row>
    <row r="331" spans="5:6" x14ac:dyDescent="0.35">
      <c r="E331" t="s">
        <v>522</v>
      </c>
      <c r="F331" t="s">
        <v>527</v>
      </c>
    </row>
    <row r="332" spans="5:6" x14ac:dyDescent="0.35">
      <c r="E332" t="s">
        <v>522</v>
      </c>
      <c r="F332" t="s">
        <v>528</v>
      </c>
    </row>
    <row r="333" spans="5:6" x14ac:dyDescent="0.35">
      <c r="E333" t="s">
        <v>522</v>
      </c>
      <c r="F333" t="s">
        <v>529</v>
      </c>
    </row>
    <row r="334" spans="5:6" x14ac:dyDescent="0.35">
      <c r="E334" t="s">
        <v>522</v>
      </c>
      <c r="F334" t="s">
        <v>530</v>
      </c>
    </row>
    <row r="335" spans="5:6" x14ac:dyDescent="0.35">
      <c r="E335" t="s">
        <v>522</v>
      </c>
      <c r="F335" t="s">
        <v>531</v>
      </c>
    </row>
    <row r="336" spans="5:6" x14ac:dyDescent="0.35">
      <c r="E336" t="s">
        <v>522</v>
      </c>
      <c r="F336" t="s">
        <v>532</v>
      </c>
    </row>
    <row r="337" spans="5:6" x14ac:dyDescent="0.35">
      <c r="E337" t="s">
        <v>522</v>
      </c>
      <c r="F337" t="s">
        <v>533</v>
      </c>
    </row>
    <row r="338" spans="5:6" x14ac:dyDescent="0.35">
      <c r="E338" t="s">
        <v>522</v>
      </c>
      <c r="F338" t="s">
        <v>534</v>
      </c>
    </row>
    <row r="339" spans="5:6" x14ac:dyDescent="0.35">
      <c r="E339" t="s">
        <v>522</v>
      </c>
      <c r="F339" t="s">
        <v>535</v>
      </c>
    </row>
    <row r="340" spans="5:6" x14ac:dyDescent="0.35">
      <c r="E340" t="s">
        <v>522</v>
      </c>
      <c r="F340" t="s">
        <v>536</v>
      </c>
    </row>
    <row r="341" spans="5:6" x14ac:dyDescent="0.35">
      <c r="E341" t="s">
        <v>522</v>
      </c>
      <c r="F341" t="s">
        <v>537</v>
      </c>
    </row>
    <row r="342" spans="5:6" x14ac:dyDescent="0.35">
      <c r="E342" t="s">
        <v>522</v>
      </c>
      <c r="F342" t="s">
        <v>348</v>
      </c>
    </row>
    <row r="343" spans="5:6" x14ac:dyDescent="0.35">
      <c r="E343" t="s">
        <v>522</v>
      </c>
      <c r="F343" t="s">
        <v>538</v>
      </c>
    </row>
    <row r="344" spans="5:6" x14ac:dyDescent="0.35">
      <c r="E344" t="s">
        <v>522</v>
      </c>
      <c r="F344" t="s">
        <v>539</v>
      </c>
    </row>
    <row r="345" spans="5:6" x14ac:dyDescent="0.35">
      <c r="E345" t="s">
        <v>522</v>
      </c>
      <c r="F345" t="s">
        <v>540</v>
      </c>
    </row>
    <row r="346" spans="5:6" x14ac:dyDescent="0.35">
      <c r="E346" t="s">
        <v>522</v>
      </c>
      <c r="F346" t="s">
        <v>541</v>
      </c>
    </row>
    <row r="347" spans="5:6" x14ac:dyDescent="0.35">
      <c r="E347" t="s">
        <v>522</v>
      </c>
      <c r="F347" t="s">
        <v>542</v>
      </c>
    </row>
    <row r="348" spans="5:6" x14ac:dyDescent="0.35">
      <c r="E348" t="s">
        <v>522</v>
      </c>
      <c r="F348" t="s">
        <v>543</v>
      </c>
    </row>
    <row r="349" spans="5:6" x14ac:dyDescent="0.35">
      <c r="E349" t="s">
        <v>522</v>
      </c>
      <c r="F349" t="s">
        <v>544</v>
      </c>
    </row>
    <row r="350" spans="5:6" x14ac:dyDescent="0.35">
      <c r="E350" t="s">
        <v>522</v>
      </c>
      <c r="F350" t="s">
        <v>209</v>
      </c>
    </row>
    <row r="351" spans="5:6" x14ac:dyDescent="0.35">
      <c r="E351" t="s">
        <v>522</v>
      </c>
      <c r="F351" t="s">
        <v>545</v>
      </c>
    </row>
    <row r="352" spans="5:6" x14ac:dyDescent="0.35">
      <c r="E352" t="s">
        <v>522</v>
      </c>
      <c r="F352" t="s">
        <v>546</v>
      </c>
    </row>
    <row r="353" spans="5:6" x14ac:dyDescent="0.35">
      <c r="E353" t="s">
        <v>522</v>
      </c>
      <c r="F353" t="s">
        <v>547</v>
      </c>
    </row>
    <row r="354" spans="5:6" x14ac:dyDescent="0.35">
      <c r="E354" t="s">
        <v>522</v>
      </c>
      <c r="F354" t="s">
        <v>548</v>
      </c>
    </row>
    <row r="355" spans="5:6" x14ac:dyDescent="0.35">
      <c r="E355" t="s">
        <v>522</v>
      </c>
      <c r="F355" t="s">
        <v>549</v>
      </c>
    </row>
    <row r="356" spans="5:6" x14ac:dyDescent="0.35">
      <c r="E356" t="s">
        <v>522</v>
      </c>
      <c r="F356" t="s">
        <v>550</v>
      </c>
    </row>
    <row r="357" spans="5:6" x14ac:dyDescent="0.35">
      <c r="E357" t="s">
        <v>522</v>
      </c>
      <c r="F357" t="s">
        <v>551</v>
      </c>
    </row>
    <row r="358" spans="5:6" x14ac:dyDescent="0.35">
      <c r="E358" t="s">
        <v>522</v>
      </c>
      <c r="F358" t="s">
        <v>552</v>
      </c>
    </row>
    <row r="359" spans="5:6" x14ac:dyDescent="0.35">
      <c r="E359" t="s">
        <v>522</v>
      </c>
      <c r="F359" t="s">
        <v>553</v>
      </c>
    </row>
    <row r="360" spans="5:6" x14ac:dyDescent="0.35">
      <c r="E360" t="s">
        <v>522</v>
      </c>
      <c r="F360" t="s">
        <v>554</v>
      </c>
    </row>
    <row r="361" spans="5:6" x14ac:dyDescent="0.35">
      <c r="E361" t="s">
        <v>555</v>
      </c>
      <c r="F361" t="s">
        <v>556</v>
      </c>
    </row>
    <row r="362" spans="5:6" x14ac:dyDescent="0.35">
      <c r="E362" t="s">
        <v>555</v>
      </c>
      <c r="F362" t="s">
        <v>557</v>
      </c>
    </row>
    <row r="363" spans="5:6" x14ac:dyDescent="0.35">
      <c r="E363" t="s">
        <v>555</v>
      </c>
      <c r="F363" t="s">
        <v>558</v>
      </c>
    </row>
    <row r="364" spans="5:6" x14ac:dyDescent="0.35">
      <c r="E364" t="s">
        <v>555</v>
      </c>
      <c r="F364" t="s">
        <v>559</v>
      </c>
    </row>
    <row r="365" spans="5:6" x14ac:dyDescent="0.35">
      <c r="E365" t="s">
        <v>555</v>
      </c>
      <c r="F365" t="s">
        <v>560</v>
      </c>
    </row>
    <row r="366" spans="5:6" x14ac:dyDescent="0.35">
      <c r="E366" t="s">
        <v>555</v>
      </c>
      <c r="F366" t="s">
        <v>561</v>
      </c>
    </row>
    <row r="367" spans="5:6" x14ac:dyDescent="0.35">
      <c r="E367" t="s">
        <v>555</v>
      </c>
      <c r="F367" t="s">
        <v>562</v>
      </c>
    </row>
    <row r="368" spans="5:6" x14ac:dyDescent="0.35">
      <c r="E368" t="s">
        <v>555</v>
      </c>
      <c r="F368" t="s">
        <v>563</v>
      </c>
    </row>
    <row r="369" spans="5:6" x14ac:dyDescent="0.35">
      <c r="E369" t="s">
        <v>555</v>
      </c>
      <c r="F369" t="s">
        <v>564</v>
      </c>
    </row>
    <row r="370" spans="5:6" x14ac:dyDescent="0.35">
      <c r="E370" t="s">
        <v>555</v>
      </c>
      <c r="F370" t="s">
        <v>565</v>
      </c>
    </row>
    <row r="371" spans="5:6" x14ac:dyDescent="0.35">
      <c r="E371" t="s">
        <v>555</v>
      </c>
      <c r="F371" t="s">
        <v>566</v>
      </c>
    </row>
    <row r="372" spans="5:6" x14ac:dyDescent="0.35">
      <c r="E372" t="s">
        <v>555</v>
      </c>
      <c r="F372" t="s">
        <v>567</v>
      </c>
    </row>
    <row r="373" spans="5:6" x14ac:dyDescent="0.35">
      <c r="E373" t="s">
        <v>555</v>
      </c>
      <c r="F373" t="s">
        <v>568</v>
      </c>
    </row>
    <row r="374" spans="5:6" x14ac:dyDescent="0.35">
      <c r="E374" t="s">
        <v>555</v>
      </c>
      <c r="F374" t="s">
        <v>569</v>
      </c>
    </row>
    <row r="375" spans="5:6" x14ac:dyDescent="0.35">
      <c r="E375" t="s">
        <v>555</v>
      </c>
      <c r="F375" t="s">
        <v>570</v>
      </c>
    </row>
    <row r="376" spans="5:6" x14ac:dyDescent="0.35">
      <c r="E376" t="s">
        <v>555</v>
      </c>
      <c r="F376" t="s">
        <v>571</v>
      </c>
    </row>
    <row r="377" spans="5:6" x14ac:dyDescent="0.35">
      <c r="E377" t="s">
        <v>555</v>
      </c>
      <c r="F377" t="s">
        <v>572</v>
      </c>
    </row>
    <row r="378" spans="5:6" x14ac:dyDescent="0.35">
      <c r="E378" t="s">
        <v>555</v>
      </c>
      <c r="F378" t="s">
        <v>573</v>
      </c>
    </row>
    <row r="379" spans="5:6" x14ac:dyDescent="0.35">
      <c r="E379" t="s">
        <v>555</v>
      </c>
      <c r="F379" t="s">
        <v>574</v>
      </c>
    </row>
    <row r="380" spans="5:6" x14ac:dyDescent="0.35">
      <c r="E380" t="s">
        <v>555</v>
      </c>
      <c r="F380" t="s">
        <v>575</v>
      </c>
    </row>
    <row r="381" spans="5:6" x14ac:dyDescent="0.35">
      <c r="E381" t="s">
        <v>555</v>
      </c>
      <c r="F381" t="s">
        <v>576</v>
      </c>
    </row>
  </sheetData>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8</vt:i4>
      </vt:variant>
      <vt:variant>
        <vt:lpstr>Nazwane zakresy</vt:lpstr>
      </vt:variant>
      <vt:variant>
        <vt:i4>23</vt:i4>
      </vt:variant>
    </vt:vector>
  </HeadingPairs>
  <TitlesOfParts>
    <vt:vector size="31" baseType="lpstr">
      <vt:lpstr>Wybór</vt:lpstr>
      <vt:lpstr>Wniosek art 4a budowa</vt:lpstr>
      <vt:lpstr>Wniosek art. 4a remont_przebudo</vt:lpstr>
      <vt:lpstr>Wniosek art. 4a kupno</vt:lpstr>
      <vt:lpstr>Słowniki</vt:lpstr>
      <vt:lpstr>Słownik N_S_O</vt:lpstr>
      <vt:lpstr>Słownik Infrasr</vt:lpstr>
      <vt:lpstr>Słownik woj_powiaty</vt:lpstr>
      <vt:lpstr>Słowniki!_edn1</vt:lpstr>
      <vt:lpstr>Słowniki!_edn10</vt:lpstr>
      <vt:lpstr>Słowniki!_edn11</vt:lpstr>
      <vt:lpstr>Słowniki!_edn12</vt:lpstr>
      <vt:lpstr>Słowniki!_edn2</vt:lpstr>
      <vt:lpstr>Słowniki!_edn3</vt:lpstr>
      <vt:lpstr>Słowniki!_edn4</vt:lpstr>
      <vt:lpstr>Słowniki!_edn5</vt:lpstr>
      <vt:lpstr>Słowniki!_edn6</vt:lpstr>
      <vt:lpstr>Słowniki!_edn7</vt:lpstr>
      <vt:lpstr>Słowniki!_edn8</vt:lpstr>
      <vt:lpstr>Słowniki!_edn9</vt:lpstr>
      <vt:lpstr>Słowniki!_ednref1</vt:lpstr>
      <vt:lpstr>Słowniki!_ftn1</vt:lpstr>
      <vt:lpstr>Słowniki!_ftnref1</vt:lpstr>
      <vt:lpstr>Słowniki!_Hlk108901557</vt:lpstr>
      <vt:lpstr>Słowniki!_Hlk53499634</vt:lpstr>
      <vt:lpstr>Słowniki!_Hlk59545887</vt:lpstr>
      <vt:lpstr>Słowniki!_Hlk63413254</vt:lpstr>
      <vt:lpstr>ListaRob</vt:lpstr>
      <vt:lpstr>'Wniosek art 4a budowa'!Obszar_wydruku</vt:lpstr>
      <vt:lpstr>'Wniosek art. 4a kupno'!Obszar_wydruku</vt:lpstr>
      <vt:lpstr>'Wniosek art. 4a remont_przebudo'!Obszar_wydruku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2026-02-06T11:56:46Z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d642cb-f5ac-4f9c-8f91-3377ed972e0d_Enabled">
    <vt:lpwstr>True</vt:lpwstr>
  </property>
  <property fmtid="{D5CDD505-2E9C-101B-9397-08002B2CF9AE}" pid="3" name="MSIP_Label_ffd642cb-f5ac-4f9c-8f91-3377ed972e0d_SiteId">
    <vt:lpwstr>29bb5b9c-200a-4906-89ef-c651c86ab301</vt:lpwstr>
  </property>
  <property fmtid="{D5CDD505-2E9C-101B-9397-08002B2CF9AE}" pid="4" name="MSIP_Label_ffd642cb-f5ac-4f9c-8f91-3377ed972e0d_Owner">
    <vt:lpwstr>Mariusz.Kempka@bgk.pl</vt:lpwstr>
  </property>
  <property fmtid="{D5CDD505-2E9C-101B-9397-08002B2CF9AE}" pid="5" name="MSIP_Label_ffd642cb-f5ac-4f9c-8f91-3377ed972e0d_SetDate">
    <vt:lpwstr>2019-05-23T06:26:59.3698495Z</vt:lpwstr>
  </property>
  <property fmtid="{D5CDD505-2E9C-101B-9397-08002B2CF9AE}" pid="6" name="MSIP_Label_ffd642cb-f5ac-4f9c-8f91-3377ed972e0d_Name">
    <vt:lpwstr>Wewnętrzne</vt:lpwstr>
  </property>
  <property fmtid="{D5CDD505-2E9C-101B-9397-08002B2CF9AE}" pid="7" name="MSIP_Label_ffd642cb-f5ac-4f9c-8f91-3377ed972e0d_Application">
    <vt:lpwstr>Microsoft Azure Information Protection</vt:lpwstr>
  </property>
  <property fmtid="{D5CDD505-2E9C-101B-9397-08002B2CF9AE}" pid="8" name="MSIP_Label_ffd642cb-f5ac-4f9c-8f91-3377ed972e0d_Extended_MSFT_Method">
    <vt:lpwstr>Manual</vt:lpwstr>
  </property>
  <property fmtid="{D5CDD505-2E9C-101B-9397-08002B2CF9AE}" pid="9" name="MSIP_Label_c668bcff-e2d1-47e2-adc1-b3354af02961_Enabled">
    <vt:lpwstr>true</vt:lpwstr>
  </property>
  <property fmtid="{D5CDD505-2E9C-101B-9397-08002B2CF9AE}" pid="10" name="MSIP_Label_c668bcff-e2d1-47e2-adc1-b3354af02961_SetDate">
    <vt:lpwstr>2022-08-29T09:46:13Z</vt:lpwstr>
  </property>
  <property fmtid="{D5CDD505-2E9C-101B-9397-08002B2CF9AE}" pid="11" name="MSIP_Label_c668bcff-e2d1-47e2-adc1-b3354af02961_Method">
    <vt:lpwstr>Privileged</vt:lpwstr>
  </property>
  <property fmtid="{D5CDD505-2E9C-101B-9397-08002B2CF9AE}" pid="12" name="MSIP_Label_c668bcff-e2d1-47e2-adc1-b3354af02961_Name">
    <vt:lpwstr>c668bcff-e2d1-47e2-adc1-b3354af02961</vt:lpwstr>
  </property>
  <property fmtid="{D5CDD505-2E9C-101B-9397-08002B2CF9AE}" pid="13" name="MSIP_Label_c668bcff-e2d1-47e2-adc1-b3354af02961_SiteId">
    <vt:lpwstr>29bb5b9c-200a-4906-89ef-c651c86ab301</vt:lpwstr>
  </property>
  <property fmtid="{D5CDD505-2E9C-101B-9397-08002B2CF9AE}" pid="14" name="MSIP_Label_c668bcff-e2d1-47e2-adc1-b3354af02961_ContentBits">
    <vt:lpwstr>0</vt:lpwstr>
  </property>
</Properties>
</file>